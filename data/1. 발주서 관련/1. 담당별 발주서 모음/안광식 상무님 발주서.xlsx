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ONE\Downloads\"/>
    </mc:Choice>
  </mc:AlternateContent>
  <xr:revisionPtr revIDLastSave="0" documentId="13_ncr:1_{F923E7F6-5AD0-42CD-95F2-1B7C5F17AB61}" xr6:coauthVersionLast="36" xr6:coauthVersionMax="36" xr10:uidLastSave="{00000000-0000-0000-0000-000000000000}"/>
  <bookViews>
    <workbookView xWindow="0" yWindow="0" windowWidth="28800" windowHeight="12180" firstSheet="6" activeTab="15" xr2:uid="{00000000-000D-0000-FFFF-FFFF00000000}"/>
  </bookViews>
  <sheets>
    <sheet name="골조도(일정-공장)" sheetId="17" r:id="rId1"/>
    <sheet name="골조도(일정)" sheetId="16" r:id="rId2"/>
    <sheet name="Sheet8" sheetId="13" r:id="rId3"/>
    <sheet name="집계표" sheetId="1" r:id="rId4"/>
    <sheet name="물량산출서(세대)" sheetId="2" r:id="rId5"/>
    <sheet name="물량산출서(공용+부속동)" sheetId="5" r:id="rId6"/>
    <sheet name="2. 골조도" sheetId="7" r:id="rId7"/>
    <sheet name="목업세대" sheetId="4" r:id="rId8"/>
    <sheet name="1차원본" sheetId="8" r:id="rId9"/>
    <sheet name="1차" sheetId="14" r:id="rId10"/>
    <sheet name="2차" sheetId="9" r:id="rId11"/>
    <sheet name="3차" sheetId="15" r:id="rId12"/>
    <sheet name="4차" sheetId="10" r:id="rId13"/>
    <sheet name="5차전체(5,6차로나뉨)" sheetId="11" r:id="rId14"/>
    <sheet name="5차" sheetId="18" r:id="rId15"/>
    <sheet name="6차" sheetId="19" r:id="rId16"/>
    <sheet name="카자리" sheetId="12" r:id="rId17"/>
    <sheet name="Sheet1" sheetId="6" r:id="rId18"/>
  </sheets>
  <definedNames>
    <definedName name="_xlnm.Print_Area" localSheetId="9">'1차'!$A:$J</definedName>
    <definedName name="_xlnm.Print_Area" localSheetId="8">'1차원본'!$A:$J</definedName>
    <definedName name="_xlnm.Print_Area" localSheetId="6">'2. 골조도'!$A:$U</definedName>
    <definedName name="_xlnm.Print_Area" localSheetId="10">'2차'!$A:$J</definedName>
    <definedName name="_xlnm.Print_Area" localSheetId="11">'3차'!$A:$J</definedName>
    <definedName name="_xlnm.Print_Area" localSheetId="12">'4차'!$A:$J</definedName>
    <definedName name="_xlnm.Print_Area" localSheetId="14">'5차'!$A$1:$J$400</definedName>
    <definedName name="_xlnm.Print_Area" localSheetId="13">'5차전체(5,6차로나뉨)'!$A:$J</definedName>
    <definedName name="_xlnm.Print_Area" localSheetId="15">'6차'!$A$1:$J$588</definedName>
    <definedName name="_xlnm.Print_Area" localSheetId="1">'골조도(일정)'!$A:$U</definedName>
    <definedName name="_xlnm.Print_Area" localSheetId="0">'골조도(일정-공장)'!$A:$U</definedName>
    <definedName name="_xlnm.Print_Area" localSheetId="7">목업세대!$A:$J</definedName>
    <definedName name="_xlnm.Print_Area" localSheetId="4">'물량산출서(세대)'!$A:$R</definedName>
    <definedName name="_xlnm.Print_Area" localSheetId="16">카자리!$A:$J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82" i="19" l="1"/>
  <c r="M585" i="19" s="1"/>
  <c r="I576" i="19"/>
  <c r="I577" i="19" s="1"/>
  <c r="I578" i="19" s="1"/>
  <c r="I579" i="19" s="1"/>
  <c r="M575" i="19"/>
  <c r="I575" i="19"/>
  <c r="I582" i="19" s="1"/>
  <c r="I585" i="19" s="1"/>
  <c r="I586" i="19" s="1"/>
  <c r="M570" i="19"/>
  <c r="M571" i="19" s="1"/>
  <c r="I570" i="19"/>
  <c r="I571" i="19" s="1"/>
  <c r="I572" i="19" s="1"/>
  <c r="O569" i="19"/>
  <c r="F569" i="19" s="1"/>
  <c r="G569" i="19" s="1"/>
  <c r="M566" i="19"/>
  <c r="M557" i="19"/>
  <c r="M558" i="19" s="1"/>
  <c r="I557" i="19"/>
  <c r="I566" i="19" s="1"/>
  <c r="I567" i="19" s="1"/>
  <c r="M549" i="19"/>
  <c r="I549" i="19"/>
  <c r="I550" i="19" s="1"/>
  <c r="O548" i="19"/>
  <c r="F548" i="19" s="1"/>
  <c r="M544" i="19"/>
  <c r="M545" i="19" s="1"/>
  <c r="O545" i="19" s="1"/>
  <c r="F545" i="19" s="1"/>
  <c r="H545" i="19" s="1"/>
  <c r="I544" i="19"/>
  <c r="I545" i="19" s="1"/>
  <c r="M535" i="19"/>
  <c r="I535" i="19"/>
  <c r="O528" i="19"/>
  <c r="F528" i="19" s="1"/>
  <c r="M528" i="19"/>
  <c r="M529" i="19" s="1"/>
  <c r="O527" i="19"/>
  <c r="F527" i="19" s="1"/>
  <c r="M527" i="19"/>
  <c r="I527" i="19"/>
  <c r="O526" i="19"/>
  <c r="F526" i="19" s="1"/>
  <c r="M523" i="19"/>
  <c r="O523" i="19" s="1"/>
  <c r="F523" i="19" s="1"/>
  <c r="M522" i="19"/>
  <c r="O522" i="19" s="1"/>
  <c r="F522" i="19" s="1"/>
  <c r="H522" i="19" s="1"/>
  <c r="O519" i="19"/>
  <c r="F519" i="19" s="1"/>
  <c r="M519" i="19"/>
  <c r="I514" i="19"/>
  <c r="I515" i="19" s="1"/>
  <c r="I516" i="19" s="1"/>
  <c r="M513" i="19"/>
  <c r="M514" i="19" s="1"/>
  <c r="I513" i="19"/>
  <c r="M512" i="19"/>
  <c r="O512" i="19" s="1"/>
  <c r="I512" i="19"/>
  <c r="I519" i="19" s="1"/>
  <c r="I522" i="19" s="1"/>
  <c r="I523" i="19" s="1"/>
  <c r="F512" i="19"/>
  <c r="G512" i="19" s="1"/>
  <c r="M508" i="19"/>
  <c r="M509" i="19" s="1"/>
  <c r="O509" i="19" s="1"/>
  <c r="F509" i="19" s="1"/>
  <c r="I508" i="19"/>
  <c r="I509" i="19" s="1"/>
  <c r="O507" i="19"/>
  <c r="F507" i="19" s="1"/>
  <c r="H507" i="19" s="1"/>
  <c r="M507" i="19"/>
  <c r="I507" i="19"/>
  <c r="O506" i="19"/>
  <c r="F506" i="19"/>
  <c r="H506" i="19" s="1"/>
  <c r="I493" i="19"/>
  <c r="I502" i="19" s="1"/>
  <c r="I503" i="19" s="1"/>
  <c r="M485" i="19"/>
  <c r="I485" i="19"/>
  <c r="I486" i="19" s="1"/>
  <c r="O484" i="19"/>
  <c r="F484" i="19" s="1"/>
  <c r="M484" i="19"/>
  <c r="M493" i="19" s="1"/>
  <c r="M494" i="19" s="1"/>
  <c r="M477" i="19"/>
  <c r="M480" i="19" s="1"/>
  <c r="M471" i="19"/>
  <c r="I471" i="19"/>
  <c r="I472" i="19" s="1"/>
  <c r="I473" i="19" s="1"/>
  <c r="I474" i="19" s="1"/>
  <c r="O470" i="19"/>
  <c r="F470" i="19" s="1"/>
  <c r="G470" i="19" s="1"/>
  <c r="M470" i="19"/>
  <c r="I470" i="19"/>
  <c r="I477" i="19" s="1"/>
  <c r="I480" i="19" s="1"/>
  <c r="I481" i="19" s="1"/>
  <c r="M465" i="19"/>
  <c r="M466" i="19" s="1"/>
  <c r="M467" i="19" s="1"/>
  <c r="O467" i="19" s="1"/>
  <c r="F467" i="19" s="1"/>
  <c r="I465" i="19"/>
  <c r="I466" i="19" s="1"/>
  <c r="I467" i="19" s="1"/>
  <c r="O464" i="19"/>
  <c r="F464" i="19" s="1"/>
  <c r="M462" i="19"/>
  <c r="O462" i="19" s="1"/>
  <c r="F462" i="19" s="1"/>
  <c r="O461" i="19"/>
  <c r="F461" i="19" s="1"/>
  <c r="H461" i="19" s="1"/>
  <c r="M461" i="19"/>
  <c r="O453" i="19"/>
  <c r="F453" i="19" s="1"/>
  <c r="M452" i="19"/>
  <c r="M453" i="19" s="1"/>
  <c r="M454" i="19" s="1"/>
  <c r="I452" i="19"/>
  <c r="I461" i="19" s="1"/>
  <c r="I462" i="19" s="1"/>
  <c r="I445" i="19"/>
  <c r="I446" i="19" s="1"/>
  <c r="M444" i="19"/>
  <c r="I444" i="19"/>
  <c r="I453" i="19" s="1"/>
  <c r="O443" i="19"/>
  <c r="F443" i="19" s="1"/>
  <c r="O440" i="19"/>
  <c r="F440" i="19" s="1"/>
  <c r="H440" i="19" s="1"/>
  <c r="O439" i="19"/>
  <c r="F439" i="19" s="1"/>
  <c r="M439" i="19"/>
  <c r="M440" i="19" s="1"/>
  <c r="I439" i="19"/>
  <c r="I440" i="19" s="1"/>
  <c r="M430" i="19"/>
  <c r="I430" i="19"/>
  <c r="M422" i="19"/>
  <c r="M423" i="19" s="1"/>
  <c r="M424" i="19" s="1"/>
  <c r="I422" i="19"/>
  <c r="O421" i="19"/>
  <c r="F421" i="19" s="1"/>
  <c r="H419" i="19"/>
  <c r="G419" i="19"/>
  <c r="I410" i="19"/>
  <c r="I411" i="19" s="1"/>
  <c r="I412" i="19" s="1"/>
  <c r="I413" i="19" s="1"/>
  <c r="I414" i="19" s="1"/>
  <c r="I409" i="19"/>
  <c r="I417" i="19" s="1"/>
  <c r="I418" i="19" s="1"/>
  <c r="M403" i="19"/>
  <c r="M402" i="19"/>
  <c r="O402" i="19" s="1"/>
  <c r="F402" i="19" s="1"/>
  <c r="I402" i="19"/>
  <c r="I403" i="19" s="1"/>
  <c r="I404" i="19" s="1"/>
  <c r="I405" i="19" s="1"/>
  <c r="I406" i="19" s="1"/>
  <c r="O401" i="19"/>
  <c r="F401" i="19" s="1"/>
  <c r="H398" i="19"/>
  <c r="G398" i="19"/>
  <c r="I396" i="19"/>
  <c r="I397" i="19" s="1"/>
  <c r="I390" i="19"/>
  <c r="I391" i="19" s="1"/>
  <c r="I392" i="19" s="1"/>
  <c r="I393" i="19" s="1"/>
  <c r="I389" i="19"/>
  <c r="I388" i="19"/>
  <c r="M381" i="19"/>
  <c r="M382" i="19" s="1"/>
  <c r="M383" i="19" s="1"/>
  <c r="M384" i="19" s="1"/>
  <c r="O384" i="19" s="1"/>
  <c r="F384" i="19" s="1"/>
  <c r="H384" i="19" s="1"/>
  <c r="I381" i="19"/>
  <c r="I382" i="19" s="1"/>
  <c r="I383" i="19" s="1"/>
  <c r="I384" i="19" s="1"/>
  <c r="I385" i="19" s="1"/>
  <c r="O380" i="19"/>
  <c r="F380" i="19"/>
  <c r="G380" i="19" s="1"/>
  <c r="M376" i="19"/>
  <c r="O376" i="19" s="1"/>
  <c r="F376" i="19"/>
  <c r="O367" i="19"/>
  <c r="F367" i="19" s="1"/>
  <c r="G367" i="19" s="1"/>
  <c r="M367" i="19"/>
  <c r="M368" i="19" s="1"/>
  <c r="M369" i="19" s="1"/>
  <c r="I367" i="19"/>
  <c r="I376" i="19" s="1"/>
  <c r="I377" i="19" s="1"/>
  <c r="M359" i="19"/>
  <c r="I359" i="19"/>
  <c r="O358" i="19"/>
  <c r="F358" i="19" s="1"/>
  <c r="G358" i="19" s="1"/>
  <c r="M354" i="19"/>
  <c r="O354" i="19" s="1"/>
  <c r="F354" i="19" s="1"/>
  <c r="I354" i="19"/>
  <c r="I355" i="19" s="1"/>
  <c r="M345" i="19"/>
  <c r="O345" i="19" s="1"/>
  <c r="F345" i="19" s="1"/>
  <c r="I345" i="19"/>
  <c r="M337" i="19"/>
  <c r="M338" i="19" s="1"/>
  <c r="I337" i="19"/>
  <c r="O336" i="19"/>
  <c r="F336" i="19" s="1"/>
  <c r="H336" i="19" s="1"/>
  <c r="M329" i="19"/>
  <c r="M332" i="19" s="1"/>
  <c r="I326" i="19"/>
  <c r="I324" i="19"/>
  <c r="I325" i="19" s="1"/>
  <c r="I323" i="19"/>
  <c r="M322" i="19"/>
  <c r="O322" i="19" s="1"/>
  <c r="I322" i="19"/>
  <c r="I329" i="19" s="1"/>
  <c r="I332" i="19" s="1"/>
  <c r="I333" i="19" s="1"/>
  <c r="F322" i="19"/>
  <c r="G322" i="19" s="1"/>
  <c r="M317" i="19"/>
  <c r="M318" i="19" s="1"/>
  <c r="M319" i="19" s="1"/>
  <c r="O319" i="19" s="1"/>
  <c r="F319" i="19" s="1"/>
  <c r="I317" i="19"/>
  <c r="I318" i="19" s="1"/>
  <c r="I319" i="19" s="1"/>
  <c r="O316" i="19"/>
  <c r="F316" i="19" s="1"/>
  <c r="G316" i="19" s="1"/>
  <c r="I303" i="19"/>
  <c r="I312" i="19" s="1"/>
  <c r="I313" i="19" s="1"/>
  <c r="I296" i="19"/>
  <c r="I295" i="19"/>
  <c r="I304" i="19" s="1"/>
  <c r="I281" i="19"/>
  <c r="I290" i="19" s="1"/>
  <c r="I291" i="19" s="1"/>
  <c r="I273" i="19"/>
  <c r="I282" i="19" s="1"/>
  <c r="I269" i="19"/>
  <c r="M268" i="19"/>
  <c r="M269" i="19" s="1"/>
  <c r="O269" i="19" s="1"/>
  <c r="F269" i="19" s="1"/>
  <c r="M259" i="19"/>
  <c r="O259" i="19" s="1"/>
  <c r="F259" i="19" s="1"/>
  <c r="H259" i="19" s="1"/>
  <c r="I259" i="19"/>
  <c r="I268" i="19" s="1"/>
  <c r="M251" i="19"/>
  <c r="M252" i="19" s="1"/>
  <c r="I251" i="19"/>
  <c r="I260" i="19" s="1"/>
  <c r="O250" i="19"/>
  <c r="F250" i="19" s="1"/>
  <c r="G250" i="19" s="1"/>
  <c r="O243" i="19"/>
  <c r="F243" i="19" s="1"/>
  <c r="H243" i="19" s="1"/>
  <c r="H244" i="19" s="1"/>
  <c r="M243" i="19"/>
  <c r="M246" i="19" s="1"/>
  <c r="I238" i="19"/>
  <c r="I239" i="19" s="1"/>
  <c r="I240" i="19" s="1"/>
  <c r="I237" i="19"/>
  <c r="M236" i="19"/>
  <c r="O236" i="19" s="1"/>
  <c r="F236" i="19" s="1"/>
  <c r="G236" i="19" s="1"/>
  <c r="I236" i="19"/>
  <c r="I243" i="19" s="1"/>
  <c r="I246" i="19" s="1"/>
  <c r="I247" i="19" s="1"/>
  <c r="I233" i="19"/>
  <c r="M231" i="19"/>
  <c r="I231" i="19"/>
  <c r="I232" i="19" s="1"/>
  <c r="O230" i="19"/>
  <c r="F230" i="19" s="1"/>
  <c r="I226" i="19"/>
  <c r="I227" i="19" s="1"/>
  <c r="M223" i="19"/>
  <c r="M226" i="19" s="1"/>
  <c r="O226" i="19" s="1"/>
  <c r="F226" i="19" s="1"/>
  <c r="I219" i="19"/>
  <c r="I220" i="19" s="1"/>
  <c r="I217" i="19"/>
  <c r="I218" i="19" s="1"/>
  <c r="I216" i="19"/>
  <c r="M215" i="19"/>
  <c r="I215" i="19"/>
  <c r="I223" i="19" s="1"/>
  <c r="M210" i="19"/>
  <c r="I209" i="19"/>
  <c r="I210" i="19" s="1"/>
  <c r="O208" i="19"/>
  <c r="F208" i="19" s="1"/>
  <c r="H208" i="19" s="1"/>
  <c r="M209" i="19"/>
  <c r="O209" i="19" s="1"/>
  <c r="F209" i="19" s="1"/>
  <c r="M195" i="19"/>
  <c r="O195" i="19" s="1"/>
  <c r="F195" i="19" s="1"/>
  <c r="I195" i="19"/>
  <c r="I204" i="19" s="1"/>
  <c r="I205" i="19" s="1"/>
  <c r="I187" i="19"/>
  <c r="I196" i="19" s="1"/>
  <c r="M182" i="19"/>
  <c r="M183" i="19" s="1"/>
  <c r="O183" i="19" s="1"/>
  <c r="F183" i="19" s="1"/>
  <c r="I182" i="19"/>
  <c r="I183" i="19" s="1"/>
  <c r="M173" i="19"/>
  <c r="M174" i="19" s="1"/>
  <c r="I173" i="19"/>
  <c r="M165" i="19"/>
  <c r="M166" i="19" s="1"/>
  <c r="I165" i="19"/>
  <c r="I166" i="19" s="1"/>
  <c r="O164" i="19"/>
  <c r="F164" i="19" s="1"/>
  <c r="O157" i="19"/>
  <c r="F157" i="19" s="1"/>
  <c r="M157" i="19"/>
  <c r="M160" i="19" s="1"/>
  <c r="O160" i="19" s="1"/>
  <c r="F160" i="19" s="1"/>
  <c r="I157" i="19"/>
  <c r="I160" i="19" s="1"/>
  <c r="I161" i="19" s="1"/>
  <c r="I152" i="19"/>
  <c r="I153" i="19" s="1"/>
  <c r="I154" i="19" s="1"/>
  <c r="I151" i="19"/>
  <c r="M150" i="19"/>
  <c r="M151" i="19" s="1"/>
  <c r="I150" i="19"/>
  <c r="O145" i="19"/>
  <c r="F145" i="19" s="1"/>
  <c r="M145" i="19"/>
  <c r="M146" i="19" s="1"/>
  <c r="I145" i="19"/>
  <c r="I146" i="19" s="1"/>
  <c r="I147" i="19" s="1"/>
  <c r="O144" i="19"/>
  <c r="F144" i="19" s="1"/>
  <c r="I131" i="19"/>
  <c r="I133" i="19" s="1"/>
  <c r="I134" i="19" s="1"/>
  <c r="I130" i="19"/>
  <c r="M129" i="19"/>
  <c r="O129" i="19" s="1"/>
  <c r="F129" i="19" s="1"/>
  <c r="G129" i="19" s="1"/>
  <c r="I129" i="19"/>
  <c r="I137" i="19" s="1"/>
  <c r="I140" i="19" s="1"/>
  <c r="I141" i="19" s="1"/>
  <c r="I123" i="19"/>
  <c r="I124" i="19" s="1"/>
  <c r="O122" i="19"/>
  <c r="F122" i="19" s="1"/>
  <c r="H122" i="19" s="1"/>
  <c r="M137" i="19"/>
  <c r="M140" i="19" s="1"/>
  <c r="H119" i="19"/>
  <c r="G119" i="19"/>
  <c r="I111" i="19"/>
  <c r="I112" i="19" s="1"/>
  <c r="I113" i="19" s="1"/>
  <c r="I114" i="19" s="1"/>
  <c r="I110" i="19"/>
  <c r="I109" i="19"/>
  <c r="I117" i="19" s="1"/>
  <c r="I118" i="19" s="1"/>
  <c r="O102" i="19"/>
  <c r="F102" i="19" s="1"/>
  <c r="H102" i="19" s="1"/>
  <c r="M102" i="19"/>
  <c r="M103" i="19" s="1"/>
  <c r="M104" i="19" s="1"/>
  <c r="M105" i="19" s="1"/>
  <c r="M106" i="19" s="1"/>
  <c r="M109" i="19" s="1"/>
  <c r="I102" i="19"/>
  <c r="I103" i="19" s="1"/>
  <c r="I104" i="19" s="1"/>
  <c r="I105" i="19" s="1"/>
  <c r="I106" i="19" s="1"/>
  <c r="O101" i="19"/>
  <c r="F101" i="19" s="1"/>
  <c r="G101" i="19" s="1"/>
  <c r="M98" i="19"/>
  <c r="O98" i="19" s="1"/>
  <c r="F98" i="19" s="1"/>
  <c r="M97" i="19"/>
  <c r="O97" i="19" s="1"/>
  <c r="F97" i="19"/>
  <c r="G97" i="19" s="1"/>
  <c r="I91" i="19"/>
  <c r="I89" i="19"/>
  <c r="M88" i="19"/>
  <c r="M89" i="19" s="1"/>
  <c r="M90" i="19" s="1"/>
  <c r="M91" i="19" s="1"/>
  <c r="M92" i="19" s="1"/>
  <c r="M93" i="19" s="1"/>
  <c r="M94" i="19" s="1"/>
  <c r="O94" i="19" s="1"/>
  <c r="F94" i="19" s="1"/>
  <c r="I88" i="19"/>
  <c r="I97" i="19" s="1"/>
  <c r="I98" i="19" s="1"/>
  <c r="M83" i="19"/>
  <c r="O83" i="19" s="1"/>
  <c r="F83" i="19" s="1"/>
  <c r="M82" i="19"/>
  <c r="O82" i="19" s="1"/>
  <c r="F82" i="19" s="1"/>
  <c r="M81" i="19"/>
  <c r="O81" i="19" s="1"/>
  <c r="F81" i="19" s="1"/>
  <c r="G81" i="19" s="1"/>
  <c r="M80" i="19"/>
  <c r="O80" i="19" s="1"/>
  <c r="I80" i="19"/>
  <c r="I81" i="19" s="1"/>
  <c r="I82" i="19" s="1"/>
  <c r="I83" i="19" s="1"/>
  <c r="I84" i="19" s="1"/>
  <c r="I85" i="19" s="1"/>
  <c r="I94" i="19" s="1"/>
  <c r="F80" i="19"/>
  <c r="G80" i="19" s="1"/>
  <c r="O79" i="19"/>
  <c r="F79" i="19" s="1"/>
  <c r="M75" i="19"/>
  <c r="M76" i="19" s="1"/>
  <c r="O76" i="19" s="1"/>
  <c r="F76" i="19" s="1"/>
  <c r="I75" i="19"/>
  <c r="I76" i="19" s="1"/>
  <c r="M67" i="19"/>
  <c r="O67" i="19" s="1"/>
  <c r="F67" i="19" s="1"/>
  <c r="G67" i="19" s="1"/>
  <c r="M66" i="19"/>
  <c r="O66" i="19" s="1"/>
  <c r="F66" i="19" s="1"/>
  <c r="G66" i="19" s="1"/>
  <c r="I66" i="19"/>
  <c r="M59" i="19"/>
  <c r="M60" i="19" s="1"/>
  <c r="M61" i="19" s="1"/>
  <c r="M62" i="19" s="1"/>
  <c r="M63" i="19" s="1"/>
  <c r="O63" i="19" s="1"/>
  <c r="F63" i="19" s="1"/>
  <c r="O58" i="19"/>
  <c r="F58" i="19" s="1"/>
  <c r="H58" i="19" s="1"/>
  <c r="M58" i="19"/>
  <c r="I58" i="19"/>
  <c r="I67" i="19" s="1"/>
  <c r="O57" i="19"/>
  <c r="F57" i="19" s="1"/>
  <c r="G57" i="19" s="1"/>
  <c r="M53" i="19"/>
  <c r="O53" i="19" s="1"/>
  <c r="F53" i="19" s="1"/>
  <c r="O50" i="19"/>
  <c r="F50" i="19" s="1"/>
  <c r="G50" i="19" s="1"/>
  <c r="G51" i="19" s="1"/>
  <c r="M50" i="19"/>
  <c r="I45" i="19"/>
  <c r="I46" i="19" s="1"/>
  <c r="I47" i="19" s="1"/>
  <c r="I44" i="19"/>
  <c r="M43" i="19"/>
  <c r="O43" i="19" s="1"/>
  <c r="F43" i="19" s="1"/>
  <c r="G43" i="19" s="1"/>
  <c r="I43" i="19"/>
  <c r="I50" i="19" s="1"/>
  <c r="I53" i="19" s="1"/>
  <c r="I54" i="19" s="1"/>
  <c r="M39" i="19"/>
  <c r="M40" i="19" s="1"/>
  <c r="O40" i="19" s="1"/>
  <c r="F40" i="19" s="1"/>
  <c r="H40" i="19" s="1"/>
  <c r="I39" i="19"/>
  <c r="I40" i="19" s="1"/>
  <c r="O38" i="19"/>
  <c r="F38" i="19" s="1"/>
  <c r="I38" i="19"/>
  <c r="O37" i="19"/>
  <c r="F37" i="19" s="1"/>
  <c r="H37" i="19" s="1"/>
  <c r="O33" i="19"/>
  <c r="F33" i="19" s="1"/>
  <c r="M33" i="19"/>
  <c r="M34" i="19" s="1"/>
  <c r="O34" i="19" s="1"/>
  <c r="F34" i="19" s="1"/>
  <c r="H34" i="19" s="1"/>
  <c r="M24" i="19"/>
  <c r="O24" i="19" s="1"/>
  <c r="F24" i="19" s="1"/>
  <c r="G24" i="19" s="1"/>
  <c r="I24" i="19"/>
  <c r="I33" i="19" s="1"/>
  <c r="I34" i="19" s="1"/>
  <c r="M17" i="19"/>
  <c r="M18" i="19" s="1"/>
  <c r="M19" i="19" s="1"/>
  <c r="O16" i="19"/>
  <c r="F16" i="19" s="1"/>
  <c r="H16" i="19" s="1"/>
  <c r="M16" i="19"/>
  <c r="I16" i="19"/>
  <c r="I25" i="19" s="1"/>
  <c r="O15" i="19"/>
  <c r="F15" i="19" s="1"/>
  <c r="G15" i="19" s="1"/>
  <c r="H15" i="19"/>
  <c r="M582" i="18"/>
  <c r="M585" i="18" s="1"/>
  <c r="O585" i="18" s="1"/>
  <c r="F585" i="18" s="1"/>
  <c r="I576" i="18"/>
  <c r="I577" i="18" s="1"/>
  <c r="I578" i="18" s="1"/>
  <c r="I579" i="18" s="1"/>
  <c r="M575" i="18"/>
  <c r="M576" i="18" s="1"/>
  <c r="I575" i="18"/>
  <c r="I582" i="18" s="1"/>
  <c r="I585" i="18" s="1"/>
  <c r="I586" i="18" s="1"/>
  <c r="M570" i="18"/>
  <c r="M571" i="18" s="1"/>
  <c r="M572" i="18" s="1"/>
  <c r="O572" i="18" s="1"/>
  <c r="F572" i="18" s="1"/>
  <c r="I570" i="18"/>
  <c r="I571" i="18" s="1"/>
  <c r="I572" i="18" s="1"/>
  <c r="O569" i="18"/>
  <c r="F569" i="18" s="1"/>
  <c r="I567" i="18"/>
  <c r="M566" i="18"/>
  <c r="M567" i="18" s="1"/>
  <c r="O567" i="18" s="1"/>
  <c r="F567" i="18" s="1"/>
  <c r="G567" i="18" s="1"/>
  <c r="M557" i="18"/>
  <c r="M558" i="18" s="1"/>
  <c r="I557" i="18"/>
  <c r="I566" i="18" s="1"/>
  <c r="M549" i="18"/>
  <c r="M550" i="18" s="1"/>
  <c r="I549" i="18"/>
  <c r="I550" i="18" s="1"/>
  <c r="O548" i="18"/>
  <c r="F548" i="18" s="1"/>
  <c r="H548" i="18" s="1"/>
  <c r="M544" i="18"/>
  <c r="M545" i="18" s="1"/>
  <c r="O545" i="18" s="1"/>
  <c r="F545" i="18" s="1"/>
  <c r="M535" i="18"/>
  <c r="M536" i="18" s="1"/>
  <c r="I535" i="18"/>
  <c r="I544" i="18" s="1"/>
  <c r="I545" i="18" s="1"/>
  <c r="M527" i="18"/>
  <c r="I527" i="18"/>
  <c r="O526" i="18"/>
  <c r="F526" i="18" s="1"/>
  <c r="O519" i="18"/>
  <c r="F519" i="18" s="1"/>
  <c r="M519" i="18"/>
  <c r="M522" i="18" s="1"/>
  <c r="I519" i="18"/>
  <c r="I522" i="18" s="1"/>
  <c r="I523" i="18" s="1"/>
  <c r="I513" i="18"/>
  <c r="I514" i="18" s="1"/>
  <c r="I515" i="18" s="1"/>
  <c r="I516" i="18" s="1"/>
  <c r="M512" i="18"/>
  <c r="O512" i="18" s="1"/>
  <c r="F512" i="18" s="1"/>
  <c r="I512" i="18"/>
  <c r="M507" i="18"/>
  <c r="I507" i="18"/>
  <c r="I508" i="18" s="1"/>
  <c r="I509" i="18" s="1"/>
  <c r="O506" i="18"/>
  <c r="F506" i="18" s="1"/>
  <c r="I494" i="18"/>
  <c r="I493" i="18"/>
  <c r="I502" i="18" s="1"/>
  <c r="I503" i="18" s="1"/>
  <c r="I487" i="18"/>
  <c r="I485" i="18"/>
  <c r="I486" i="18" s="1"/>
  <c r="I495" i="18" s="1"/>
  <c r="O484" i="18"/>
  <c r="F484" i="18" s="1"/>
  <c r="M493" i="18"/>
  <c r="M477" i="18"/>
  <c r="I473" i="18"/>
  <c r="I474" i="18" s="1"/>
  <c r="I471" i="18"/>
  <c r="I472" i="18" s="1"/>
  <c r="H471" i="18"/>
  <c r="M470" i="18"/>
  <c r="M471" i="18" s="1"/>
  <c r="O471" i="18" s="1"/>
  <c r="F471" i="18" s="1"/>
  <c r="G471" i="18" s="1"/>
  <c r="I470" i="18"/>
  <c r="I477" i="18" s="1"/>
  <c r="I480" i="18" s="1"/>
  <c r="I481" i="18" s="1"/>
  <c r="M465" i="18"/>
  <c r="M466" i="18" s="1"/>
  <c r="I465" i="18"/>
  <c r="I466" i="18" s="1"/>
  <c r="I467" i="18" s="1"/>
  <c r="O464" i="18"/>
  <c r="F464" i="18" s="1"/>
  <c r="M461" i="18"/>
  <c r="M462" i="18" s="1"/>
  <c r="O462" i="18" s="1"/>
  <c r="F462" i="18" s="1"/>
  <c r="G462" i="18" s="1"/>
  <c r="M452" i="18"/>
  <c r="M453" i="18" s="1"/>
  <c r="I452" i="18"/>
  <c r="I461" i="18" s="1"/>
  <c r="I462" i="18" s="1"/>
  <c r="I445" i="18"/>
  <c r="M445" i="18"/>
  <c r="O445" i="18" s="1"/>
  <c r="F445" i="18" s="1"/>
  <c r="G445" i="18" s="1"/>
  <c r="I444" i="18"/>
  <c r="I453" i="18" s="1"/>
  <c r="O443" i="18"/>
  <c r="F443" i="18" s="1"/>
  <c r="G443" i="18" s="1"/>
  <c r="M439" i="18"/>
  <c r="M430" i="18"/>
  <c r="M431" i="18" s="1"/>
  <c r="I430" i="18"/>
  <c r="I439" i="18" s="1"/>
  <c r="I440" i="18" s="1"/>
  <c r="M422" i="18"/>
  <c r="I422" i="18"/>
  <c r="I423" i="18" s="1"/>
  <c r="I432" i="18" s="1"/>
  <c r="O421" i="18"/>
  <c r="F421" i="18" s="1"/>
  <c r="H419" i="18"/>
  <c r="G419" i="18"/>
  <c r="I411" i="18"/>
  <c r="I412" i="18" s="1"/>
  <c r="I413" i="18" s="1"/>
  <c r="I414" i="18" s="1"/>
  <c r="I410" i="18"/>
  <c r="I409" i="18"/>
  <c r="I417" i="18" s="1"/>
  <c r="I418" i="18" s="1"/>
  <c r="I403" i="18"/>
  <c r="I404" i="18" s="1"/>
  <c r="I405" i="18" s="1"/>
  <c r="I406" i="18" s="1"/>
  <c r="M402" i="18"/>
  <c r="M403" i="18" s="1"/>
  <c r="I402" i="18"/>
  <c r="O401" i="18"/>
  <c r="F401" i="18" s="1"/>
  <c r="G401" i="18" s="1"/>
  <c r="H398" i="18"/>
  <c r="G398" i="18"/>
  <c r="I389" i="18"/>
  <c r="I390" i="18" s="1"/>
  <c r="I391" i="18" s="1"/>
  <c r="I392" i="18" s="1"/>
  <c r="I393" i="18" s="1"/>
  <c r="I388" i="18"/>
  <c r="I396" i="18" s="1"/>
  <c r="I397" i="18" s="1"/>
  <c r="I382" i="18"/>
  <c r="I383" i="18" s="1"/>
  <c r="I384" i="18" s="1"/>
  <c r="I385" i="18" s="1"/>
  <c r="M381" i="18"/>
  <c r="M382" i="18" s="1"/>
  <c r="I381" i="18"/>
  <c r="O380" i="18"/>
  <c r="F380" i="18" s="1"/>
  <c r="M376" i="18"/>
  <c r="M367" i="18"/>
  <c r="I367" i="18"/>
  <c r="I376" i="18" s="1"/>
  <c r="I377" i="18" s="1"/>
  <c r="M359" i="18"/>
  <c r="I359" i="18"/>
  <c r="I360" i="18" s="1"/>
  <c r="O358" i="18"/>
  <c r="F358" i="18" s="1"/>
  <c r="M354" i="18"/>
  <c r="M355" i="18" s="1"/>
  <c r="O355" i="18" s="1"/>
  <c r="F355" i="18" s="1"/>
  <c r="H355" i="18" s="1"/>
  <c r="I354" i="18"/>
  <c r="I355" i="18" s="1"/>
  <c r="M345" i="18"/>
  <c r="I345" i="18"/>
  <c r="M337" i="18"/>
  <c r="M338" i="18" s="1"/>
  <c r="I337" i="18"/>
  <c r="O336" i="18"/>
  <c r="F336" i="18" s="1"/>
  <c r="H336" i="18" s="1"/>
  <c r="M329" i="18"/>
  <c r="M332" i="18" s="1"/>
  <c r="I329" i="18"/>
  <c r="I332" i="18" s="1"/>
  <c r="I333" i="18" s="1"/>
  <c r="I323" i="18"/>
  <c r="I324" i="18" s="1"/>
  <c r="I325" i="18" s="1"/>
  <c r="I326" i="18" s="1"/>
  <c r="M322" i="18"/>
  <c r="I322" i="18"/>
  <c r="I318" i="18"/>
  <c r="I319" i="18" s="1"/>
  <c r="M317" i="18"/>
  <c r="M318" i="18" s="1"/>
  <c r="I317" i="18"/>
  <c r="O316" i="18"/>
  <c r="F316" i="18"/>
  <c r="G316" i="18" s="1"/>
  <c r="M312" i="18"/>
  <c r="I312" i="18"/>
  <c r="I313" i="18" s="1"/>
  <c r="M305" i="18"/>
  <c r="M306" i="18" s="1"/>
  <c r="M303" i="18"/>
  <c r="M304" i="18" s="1"/>
  <c r="O304" i="18" s="1"/>
  <c r="F304" i="18" s="1"/>
  <c r="G304" i="18" s="1"/>
  <c r="I303" i="18"/>
  <c r="M295" i="18"/>
  <c r="I295" i="18"/>
  <c r="I296" i="18" s="1"/>
  <c r="O294" i="18"/>
  <c r="F294" i="18" s="1"/>
  <c r="G294" i="18" s="1"/>
  <c r="I290" i="18"/>
  <c r="I291" i="18" s="1"/>
  <c r="I281" i="18"/>
  <c r="I273" i="18"/>
  <c r="M268" i="18"/>
  <c r="M269" i="18" s="1"/>
  <c r="O269" i="18" s="1"/>
  <c r="F269" i="18" s="1"/>
  <c r="G269" i="18" s="1"/>
  <c r="I260" i="18"/>
  <c r="M259" i="18"/>
  <c r="M260" i="18" s="1"/>
  <c r="I259" i="18"/>
  <c r="I268" i="18" s="1"/>
  <c r="I269" i="18" s="1"/>
  <c r="I252" i="18"/>
  <c r="M251" i="18"/>
  <c r="M252" i="18" s="1"/>
  <c r="O252" i="18" s="1"/>
  <c r="F252" i="18" s="1"/>
  <c r="G252" i="18" s="1"/>
  <c r="I251" i="18"/>
  <c r="O250" i="18"/>
  <c r="F250" i="18" s="1"/>
  <c r="H250" i="18" s="1"/>
  <c r="I246" i="18"/>
  <c r="I247" i="18" s="1"/>
  <c r="M243" i="18"/>
  <c r="M246" i="18" s="1"/>
  <c r="I243" i="18"/>
  <c r="I237" i="18"/>
  <c r="I238" i="18" s="1"/>
  <c r="I239" i="18" s="1"/>
  <c r="I240" i="18" s="1"/>
  <c r="M236" i="18"/>
  <c r="M237" i="18" s="1"/>
  <c r="I236" i="18"/>
  <c r="M232" i="18"/>
  <c r="M233" i="18" s="1"/>
  <c r="O233" i="18" s="1"/>
  <c r="F233" i="18" s="1"/>
  <c r="G233" i="18" s="1"/>
  <c r="O231" i="18"/>
  <c r="F231" i="18" s="1"/>
  <c r="G231" i="18" s="1"/>
  <c r="I231" i="18"/>
  <c r="I232" i="18" s="1"/>
  <c r="I233" i="18" s="1"/>
  <c r="O230" i="18"/>
  <c r="F230" i="18" s="1"/>
  <c r="G230" i="18" s="1"/>
  <c r="M216" i="18"/>
  <c r="I216" i="18"/>
  <c r="I217" i="18" s="1"/>
  <c r="I219" i="18" s="1"/>
  <c r="I220" i="18" s="1"/>
  <c r="M215" i="18"/>
  <c r="O215" i="18" s="1"/>
  <c r="F215" i="18" s="1"/>
  <c r="I215" i="18"/>
  <c r="I223" i="18" s="1"/>
  <c r="I226" i="18" s="1"/>
  <c r="I227" i="18" s="1"/>
  <c r="I212" i="18"/>
  <c r="M211" i="18"/>
  <c r="O211" i="18" s="1"/>
  <c r="F211" i="18" s="1"/>
  <c r="I210" i="18"/>
  <c r="I211" i="18" s="1"/>
  <c r="M209" i="18"/>
  <c r="M210" i="18" s="1"/>
  <c r="I209" i="18"/>
  <c r="O208" i="18"/>
  <c r="M223" i="18"/>
  <c r="F208" i="18"/>
  <c r="H208" i="18" s="1"/>
  <c r="M204" i="18"/>
  <c r="M205" i="18" s="1"/>
  <c r="O205" i="18" s="1"/>
  <c r="F205" i="18" s="1"/>
  <c r="G205" i="18" s="1"/>
  <c r="M195" i="18"/>
  <c r="M196" i="18" s="1"/>
  <c r="I195" i="18"/>
  <c r="I204" i="18" s="1"/>
  <c r="I205" i="18" s="1"/>
  <c r="I188" i="18"/>
  <c r="M187" i="18"/>
  <c r="M188" i="18" s="1"/>
  <c r="O188" i="18" s="1"/>
  <c r="F188" i="18" s="1"/>
  <c r="G188" i="18" s="1"/>
  <c r="I187" i="18"/>
  <c r="I196" i="18" s="1"/>
  <c r="O186" i="18"/>
  <c r="F186" i="18" s="1"/>
  <c r="H183" i="18"/>
  <c r="M182" i="18"/>
  <c r="M183" i="18" s="1"/>
  <c r="O183" i="18" s="1"/>
  <c r="F183" i="18" s="1"/>
  <c r="G183" i="18" s="1"/>
  <c r="I182" i="18"/>
  <c r="I183" i="18" s="1"/>
  <c r="O173" i="18"/>
  <c r="F173" i="18" s="1"/>
  <c r="H173" i="18" s="1"/>
  <c r="M173" i="18"/>
  <c r="M174" i="18" s="1"/>
  <c r="I173" i="18"/>
  <c r="M165" i="18"/>
  <c r="M166" i="18" s="1"/>
  <c r="O166" i="18" s="1"/>
  <c r="F166" i="18" s="1"/>
  <c r="G166" i="18" s="1"/>
  <c r="I165" i="18"/>
  <c r="I174" i="18" s="1"/>
  <c r="O164" i="18"/>
  <c r="F164" i="18" s="1"/>
  <c r="M157" i="18"/>
  <c r="M160" i="18" s="1"/>
  <c r="I151" i="18"/>
  <c r="I152" i="18" s="1"/>
  <c r="I153" i="18" s="1"/>
  <c r="I154" i="18" s="1"/>
  <c r="M150" i="18"/>
  <c r="O150" i="18" s="1"/>
  <c r="F150" i="18" s="1"/>
  <c r="G150" i="18" s="1"/>
  <c r="I150" i="18"/>
  <c r="I157" i="18" s="1"/>
  <c r="I160" i="18" s="1"/>
  <c r="I161" i="18" s="1"/>
  <c r="O145" i="18"/>
  <c r="F145" i="18" s="1"/>
  <c r="G145" i="18" s="1"/>
  <c r="M145" i="18"/>
  <c r="M146" i="18" s="1"/>
  <c r="M147" i="18" s="1"/>
  <c r="O147" i="18" s="1"/>
  <c r="F147" i="18" s="1"/>
  <c r="I145" i="18"/>
  <c r="I146" i="18" s="1"/>
  <c r="I147" i="18" s="1"/>
  <c r="O144" i="18"/>
  <c r="F144" i="18" s="1"/>
  <c r="G144" i="18" s="1"/>
  <c r="I137" i="18"/>
  <c r="I140" i="18" s="1"/>
  <c r="I141" i="18" s="1"/>
  <c r="I130" i="18"/>
  <c r="I131" i="18" s="1"/>
  <c r="I133" i="18" s="1"/>
  <c r="I134" i="18" s="1"/>
  <c r="M129" i="18"/>
  <c r="M130" i="18" s="1"/>
  <c r="I129" i="18"/>
  <c r="M123" i="18"/>
  <c r="M124" i="18" s="1"/>
  <c r="I123" i="18"/>
  <c r="I124" i="18" s="1"/>
  <c r="O122" i="18"/>
  <c r="F122" i="18" s="1"/>
  <c r="H122" i="18" s="1"/>
  <c r="M137" i="18"/>
  <c r="H119" i="18"/>
  <c r="G119" i="18"/>
  <c r="I110" i="18"/>
  <c r="I111" i="18" s="1"/>
  <c r="I112" i="18" s="1"/>
  <c r="I113" i="18" s="1"/>
  <c r="I114" i="18" s="1"/>
  <c r="I109" i="18"/>
  <c r="I117" i="18" s="1"/>
  <c r="I118" i="18" s="1"/>
  <c r="M102" i="18"/>
  <c r="M103" i="18" s="1"/>
  <c r="M104" i="18" s="1"/>
  <c r="O104" i="18" s="1"/>
  <c r="F104" i="18" s="1"/>
  <c r="G104" i="18" s="1"/>
  <c r="I102" i="18"/>
  <c r="I103" i="18" s="1"/>
  <c r="I104" i="18" s="1"/>
  <c r="I105" i="18" s="1"/>
  <c r="I106" i="18" s="1"/>
  <c r="O101" i="18"/>
  <c r="F101" i="18" s="1"/>
  <c r="G101" i="18" s="1"/>
  <c r="M98" i="18"/>
  <c r="O98" i="18" s="1"/>
  <c r="F98" i="18" s="1"/>
  <c r="M97" i="18"/>
  <c r="O97" i="18" s="1"/>
  <c r="F97" i="18" s="1"/>
  <c r="M88" i="18"/>
  <c r="M89" i="18" s="1"/>
  <c r="M90" i="18" s="1"/>
  <c r="I88" i="18"/>
  <c r="I97" i="18" s="1"/>
  <c r="I98" i="18" s="1"/>
  <c r="M80" i="18"/>
  <c r="M81" i="18" s="1"/>
  <c r="I80" i="18"/>
  <c r="I81" i="18" s="1"/>
  <c r="I82" i="18" s="1"/>
  <c r="O79" i="18"/>
  <c r="F79" i="18" s="1"/>
  <c r="H79" i="18" s="1"/>
  <c r="M75" i="18"/>
  <c r="M76" i="18" s="1"/>
  <c r="O76" i="18" s="1"/>
  <c r="F76" i="18" s="1"/>
  <c r="G76" i="18" s="1"/>
  <c r="M66" i="18"/>
  <c r="M67" i="18" s="1"/>
  <c r="I66" i="18"/>
  <c r="I75" i="18" s="1"/>
  <c r="I76" i="18" s="1"/>
  <c r="I59" i="18"/>
  <c r="M58" i="18"/>
  <c r="M59" i="18" s="1"/>
  <c r="O59" i="18" s="1"/>
  <c r="F59" i="18" s="1"/>
  <c r="G59" i="18" s="1"/>
  <c r="I58" i="18"/>
  <c r="I67" i="18" s="1"/>
  <c r="O57" i="18"/>
  <c r="F57" i="18" s="1"/>
  <c r="H57" i="18" s="1"/>
  <c r="M50" i="18"/>
  <c r="M53" i="18" s="1"/>
  <c r="I50" i="18"/>
  <c r="I53" i="18" s="1"/>
  <c r="I54" i="18" s="1"/>
  <c r="I44" i="18"/>
  <c r="I45" i="18" s="1"/>
  <c r="I46" i="18" s="1"/>
  <c r="I47" i="18" s="1"/>
  <c r="O43" i="18"/>
  <c r="F43" i="18" s="1"/>
  <c r="G43" i="18" s="1"/>
  <c r="M43" i="18"/>
  <c r="M44" i="18" s="1"/>
  <c r="I43" i="18"/>
  <c r="M39" i="18"/>
  <c r="M40" i="18" s="1"/>
  <c r="O40" i="18" s="1"/>
  <c r="F40" i="18" s="1"/>
  <c r="G40" i="18" s="1"/>
  <c r="O38" i="18"/>
  <c r="F38" i="18" s="1"/>
  <c r="I38" i="18"/>
  <c r="I39" i="18" s="1"/>
  <c r="I40" i="18" s="1"/>
  <c r="O37" i="18"/>
  <c r="F37" i="18" s="1"/>
  <c r="M33" i="18"/>
  <c r="M34" i="18" s="1"/>
  <c r="O34" i="18" s="1"/>
  <c r="F34" i="18" s="1"/>
  <c r="G34" i="18" s="1"/>
  <c r="M24" i="18"/>
  <c r="O24" i="18" s="1"/>
  <c r="F24" i="18" s="1"/>
  <c r="I24" i="18"/>
  <c r="I33" i="18" s="1"/>
  <c r="I34" i="18" s="1"/>
  <c r="M17" i="18"/>
  <c r="M18" i="18" s="1"/>
  <c r="O16" i="18"/>
  <c r="F16" i="18" s="1"/>
  <c r="M16" i="18"/>
  <c r="I16" i="18"/>
  <c r="I25" i="18" s="1"/>
  <c r="O15" i="18"/>
  <c r="F15" i="18" s="1"/>
  <c r="O557" i="19" l="1"/>
  <c r="F557" i="19" s="1"/>
  <c r="O582" i="19"/>
  <c r="F582" i="19" s="1"/>
  <c r="O582" i="18"/>
  <c r="F582" i="18" s="1"/>
  <c r="G582" i="18" s="1"/>
  <c r="G583" i="18" s="1"/>
  <c r="O557" i="18"/>
  <c r="F557" i="18" s="1"/>
  <c r="O570" i="18"/>
  <c r="F570" i="18" s="1"/>
  <c r="H570" i="18" s="1"/>
  <c r="H462" i="18"/>
  <c r="H567" i="18"/>
  <c r="I91" i="18"/>
  <c r="I83" i="18"/>
  <c r="I84" i="18" s="1"/>
  <c r="I93" i="18" s="1"/>
  <c r="I89" i="18"/>
  <c r="O80" i="18"/>
  <c r="F80" i="18" s="1"/>
  <c r="I17" i="18"/>
  <c r="I26" i="18" s="1"/>
  <c r="I551" i="18"/>
  <c r="I559" i="18"/>
  <c r="H484" i="19"/>
  <c r="G484" i="19"/>
  <c r="G53" i="19"/>
  <c r="G55" i="19" s="1"/>
  <c r="H53" i="19"/>
  <c r="H76" i="19"/>
  <c r="G76" i="19"/>
  <c r="I125" i="18"/>
  <c r="I126" i="18"/>
  <c r="G79" i="19"/>
  <c r="H79" i="19"/>
  <c r="G464" i="18"/>
  <c r="H464" i="18"/>
  <c r="O585" i="19"/>
  <c r="F585" i="19" s="1"/>
  <c r="H585" i="19" s="1"/>
  <c r="M586" i="19"/>
  <c r="O586" i="19" s="1"/>
  <c r="F586" i="19" s="1"/>
  <c r="G586" i="19" s="1"/>
  <c r="O91" i="19"/>
  <c r="F91" i="19" s="1"/>
  <c r="H91" i="19" s="1"/>
  <c r="O137" i="19"/>
  <c r="F137" i="19" s="1"/>
  <c r="I494" i="19"/>
  <c r="O39" i="18"/>
  <c r="F39" i="18" s="1"/>
  <c r="H39" i="18" s="1"/>
  <c r="O66" i="18"/>
  <c r="F66" i="18" s="1"/>
  <c r="H66" i="18" s="1"/>
  <c r="I558" i="18"/>
  <c r="G570" i="18"/>
  <c r="O92" i="19"/>
  <c r="F92" i="19" s="1"/>
  <c r="H92" i="19" s="1"/>
  <c r="H250" i="19"/>
  <c r="M502" i="19"/>
  <c r="O259" i="18"/>
  <c r="F259" i="18" s="1"/>
  <c r="O465" i="18"/>
  <c r="F465" i="18" s="1"/>
  <c r="G465" i="18" s="1"/>
  <c r="O59" i="19"/>
  <c r="F59" i="19" s="1"/>
  <c r="H59" i="19" s="1"/>
  <c r="I274" i="19"/>
  <c r="O329" i="19"/>
  <c r="F329" i="19" s="1"/>
  <c r="G329" i="19" s="1"/>
  <c r="G330" i="19" s="1"/>
  <c r="H358" i="19"/>
  <c r="O422" i="19"/>
  <c r="F422" i="19" s="1"/>
  <c r="G440" i="19"/>
  <c r="G506" i="19"/>
  <c r="O513" i="19"/>
  <c r="F513" i="19" s="1"/>
  <c r="G208" i="18"/>
  <c r="O61" i="19"/>
  <c r="F61" i="19" s="1"/>
  <c r="H61" i="19" s="1"/>
  <c r="I90" i="18"/>
  <c r="M151" i="18"/>
  <c r="M152" i="18" s="1"/>
  <c r="I166" i="18"/>
  <c r="O354" i="18"/>
  <c r="F354" i="18" s="1"/>
  <c r="H354" i="18" s="1"/>
  <c r="O535" i="18"/>
  <c r="F535" i="18" s="1"/>
  <c r="O39" i="19"/>
  <c r="F39" i="19" s="1"/>
  <c r="H39" i="19" s="1"/>
  <c r="M54" i="19"/>
  <c r="O54" i="19" s="1"/>
  <c r="F54" i="19" s="1"/>
  <c r="G54" i="19" s="1"/>
  <c r="O75" i="19"/>
  <c r="F75" i="19" s="1"/>
  <c r="G75" i="19" s="1"/>
  <c r="O88" i="19"/>
  <c r="F88" i="19" s="1"/>
  <c r="I252" i="19"/>
  <c r="I253" i="19" s="1"/>
  <c r="I262" i="19" s="1"/>
  <c r="O423" i="19"/>
  <c r="F423" i="19" s="1"/>
  <c r="O466" i="19"/>
  <c r="F466" i="19" s="1"/>
  <c r="O477" i="19"/>
  <c r="F477" i="19" s="1"/>
  <c r="H512" i="19"/>
  <c r="O544" i="19"/>
  <c r="F544" i="19" s="1"/>
  <c r="H544" i="19" s="1"/>
  <c r="H546" i="19" s="1"/>
  <c r="O570" i="19"/>
  <c r="F570" i="19" s="1"/>
  <c r="H570" i="19" s="1"/>
  <c r="I132" i="18"/>
  <c r="G173" i="18"/>
  <c r="I424" i="18"/>
  <c r="H470" i="19"/>
  <c r="G507" i="19"/>
  <c r="O493" i="19"/>
  <c r="F493" i="19" s="1"/>
  <c r="G493" i="19" s="1"/>
  <c r="I558" i="19"/>
  <c r="O383" i="19"/>
  <c r="F383" i="19" s="1"/>
  <c r="G384" i="19"/>
  <c r="M385" i="19"/>
  <c r="M388" i="19" s="1"/>
  <c r="M377" i="19"/>
  <c r="O377" i="19" s="1"/>
  <c r="F377" i="19" s="1"/>
  <c r="F378" i="19" s="1"/>
  <c r="M339" i="19"/>
  <c r="O338" i="19"/>
  <c r="F338" i="19" s="1"/>
  <c r="G354" i="19"/>
  <c r="H354" i="19"/>
  <c r="O337" i="19"/>
  <c r="F337" i="19" s="1"/>
  <c r="M346" i="19"/>
  <c r="G336" i="19"/>
  <c r="M355" i="19"/>
  <c r="O355" i="19" s="1"/>
  <c r="F355" i="19" s="1"/>
  <c r="O332" i="19"/>
  <c r="F332" i="19" s="1"/>
  <c r="M333" i="19"/>
  <c r="O333" i="19" s="1"/>
  <c r="F333" i="19" s="1"/>
  <c r="O318" i="19"/>
  <c r="F318" i="19" s="1"/>
  <c r="F320" i="19" s="1"/>
  <c r="H322" i="19"/>
  <c r="O317" i="19"/>
  <c r="F317" i="19" s="1"/>
  <c r="M323" i="19"/>
  <c r="O268" i="19"/>
  <c r="F268" i="19" s="1"/>
  <c r="O251" i="19"/>
  <c r="F251" i="19" s="1"/>
  <c r="M260" i="19"/>
  <c r="M247" i="19"/>
  <c r="O247" i="19" s="1"/>
  <c r="F247" i="19" s="1"/>
  <c r="O246" i="19"/>
  <c r="F246" i="19" s="1"/>
  <c r="G246" i="19" s="1"/>
  <c r="G243" i="19"/>
  <c r="G244" i="19" s="1"/>
  <c r="F244" i="19"/>
  <c r="H236" i="19"/>
  <c r="M237" i="19"/>
  <c r="O223" i="19"/>
  <c r="F223" i="19" s="1"/>
  <c r="F224" i="19" s="1"/>
  <c r="M167" i="19"/>
  <c r="O167" i="19" s="1"/>
  <c r="F167" i="19" s="1"/>
  <c r="O166" i="19"/>
  <c r="F166" i="19" s="1"/>
  <c r="H166" i="19" s="1"/>
  <c r="O182" i="19"/>
  <c r="F182" i="19" s="1"/>
  <c r="H182" i="19" s="1"/>
  <c r="H184" i="19" s="1"/>
  <c r="O165" i="19"/>
  <c r="F165" i="19" s="1"/>
  <c r="H165" i="19" s="1"/>
  <c r="M161" i="19"/>
  <c r="O161" i="19" s="1"/>
  <c r="F161" i="19" s="1"/>
  <c r="M513" i="18"/>
  <c r="M472" i="18"/>
  <c r="O472" i="18" s="1"/>
  <c r="F472" i="18" s="1"/>
  <c r="O470" i="18"/>
  <c r="F470" i="18" s="1"/>
  <c r="G470" i="18" s="1"/>
  <c r="M446" i="18"/>
  <c r="O444" i="18"/>
  <c r="F444" i="18" s="1"/>
  <c r="O452" i="18"/>
  <c r="F452" i="18" s="1"/>
  <c r="H445" i="18"/>
  <c r="O461" i="18"/>
  <c r="F461" i="18" s="1"/>
  <c r="G461" i="18" s="1"/>
  <c r="G463" i="18" s="1"/>
  <c r="O430" i="18"/>
  <c r="F430" i="18" s="1"/>
  <c r="O381" i="18"/>
  <c r="F381" i="18" s="1"/>
  <c r="M339" i="18"/>
  <c r="O338" i="18"/>
  <c r="F338" i="18" s="1"/>
  <c r="H338" i="18" s="1"/>
  <c r="H356" i="18"/>
  <c r="O337" i="18"/>
  <c r="F337" i="18" s="1"/>
  <c r="O332" i="18"/>
  <c r="F332" i="18" s="1"/>
  <c r="G332" i="18" s="1"/>
  <c r="G334" i="18" s="1"/>
  <c r="M333" i="18"/>
  <c r="O333" i="18" s="1"/>
  <c r="F333" i="18" s="1"/>
  <c r="O329" i="18"/>
  <c r="F329" i="18" s="1"/>
  <c r="O305" i="18"/>
  <c r="F305" i="18" s="1"/>
  <c r="H305" i="18" s="1"/>
  <c r="O303" i="18"/>
  <c r="F303" i="18" s="1"/>
  <c r="G303" i="18" s="1"/>
  <c r="H304" i="18"/>
  <c r="O236" i="18"/>
  <c r="F236" i="18" s="1"/>
  <c r="H230" i="18"/>
  <c r="H215" i="18"/>
  <c r="G215" i="18"/>
  <c r="O209" i="18"/>
  <c r="F209" i="18" s="1"/>
  <c r="G209" i="18" s="1"/>
  <c r="G186" i="18"/>
  <c r="H186" i="18"/>
  <c r="O195" i="18"/>
  <c r="F195" i="18" s="1"/>
  <c r="H164" i="18"/>
  <c r="G164" i="18"/>
  <c r="G147" i="18"/>
  <c r="H147" i="18"/>
  <c r="H145" i="18"/>
  <c r="H144" i="18"/>
  <c r="O129" i="18"/>
  <c r="F129" i="18" s="1"/>
  <c r="G129" i="18" s="1"/>
  <c r="G122" i="18"/>
  <c r="H101" i="18"/>
  <c r="O102" i="18"/>
  <c r="F102" i="18" s="1"/>
  <c r="G102" i="18" s="1"/>
  <c r="G97" i="18"/>
  <c r="H97" i="18"/>
  <c r="O90" i="18"/>
  <c r="F90" i="18" s="1"/>
  <c r="M91" i="18"/>
  <c r="M92" i="18" s="1"/>
  <c r="O92" i="18" s="1"/>
  <c r="F92" i="18" s="1"/>
  <c r="G92" i="18" s="1"/>
  <c r="G79" i="18"/>
  <c r="O88" i="18"/>
  <c r="F88" i="18" s="1"/>
  <c r="G88" i="18" s="1"/>
  <c r="M60" i="18"/>
  <c r="M61" i="18" s="1"/>
  <c r="O61" i="18" s="1"/>
  <c r="F61" i="18" s="1"/>
  <c r="G61" i="18" s="1"/>
  <c r="O75" i="18"/>
  <c r="F75" i="18" s="1"/>
  <c r="F77" i="18" s="1"/>
  <c r="H76" i="18"/>
  <c r="H59" i="18"/>
  <c r="H38" i="18"/>
  <c r="G38" i="18"/>
  <c r="H40" i="18"/>
  <c r="G37" i="18"/>
  <c r="H37" i="18"/>
  <c r="M25" i="18"/>
  <c r="O25" i="18" s="1"/>
  <c r="F25" i="18" s="1"/>
  <c r="H25" i="18" s="1"/>
  <c r="M20" i="19"/>
  <c r="O19" i="19"/>
  <c r="F19" i="19" s="1"/>
  <c r="H94" i="19"/>
  <c r="G94" i="19"/>
  <c r="G98" i="19"/>
  <c r="H98" i="19"/>
  <c r="O109" i="19"/>
  <c r="F109" i="19" s="1"/>
  <c r="M110" i="19"/>
  <c r="I125" i="19"/>
  <c r="I126" i="19"/>
  <c r="G82" i="19"/>
  <c r="H82" i="19"/>
  <c r="G38" i="19"/>
  <c r="H38" i="19"/>
  <c r="H63" i="19"/>
  <c r="G63" i="19"/>
  <c r="G83" i="19"/>
  <c r="H83" i="19"/>
  <c r="G16" i="19"/>
  <c r="I59" i="19"/>
  <c r="H88" i="19"/>
  <c r="I175" i="19"/>
  <c r="I167" i="19"/>
  <c r="O17" i="19"/>
  <c r="F17" i="19" s="1"/>
  <c r="O18" i="19"/>
  <c r="F18" i="19" s="1"/>
  <c r="M25" i="19"/>
  <c r="H43" i="19"/>
  <c r="O60" i="19"/>
  <c r="F60" i="19" s="1"/>
  <c r="H66" i="19"/>
  <c r="H67" i="19"/>
  <c r="M68" i="19"/>
  <c r="H80" i="19"/>
  <c r="H81" i="19"/>
  <c r="G88" i="19"/>
  <c r="I90" i="19"/>
  <c r="H97" i="19"/>
  <c r="H99" i="19" s="1"/>
  <c r="H101" i="19"/>
  <c r="O106" i="19"/>
  <c r="F106" i="19" s="1"/>
  <c r="M141" i="19"/>
  <c r="O141" i="19" s="1"/>
  <c r="F141" i="19" s="1"/>
  <c r="O140" i="19"/>
  <c r="F140" i="19" s="1"/>
  <c r="H129" i="19"/>
  <c r="H144" i="19"/>
  <c r="G144" i="19"/>
  <c r="G160" i="19"/>
  <c r="F162" i="19"/>
  <c r="H160" i="19"/>
  <c r="G209" i="19"/>
  <c r="H209" i="19"/>
  <c r="F138" i="19"/>
  <c r="H137" i="19"/>
  <c r="H138" i="19" s="1"/>
  <c r="H33" i="19"/>
  <c r="H35" i="19" s="1"/>
  <c r="F35" i="19"/>
  <c r="H57" i="19"/>
  <c r="G61" i="19"/>
  <c r="O90" i="19"/>
  <c r="F90" i="19" s="1"/>
  <c r="I93" i="19"/>
  <c r="F99" i="19"/>
  <c r="G102" i="19"/>
  <c r="O105" i="19"/>
  <c r="F105" i="19" s="1"/>
  <c r="G137" i="19"/>
  <c r="G138" i="19" s="1"/>
  <c r="H161" i="19"/>
  <c r="G161" i="19"/>
  <c r="O174" i="19"/>
  <c r="F174" i="19" s="1"/>
  <c r="M175" i="19"/>
  <c r="H230" i="19"/>
  <c r="G230" i="19"/>
  <c r="F41" i="19"/>
  <c r="G37" i="19"/>
  <c r="G99" i="19"/>
  <c r="O103" i="19"/>
  <c r="F103" i="19" s="1"/>
  <c r="H145" i="19"/>
  <c r="G145" i="19"/>
  <c r="F158" i="19"/>
  <c r="H157" i="19"/>
  <c r="H158" i="19" s="1"/>
  <c r="G157" i="19"/>
  <c r="G158" i="19" s="1"/>
  <c r="I17" i="19"/>
  <c r="H24" i="19"/>
  <c r="G33" i="19"/>
  <c r="G34" i="19"/>
  <c r="G40" i="19"/>
  <c r="M44" i="19"/>
  <c r="F51" i="19"/>
  <c r="H50" i="19"/>
  <c r="H51" i="19" s="1"/>
  <c r="G58" i="19"/>
  <c r="O62" i="19"/>
  <c r="F62" i="19" s="1"/>
  <c r="H75" i="19"/>
  <c r="H77" i="19" s="1"/>
  <c r="F77" i="19"/>
  <c r="M84" i="19"/>
  <c r="O89" i="19"/>
  <c r="F89" i="19" s="1"/>
  <c r="G91" i="19"/>
  <c r="I92" i="19"/>
  <c r="O93" i="19"/>
  <c r="F93" i="19" s="1"/>
  <c r="O104" i="19"/>
  <c r="F104" i="19" s="1"/>
  <c r="G122" i="19"/>
  <c r="M130" i="19"/>
  <c r="M147" i="19"/>
  <c r="O147" i="19" s="1"/>
  <c r="F147" i="19" s="1"/>
  <c r="O146" i="19"/>
  <c r="F146" i="19" s="1"/>
  <c r="O151" i="19"/>
  <c r="F151" i="19" s="1"/>
  <c r="M152" i="19"/>
  <c r="H164" i="19"/>
  <c r="G164" i="19"/>
  <c r="M168" i="19"/>
  <c r="H183" i="19"/>
  <c r="G183" i="19"/>
  <c r="G195" i="19"/>
  <c r="H195" i="19"/>
  <c r="I211" i="19"/>
  <c r="I212" i="19"/>
  <c r="H223" i="19"/>
  <c r="H224" i="19" s="1"/>
  <c r="G223" i="19"/>
  <c r="G224" i="19" s="1"/>
  <c r="M211" i="19"/>
  <c r="O211" i="19" s="1"/>
  <c r="F211" i="19" s="1"/>
  <c r="M212" i="19"/>
  <c r="O212" i="19" s="1"/>
  <c r="F212" i="19" s="1"/>
  <c r="O210" i="19"/>
  <c r="F210" i="19" s="1"/>
  <c r="O215" i="19"/>
  <c r="F215" i="19" s="1"/>
  <c r="M216" i="19"/>
  <c r="M232" i="19"/>
  <c r="O231" i="19"/>
  <c r="F231" i="19" s="1"/>
  <c r="H269" i="19"/>
  <c r="G269" i="19"/>
  <c r="I305" i="19"/>
  <c r="I297" i="19"/>
  <c r="H377" i="19"/>
  <c r="G377" i="19"/>
  <c r="H421" i="19"/>
  <c r="G421" i="19"/>
  <c r="M123" i="19"/>
  <c r="I132" i="19"/>
  <c r="O150" i="19"/>
  <c r="F150" i="19" s="1"/>
  <c r="O173" i="19"/>
  <c r="F173" i="19" s="1"/>
  <c r="I174" i="19"/>
  <c r="I346" i="19"/>
  <c r="I338" i="19"/>
  <c r="H338" i="19"/>
  <c r="G338" i="19"/>
  <c r="G345" i="19"/>
  <c r="H345" i="19"/>
  <c r="M204" i="19"/>
  <c r="M187" i="19"/>
  <c r="I188" i="19"/>
  <c r="G208" i="19"/>
  <c r="G226" i="19"/>
  <c r="M312" i="19"/>
  <c r="M303" i="19"/>
  <c r="M295" i="19"/>
  <c r="O294" i="19"/>
  <c r="F294" i="19" s="1"/>
  <c r="H332" i="19"/>
  <c r="F334" i="19"/>
  <c r="G333" i="19"/>
  <c r="H333" i="19"/>
  <c r="G376" i="19"/>
  <c r="H376" i="19"/>
  <c r="H453" i="19"/>
  <c r="G453" i="19"/>
  <c r="O186" i="19"/>
  <c r="F186" i="19" s="1"/>
  <c r="M196" i="19"/>
  <c r="H226" i="19"/>
  <c r="M227" i="19"/>
  <c r="O227" i="19" s="1"/>
  <c r="F227" i="19" s="1"/>
  <c r="F228" i="19" s="1"/>
  <c r="G259" i="19"/>
  <c r="F270" i="19"/>
  <c r="H319" i="19"/>
  <c r="G319" i="19"/>
  <c r="G332" i="19"/>
  <c r="O359" i="19"/>
  <c r="F359" i="19" s="1"/>
  <c r="M360" i="19"/>
  <c r="H383" i="19"/>
  <c r="G383" i="19"/>
  <c r="M253" i="19"/>
  <c r="O252" i="19"/>
  <c r="F252" i="19" s="1"/>
  <c r="M290" i="19"/>
  <c r="M273" i="19"/>
  <c r="M281" i="19"/>
  <c r="O272" i="19"/>
  <c r="F272" i="19" s="1"/>
  <c r="M370" i="19"/>
  <c r="O369" i="19"/>
  <c r="F369" i="19" s="1"/>
  <c r="G401" i="19"/>
  <c r="H401" i="19"/>
  <c r="H380" i="19"/>
  <c r="G402" i="19"/>
  <c r="H402" i="19"/>
  <c r="I423" i="19"/>
  <c r="I431" i="19"/>
  <c r="H316" i="19"/>
  <c r="F330" i="19"/>
  <c r="H329" i="19"/>
  <c r="H330" i="19" s="1"/>
  <c r="I360" i="19"/>
  <c r="I368" i="19"/>
  <c r="O403" i="19"/>
  <c r="F403" i="19" s="1"/>
  <c r="M404" i="19"/>
  <c r="I455" i="19"/>
  <c r="I447" i="19"/>
  <c r="M425" i="19"/>
  <c r="O424" i="19"/>
  <c r="F424" i="19" s="1"/>
  <c r="M431" i="19"/>
  <c r="O430" i="19"/>
  <c r="F430" i="19" s="1"/>
  <c r="H443" i="19"/>
  <c r="G443" i="19"/>
  <c r="M445" i="19"/>
  <c r="O444" i="19"/>
  <c r="F444" i="19" s="1"/>
  <c r="H462" i="19"/>
  <c r="H463" i="19" s="1"/>
  <c r="G462" i="19"/>
  <c r="F478" i="19"/>
  <c r="H477" i="19"/>
  <c r="H478" i="19" s="1"/>
  <c r="G477" i="19"/>
  <c r="G478" i="19" s="1"/>
  <c r="H509" i="19"/>
  <c r="G509" i="19"/>
  <c r="H367" i="19"/>
  <c r="O368" i="19"/>
  <c r="F368" i="19" s="1"/>
  <c r="O381" i="19"/>
  <c r="F381" i="19" s="1"/>
  <c r="O382" i="19"/>
  <c r="F382" i="19" s="1"/>
  <c r="H422" i="19"/>
  <c r="G422" i="19"/>
  <c r="H439" i="19"/>
  <c r="H441" i="19" s="1"/>
  <c r="G439" i="19"/>
  <c r="G441" i="19" s="1"/>
  <c r="F441" i="19"/>
  <c r="M472" i="19"/>
  <c r="O471" i="19"/>
  <c r="F471" i="19" s="1"/>
  <c r="M572" i="19"/>
  <c r="O572" i="19" s="1"/>
  <c r="F572" i="19" s="1"/>
  <c r="O571" i="19"/>
  <c r="F571" i="19" s="1"/>
  <c r="I454" i="19"/>
  <c r="H467" i="19"/>
  <c r="G467" i="19"/>
  <c r="M503" i="19"/>
  <c r="O503" i="19" s="1"/>
  <c r="F503" i="19" s="1"/>
  <c r="O502" i="19"/>
  <c r="F502" i="19" s="1"/>
  <c r="O514" i="19"/>
  <c r="F514" i="19" s="1"/>
  <c r="M515" i="19"/>
  <c r="H523" i="19"/>
  <c r="H524" i="19" s="1"/>
  <c r="G523" i="19"/>
  <c r="M455" i="19"/>
  <c r="O454" i="19"/>
  <c r="F454" i="19" s="1"/>
  <c r="M481" i="19"/>
  <c r="O481" i="19" s="1"/>
  <c r="F481" i="19" s="1"/>
  <c r="O480" i="19"/>
  <c r="F480" i="19" s="1"/>
  <c r="I487" i="19"/>
  <c r="I495" i="19"/>
  <c r="H586" i="19"/>
  <c r="H587" i="19" s="1"/>
  <c r="G461" i="19"/>
  <c r="F463" i="19"/>
  <c r="F468" i="19"/>
  <c r="H464" i="19"/>
  <c r="G464" i="19"/>
  <c r="M495" i="19"/>
  <c r="O494" i="19"/>
  <c r="F494" i="19" s="1"/>
  <c r="M486" i="19"/>
  <c r="O485" i="19"/>
  <c r="F485" i="19" s="1"/>
  <c r="H528" i="19"/>
  <c r="G528" i="19"/>
  <c r="H527" i="19"/>
  <c r="G527" i="19"/>
  <c r="M536" i="19"/>
  <c r="O535" i="19"/>
  <c r="F535" i="19" s="1"/>
  <c r="I551" i="19"/>
  <c r="I559" i="19"/>
  <c r="M559" i="19"/>
  <c r="O558" i="19"/>
  <c r="F558" i="19" s="1"/>
  <c r="M567" i="19"/>
  <c r="O567" i="19" s="1"/>
  <c r="F567" i="19" s="1"/>
  <c r="O566" i="19"/>
  <c r="F566" i="19" s="1"/>
  <c r="H569" i="19"/>
  <c r="G585" i="19"/>
  <c r="O452" i="19"/>
  <c r="F452" i="19" s="1"/>
  <c r="O465" i="19"/>
  <c r="F465" i="19" s="1"/>
  <c r="O508" i="19"/>
  <c r="F508" i="19" s="1"/>
  <c r="G522" i="19"/>
  <c r="G524" i="19" s="1"/>
  <c r="F524" i="19"/>
  <c r="H526" i="19"/>
  <c r="G526" i="19"/>
  <c r="H548" i="19"/>
  <c r="G548" i="19"/>
  <c r="M550" i="19"/>
  <c r="O549" i="19"/>
  <c r="F549" i="19" s="1"/>
  <c r="H557" i="19"/>
  <c r="G570" i="19"/>
  <c r="F583" i="19"/>
  <c r="H582" i="19"/>
  <c r="H583" i="19" s="1"/>
  <c r="G582" i="19"/>
  <c r="G583" i="19" s="1"/>
  <c r="F510" i="19"/>
  <c r="F520" i="19"/>
  <c r="H519" i="19"/>
  <c r="H520" i="19" s="1"/>
  <c r="G519" i="19"/>
  <c r="G520" i="19" s="1"/>
  <c r="I528" i="19"/>
  <c r="I536" i="19"/>
  <c r="M530" i="19"/>
  <c r="O529" i="19"/>
  <c r="F529" i="19" s="1"/>
  <c r="G545" i="19"/>
  <c r="G557" i="19"/>
  <c r="M576" i="19"/>
  <c r="O575" i="19"/>
  <c r="F575" i="19" s="1"/>
  <c r="G24" i="18"/>
  <c r="H24" i="18"/>
  <c r="H430" i="18"/>
  <c r="G430" i="18"/>
  <c r="M161" i="18"/>
  <c r="O161" i="18" s="1"/>
  <c r="F161" i="18" s="1"/>
  <c r="O160" i="18"/>
  <c r="F160" i="18" s="1"/>
  <c r="O18" i="18"/>
  <c r="F18" i="18" s="1"/>
  <c r="M19" i="18"/>
  <c r="H211" i="18"/>
  <c r="G211" i="18"/>
  <c r="H16" i="18"/>
  <c r="G16" i="18"/>
  <c r="H209" i="18"/>
  <c r="H15" i="18"/>
  <c r="G15" i="18"/>
  <c r="M54" i="18"/>
  <c r="O54" i="18" s="1"/>
  <c r="F54" i="18" s="1"/>
  <c r="O53" i="18"/>
  <c r="F53" i="18" s="1"/>
  <c r="H75" i="18"/>
  <c r="M247" i="18"/>
  <c r="O247" i="18" s="1"/>
  <c r="F247" i="18" s="1"/>
  <c r="O246" i="18"/>
  <c r="F246" i="18" s="1"/>
  <c r="M45" i="18"/>
  <c r="O44" i="18"/>
  <c r="F44" i="18" s="1"/>
  <c r="O124" i="18"/>
  <c r="F124" i="18" s="1"/>
  <c r="M126" i="18"/>
  <c r="O126" i="18" s="1"/>
  <c r="F126" i="18" s="1"/>
  <c r="M290" i="18"/>
  <c r="M273" i="18"/>
  <c r="O272" i="18"/>
  <c r="F272" i="18" s="1"/>
  <c r="G305" i="18"/>
  <c r="M313" i="18"/>
  <c r="O313" i="18" s="1"/>
  <c r="F313" i="18" s="1"/>
  <c r="O312" i="18"/>
  <c r="F312" i="18" s="1"/>
  <c r="I446" i="18"/>
  <c r="I454" i="18"/>
  <c r="M480" i="18"/>
  <c r="O477" i="18"/>
  <c r="F477" i="18" s="1"/>
  <c r="G57" i="18"/>
  <c r="O60" i="18"/>
  <c r="F60" i="18" s="1"/>
  <c r="O123" i="18"/>
  <c r="F123" i="18" s="1"/>
  <c r="M197" i="18"/>
  <c r="O196" i="18"/>
  <c r="F196" i="18" s="1"/>
  <c r="O243" i="18"/>
  <c r="F243" i="18" s="1"/>
  <c r="O251" i="18"/>
  <c r="F251" i="18" s="1"/>
  <c r="M261" i="18"/>
  <c r="O260" i="18"/>
  <c r="F260" i="18" s="1"/>
  <c r="O317" i="18"/>
  <c r="F317" i="18" s="1"/>
  <c r="F320" i="18" s="1"/>
  <c r="I338" i="18"/>
  <c r="I346" i="18"/>
  <c r="G355" i="18"/>
  <c r="M377" i="18"/>
  <c r="O377" i="18" s="1"/>
  <c r="F377" i="18" s="1"/>
  <c r="O376" i="18"/>
  <c r="F376" i="18" s="1"/>
  <c r="O403" i="18"/>
  <c r="F403" i="18" s="1"/>
  <c r="M404" i="18"/>
  <c r="M423" i="18"/>
  <c r="O422" i="18"/>
  <c r="F422" i="18" s="1"/>
  <c r="H484" i="18"/>
  <c r="G484" i="18"/>
  <c r="F520" i="18"/>
  <c r="H519" i="18"/>
  <c r="H520" i="18" s="1"/>
  <c r="G519" i="18"/>
  <c r="G520" i="18" s="1"/>
  <c r="H557" i="18"/>
  <c r="G557" i="18"/>
  <c r="O17" i="18"/>
  <c r="F17" i="18" s="1"/>
  <c r="O33" i="18"/>
  <c r="F33" i="18" s="1"/>
  <c r="H43" i="18"/>
  <c r="H61" i="18"/>
  <c r="M62" i="18"/>
  <c r="O103" i="18"/>
  <c r="F103" i="18" s="1"/>
  <c r="M125" i="18"/>
  <c r="O125" i="18" s="1"/>
  <c r="F125" i="18" s="1"/>
  <c r="O157" i="18"/>
  <c r="F157" i="18" s="1"/>
  <c r="O165" i="18"/>
  <c r="F165" i="18" s="1"/>
  <c r="M175" i="18"/>
  <c r="O174" i="18"/>
  <c r="F174" i="18" s="1"/>
  <c r="H188" i="18"/>
  <c r="M189" i="18"/>
  <c r="O204" i="18"/>
  <c r="F204" i="18" s="1"/>
  <c r="M226" i="18"/>
  <c r="O223" i="18"/>
  <c r="F223" i="18" s="1"/>
  <c r="M217" i="18"/>
  <c r="O216" i="18"/>
  <c r="F216" i="18" s="1"/>
  <c r="O232" i="18"/>
  <c r="F232" i="18" s="1"/>
  <c r="M238" i="18"/>
  <c r="O237" i="18"/>
  <c r="F237" i="18" s="1"/>
  <c r="H252" i="18"/>
  <c r="M253" i="18"/>
  <c r="O268" i="18"/>
  <c r="F268" i="18" s="1"/>
  <c r="I274" i="18"/>
  <c r="I282" i="18"/>
  <c r="M281" i="18"/>
  <c r="I305" i="18"/>
  <c r="I297" i="18"/>
  <c r="I304" i="18"/>
  <c r="M368" i="18"/>
  <c r="O367" i="18"/>
  <c r="F367" i="18" s="1"/>
  <c r="O402" i="18"/>
  <c r="F402" i="18" s="1"/>
  <c r="H421" i="18"/>
  <c r="G421" i="18"/>
  <c r="M82" i="18"/>
  <c r="O81" i="18"/>
  <c r="F81" i="18" s="1"/>
  <c r="H98" i="18"/>
  <c r="H99" i="18" s="1"/>
  <c r="G98" i="18"/>
  <c r="I167" i="18"/>
  <c r="I175" i="18"/>
  <c r="O318" i="18"/>
  <c r="F318" i="18" s="1"/>
  <c r="M319" i="18"/>
  <c r="O319" i="18" s="1"/>
  <c r="F319" i="18" s="1"/>
  <c r="M360" i="18"/>
  <c r="O359" i="18"/>
  <c r="F359" i="18" s="1"/>
  <c r="I60" i="18"/>
  <c r="I68" i="18"/>
  <c r="H129" i="18"/>
  <c r="H150" i="18"/>
  <c r="O187" i="18"/>
  <c r="F187" i="18" s="1"/>
  <c r="H294" i="18"/>
  <c r="H358" i="18"/>
  <c r="G358" i="18"/>
  <c r="M447" i="18"/>
  <c r="O446" i="18"/>
  <c r="F446" i="18" s="1"/>
  <c r="H465" i="18"/>
  <c r="I488" i="18"/>
  <c r="I496" i="18"/>
  <c r="I18" i="18"/>
  <c r="H34" i="18"/>
  <c r="F41" i="18"/>
  <c r="O50" i="18"/>
  <c r="F50" i="18" s="1"/>
  <c r="O58" i="18"/>
  <c r="F58" i="18" s="1"/>
  <c r="M68" i="18"/>
  <c r="O67" i="18"/>
  <c r="F67" i="18" s="1"/>
  <c r="H88" i="18"/>
  <c r="O89" i="18"/>
  <c r="F89" i="18" s="1"/>
  <c r="I92" i="18"/>
  <c r="F99" i="18"/>
  <c r="H104" i="18"/>
  <c r="M105" i="18"/>
  <c r="M140" i="18"/>
  <c r="O137" i="18"/>
  <c r="F137" i="18" s="1"/>
  <c r="M131" i="18"/>
  <c r="O130" i="18"/>
  <c r="F130" i="18" s="1"/>
  <c r="O146" i="18"/>
  <c r="F146" i="18" s="1"/>
  <c r="O151" i="18"/>
  <c r="F151" i="18" s="1"/>
  <c r="H166" i="18"/>
  <c r="M167" i="18"/>
  <c r="O182" i="18"/>
  <c r="F182" i="18" s="1"/>
  <c r="I189" i="18"/>
  <c r="I197" i="18"/>
  <c r="H205" i="18"/>
  <c r="O210" i="18"/>
  <c r="F210" i="18" s="1"/>
  <c r="M212" i="18"/>
  <c r="O212" i="18" s="1"/>
  <c r="F212" i="18" s="1"/>
  <c r="I218" i="18"/>
  <c r="H231" i="18"/>
  <c r="H233" i="18"/>
  <c r="G250" i="18"/>
  <c r="I253" i="18"/>
  <c r="I261" i="18"/>
  <c r="H269" i="18"/>
  <c r="O306" i="18"/>
  <c r="F306" i="18" s="1"/>
  <c r="M307" i="18"/>
  <c r="H333" i="18"/>
  <c r="G333" i="18"/>
  <c r="I369" i="18"/>
  <c r="I361" i="18"/>
  <c r="I368" i="18"/>
  <c r="G380" i="18"/>
  <c r="H380" i="18"/>
  <c r="G545" i="18"/>
  <c r="H545" i="18"/>
  <c r="M296" i="18"/>
  <c r="O295" i="18"/>
  <c r="F295" i="18" s="1"/>
  <c r="H316" i="18"/>
  <c r="H303" i="18"/>
  <c r="M323" i="18"/>
  <c r="O322" i="18"/>
  <c r="F322" i="18" s="1"/>
  <c r="G336" i="18"/>
  <c r="M346" i="18"/>
  <c r="O345" i="18"/>
  <c r="F345" i="18" s="1"/>
  <c r="G354" i="18"/>
  <c r="F356" i="18"/>
  <c r="M383" i="18"/>
  <c r="O382" i="18"/>
  <c r="F382" i="18" s="1"/>
  <c r="O431" i="18"/>
  <c r="F431" i="18" s="1"/>
  <c r="M432" i="18"/>
  <c r="H443" i="18"/>
  <c r="F463" i="18"/>
  <c r="H470" i="18"/>
  <c r="M473" i="18"/>
  <c r="M494" i="18"/>
  <c r="O493" i="18"/>
  <c r="F493" i="18" s="1"/>
  <c r="H506" i="18"/>
  <c r="G506" i="18"/>
  <c r="H512" i="18"/>
  <c r="G512" i="18"/>
  <c r="I536" i="18"/>
  <c r="I528" i="18"/>
  <c r="G572" i="18"/>
  <c r="H572" i="18"/>
  <c r="H401" i="18"/>
  <c r="M508" i="18"/>
  <c r="O507" i="18"/>
  <c r="F507" i="18" s="1"/>
  <c r="O536" i="18"/>
  <c r="F536" i="18" s="1"/>
  <c r="M537" i="18"/>
  <c r="O576" i="18"/>
  <c r="F576" i="18" s="1"/>
  <c r="M577" i="18"/>
  <c r="I431" i="18"/>
  <c r="M440" i="18"/>
  <c r="O440" i="18" s="1"/>
  <c r="F440" i="18" s="1"/>
  <c r="O439" i="18"/>
  <c r="F439" i="18" s="1"/>
  <c r="M454" i="18"/>
  <c r="O453" i="18"/>
  <c r="F453" i="18" s="1"/>
  <c r="M467" i="18"/>
  <c r="O467" i="18" s="1"/>
  <c r="F467" i="18" s="1"/>
  <c r="O466" i="18"/>
  <c r="F466" i="18" s="1"/>
  <c r="M502" i="18"/>
  <c r="M485" i="18"/>
  <c r="O513" i="18"/>
  <c r="F513" i="18" s="1"/>
  <c r="M514" i="18"/>
  <c r="H526" i="18"/>
  <c r="G526" i="18"/>
  <c r="M528" i="18"/>
  <c r="O527" i="18"/>
  <c r="F527" i="18" s="1"/>
  <c r="O550" i="18"/>
  <c r="F550" i="18" s="1"/>
  <c r="M551" i="18"/>
  <c r="O522" i="18"/>
  <c r="F522" i="18" s="1"/>
  <c r="M523" i="18"/>
  <c r="O523" i="18" s="1"/>
  <c r="F523" i="18" s="1"/>
  <c r="M559" i="18"/>
  <c r="O558" i="18"/>
  <c r="F558" i="18" s="1"/>
  <c r="H569" i="18"/>
  <c r="G569" i="18"/>
  <c r="G585" i="18"/>
  <c r="H585" i="18"/>
  <c r="M586" i="18"/>
  <c r="O586" i="18" s="1"/>
  <c r="F586" i="18" s="1"/>
  <c r="F587" i="18" s="1"/>
  <c r="O544" i="18"/>
  <c r="F544" i="18" s="1"/>
  <c r="G548" i="18"/>
  <c r="O549" i="18"/>
  <c r="F549" i="18" s="1"/>
  <c r="O566" i="18"/>
  <c r="F566" i="18" s="1"/>
  <c r="O571" i="18"/>
  <c r="F571" i="18" s="1"/>
  <c r="O575" i="18"/>
  <c r="F575" i="18" s="1"/>
  <c r="F583" i="18"/>
  <c r="H582" i="18"/>
  <c r="H583" i="18" s="1"/>
  <c r="H461" i="18" l="1"/>
  <c r="H463" i="18" s="1"/>
  <c r="H77" i="18"/>
  <c r="I85" i="18"/>
  <c r="I94" i="18" s="1"/>
  <c r="G66" i="18"/>
  <c r="H80" i="18"/>
  <c r="G80" i="18"/>
  <c r="H41" i="18"/>
  <c r="G99" i="18"/>
  <c r="H102" i="18"/>
  <c r="O91" i="18"/>
  <c r="F91" i="18" s="1"/>
  <c r="G75" i="18"/>
  <c r="G77" i="18" s="1"/>
  <c r="H493" i="19"/>
  <c r="F107" i="19"/>
  <c r="G165" i="19"/>
  <c r="G587" i="19"/>
  <c r="G59" i="19"/>
  <c r="F55" i="19"/>
  <c r="G92" i="19"/>
  <c r="G77" i="19"/>
  <c r="I275" i="19"/>
  <c r="I283" i="19"/>
  <c r="F468" i="18"/>
  <c r="G39" i="18"/>
  <c r="G41" i="18" s="1"/>
  <c r="F546" i="19"/>
  <c r="I261" i="19"/>
  <c r="F248" i="19"/>
  <c r="H535" i="18"/>
  <c r="G535" i="18"/>
  <c r="H259" i="18"/>
  <c r="G259" i="18"/>
  <c r="H513" i="19"/>
  <c r="G513" i="19"/>
  <c r="M26" i="18"/>
  <c r="M27" i="18" s="1"/>
  <c r="G25" i="18"/>
  <c r="G544" i="19"/>
  <c r="G546" i="19" s="1"/>
  <c r="G463" i="19"/>
  <c r="I254" i="19"/>
  <c r="H246" i="19"/>
  <c r="H41" i="19"/>
  <c r="H466" i="19"/>
  <c r="G466" i="19"/>
  <c r="F587" i="19"/>
  <c r="G39" i="19"/>
  <c r="G41" i="19" s="1"/>
  <c r="H54" i="19"/>
  <c r="H55" i="19" s="1"/>
  <c r="I425" i="18"/>
  <c r="I433" i="18"/>
  <c r="H423" i="19"/>
  <c r="G423" i="19"/>
  <c r="I552" i="18"/>
  <c r="I560" i="18"/>
  <c r="O385" i="19"/>
  <c r="F385" i="19" s="1"/>
  <c r="F386" i="19" s="1"/>
  <c r="H378" i="19"/>
  <c r="H355" i="19"/>
  <c r="H356" i="19" s="1"/>
  <c r="G355" i="19"/>
  <c r="G356" i="19" s="1"/>
  <c r="F356" i="19"/>
  <c r="O346" i="19"/>
  <c r="F346" i="19" s="1"/>
  <c r="M347" i="19"/>
  <c r="H337" i="19"/>
  <c r="G337" i="19"/>
  <c r="M340" i="19"/>
  <c r="O339" i="19"/>
  <c r="F339" i="19" s="1"/>
  <c r="M324" i="19"/>
  <c r="O323" i="19"/>
  <c r="F323" i="19" s="1"/>
  <c r="G318" i="19"/>
  <c r="H318" i="19"/>
  <c r="G334" i="19"/>
  <c r="H317" i="19"/>
  <c r="H320" i="19" s="1"/>
  <c r="G317" i="19"/>
  <c r="G320" i="19" s="1"/>
  <c r="M261" i="19"/>
  <c r="O260" i="19"/>
  <c r="F260" i="19" s="1"/>
  <c r="H251" i="19"/>
  <c r="G251" i="19"/>
  <c r="H268" i="19"/>
  <c r="H270" i="19" s="1"/>
  <c r="G268" i="19"/>
  <c r="G270" i="19" s="1"/>
  <c r="M238" i="19"/>
  <c r="O237" i="19"/>
  <c r="F237" i="19" s="1"/>
  <c r="H248" i="19"/>
  <c r="G247" i="19"/>
  <c r="G248" i="19" s="1"/>
  <c r="H247" i="19"/>
  <c r="F184" i="19"/>
  <c r="G166" i="19"/>
  <c r="G182" i="19"/>
  <c r="G184" i="19" s="1"/>
  <c r="G596" i="19"/>
  <c r="F148" i="19"/>
  <c r="H452" i="18"/>
  <c r="G452" i="18"/>
  <c r="H444" i="18"/>
  <c r="G444" i="18"/>
  <c r="G381" i="18"/>
  <c r="H381" i="18"/>
  <c r="O339" i="18"/>
  <c r="F339" i="18" s="1"/>
  <c r="M340" i="18"/>
  <c r="G338" i="18"/>
  <c r="G337" i="18"/>
  <c r="H337" i="18"/>
  <c r="H332" i="18"/>
  <c r="G329" i="18"/>
  <c r="G330" i="18" s="1"/>
  <c r="F330" i="18"/>
  <c r="H329" i="18"/>
  <c r="H330" i="18" s="1"/>
  <c r="F334" i="18"/>
  <c r="H236" i="18"/>
  <c r="G236" i="18"/>
  <c r="H195" i="18"/>
  <c r="G195" i="18"/>
  <c r="M93" i="18"/>
  <c r="O93" i="18" s="1"/>
  <c r="F93" i="18" s="1"/>
  <c r="G90" i="18"/>
  <c r="H90" i="18"/>
  <c r="H92" i="18"/>
  <c r="O576" i="19"/>
  <c r="F576" i="19" s="1"/>
  <c r="M577" i="19"/>
  <c r="H508" i="19"/>
  <c r="H510" i="19" s="1"/>
  <c r="G508" i="19"/>
  <c r="G510" i="19" s="1"/>
  <c r="I552" i="19"/>
  <c r="I560" i="19"/>
  <c r="G468" i="19"/>
  <c r="G186" i="19"/>
  <c r="H186" i="19"/>
  <c r="I189" i="19"/>
  <c r="I197" i="19"/>
  <c r="H150" i="19"/>
  <c r="G150" i="19"/>
  <c r="H211" i="19"/>
  <c r="G211" i="19"/>
  <c r="O68" i="19"/>
  <c r="F68" i="19" s="1"/>
  <c r="M69" i="19"/>
  <c r="M26" i="19"/>
  <c r="O25" i="19"/>
  <c r="F25" i="19" s="1"/>
  <c r="I68" i="19"/>
  <c r="I60" i="19"/>
  <c r="O550" i="19"/>
  <c r="F550" i="19" s="1"/>
  <c r="M551" i="19"/>
  <c r="H465" i="19"/>
  <c r="H468" i="19" s="1"/>
  <c r="G465" i="19"/>
  <c r="H558" i="19"/>
  <c r="G558" i="19"/>
  <c r="H535" i="19"/>
  <c r="G535" i="19"/>
  <c r="O486" i="19"/>
  <c r="F486" i="19" s="1"/>
  <c r="M487" i="19"/>
  <c r="H480" i="19"/>
  <c r="G480" i="19"/>
  <c r="F482" i="19"/>
  <c r="M456" i="19"/>
  <c r="O455" i="19"/>
  <c r="F455" i="19" s="1"/>
  <c r="O515" i="19"/>
  <c r="F515" i="19" s="1"/>
  <c r="M516" i="19"/>
  <c r="O516" i="19" s="1"/>
  <c r="F516" i="19" s="1"/>
  <c r="G503" i="19"/>
  <c r="H503" i="19"/>
  <c r="H572" i="19"/>
  <c r="G572" i="19"/>
  <c r="H382" i="19"/>
  <c r="G382" i="19"/>
  <c r="H424" i="19"/>
  <c r="G424" i="19"/>
  <c r="M405" i="19"/>
  <c r="O404" i="19"/>
  <c r="F404" i="19" s="1"/>
  <c r="I369" i="19"/>
  <c r="I361" i="19"/>
  <c r="M371" i="19"/>
  <c r="O370" i="19"/>
  <c r="F370" i="19" s="1"/>
  <c r="O281" i="19"/>
  <c r="F281" i="19" s="1"/>
  <c r="M282" i="19"/>
  <c r="M254" i="19"/>
  <c r="O253" i="19"/>
  <c r="F253" i="19" s="1"/>
  <c r="M361" i="19"/>
  <c r="O360" i="19"/>
  <c r="F360" i="19" s="1"/>
  <c r="H227" i="19"/>
  <c r="G227" i="19"/>
  <c r="G228" i="19" s="1"/>
  <c r="G378" i="19"/>
  <c r="H334" i="19"/>
  <c r="O312" i="19"/>
  <c r="F312" i="19" s="1"/>
  <c r="M313" i="19"/>
  <c r="O313" i="19" s="1"/>
  <c r="F313" i="19" s="1"/>
  <c r="M188" i="19"/>
  <c r="O187" i="19"/>
  <c r="F187" i="19" s="1"/>
  <c r="O388" i="19"/>
  <c r="F388" i="19" s="1"/>
  <c r="M389" i="19"/>
  <c r="G215" i="19"/>
  <c r="H215" i="19"/>
  <c r="M169" i="19"/>
  <c r="O168" i="19"/>
  <c r="F168" i="19" s="1"/>
  <c r="M153" i="19"/>
  <c r="O152" i="19"/>
  <c r="F152" i="19" s="1"/>
  <c r="O130" i="19"/>
  <c r="F130" i="19" s="1"/>
  <c r="M131" i="19"/>
  <c r="H93" i="19"/>
  <c r="G93" i="19"/>
  <c r="H62" i="19"/>
  <c r="G62" i="19"/>
  <c r="I26" i="19"/>
  <c r="I18" i="19"/>
  <c r="G174" i="19"/>
  <c r="H174" i="19"/>
  <c r="H162" i="19"/>
  <c r="H140" i="19"/>
  <c r="G140" i="19"/>
  <c r="F142" i="19"/>
  <c r="H18" i="19"/>
  <c r="G18" i="19"/>
  <c r="H454" i="19"/>
  <c r="G454" i="19"/>
  <c r="H571" i="19"/>
  <c r="G571" i="19"/>
  <c r="O431" i="19"/>
  <c r="F431" i="19" s="1"/>
  <c r="M432" i="19"/>
  <c r="H369" i="19"/>
  <c r="G369" i="19"/>
  <c r="H252" i="19"/>
  <c r="G252" i="19"/>
  <c r="M217" i="19"/>
  <c r="O216" i="19"/>
  <c r="F216" i="19" s="1"/>
  <c r="H167" i="19"/>
  <c r="G167" i="19"/>
  <c r="H89" i="19"/>
  <c r="G89" i="19"/>
  <c r="G95" i="19" s="1"/>
  <c r="M176" i="19"/>
  <c r="O175" i="19"/>
  <c r="F175" i="19" s="1"/>
  <c r="H90" i="19"/>
  <c r="H95" i="19" s="1"/>
  <c r="G90" i="19"/>
  <c r="I537" i="19"/>
  <c r="I529" i="19"/>
  <c r="M560" i="19"/>
  <c r="O559" i="19"/>
  <c r="F559" i="19" s="1"/>
  <c r="H494" i="19"/>
  <c r="G494" i="19"/>
  <c r="G514" i="19"/>
  <c r="H514" i="19"/>
  <c r="H471" i="19"/>
  <c r="G471" i="19"/>
  <c r="H381" i="19"/>
  <c r="G381" i="19"/>
  <c r="H444" i="19"/>
  <c r="G444" i="19"/>
  <c r="M426" i="19"/>
  <c r="O425" i="19"/>
  <c r="F425" i="19" s="1"/>
  <c r="G403" i="19"/>
  <c r="H403" i="19"/>
  <c r="I432" i="19"/>
  <c r="I424" i="19"/>
  <c r="O273" i="19"/>
  <c r="F273" i="19" s="1"/>
  <c r="M274" i="19"/>
  <c r="G359" i="19"/>
  <c r="H359" i="19"/>
  <c r="H228" i="19"/>
  <c r="G294" i="19"/>
  <c r="H294" i="19"/>
  <c r="M205" i="19"/>
  <c r="O205" i="19" s="1"/>
  <c r="F205" i="19" s="1"/>
  <c r="O204" i="19"/>
  <c r="F204" i="19" s="1"/>
  <c r="M124" i="19"/>
  <c r="O123" i="19"/>
  <c r="F123" i="19" s="1"/>
  <c r="H231" i="19"/>
  <c r="G231" i="19"/>
  <c r="H210" i="19"/>
  <c r="G210" i="19"/>
  <c r="G151" i="19"/>
  <c r="H151" i="19"/>
  <c r="O84" i="19"/>
  <c r="F84" i="19" s="1"/>
  <c r="M85" i="19"/>
  <c r="O85" i="19" s="1"/>
  <c r="F85" i="19" s="1"/>
  <c r="G141" i="19"/>
  <c r="H141" i="19"/>
  <c r="H17" i="19"/>
  <c r="G17" i="19"/>
  <c r="H19" i="19"/>
  <c r="G19" i="19"/>
  <c r="M531" i="19"/>
  <c r="O530" i="19"/>
  <c r="F530" i="19" s="1"/>
  <c r="H549" i="19"/>
  <c r="G549" i="19"/>
  <c r="G567" i="19"/>
  <c r="H567" i="19"/>
  <c r="H485" i="19"/>
  <c r="G485" i="19"/>
  <c r="H502" i="19"/>
  <c r="H504" i="19" s="1"/>
  <c r="G502" i="19"/>
  <c r="F504" i="19"/>
  <c r="G272" i="19"/>
  <c r="H272" i="19"/>
  <c r="M304" i="19"/>
  <c r="O303" i="19"/>
  <c r="F303" i="19" s="1"/>
  <c r="G385" i="19"/>
  <c r="I306" i="19"/>
  <c r="I298" i="19"/>
  <c r="H147" i="19"/>
  <c r="G147" i="19"/>
  <c r="H104" i="19"/>
  <c r="G104" i="19"/>
  <c r="H103" i="19"/>
  <c r="G103" i="19"/>
  <c r="G107" i="19" s="1"/>
  <c r="I168" i="19"/>
  <c r="I176" i="19"/>
  <c r="G109" i="19"/>
  <c r="H109" i="19"/>
  <c r="H596" i="19"/>
  <c r="H452" i="19"/>
  <c r="G452" i="19"/>
  <c r="F573" i="19"/>
  <c r="O536" i="19"/>
  <c r="F536" i="19" s="1"/>
  <c r="M537" i="19"/>
  <c r="G481" i="19"/>
  <c r="H481" i="19"/>
  <c r="H575" i="19"/>
  <c r="G575" i="19"/>
  <c r="H529" i="19"/>
  <c r="G529" i="19"/>
  <c r="F596" i="19"/>
  <c r="H566" i="19"/>
  <c r="G566" i="19"/>
  <c r="F568" i="19"/>
  <c r="M496" i="19"/>
  <c r="O495" i="19"/>
  <c r="F495" i="19" s="1"/>
  <c r="I488" i="19"/>
  <c r="I496" i="19"/>
  <c r="O472" i="19"/>
  <c r="F472" i="19" s="1"/>
  <c r="M473" i="19"/>
  <c r="H368" i="19"/>
  <c r="G368" i="19"/>
  <c r="O445" i="19"/>
  <c r="F445" i="19" s="1"/>
  <c r="M446" i="19"/>
  <c r="H430" i="19"/>
  <c r="G430" i="19"/>
  <c r="I448" i="19"/>
  <c r="I456" i="19"/>
  <c r="M291" i="19"/>
  <c r="O291" i="19" s="1"/>
  <c r="F291" i="19" s="1"/>
  <c r="O290" i="19"/>
  <c r="F290" i="19" s="1"/>
  <c r="M197" i="19"/>
  <c r="O196" i="19"/>
  <c r="F196" i="19" s="1"/>
  <c r="M296" i="19"/>
  <c r="O295" i="19"/>
  <c r="F295" i="19" s="1"/>
  <c r="F213" i="19"/>
  <c r="I339" i="19"/>
  <c r="I347" i="19"/>
  <c r="I255" i="19"/>
  <c r="I263" i="19"/>
  <c r="H173" i="19"/>
  <c r="G173" i="19"/>
  <c r="M233" i="19"/>
  <c r="O233" i="19" s="1"/>
  <c r="F233" i="19" s="1"/>
  <c r="O232" i="19"/>
  <c r="F232" i="19" s="1"/>
  <c r="F234" i="19" s="1"/>
  <c r="H212" i="19"/>
  <c r="G212" i="19"/>
  <c r="G213" i="19" s="1"/>
  <c r="H146" i="19"/>
  <c r="G146" i="19"/>
  <c r="O44" i="19"/>
  <c r="F44" i="19" s="1"/>
  <c r="M45" i="19"/>
  <c r="G35" i="19"/>
  <c r="H105" i="19"/>
  <c r="G105" i="19"/>
  <c r="F64" i="19"/>
  <c r="G162" i="19"/>
  <c r="H106" i="19"/>
  <c r="G106" i="19"/>
  <c r="H60" i="19"/>
  <c r="H64" i="19" s="1"/>
  <c r="G60" i="19"/>
  <c r="F95" i="19"/>
  <c r="O110" i="19"/>
  <c r="F110" i="19" s="1"/>
  <c r="M111" i="19"/>
  <c r="M21" i="19"/>
  <c r="O21" i="19" s="1"/>
  <c r="F21" i="19" s="1"/>
  <c r="O20" i="19"/>
  <c r="F20" i="19" s="1"/>
  <c r="H571" i="18"/>
  <c r="H573" i="18" s="1"/>
  <c r="G571" i="18"/>
  <c r="H544" i="18"/>
  <c r="H546" i="18" s="1"/>
  <c r="F546" i="18"/>
  <c r="G544" i="18"/>
  <c r="G546" i="18" s="1"/>
  <c r="F573" i="18"/>
  <c r="O485" i="18"/>
  <c r="F485" i="18" s="1"/>
  <c r="M486" i="18"/>
  <c r="H507" i="18"/>
  <c r="G507" i="18"/>
  <c r="I537" i="18"/>
  <c r="I529" i="18"/>
  <c r="G431" i="18"/>
  <c r="H431" i="18"/>
  <c r="O346" i="18"/>
  <c r="F346" i="18" s="1"/>
  <c r="M347" i="18"/>
  <c r="I190" i="18"/>
  <c r="I198" i="18"/>
  <c r="H146" i="18"/>
  <c r="H148" i="18" s="1"/>
  <c r="G146" i="18"/>
  <c r="G148" i="18" s="1"/>
  <c r="F148" i="18"/>
  <c r="H58" i="18"/>
  <c r="G58" i="18"/>
  <c r="H359" i="18"/>
  <c r="G359" i="18"/>
  <c r="O82" i="18"/>
  <c r="F82" i="18" s="1"/>
  <c r="M83" i="18"/>
  <c r="M254" i="18"/>
  <c r="O253" i="18"/>
  <c r="F253" i="18" s="1"/>
  <c r="O238" i="18"/>
  <c r="F238" i="18" s="1"/>
  <c r="M239" i="18"/>
  <c r="H125" i="18"/>
  <c r="G125" i="18"/>
  <c r="M405" i="18"/>
  <c r="O404" i="18"/>
  <c r="F404" i="18" s="1"/>
  <c r="G586" i="18"/>
  <c r="G587" i="18" s="1"/>
  <c r="H586" i="18"/>
  <c r="H587" i="18" s="1"/>
  <c r="H558" i="18"/>
  <c r="G558" i="18"/>
  <c r="H527" i="18"/>
  <c r="G527" i="18"/>
  <c r="O502" i="18"/>
  <c r="F502" i="18" s="1"/>
  <c r="M503" i="18"/>
  <c r="O503" i="18" s="1"/>
  <c r="F503" i="18" s="1"/>
  <c r="M308" i="18"/>
  <c r="O307" i="18"/>
  <c r="F307" i="18" s="1"/>
  <c r="G210" i="18"/>
  <c r="H210" i="18"/>
  <c r="H213" i="18" s="1"/>
  <c r="I61" i="18"/>
  <c r="I69" i="18"/>
  <c r="H402" i="18"/>
  <c r="G402" i="18"/>
  <c r="I298" i="18"/>
  <c r="I306" i="18"/>
  <c r="H232" i="18"/>
  <c r="H234" i="18" s="1"/>
  <c r="F234" i="18"/>
  <c r="G232" i="18"/>
  <c r="G234" i="18" s="1"/>
  <c r="G403" i="18"/>
  <c r="H403" i="18"/>
  <c r="H260" i="18"/>
  <c r="G260" i="18"/>
  <c r="H60" i="18"/>
  <c r="G60" i="18"/>
  <c r="H53" i="18"/>
  <c r="G53" i="18"/>
  <c r="F55" i="18"/>
  <c r="H549" i="18"/>
  <c r="G549" i="18"/>
  <c r="M560" i="18"/>
  <c r="O559" i="18"/>
  <c r="F559" i="18" s="1"/>
  <c r="H466" i="18"/>
  <c r="G466" i="18"/>
  <c r="M538" i="18"/>
  <c r="O537" i="18"/>
  <c r="F537" i="18" s="1"/>
  <c r="G356" i="18"/>
  <c r="G306" i="18"/>
  <c r="H306" i="18"/>
  <c r="H151" i="18"/>
  <c r="G151" i="18"/>
  <c r="M133" i="18"/>
  <c r="O131" i="18"/>
  <c r="F131" i="18" s="1"/>
  <c r="M132" i="18"/>
  <c r="O132" i="18" s="1"/>
  <c r="F132" i="18" s="1"/>
  <c r="M106" i="18"/>
  <c r="O105" i="18"/>
  <c r="F105" i="18" s="1"/>
  <c r="H67" i="18"/>
  <c r="G67" i="18"/>
  <c r="I497" i="18"/>
  <c r="I489" i="18"/>
  <c r="O447" i="18"/>
  <c r="F447" i="18" s="1"/>
  <c r="M448" i="18"/>
  <c r="H187" i="18"/>
  <c r="G187" i="18"/>
  <c r="H91" i="18"/>
  <c r="G91" i="18"/>
  <c r="H319" i="18"/>
  <c r="G319" i="18"/>
  <c r="H367" i="18"/>
  <c r="G367" i="18"/>
  <c r="H334" i="18"/>
  <c r="H268" i="18"/>
  <c r="H270" i="18" s="1"/>
  <c r="G268" i="18"/>
  <c r="G270" i="18" s="1"/>
  <c r="F270" i="18"/>
  <c r="H216" i="18"/>
  <c r="G216" i="18"/>
  <c r="H204" i="18"/>
  <c r="H206" i="18" s="1"/>
  <c r="G204" i="18"/>
  <c r="G206" i="18" s="1"/>
  <c r="F206" i="18"/>
  <c r="F158" i="18"/>
  <c r="H157" i="18"/>
  <c r="H158" i="18" s="1"/>
  <c r="G157" i="18"/>
  <c r="G158" i="18" s="1"/>
  <c r="H103" i="18"/>
  <c r="G103" i="18"/>
  <c r="H33" i="18"/>
  <c r="H35" i="18" s="1"/>
  <c r="F35" i="18"/>
  <c r="G33" i="18"/>
  <c r="G35" i="18" s="1"/>
  <c r="H422" i="18"/>
  <c r="G422" i="18"/>
  <c r="H376" i="18"/>
  <c r="G376" i="18"/>
  <c r="F378" i="18"/>
  <c r="I339" i="18"/>
  <c r="I347" i="18"/>
  <c r="M262" i="18"/>
  <c r="O261" i="18"/>
  <c r="F261" i="18" s="1"/>
  <c r="M198" i="18"/>
  <c r="O197" i="18"/>
  <c r="F197" i="18" s="1"/>
  <c r="F478" i="18"/>
  <c r="H477" i="18"/>
  <c r="H478" i="18" s="1"/>
  <c r="G477" i="18"/>
  <c r="G478" i="18" s="1"/>
  <c r="H312" i="18"/>
  <c r="G312" i="18"/>
  <c r="F314" i="18"/>
  <c r="H272" i="18"/>
  <c r="G272" i="18"/>
  <c r="G126" i="18"/>
  <c r="H126" i="18"/>
  <c r="H44" i="18"/>
  <c r="G44" i="18"/>
  <c r="H246" i="18"/>
  <c r="G246" i="18"/>
  <c r="F248" i="18"/>
  <c r="G54" i="18"/>
  <c r="H54" i="18"/>
  <c r="M20" i="18"/>
  <c r="O19" i="18"/>
  <c r="F19" i="18" s="1"/>
  <c r="G550" i="18"/>
  <c r="H550" i="18"/>
  <c r="H453" i="18"/>
  <c r="G453" i="18"/>
  <c r="M495" i="18"/>
  <c r="O494" i="18"/>
  <c r="F494" i="18" s="1"/>
  <c r="M384" i="18"/>
  <c r="O383" i="18"/>
  <c r="F383" i="18" s="1"/>
  <c r="O323" i="18"/>
  <c r="F323" i="18" s="1"/>
  <c r="M324" i="18"/>
  <c r="H295" i="18"/>
  <c r="G295" i="18"/>
  <c r="I370" i="18"/>
  <c r="I362" i="18"/>
  <c r="G212" i="18"/>
  <c r="H212" i="18"/>
  <c r="M141" i="18"/>
  <c r="O141" i="18" s="1"/>
  <c r="F141" i="18" s="1"/>
  <c r="O140" i="18"/>
  <c r="F140" i="18" s="1"/>
  <c r="I27" i="18"/>
  <c r="I19" i="18"/>
  <c r="G223" i="18"/>
  <c r="G224" i="18" s="1"/>
  <c r="F224" i="18"/>
  <c r="H223" i="18"/>
  <c r="H224" i="18" s="1"/>
  <c r="M190" i="18"/>
  <c r="O189" i="18"/>
  <c r="F189" i="18" s="1"/>
  <c r="O175" i="18"/>
  <c r="F175" i="18" s="1"/>
  <c r="M176" i="18"/>
  <c r="F244" i="18"/>
  <c r="H243" i="18"/>
  <c r="H244" i="18" s="1"/>
  <c r="G243" i="18"/>
  <c r="G244" i="18" s="1"/>
  <c r="M291" i="18"/>
  <c r="O291" i="18" s="1"/>
  <c r="F291" i="18" s="1"/>
  <c r="O290" i="18"/>
  <c r="F290" i="18" s="1"/>
  <c r="G161" i="18"/>
  <c r="H161" i="18"/>
  <c r="F568" i="18"/>
  <c r="G566" i="18"/>
  <c r="G568" i="18" s="1"/>
  <c r="H566" i="18"/>
  <c r="H568" i="18" s="1"/>
  <c r="H523" i="18"/>
  <c r="G523" i="18"/>
  <c r="O454" i="18"/>
  <c r="F454" i="18" s="1"/>
  <c r="M455" i="18"/>
  <c r="M509" i="18"/>
  <c r="O509" i="18" s="1"/>
  <c r="F509" i="18" s="1"/>
  <c r="O508" i="18"/>
  <c r="F508" i="18" s="1"/>
  <c r="H472" i="18"/>
  <c r="G472" i="18"/>
  <c r="O296" i="18"/>
  <c r="F296" i="18" s="1"/>
  <c r="M297" i="18"/>
  <c r="I262" i="18"/>
  <c r="I254" i="18"/>
  <c r="H182" i="18"/>
  <c r="H184" i="18" s="1"/>
  <c r="F184" i="18"/>
  <c r="G182" i="18"/>
  <c r="G184" i="18" s="1"/>
  <c r="H130" i="18"/>
  <c r="G130" i="18"/>
  <c r="F51" i="18"/>
  <c r="H50" i="18"/>
  <c r="H51" i="18" s="1"/>
  <c r="G50" i="18"/>
  <c r="G51" i="18" s="1"/>
  <c r="H446" i="18"/>
  <c r="G446" i="18"/>
  <c r="M361" i="18"/>
  <c r="O360" i="18"/>
  <c r="F360" i="18" s="1"/>
  <c r="I283" i="18"/>
  <c r="I275" i="18"/>
  <c r="O226" i="18"/>
  <c r="F226" i="18" s="1"/>
  <c r="M227" i="18"/>
  <c r="O227" i="18" s="1"/>
  <c r="F227" i="18" s="1"/>
  <c r="H165" i="18"/>
  <c r="G165" i="18"/>
  <c r="H196" i="18"/>
  <c r="G196" i="18"/>
  <c r="I447" i="18"/>
  <c r="I455" i="18"/>
  <c r="G573" i="18"/>
  <c r="G522" i="18"/>
  <c r="F524" i="18"/>
  <c r="H522" i="18"/>
  <c r="M529" i="18"/>
  <c r="O528" i="18"/>
  <c r="F528" i="18" s="1"/>
  <c r="O514" i="18"/>
  <c r="F514" i="18" s="1"/>
  <c r="M515" i="18"/>
  <c r="H439" i="18"/>
  <c r="G439" i="18"/>
  <c r="F441" i="18"/>
  <c r="M578" i="18"/>
  <c r="O577" i="18"/>
  <c r="F577" i="18" s="1"/>
  <c r="O473" i="18"/>
  <c r="F473" i="18" s="1"/>
  <c r="M474" i="18"/>
  <c r="O474" i="18" s="1"/>
  <c r="F474" i="18" s="1"/>
  <c r="H575" i="18"/>
  <c r="G575" i="18"/>
  <c r="M552" i="18"/>
  <c r="O551" i="18"/>
  <c r="F551" i="18" s="1"/>
  <c r="G513" i="18"/>
  <c r="H513" i="18"/>
  <c r="H467" i="18"/>
  <c r="G467" i="18"/>
  <c r="H440" i="18"/>
  <c r="G440" i="18"/>
  <c r="G576" i="18"/>
  <c r="H576" i="18"/>
  <c r="G536" i="18"/>
  <c r="H536" i="18"/>
  <c r="H493" i="18"/>
  <c r="G493" i="18"/>
  <c r="M433" i="18"/>
  <c r="O432" i="18"/>
  <c r="F432" i="18" s="1"/>
  <c r="H382" i="18"/>
  <c r="G382" i="18"/>
  <c r="H345" i="18"/>
  <c r="G345" i="18"/>
  <c r="H322" i="18"/>
  <c r="G322" i="18"/>
  <c r="M168" i="18"/>
  <c r="O167" i="18"/>
  <c r="F167" i="18" s="1"/>
  <c r="O152" i="18"/>
  <c r="F152" i="18" s="1"/>
  <c r="M153" i="18"/>
  <c r="G137" i="18"/>
  <c r="G138" i="18" s="1"/>
  <c r="F138" i="18"/>
  <c r="H137" i="18"/>
  <c r="H138" i="18" s="1"/>
  <c r="H89" i="18"/>
  <c r="G89" i="18"/>
  <c r="O68" i="18"/>
  <c r="F68" i="18" s="1"/>
  <c r="M69" i="18"/>
  <c r="G318" i="18"/>
  <c r="H318" i="18"/>
  <c r="I176" i="18"/>
  <c r="I168" i="18"/>
  <c r="H81" i="18"/>
  <c r="G81" i="18"/>
  <c r="M369" i="18"/>
  <c r="O368" i="18"/>
  <c r="F368" i="18" s="1"/>
  <c r="M282" i="18"/>
  <c r="O281" i="18"/>
  <c r="F281" i="18" s="1"/>
  <c r="H237" i="18"/>
  <c r="G237" i="18"/>
  <c r="M219" i="18"/>
  <c r="M218" i="18"/>
  <c r="O218" i="18" s="1"/>
  <c r="F218" i="18" s="1"/>
  <c r="O217" i="18"/>
  <c r="F217" i="18" s="1"/>
  <c r="H174" i="18"/>
  <c r="G174" i="18"/>
  <c r="M63" i="18"/>
  <c r="O63" i="18" s="1"/>
  <c r="F63" i="18" s="1"/>
  <c r="O62" i="18"/>
  <c r="F62" i="18" s="1"/>
  <c r="H17" i="18"/>
  <c r="G17" i="18"/>
  <c r="O423" i="18"/>
  <c r="F423" i="18" s="1"/>
  <c r="M424" i="18"/>
  <c r="G377" i="18"/>
  <c r="H377" i="18"/>
  <c r="H317" i="18"/>
  <c r="G317" i="18"/>
  <c r="H251" i="18"/>
  <c r="G251" i="18"/>
  <c r="H123" i="18"/>
  <c r="F127" i="18"/>
  <c r="G123" i="18"/>
  <c r="O480" i="18"/>
  <c r="F480" i="18" s="1"/>
  <c r="M481" i="18"/>
  <c r="O481" i="18" s="1"/>
  <c r="F481" i="18" s="1"/>
  <c r="H313" i="18"/>
  <c r="G313" i="18"/>
  <c r="O273" i="18"/>
  <c r="F273" i="18" s="1"/>
  <c r="M274" i="18"/>
  <c r="G124" i="18"/>
  <c r="H124" i="18"/>
  <c r="O45" i="18"/>
  <c r="F45" i="18" s="1"/>
  <c r="M46" i="18"/>
  <c r="H247" i="18"/>
  <c r="G247" i="18"/>
  <c r="F213" i="18"/>
  <c r="H18" i="18"/>
  <c r="G18" i="18"/>
  <c r="H160" i="18"/>
  <c r="G160" i="18"/>
  <c r="F162" i="18"/>
  <c r="R38" i="13"/>
  <c r="Q38" i="13"/>
  <c r="P38" i="13"/>
  <c r="R37" i="13"/>
  <c r="Q37" i="13"/>
  <c r="P37" i="13"/>
  <c r="R36" i="13"/>
  <c r="Q36" i="13"/>
  <c r="P36" i="13"/>
  <c r="R35" i="13"/>
  <c r="Q35" i="13"/>
  <c r="P35" i="13"/>
  <c r="N32" i="13"/>
  <c r="M32" i="13"/>
  <c r="L32" i="13"/>
  <c r="H32" i="13"/>
  <c r="G32" i="13"/>
  <c r="F32" i="13"/>
  <c r="N31" i="13"/>
  <c r="M31" i="13"/>
  <c r="L31" i="13"/>
  <c r="H31" i="13"/>
  <c r="G31" i="13"/>
  <c r="F31" i="13"/>
  <c r="N30" i="13"/>
  <c r="M30" i="13"/>
  <c r="L30" i="13"/>
  <c r="H30" i="13"/>
  <c r="G30" i="13"/>
  <c r="F30" i="13"/>
  <c r="N29" i="13"/>
  <c r="N33" i="13" s="1"/>
  <c r="M29" i="13"/>
  <c r="L29" i="13"/>
  <c r="H29" i="13"/>
  <c r="G29" i="13"/>
  <c r="F29" i="13"/>
  <c r="H6" i="13"/>
  <c r="G6" i="13"/>
  <c r="F6" i="13"/>
  <c r="M582" i="15"/>
  <c r="M585" i="15" s="1"/>
  <c r="O585" i="15" s="1"/>
  <c r="F585" i="15" s="1"/>
  <c r="H585" i="15" s="1"/>
  <c r="I576" i="15"/>
  <c r="I577" i="15" s="1"/>
  <c r="I578" i="15" s="1"/>
  <c r="I579" i="15" s="1"/>
  <c r="M575" i="15"/>
  <c r="I575" i="15"/>
  <c r="I582" i="15" s="1"/>
  <c r="I585" i="15" s="1"/>
  <c r="I586" i="15" s="1"/>
  <c r="M570" i="15"/>
  <c r="M571" i="15" s="1"/>
  <c r="I570" i="15"/>
  <c r="I571" i="15" s="1"/>
  <c r="I572" i="15" s="1"/>
  <c r="O569" i="15"/>
  <c r="F569" i="15" s="1"/>
  <c r="G569" i="15" s="1"/>
  <c r="M566" i="15"/>
  <c r="I558" i="15"/>
  <c r="M557" i="15"/>
  <c r="M558" i="15" s="1"/>
  <c r="I557" i="15"/>
  <c r="I566" i="15" s="1"/>
  <c r="I567" i="15" s="1"/>
  <c r="M549" i="15"/>
  <c r="I549" i="15"/>
  <c r="I550" i="15" s="1"/>
  <c r="O548" i="15"/>
  <c r="F548" i="15"/>
  <c r="M544" i="15"/>
  <c r="M545" i="15" s="1"/>
  <c r="O545" i="15" s="1"/>
  <c r="F545" i="15" s="1"/>
  <c r="H545" i="15" s="1"/>
  <c r="I544" i="15"/>
  <c r="I545" i="15" s="1"/>
  <c r="M535" i="15"/>
  <c r="I535" i="15"/>
  <c r="M527" i="15"/>
  <c r="M528" i="15" s="1"/>
  <c r="M529" i="15" s="1"/>
  <c r="I527" i="15"/>
  <c r="O526" i="15"/>
  <c r="F526" i="15" s="1"/>
  <c r="M519" i="15"/>
  <c r="M522" i="15" s="1"/>
  <c r="O522" i="15" s="1"/>
  <c r="F522" i="15" s="1"/>
  <c r="H522" i="15" s="1"/>
  <c r="I513" i="15"/>
  <c r="I514" i="15" s="1"/>
  <c r="I515" i="15" s="1"/>
  <c r="I516" i="15" s="1"/>
  <c r="M512" i="15"/>
  <c r="I512" i="15"/>
  <c r="I519" i="15" s="1"/>
  <c r="I522" i="15" s="1"/>
  <c r="I523" i="15" s="1"/>
  <c r="M508" i="15"/>
  <c r="M507" i="15"/>
  <c r="O507" i="15" s="1"/>
  <c r="F507" i="15" s="1"/>
  <c r="I507" i="15"/>
  <c r="I508" i="15" s="1"/>
  <c r="I509" i="15" s="1"/>
  <c r="O506" i="15"/>
  <c r="F506" i="15"/>
  <c r="G506" i="15" s="1"/>
  <c r="M502" i="15"/>
  <c r="M503" i="15" s="1"/>
  <c r="O503" i="15" s="1"/>
  <c r="F503" i="15" s="1"/>
  <c r="M494" i="15"/>
  <c r="O493" i="15"/>
  <c r="F493" i="15" s="1"/>
  <c r="G493" i="15" s="1"/>
  <c r="M493" i="15"/>
  <c r="I493" i="15"/>
  <c r="I502" i="15" s="1"/>
  <c r="I503" i="15" s="1"/>
  <c r="H493" i="15"/>
  <c r="M485" i="15"/>
  <c r="M486" i="15" s="1"/>
  <c r="I485" i="15"/>
  <c r="I494" i="15" s="1"/>
  <c r="O484" i="15"/>
  <c r="F484" i="15"/>
  <c r="G484" i="15" s="1"/>
  <c r="M477" i="15"/>
  <c r="M480" i="15" s="1"/>
  <c r="I471" i="15"/>
  <c r="I472" i="15" s="1"/>
  <c r="I473" i="15" s="1"/>
  <c r="I474" i="15" s="1"/>
  <c r="M470" i="15"/>
  <c r="O470" i="15" s="1"/>
  <c r="F470" i="15" s="1"/>
  <c r="G470" i="15" s="1"/>
  <c r="I470" i="15"/>
  <c r="I477" i="15" s="1"/>
  <c r="I480" i="15" s="1"/>
  <c r="I481" i="15" s="1"/>
  <c r="M465" i="15"/>
  <c r="M466" i="15" s="1"/>
  <c r="I465" i="15"/>
  <c r="I466" i="15" s="1"/>
  <c r="I467" i="15" s="1"/>
  <c r="O464" i="15"/>
  <c r="F464" i="15" s="1"/>
  <c r="M462" i="15"/>
  <c r="O462" i="15" s="1"/>
  <c r="F462" i="15" s="1"/>
  <c r="M461" i="15"/>
  <c r="O461" i="15" s="1"/>
  <c r="F461" i="15" s="1"/>
  <c r="H461" i="15" s="1"/>
  <c r="O453" i="15"/>
  <c r="F453" i="15" s="1"/>
  <c r="O452" i="15"/>
  <c r="F452" i="15" s="1"/>
  <c r="M452" i="15"/>
  <c r="M453" i="15" s="1"/>
  <c r="M454" i="15" s="1"/>
  <c r="I452" i="15"/>
  <c r="I461" i="15" s="1"/>
  <c r="I462" i="15" s="1"/>
  <c r="I445" i="15"/>
  <c r="M444" i="15"/>
  <c r="O444" i="15" s="1"/>
  <c r="F444" i="15" s="1"/>
  <c r="I444" i="15"/>
  <c r="I453" i="15" s="1"/>
  <c r="O443" i="15"/>
  <c r="F443" i="15" s="1"/>
  <c r="G443" i="15" s="1"/>
  <c r="M439" i="15"/>
  <c r="M430" i="15"/>
  <c r="M431" i="15" s="1"/>
  <c r="I430" i="15"/>
  <c r="I439" i="15" s="1"/>
  <c r="I440" i="15" s="1"/>
  <c r="M422" i="15"/>
  <c r="I422" i="15"/>
  <c r="I423" i="15" s="1"/>
  <c r="O421" i="15"/>
  <c r="F421" i="15"/>
  <c r="H419" i="15"/>
  <c r="G419" i="15"/>
  <c r="I410" i="15"/>
  <c r="I411" i="15" s="1"/>
  <c r="I412" i="15" s="1"/>
  <c r="I413" i="15" s="1"/>
  <c r="I414" i="15" s="1"/>
  <c r="I409" i="15"/>
  <c r="I417" i="15" s="1"/>
  <c r="I418" i="15" s="1"/>
  <c r="I403" i="15"/>
  <c r="I404" i="15" s="1"/>
  <c r="I405" i="15" s="1"/>
  <c r="I406" i="15" s="1"/>
  <c r="M402" i="15"/>
  <c r="M403" i="15" s="1"/>
  <c r="I402" i="15"/>
  <c r="O401" i="15"/>
  <c r="F401" i="15" s="1"/>
  <c r="G401" i="15"/>
  <c r="H398" i="15"/>
  <c r="G398" i="15"/>
  <c r="I390" i="15"/>
  <c r="I391" i="15" s="1"/>
  <c r="I392" i="15" s="1"/>
  <c r="I393" i="15" s="1"/>
  <c r="I389" i="15"/>
  <c r="I388" i="15"/>
  <c r="I396" i="15" s="1"/>
  <c r="I397" i="15" s="1"/>
  <c r="M382" i="15"/>
  <c r="M383" i="15" s="1"/>
  <c r="M384" i="15" s="1"/>
  <c r="I382" i="15"/>
  <c r="I383" i="15" s="1"/>
  <c r="I384" i="15" s="1"/>
  <c r="I385" i="15" s="1"/>
  <c r="M381" i="15"/>
  <c r="O381" i="15" s="1"/>
  <c r="F381" i="15" s="1"/>
  <c r="I381" i="15"/>
  <c r="O380" i="15"/>
  <c r="F380" i="15" s="1"/>
  <c r="M376" i="15"/>
  <c r="M368" i="15"/>
  <c r="M369" i="15" s="1"/>
  <c r="M370" i="15" s="1"/>
  <c r="M367" i="15"/>
  <c r="O367" i="15" s="1"/>
  <c r="F367" i="15" s="1"/>
  <c r="G367" i="15" s="1"/>
  <c r="I367" i="15"/>
  <c r="I376" i="15" s="1"/>
  <c r="I377" i="15" s="1"/>
  <c r="M359" i="15"/>
  <c r="I359" i="15"/>
  <c r="I360" i="15" s="1"/>
  <c r="I361" i="15" s="1"/>
  <c r="O358" i="15"/>
  <c r="F358" i="15"/>
  <c r="O355" i="15"/>
  <c r="F355" i="15" s="1"/>
  <c r="H355" i="15" s="1"/>
  <c r="O354" i="15"/>
  <c r="F354" i="15" s="1"/>
  <c r="M354" i="15"/>
  <c r="M355" i="15" s="1"/>
  <c r="I354" i="15"/>
  <c r="I355" i="15" s="1"/>
  <c r="M345" i="15"/>
  <c r="I345" i="15"/>
  <c r="O338" i="15"/>
  <c r="F338" i="15" s="1"/>
  <c r="H338" i="15" s="1"/>
  <c r="G338" i="15"/>
  <c r="M337" i="15"/>
  <c r="M338" i="15" s="1"/>
  <c r="M339" i="15" s="1"/>
  <c r="I337" i="15"/>
  <c r="O336" i="15"/>
  <c r="F336" i="15" s="1"/>
  <c r="M329" i="15"/>
  <c r="M332" i="15" s="1"/>
  <c r="O332" i="15" s="1"/>
  <c r="F332" i="15" s="1"/>
  <c r="H332" i="15" s="1"/>
  <c r="I323" i="15"/>
  <c r="I324" i="15" s="1"/>
  <c r="I325" i="15" s="1"/>
  <c r="I326" i="15" s="1"/>
  <c r="M322" i="15"/>
  <c r="I322" i="15"/>
  <c r="I329" i="15" s="1"/>
  <c r="I332" i="15" s="1"/>
  <c r="I333" i="15" s="1"/>
  <c r="M317" i="15"/>
  <c r="M318" i="15" s="1"/>
  <c r="I317" i="15"/>
  <c r="I318" i="15" s="1"/>
  <c r="I319" i="15" s="1"/>
  <c r="O316" i="15"/>
  <c r="F316" i="15" s="1"/>
  <c r="G316" i="15"/>
  <c r="M312" i="15"/>
  <c r="M303" i="15"/>
  <c r="M304" i="15" s="1"/>
  <c r="I303" i="15"/>
  <c r="I312" i="15" s="1"/>
  <c r="I313" i="15" s="1"/>
  <c r="M295" i="15"/>
  <c r="I295" i="15"/>
  <c r="I296" i="15" s="1"/>
  <c r="O294" i="15"/>
  <c r="F294" i="15" s="1"/>
  <c r="O290" i="15"/>
  <c r="F290" i="15" s="1"/>
  <c r="M290" i="15"/>
  <c r="M291" i="15" s="1"/>
  <c r="O291" i="15" s="1"/>
  <c r="F291" i="15" s="1"/>
  <c r="I290" i="15"/>
  <c r="I291" i="15" s="1"/>
  <c r="M281" i="15"/>
  <c r="I281" i="15"/>
  <c r="M273" i="15"/>
  <c r="M274" i="15" s="1"/>
  <c r="M275" i="15" s="1"/>
  <c r="I273" i="15"/>
  <c r="O272" i="15"/>
  <c r="F272" i="15" s="1"/>
  <c r="M268" i="15"/>
  <c r="O268" i="15" s="1"/>
  <c r="F268" i="15" s="1"/>
  <c r="H268" i="15" s="1"/>
  <c r="O260" i="15"/>
  <c r="F260" i="15" s="1"/>
  <c r="H260" i="15" s="1"/>
  <c r="M259" i="15"/>
  <c r="M260" i="15" s="1"/>
  <c r="M261" i="15" s="1"/>
  <c r="I259" i="15"/>
  <c r="I268" i="15" s="1"/>
  <c r="I269" i="15" s="1"/>
  <c r="M252" i="15"/>
  <c r="M251" i="15"/>
  <c r="O251" i="15" s="1"/>
  <c r="F251" i="15" s="1"/>
  <c r="G251" i="15" s="1"/>
  <c r="I251" i="15"/>
  <c r="I252" i="15" s="1"/>
  <c r="I253" i="15" s="1"/>
  <c r="H251" i="15"/>
  <c r="O250" i="15"/>
  <c r="F250" i="15" s="1"/>
  <c r="M246" i="15"/>
  <c r="O243" i="15"/>
  <c r="F243" i="15" s="1"/>
  <c r="G243" i="15" s="1"/>
  <c r="G244" i="15" s="1"/>
  <c r="M243" i="15"/>
  <c r="M237" i="15"/>
  <c r="I237" i="15"/>
  <c r="I238" i="15" s="1"/>
  <c r="I239" i="15" s="1"/>
  <c r="I240" i="15" s="1"/>
  <c r="M236" i="15"/>
  <c r="O236" i="15" s="1"/>
  <c r="F236" i="15" s="1"/>
  <c r="G236" i="15" s="1"/>
  <c r="I236" i="15"/>
  <c r="I243" i="15" s="1"/>
  <c r="I246" i="15" s="1"/>
  <c r="I247" i="15" s="1"/>
  <c r="H236" i="15"/>
  <c r="M231" i="15"/>
  <c r="M232" i="15" s="1"/>
  <c r="M233" i="15" s="1"/>
  <c r="O233" i="15" s="1"/>
  <c r="F233" i="15" s="1"/>
  <c r="I231" i="15"/>
  <c r="I232" i="15" s="1"/>
  <c r="I233" i="15" s="1"/>
  <c r="O230" i="15"/>
  <c r="F230" i="15" s="1"/>
  <c r="M223" i="15"/>
  <c r="M226" i="15" s="1"/>
  <c r="O226" i="15" s="1"/>
  <c r="F226" i="15" s="1"/>
  <c r="H226" i="15" s="1"/>
  <c r="I223" i="15"/>
  <c r="I226" i="15" s="1"/>
  <c r="I227" i="15" s="1"/>
  <c r="I216" i="15"/>
  <c r="I217" i="15" s="1"/>
  <c r="O215" i="15"/>
  <c r="F215" i="15" s="1"/>
  <c r="H215" i="15" s="1"/>
  <c r="M215" i="15"/>
  <c r="M216" i="15" s="1"/>
  <c r="I215" i="15"/>
  <c r="I210" i="15"/>
  <c r="I211" i="15" s="1"/>
  <c r="M209" i="15"/>
  <c r="M210" i="15" s="1"/>
  <c r="I209" i="15"/>
  <c r="O208" i="15"/>
  <c r="F208" i="15" s="1"/>
  <c r="G208" i="15" s="1"/>
  <c r="M204" i="15"/>
  <c r="M195" i="15"/>
  <c r="M196" i="15" s="1"/>
  <c r="I195" i="15"/>
  <c r="I204" i="15" s="1"/>
  <c r="I205" i="15" s="1"/>
  <c r="M187" i="15"/>
  <c r="I187" i="15"/>
  <c r="I188" i="15" s="1"/>
  <c r="O186" i="15"/>
  <c r="F186" i="15" s="1"/>
  <c r="M182" i="15"/>
  <c r="M183" i="15" s="1"/>
  <c r="O183" i="15" s="1"/>
  <c r="F183" i="15" s="1"/>
  <c r="I182" i="15"/>
  <c r="I183" i="15" s="1"/>
  <c r="M173" i="15"/>
  <c r="I173" i="15"/>
  <c r="O166" i="15"/>
  <c r="F166" i="15" s="1"/>
  <c r="H166" i="15" s="1"/>
  <c r="M165" i="15"/>
  <c r="M166" i="15" s="1"/>
  <c r="M167" i="15" s="1"/>
  <c r="I165" i="15"/>
  <c r="O164" i="15"/>
  <c r="F164" i="15" s="1"/>
  <c r="M157" i="15"/>
  <c r="M160" i="15" s="1"/>
  <c r="O160" i="15" s="1"/>
  <c r="F160" i="15" s="1"/>
  <c r="H160" i="15" s="1"/>
  <c r="I151" i="15"/>
  <c r="I152" i="15" s="1"/>
  <c r="I153" i="15" s="1"/>
  <c r="I154" i="15" s="1"/>
  <c r="M150" i="15"/>
  <c r="I150" i="15"/>
  <c r="I157" i="15" s="1"/>
  <c r="I160" i="15" s="1"/>
  <c r="I161" i="15" s="1"/>
  <c r="M145" i="15"/>
  <c r="M146" i="15" s="1"/>
  <c r="I145" i="15"/>
  <c r="I146" i="15" s="1"/>
  <c r="I147" i="15" s="1"/>
  <c r="O144" i="15"/>
  <c r="F144" i="15" s="1"/>
  <c r="G144" i="15"/>
  <c r="M140" i="15"/>
  <c r="M137" i="15"/>
  <c r="O137" i="15" s="1"/>
  <c r="F137" i="15" s="1"/>
  <c r="G137" i="15" s="1"/>
  <c r="G138" i="15" s="1"/>
  <c r="I130" i="15"/>
  <c r="I131" i="15" s="1"/>
  <c r="M129" i="15"/>
  <c r="I129" i="15"/>
  <c r="I137" i="15" s="1"/>
  <c r="I140" i="15" s="1"/>
  <c r="I141" i="15" s="1"/>
  <c r="M124" i="15"/>
  <c r="M126" i="15" s="1"/>
  <c r="O126" i="15" s="1"/>
  <c r="F126" i="15" s="1"/>
  <c r="O123" i="15"/>
  <c r="F123" i="15" s="1"/>
  <c r="M123" i="15"/>
  <c r="I123" i="15"/>
  <c r="I124" i="15" s="1"/>
  <c r="O122" i="15"/>
  <c r="F122" i="15" s="1"/>
  <c r="H119" i="15"/>
  <c r="G119" i="15"/>
  <c r="I110" i="15"/>
  <c r="I111" i="15" s="1"/>
  <c r="I112" i="15" s="1"/>
  <c r="I113" i="15" s="1"/>
  <c r="I114" i="15" s="1"/>
  <c r="I109" i="15"/>
  <c r="I117" i="15" s="1"/>
  <c r="I118" i="15" s="1"/>
  <c r="M102" i="15"/>
  <c r="I102" i="15"/>
  <c r="I103" i="15" s="1"/>
  <c r="I104" i="15" s="1"/>
  <c r="I105" i="15" s="1"/>
  <c r="I106" i="15" s="1"/>
  <c r="O101" i="15"/>
  <c r="F101" i="15"/>
  <c r="M98" i="15"/>
  <c r="O98" i="15" s="1"/>
  <c r="F98" i="15" s="1"/>
  <c r="H98" i="15" s="1"/>
  <c r="O97" i="15"/>
  <c r="F97" i="15" s="1"/>
  <c r="M97" i="15"/>
  <c r="M88" i="15"/>
  <c r="I88" i="15"/>
  <c r="I97" i="15" s="1"/>
  <c r="I98" i="15" s="1"/>
  <c r="O80" i="15"/>
  <c r="F80" i="15" s="1"/>
  <c r="M80" i="15"/>
  <c r="M81" i="15" s="1"/>
  <c r="I80" i="15"/>
  <c r="O79" i="15"/>
  <c r="F79" i="15" s="1"/>
  <c r="M75" i="15"/>
  <c r="O75" i="15" s="1"/>
  <c r="F75" i="15" s="1"/>
  <c r="M66" i="15"/>
  <c r="M67" i="15" s="1"/>
  <c r="M68" i="15" s="1"/>
  <c r="I66" i="15"/>
  <c r="I75" i="15" s="1"/>
  <c r="I76" i="15" s="1"/>
  <c r="M59" i="15"/>
  <c r="M58" i="15"/>
  <c r="O58" i="15" s="1"/>
  <c r="F58" i="15" s="1"/>
  <c r="G58" i="15" s="1"/>
  <c r="I58" i="15"/>
  <c r="I59" i="15" s="1"/>
  <c r="I60" i="15" s="1"/>
  <c r="O57" i="15"/>
  <c r="F57" i="15" s="1"/>
  <c r="M50" i="15"/>
  <c r="M53" i="15" s="1"/>
  <c r="M54" i="15" s="1"/>
  <c r="O54" i="15" s="1"/>
  <c r="F54" i="15" s="1"/>
  <c r="I44" i="15"/>
  <c r="I45" i="15" s="1"/>
  <c r="I46" i="15" s="1"/>
  <c r="I47" i="15" s="1"/>
  <c r="M43" i="15"/>
  <c r="M44" i="15" s="1"/>
  <c r="M45" i="15" s="1"/>
  <c r="I43" i="15"/>
  <c r="I50" i="15" s="1"/>
  <c r="I53" i="15" s="1"/>
  <c r="I54" i="15" s="1"/>
  <c r="M38" i="15"/>
  <c r="I38" i="15"/>
  <c r="I39" i="15" s="1"/>
  <c r="I40" i="15" s="1"/>
  <c r="O37" i="15"/>
  <c r="F37" i="15" s="1"/>
  <c r="O33" i="15"/>
  <c r="F33" i="15" s="1"/>
  <c r="M33" i="15"/>
  <c r="M34" i="15" s="1"/>
  <c r="O34" i="15" s="1"/>
  <c r="F34" i="15" s="1"/>
  <c r="I33" i="15"/>
  <c r="I34" i="15" s="1"/>
  <c r="M24" i="15"/>
  <c r="I24" i="15"/>
  <c r="M16" i="15"/>
  <c r="M17" i="15" s="1"/>
  <c r="M18" i="15" s="1"/>
  <c r="I16" i="15"/>
  <c r="O15" i="15"/>
  <c r="F15" i="15" s="1"/>
  <c r="M484" i="14"/>
  <c r="M493" i="14" s="1"/>
  <c r="N312" i="14"/>
  <c r="M186" i="14"/>
  <c r="M195" i="14" s="1"/>
  <c r="M582" i="14"/>
  <c r="M577" i="14"/>
  <c r="M578" i="14" s="1"/>
  <c r="I576" i="14"/>
  <c r="I577" i="14" s="1"/>
  <c r="I578" i="14" s="1"/>
  <c r="I579" i="14" s="1"/>
  <c r="M575" i="14"/>
  <c r="M576" i="14" s="1"/>
  <c r="O576" i="14" s="1"/>
  <c r="F576" i="14" s="1"/>
  <c r="G576" i="14" s="1"/>
  <c r="I575" i="14"/>
  <c r="I582" i="14" s="1"/>
  <c r="I585" i="14" s="1"/>
  <c r="I586" i="14" s="1"/>
  <c r="M571" i="14"/>
  <c r="M570" i="14"/>
  <c r="O570" i="14" s="1"/>
  <c r="F570" i="14" s="1"/>
  <c r="I570" i="14"/>
  <c r="I571" i="14" s="1"/>
  <c r="I572" i="14" s="1"/>
  <c r="O569" i="14"/>
  <c r="F569" i="14" s="1"/>
  <c r="M566" i="14"/>
  <c r="M557" i="14"/>
  <c r="M558" i="14" s="1"/>
  <c r="I557" i="14"/>
  <c r="I566" i="14" s="1"/>
  <c r="I567" i="14" s="1"/>
  <c r="I550" i="14"/>
  <c r="M549" i="14"/>
  <c r="I549" i="14"/>
  <c r="I558" i="14" s="1"/>
  <c r="O548" i="14"/>
  <c r="F548" i="14" s="1"/>
  <c r="M544" i="14"/>
  <c r="O544" i="14" s="1"/>
  <c r="F544" i="14" s="1"/>
  <c r="G544" i="14" s="1"/>
  <c r="M537" i="14"/>
  <c r="I537" i="14"/>
  <c r="O535" i="14"/>
  <c r="F535" i="14" s="1"/>
  <c r="M535" i="14"/>
  <c r="M536" i="14" s="1"/>
  <c r="O536" i="14" s="1"/>
  <c r="F536" i="14" s="1"/>
  <c r="I535" i="14"/>
  <c r="I544" i="14" s="1"/>
  <c r="I545" i="14" s="1"/>
  <c r="M527" i="14"/>
  <c r="O527" i="14" s="1"/>
  <c r="F527" i="14" s="1"/>
  <c r="G527" i="14" s="1"/>
  <c r="I527" i="14"/>
  <c r="I528" i="14" s="1"/>
  <c r="I529" i="14" s="1"/>
  <c r="O526" i="14"/>
  <c r="F526" i="14" s="1"/>
  <c r="M519" i="14"/>
  <c r="I513" i="14"/>
  <c r="I514" i="14" s="1"/>
  <c r="I515" i="14" s="1"/>
  <c r="I516" i="14" s="1"/>
  <c r="M512" i="14"/>
  <c r="M513" i="14" s="1"/>
  <c r="I512" i="14"/>
  <c r="I519" i="14" s="1"/>
  <c r="I522" i="14" s="1"/>
  <c r="I523" i="14" s="1"/>
  <c r="M507" i="14"/>
  <c r="M508" i="14" s="1"/>
  <c r="I507" i="14"/>
  <c r="I508" i="14" s="1"/>
  <c r="I509" i="14" s="1"/>
  <c r="O506" i="14"/>
  <c r="F506" i="14" s="1"/>
  <c r="I493" i="14"/>
  <c r="I502" i="14" s="1"/>
  <c r="I503" i="14" s="1"/>
  <c r="I485" i="14"/>
  <c r="I486" i="14" s="1"/>
  <c r="M477" i="14"/>
  <c r="O477" i="14" s="1"/>
  <c r="F477" i="14" s="1"/>
  <c r="I471" i="14"/>
  <c r="I472" i="14" s="1"/>
  <c r="I473" i="14" s="1"/>
  <c r="I474" i="14" s="1"/>
  <c r="M470" i="14"/>
  <c r="I470" i="14"/>
  <c r="I477" i="14" s="1"/>
  <c r="I480" i="14" s="1"/>
  <c r="I481" i="14" s="1"/>
  <c r="M466" i="14"/>
  <c r="M465" i="14"/>
  <c r="O465" i="14" s="1"/>
  <c r="F465" i="14" s="1"/>
  <c r="I465" i="14"/>
  <c r="I466" i="14" s="1"/>
  <c r="I467" i="14" s="1"/>
  <c r="O464" i="14"/>
  <c r="F464" i="14" s="1"/>
  <c r="G464" i="14" s="1"/>
  <c r="I462" i="14"/>
  <c r="M461" i="14"/>
  <c r="I453" i="14"/>
  <c r="M452" i="14"/>
  <c r="M453" i="14" s="1"/>
  <c r="I452" i="14"/>
  <c r="I461" i="14" s="1"/>
  <c r="I445" i="14"/>
  <c r="I446" i="14" s="1"/>
  <c r="I447" i="14" s="1"/>
  <c r="I448" i="14" s="1"/>
  <c r="I457" i="14" s="1"/>
  <c r="M444" i="14"/>
  <c r="I444" i="14"/>
  <c r="O443" i="14"/>
  <c r="F443" i="14" s="1"/>
  <c r="G443" i="14" s="1"/>
  <c r="M439" i="14"/>
  <c r="N439" i="14" s="1"/>
  <c r="M430" i="14"/>
  <c r="M431" i="14" s="1"/>
  <c r="I430" i="14"/>
  <c r="I439" i="14" s="1"/>
  <c r="I440" i="14" s="1"/>
  <c r="M422" i="14"/>
  <c r="M423" i="14" s="1"/>
  <c r="M424" i="14" s="1"/>
  <c r="I422" i="14"/>
  <c r="O421" i="14"/>
  <c r="F421" i="14"/>
  <c r="G421" i="14" s="1"/>
  <c r="H419" i="14"/>
  <c r="G419" i="14"/>
  <c r="I410" i="14"/>
  <c r="I411" i="14" s="1"/>
  <c r="I412" i="14" s="1"/>
  <c r="I413" i="14" s="1"/>
  <c r="I414" i="14" s="1"/>
  <c r="I409" i="14"/>
  <c r="I417" i="14" s="1"/>
  <c r="I418" i="14" s="1"/>
  <c r="M402" i="14"/>
  <c r="O402" i="14" s="1"/>
  <c r="F402" i="14" s="1"/>
  <c r="I402" i="14"/>
  <c r="I403" i="14" s="1"/>
  <c r="I404" i="14" s="1"/>
  <c r="I405" i="14" s="1"/>
  <c r="I406" i="14" s="1"/>
  <c r="O401" i="14"/>
  <c r="F401" i="14" s="1"/>
  <c r="H398" i="14"/>
  <c r="G398" i="14"/>
  <c r="I389" i="14"/>
  <c r="I390" i="14" s="1"/>
  <c r="I391" i="14" s="1"/>
  <c r="I392" i="14" s="1"/>
  <c r="I393" i="14" s="1"/>
  <c r="I388" i="14"/>
  <c r="I396" i="14" s="1"/>
  <c r="I397" i="14" s="1"/>
  <c r="H382" i="14"/>
  <c r="M381" i="14"/>
  <c r="M382" i="14" s="1"/>
  <c r="O382" i="14" s="1"/>
  <c r="F382" i="14" s="1"/>
  <c r="G382" i="14" s="1"/>
  <c r="I381" i="14"/>
  <c r="I382" i="14" s="1"/>
  <c r="I383" i="14" s="1"/>
  <c r="I384" i="14" s="1"/>
  <c r="I385" i="14" s="1"/>
  <c r="O380" i="14"/>
  <c r="F380" i="14" s="1"/>
  <c r="M376" i="14"/>
  <c r="I376" i="14"/>
  <c r="I377" i="14" s="1"/>
  <c r="M367" i="14"/>
  <c r="M368" i="14" s="1"/>
  <c r="I367" i="14"/>
  <c r="M359" i="14"/>
  <c r="I359" i="14"/>
  <c r="I360" i="14" s="1"/>
  <c r="I369" i="14" s="1"/>
  <c r="O358" i="14"/>
  <c r="F358" i="14" s="1"/>
  <c r="M354" i="14"/>
  <c r="M355" i="14" s="1"/>
  <c r="O355" i="14" s="1"/>
  <c r="F355" i="14" s="1"/>
  <c r="M345" i="14"/>
  <c r="I345" i="14"/>
  <c r="I354" i="14" s="1"/>
  <c r="I355" i="14" s="1"/>
  <c r="M337" i="14"/>
  <c r="M338" i="14" s="1"/>
  <c r="I337" i="14"/>
  <c r="O336" i="14"/>
  <c r="F336" i="14" s="1"/>
  <c r="H336" i="14" s="1"/>
  <c r="M329" i="14"/>
  <c r="O329" i="14" s="1"/>
  <c r="F329" i="14" s="1"/>
  <c r="I323" i="14"/>
  <c r="I324" i="14" s="1"/>
  <c r="I325" i="14" s="1"/>
  <c r="I326" i="14" s="1"/>
  <c r="M322" i="14"/>
  <c r="I322" i="14"/>
  <c r="I329" i="14" s="1"/>
  <c r="I332" i="14" s="1"/>
  <c r="I333" i="14" s="1"/>
  <c r="M319" i="14"/>
  <c r="O319" i="14" s="1"/>
  <c r="F319" i="14" s="1"/>
  <c r="H319" i="14" s="1"/>
  <c r="O317" i="14"/>
  <c r="F317" i="14" s="1"/>
  <c r="M317" i="14"/>
  <c r="M318" i="14" s="1"/>
  <c r="O318" i="14" s="1"/>
  <c r="F318" i="14" s="1"/>
  <c r="G318" i="14" s="1"/>
  <c r="I317" i="14"/>
  <c r="I318" i="14" s="1"/>
  <c r="I319" i="14" s="1"/>
  <c r="O316" i="14"/>
  <c r="F316" i="14" s="1"/>
  <c r="M312" i="14"/>
  <c r="I303" i="14"/>
  <c r="I312" i="14" s="1"/>
  <c r="I313" i="14" s="1"/>
  <c r="I295" i="14"/>
  <c r="M290" i="14"/>
  <c r="O290" i="14" s="1"/>
  <c r="F290" i="14" s="1"/>
  <c r="G290" i="14" s="1"/>
  <c r="I283" i="14"/>
  <c r="M281" i="14"/>
  <c r="I281" i="14"/>
  <c r="I290" i="14" s="1"/>
  <c r="I291" i="14" s="1"/>
  <c r="I275" i="14"/>
  <c r="M273" i="14"/>
  <c r="I273" i="14"/>
  <c r="I274" i="14" s="1"/>
  <c r="O272" i="14"/>
  <c r="F272" i="14" s="1"/>
  <c r="O268" i="14"/>
  <c r="F268" i="14" s="1"/>
  <c r="M268" i="14"/>
  <c r="M269" i="14" s="1"/>
  <c r="O269" i="14" s="1"/>
  <c r="F269" i="14" s="1"/>
  <c r="M259" i="14"/>
  <c r="O259" i="14" s="1"/>
  <c r="F259" i="14" s="1"/>
  <c r="H259" i="14" s="1"/>
  <c r="I259" i="14"/>
  <c r="I268" i="14" s="1"/>
  <c r="I269" i="14" s="1"/>
  <c r="I252" i="14"/>
  <c r="I261" i="14" s="1"/>
  <c r="M251" i="14"/>
  <c r="M252" i="14" s="1"/>
  <c r="I251" i="14"/>
  <c r="I260" i="14" s="1"/>
  <c r="O250" i="14"/>
  <c r="F250" i="14" s="1"/>
  <c r="M243" i="14"/>
  <c r="O243" i="14" s="1"/>
  <c r="F243" i="14" s="1"/>
  <c r="I237" i="14"/>
  <c r="I238" i="14" s="1"/>
  <c r="I239" i="14" s="1"/>
  <c r="I240" i="14" s="1"/>
  <c r="M236" i="14"/>
  <c r="O236" i="14" s="1"/>
  <c r="F236" i="14" s="1"/>
  <c r="I236" i="14"/>
  <c r="I243" i="14" s="1"/>
  <c r="I246" i="14" s="1"/>
  <c r="I247" i="14" s="1"/>
  <c r="M231" i="14"/>
  <c r="M232" i="14" s="1"/>
  <c r="M233" i="14" s="1"/>
  <c r="O233" i="14" s="1"/>
  <c r="F233" i="14" s="1"/>
  <c r="I231" i="14"/>
  <c r="I232" i="14" s="1"/>
  <c r="I233" i="14" s="1"/>
  <c r="O230" i="14"/>
  <c r="F230" i="14" s="1"/>
  <c r="M223" i="14"/>
  <c r="O223" i="14" s="1"/>
  <c r="F223" i="14" s="1"/>
  <c r="I223" i="14"/>
  <c r="I226" i="14" s="1"/>
  <c r="I227" i="14" s="1"/>
  <c r="I216" i="14"/>
  <c r="I217" i="14" s="1"/>
  <c r="M215" i="14"/>
  <c r="O215" i="14" s="1"/>
  <c r="F215" i="14" s="1"/>
  <c r="I215" i="14"/>
  <c r="M210" i="14"/>
  <c r="M211" i="14" s="1"/>
  <c r="O211" i="14" s="1"/>
  <c r="F211" i="14" s="1"/>
  <c r="I210" i="14"/>
  <c r="I211" i="14" s="1"/>
  <c r="O209" i="14"/>
  <c r="F209" i="14" s="1"/>
  <c r="H209" i="14" s="1"/>
  <c r="M209" i="14"/>
  <c r="I209" i="14"/>
  <c r="O208" i="14"/>
  <c r="F208" i="14" s="1"/>
  <c r="M204" i="14"/>
  <c r="M205" i="14" s="1"/>
  <c r="O205" i="14" s="1"/>
  <c r="F205" i="14" s="1"/>
  <c r="I195" i="14"/>
  <c r="I204" i="14" s="1"/>
  <c r="I205" i="14" s="1"/>
  <c r="M187" i="14"/>
  <c r="O187" i="14" s="1"/>
  <c r="F187" i="14" s="1"/>
  <c r="I187" i="14"/>
  <c r="I196" i="14" s="1"/>
  <c r="O186" i="14"/>
  <c r="F186" i="14" s="1"/>
  <c r="H186" i="14" s="1"/>
  <c r="M182" i="14"/>
  <c r="M183" i="14" s="1"/>
  <c r="O183" i="14" s="1"/>
  <c r="F183" i="14" s="1"/>
  <c r="M173" i="14"/>
  <c r="M174" i="14" s="1"/>
  <c r="O174" i="14" s="1"/>
  <c r="F174" i="14" s="1"/>
  <c r="I173" i="14"/>
  <c r="I182" i="14" s="1"/>
  <c r="I183" i="14" s="1"/>
  <c r="M165" i="14"/>
  <c r="M166" i="14" s="1"/>
  <c r="O166" i="14" s="1"/>
  <c r="F166" i="14" s="1"/>
  <c r="I165" i="14"/>
  <c r="I174" i="14" s="1"/>
  <c r="O164" i="14"/>
  <c r="F164" i="14" s="1"/>
  <c r="H164" i="14" s="1"/>
  <c r="M157" i="14"/>
  <c r="M160" i="14" s="1"/>
  <c r="N160" i="14" s="1"/>
  <c r="I153" i="14"/>
  <c r="I154" i="14" s="1"/>
  <c r="I151" i="14"/>
  <c r="I152" i="14" s="1"/>
  <c r="M150" i="14"/>
  <c r="O150" i="14" s="1"/>
  <c r="F150" i="14" s="1"/>
  <c r="G150" i="14" s="1"/>
  <c r="I150" i="14"/>
  <c r="I157" i="14" s="1"/>
  <c r="I160" i="14" s="1"/>
  <c r="I161" i="14" s="1"/>
  <c r="M145" i="14"/>
  <c r="O145" i="14" s="1"/>
  <c r="F145" i="14" s="1"/>
  <c r="I145" i="14"/>
  <c r="I146" i="14" s="1"/>
  <c r="I147" i="14" s="1"/>
  <c r="O144" i="14"/>
  <c r="F144" i="14" s="1"/>
  <c r="M137" i="14"/>
  <c r="O137" i="14" s="1"/>
  <c r="F137" i="14" s="1"/>
  <c r="I137" i="14"/>
  <c r="I140" i="14" s="1"/>
  <c r="I141" i="14" s="1"/>
  <c r="I130" i="14"/>
  <c r="I131" i="14" s="1"/>
  <c r="M129" i="14"/>
  <c r="I129" i="14"/>
  <c r="O123" i="14"/>
  <c r="F123" i="14" s="1"/>
  <c r="M123" i="14"/>
  <c r="M124" i="14" s="1"/>
  <c r="M126" i="14" s="1"/>
  <c r="O126" i="14" s="1"/>
  <c r="F126" i="14" s="1"/>
  <c r="G126" i="14" s="1"/>
  <c r="I123" i="14"/>
  <c r="I124" i="14" s="1"/>
  <c r="O122" i="14"/>
  <c r="F122" i="14" s="1"/>
  <c r="H122" i="14" s="1"/>
  <c r="H119" i="14"/>
  <c r="G119" i="14"/>
  <c r="I111" i="14"/>
  <c r="I112" i="14" s="1"/>
  <c r="I113" i="14" s="1"/>
  <c r="I114" i="14" s="1"/>
  <c r="I110" i="14"/>
  <c r="I109" i="14"/>
  <c r="I117" i="14" s="1"/>
  <c r="I118" i="14" s="1"/>
  <c r="I103" i="14"/>
  <c r="I104" i="14" s="1"/>
  <c r="I105" i="14" s="1"/>
  <c r="I106" i="14" s="1"/>
  <c r="M102" i="14"/>
  <c r="O102" i="14" s="1"/>
  <c r="F102" i="14" s="1"/>
  <c r="H102" i="14" s="1"/>
  <c r="I102" i="14"/>
  <c r="O101" i="14"/>
  <c r="F101" i="14" s="1"/>
  <c r="O98" i="14"/>
  <c r="F98" i="14" s="1"/>
  <c r="G98" i="14" s="1"/>
  <c r="M97" i="14"/>
  <c r="M98" i="14" s="1"/>
  <c r="M88" i="14"/>
  <c r="M89" i="14" s="1"/>
  <c r="I88" i="14"/>
  <c r="I97" i="14" s="1"/>
  <c r="I98" i="14" s="1"/>
  <c r="M80" i="14"/>
  <c r="M81" i="14" s="1"/>
  <c r="M82" i="14" s="1"/>
  <c r="I80" i="14"/>
  <c r="I81" i="14" s="1"/>
  <c r="O79" i="14"/>
  <c r="F79" i="14" s="1"/>
  <c r="M75" i="14"/>
  <c r="O75" i="14" s="1"/>
  <c r="F75" i="14" s="1"/>
  <c r="M66" i="14"/>
  <c r="M67" i="14" s="1"/>
  <c r="M68" i="14" s="1"/>
  <c r="M69" i="14" s="1"/>
  <c r="I66" i="14"/>
  <c r="I75" i="14" s="1"/>
  <c r="I76" i="14" s="1"/>
  <c r="M58" i="14"/>
  <c r="O58" i="14" s="1"/>
  <c r="F58" i="14" s="1"/>
  <c r="G58" i="14" s="1"/>
  <c r="I58" i="14"/>
  <c r="O57" i="14"/>
  <c r="F57" i="14" s="1"/>
  <c r="M50" i="14"/>
  <c r="M53" i="14" s="1"/>
  <c r="I45" i="14"/>
  <c r="I46" i="14" s="1"/>
  <c r="I47" i="14" s="1"/>
  <c r="I44" i="14"/>
  <c r="M43" i="14"/>
  <c r="M44" i="14" s="1"/>
  <c r="M45" i="14" s="1"/>
  <c r="M46" i="14" s="1"/>
  <c r="I43" i="14"/>
  <c r="I50" i="14" s="1"/>
  <c r="I53" i="14" s="1"/>
  <c r="I54" i="14" s="1"/>
  <c r="M38" i="14"/>
  <c r="O38" i="14" s="1"/>
  <c r="I38" i="14"/>
  <c r="I39" i="14" s="1"/>
  <c r="I40" i="14" s="1"/>
  <c r="F38" i="14"/>
  <c r="G38" i="14" s="1"/>
  <c r="O37" i="14"/>
  <c r="F37" i="14"/>
  <c r="G37" i="14" s="1"/>
  <c r="I24" i="14"/>
  <c r="I33" i="14" s="1"/>
  <c r="I34" i="14" s="1"/>
  <c r="I16" i="14"/>
  <c r="I25" i="14" s="1"/>
  <c r="G568" i="19" l="1"/>
  <c r="G573" i="19"/>
  <c r="H573" i="19"/>
  <c r="O26" i="18"/>
  <c r="F26" i="18" s="1"/>
  <c r="M94" i="18"/>
  <c r="O94" i="18" s="1"/>
  <c r="F94" i="18" s="1"/>
  <c r="F95" i="18" s="1"/>
  <c r="G57" i="15"/>
  <c r="H57" i="15"/>
  <c r="M82" i="15"/>
  <c r="O81" i="15"/>
  <c r="F81" i="15" s="1"/>
  <c r="H444" i="15"/>
  <c r="G444" i="15"/>
  <c r="H318" i="14"/>
  <c r="O354" i="14"/>
  <c r="F354" i="14" s="1"/>
  <c r="I454" i="14"/>
  <c r="I536" i="14"/>
  <c r="O17" i="15"/>
  <c r="F17" i="15" s="1"/>
  <c r="H17" i="15" s="1"/>
  <c r="O53" i="15"/>
  <c r="F53" i="15" s="1"/>
  <c r="F55" i="15" s="1"/>
  <c r="O124" i="15"/>
  <c r="F124" i="15" s="1"/>
  <c r="H124" i="15" s="1"/>
  <c r="O259" i="15"/>
  <c r="F259" i="15" s="1"/>
  <c r="O477" i="15"/>
  <c r="F477" i="15" s="1"/>
  <c r="G477" i="15" s="1"/>
  <c r="G478" i="15" s="1"/>
  <c r="O485" i="15"/>
  <c r="F485" i="15" s="1"/>
  <c r="O544" i="15"/>
  <c r="F544" i="15" s="1"/>
  <c r="O570" i="15"/>
  <c r="F570" i="15" s="1"/>
  <c r="H107" i="19"/>
  <c r="H385" i="19"/>
  <c r="H386" i="19" s="1"/>
  <c r="H441" i="18"/>
  <c r="I494" i="14"/>
  <c r="M167" i="14"/>
  <c r="I188" i="14"/>
  <c r="I189" i="14" s="1"/>
  <c r="M403" i="14"/>
  <c r="O403" i="14" s="1"/>
  <c r="F403" i="14" s="1"/>
  <c r="I455" i="14"/>
  <c r="O484" i="14"/>
  <c r="F484" i="14" s="1"/>
  <c r="M502" i="14"/>
  <c r="M503" i="14" s="1"/>
  <c r="O503" i="14" s="1"/>
  <c r="F503" i="14" s="1"/>
  <c r="O66" i="15"/>
  <c r="F66" i="15" s="1"/>
  <c r="G66" i="15" s="1"/>
  <c r="O209" i="15"/>
  <c r="F209" i="15" s="1"/>
  <c r="H209" i="15" s="1"/>
  <c r="G260" i="15"/>
  <c r="I368" i="15"/>
  <c r="H470" i="15"/>
  <c r="I486" i="15"/>
  <c r="O502" i="15"/>
  <c r="F502" i="15" s="1"/>
  <c r="G502" i="15" s="1"/>
  <c r="O557" i="15"/>
  <c r="F557" i="15" s="1"/>
  <c r="H557" i="15" s="1"/>
  <c r="H378" i="18"/>
  <c r="G148" i="19"/>
  <c r="I426" i="18"/>
  <c r="I434" i="18"/>
  <c r="I456" i="14"/>
  <c r="M76" i="15"/>
  <c r="O76" i="15" s="1"/>
  <c r="F76" i="15" s="1"/>
  <c r="O430" i="15"/>
  <c r="F430" i="15" s="1"/>
  <c r="O527" i="15"/>
  <c r="F527" i="15" s="1"/>
  <c r="O43" i="14"/>
  <c r="F43" i="14" s="1"/>
  <c r="G43" i="14" s="1"/>
  <c r="I89" i="14"/>
  <c r="I361" i="14"/>
  <c r="I362" i="14" s="1"/>
  <c r="O43" i="15"/>
  <c r="F43" i="15" s="1"/>
  <c r="H43" i="15" s="1"/>
  <c r="O145" i="15"/>
  <c r="F145" i="15" s="1"/>
  <c r="I196" i="15"/>
  <c r="O303" i="15"/>
  <c r="F303" i="15" s="1"/>
  <c r="O317" i="15"/>
  <c r="F317" i="15" s="1"/>
  <c r="O369" i="15"/>
  <c r="F369" i="15" s="1"/>
  <c r="G369" i="15" s="1"/>
  <c r="O383" i="15"/>
  <c r="F383" i="15" s="1"/>
  <c r="I431" i="15"/>
  <c r="H506" i="15"/>
  <c r="R39" i="13"/>
  <c r="I284" i="19"/>
  <c r="I276" i="19"/>
  <c r="I449" i="14"/>
  <c r="I458" i="14" s="1"/>
  <c r="M485" i="14"/>
  <c r="I212" i="15"/>
  <c r="O368" i="15"/>
  <c r="F368" i="15" s="1"/>
  <c r="H368" i="15" s="1"/>
  <c r="I212" i="14"/>
  <c r="H576" i="14"/>
  <c r="M269" i="15"/>
  <c r="O269" i="15" s="1"/>
  <c r="F269" i="15" s="1"/>
  <c r="I304" i="15"/>
  <c r="M445" i="15"/>
  <c r="M446" i="15" s="1"/>
  <c r="M471" i="15"/>
  <c r="I553" i="18"/>
  <c r="I561" i="18"/>
  <c r="O195" i="15"/>
  <c r="F195" i="15" s="1"/>
  <c r="G195" i="15" s="1"/>
  <c r="I282" i="14"/>
  <c r="O452" i="14"/>
  <c r="F452" i="14" s="1"/>
  <c r="H452" i="14" s="1"/>
  <c r="G355" i="15"/>
  <c r="O402" i="15"/>
  <c r="F402" i="15" s="1"/>
  <c r="H402" i="15" s="1"/>
  <c r="G64" i="19"/>
  <c r="G504" i="19"/>
  <c r="G482" i="19"/>
  <c r="G339" i="19"/>
  <c r="H339" i="19"/>
  <c r="H346" i="19"/>
  <c r="G346" i="19"/>
  <c r="M341" i="19"/>
  <c r="O340" i="19"/>
  <c r="F340" i="19" s="1"/>
  <c r="M348" i="19"/>
  <c r="O347" i="19"/>
  <c r="F347" i="19" s="1"/>
  <c r="O324" i="19"/>
  <c r="F324" i="19" s="1"/>
  <c r="M325" i="19"/>
  <c r="G323" i="19"/>
  <c r="H323" i="19"/>
  <c r="H260" i="19"/>
  <c r="G260" i="19"/>
  <c r="O261" i="19"/>
  <c r="F261" i="19" s="1"/>
  <c r="M262" i="19"/>
  <c r="H237" i="19"/>
  <c r="G237" i="19"/>
  <c r="O238" i="19"/>
  <c r="F238" i="19" s="1"/>
  <c r="M239" i="19"/>
  <c r="H213" i="19"/>
  <c r="H148" i="19"/>
  <c r="H142" i="19"/>
  <c r="H524" i="18"/>
  <c r="G441" i="18"/>
  <c r="M341" i="18"/>
  <c r="O340" i="18"/>
  <c r="F340" i="18" s="1"/>
  <c r="G339" i="18"/>
  <c r="H339" i="18"/>
  <c r="H320" i="18"/>
  <c r="G320" i="18"/>
  <c r="G248" i="18"/>
  <c r="G162" i="18"/>
  <c r="H162" i="18"/>
  <c r="F596" i="18"/>
  <c r="H127" i="18"/>
  <c r="F64" i="18"/>
  <c r="H596" i="18"/>
  <c r="O197" i="19"/>
  <c r="F197" i="19" s="1"/>
  <c r="M198" i="19"/>
  <c r="M538" i="19"/>
  <c r="O537" i="19"/>
  <c r="F537" i="19" s="1"/>
  <c r="G84" i="19"/>
  <c r="H84" i="19"/>
  <c r="F86" i="19"/>
  <c r="M561" i="19"/>
  <c r="O560" i="19"/>
  <c r="F560" i="19" s="1"/>
  <c r="G360" i="19"/>
  <c r="H360" i="19"/>
  <c r="G515" i="19"/>
  <c r="H515" i="19"/>
  <c r="F517" i="19"/>
  <c r="G550" i="19"/>
  <c r="H550" i="19"/>
  <c r="O111" i="19"/>
  <c r="F111" i="19" s="1"/>
  <c r="M112" i="19"/>
  <c r="I264" i="19"/>
  <c r="I256" i="19"/>
  <c r="I265" i="19" s="1"/>
  <c r="G536" i="19"/>
  <c r="H536" i="19"/>
  <c r="I307" i="19"/>
  <c r="I299" i="19"/>
  <c r="H303" i="19"/>
  <c r="G303" i="19"/>
  <c r="H530" i="19"/>
  <c r="G530" i="19"/>
  <c r="M275" i="19"/>
  <c r="O274" i="19"/>
  <c r="F274" i="19" s="1"/>
  <c r="G130" i="19"/>
  <c r="H130" i="19"/>
  <c r="M170" i="19"/>
  <c r="O170" i="19" s="1"/>
  <c r="F170" i="19" s="1"/>
  <c r="O169" i="19"/>
  <c r="F169" i="19" s="1"/>
  <c r="M390" i="19"/>
  <c r="O389" i="19"/>
  <c r="F389" i="19" s="1"/>
  <c r="O361" i="19"/>
  <c r="F361" i="19" s="1"/>
  <c r="M362" i="19"/>
  <c r="G281" i="19"/>
  <c r="H281" i="19"/>
  <c r="O405" i="19"/>
  <c r="F405" i="19" s="1"/>
  <c r="M406" i="19"/>
  <c r="H455" i="19"/>
  <c r="G455" i="19"/>
  <c r="H482" i="19"/>
  <c r="G25" i="19"/>
  <c r="H25" i="19"/>
  <c r="M578" i="19"/>
  <c r="O577" i="19"/>
  <c r="F577" i="19" s="1"/>
  <c r="G44" i="19"/>
  <c r="H44" i="19"/>
  <c r="M497" i="19"/>
  <c r="O496" i="19"/>
  <c r="F496" i="19" s="1"/>
  <c r="M126" i="19"/>
  <c r="O126" i="19" s="1"/>
  <c r="F126" i="19" s="1"/>
  <c r="M125" i="19"/>
  <c r="O125" i="19" s="1"/>
  <c r="F125" i="19" s="1"/>
  <c r="F127" i="19" s="1"/>
  <c r="O124" i="19"/>
  <c r="F124" i="19" s="1"/>
  <c r="H168" i="19"/>
  <c r="G168" i="19"/>
  <c r="M189" i="19"/>
  <c r="O188" i="19"/>
  <c r="F188" i="19" s="1"/>
  <c r="M283" i="19"/>
  <c r="O282" i="19"/>
  <c r="F282" i="19" s="1"/>
  <c r="G486" i="19"/>
  <c r="H486" i="19"/>
  <c r="G68" i="19"/>
  <c r="H68" i="19"/>
  <c r="G110" i="19"/>
  <c r="H110" i="19"/>
  <c r="H232" i="19"/>
  <c r="G232" i="19"/>
  <c r="F292" i="19"/>
  <c r="G290" i="19"/>
  <c r="H290" i="19"/>
  <c r="I449" i="19"/>
  <c r="I458" i="19" s="1"/>
  <c r="I457" i="19"/>
  <c r="M447" i="19"/>
  <c r="O446" i="19"/>
  <c r="F446" i="19" s="1"/>
  <c r="M474" i="19"/>
  <c r="O474" i="19" s="1"/>
  <c r="F474" i="19" s="1"/>
  <c r="O473" i="19"/>
  <c r="F473" i="19" s="1"/>
  <c r="I489" i="19"/>
  <c r="I497" i="19"/>
  <c r="M305" i="19"/>
  <c r="O304" i="19"/>
  <c r="F304" i="19" s="1"/>
  <c r="M532" i="19"/>
  <c r="O532" i="19" s="1"/>
  <c r="F532" i="19" s="1"/>
  <c r="O531" i="19"/>
  <c r="F531" i="19" s="1"/>
  <c r="F206" i="19"/>
  <c r="G204" i="19"/>
  <c r="H204" i="19"/>
  <c r="G273" i="19"/>
  <c r="H273" i="19"/>
  <c r="I425" i="19"/>
  <c r="I433" i="19"/>
  <c r="H425" i="19"/>
  <c r="G425" i="19"/>
  <c r="I530" i="19"/>
  <c r="I538" i="19"/>
  <c r="H216" i="19"/>
  <c r="G216" i="19"/>
  <c r="M433" i="19"/>
  <c r="O432" i="19"/>
  <c r="F432" i="19" s="1"/>
  <c r="I27" i="19"/>
  <c r="I19" i="19"/>
  <c r="H152" i="19"/>
  <c r="G152" i="19"/>
  <c r="G388" i="19"/>
  <c r="H388" i="19"/>
  <c r="H313" i="19"/>
  <c r="G313" i="19"/>
  <c r="H253" i="19"/>
  <c r="G253" i="19"/>
  <c r="H370" i="19"/>
  <c r="G370" i="19"/>
  <c r="I362" i="19"/>
  <c r="I370" i="19"/>
  <c r="M457" i="19"/>
  <c r="O456" i="19"/>
  <c r="F456" i="19" s="1"/>
  <c r="O26" i="19"/>
  <c r="F26" i="19" s="1"/>
  <c r="M27" i="19"/>
  <c r="I553" i="19"/>
  <c r="I561" i="19"/>
  <c r="G576" i="19"/>
  <c r="H576" i="19"/>
  <c r="H21" i="19"/>
  <c r="G21" i="19"/>
  <c r="M297" i="19"/>
  <c r="O296" i="19"/>
  <c r="F296" i="19" s="1"/>
  <c r="O176" i="19"/>
  <c r="F176" i="19" s="1"/>
  <c r="M177" i="19"/>
  <c r="M132" i="19"/>
  <c r="O132" i="19" s="1"/>
  <c r="F132" i="19" s="1"/>
  <c r="O131" i="19"/>
  <c r="F131" i="19" s="1"/>
  <c r="M133" i="19"/>
  <c r="G404" i="19"/>
  <c r="H404" i="19"/>
  <c r="G20" i="19"/>
  <c r="H20" i="19"/>
  <c r="H22" i="19" s="1"/>
  <c r="F22" i="19"/>
  <c r="O45" i="19"/>
  <c r="F45" i="19" s="1"/>
  <c r="M46" i="19"/>
  <c r="H233" i="19"/>
  <c r="G233" i="19"/>
  <c r="I348" i="19"/>
  <c r="I340" i="19"/>
  <c r="G295" i="19"/>
  <c r="H295" i="19"/>
  <c r="G196" i="19"/>
  <c r="H196" i="19"/>
  <c r="H291" i="19"/>
  <c r="G291" i="19"/>
  <c r="G445" i="19"/>
  <c r="H445" i="19"/>
  <c r="G472" i="19"/>
  <c r="H472" i="19"/>
  <c r="H495" i="19"/>
  <c r="G495" i="19"/>
  <c r="H568" i="19"/>
  <c r="I177" i="19"/>
  <c r="I169" i="19"/>
  <c r="G85" i="19"/>
  <c r="H85" i="19"/>
  <c r="H123" i="19"/>
  <c r="G123" i="19"/>
  <c r="H205" i="19"/>
  <c r="G205" i="19"/>
  <c r="M427" i="19"/>
  <c r="O427" i="19" s="1"/>
  <c r="F427" i="19" s="1"/>
  <c r="O426" i="19"/>
  <c r="F426" i="19" s="1"/>
  <c r="G386" i="19"/>
  <c r="H559" i="19"/>
  <c r="G559" i="19"/>
  <c r="H175" i="19"/>
  <c r="G175" i="19"/>
  <c r="O217" i="19"/>
  <c r="F217" i="19" s="1"/>
  <c r="M219" i="19"/>
  <c r="M218" i="19"/>
  <c r="O218" i="19" s="1"/>
  <c r="F218" i="19" s="1"/>
  <c r="G431" i="19"/>
  <c r="H431" i="19"/>
  <c r="G142" i="19"/>
  <c r="O153" i="19"/>
  <c r="F153" i="19" s="1"/>
  <c r="M154" i="19"/>
  <c r="O154" i="19" s="1"/>
  <c r="F154" i="19" s="1"/>
  <c r="H187" i="19"/>
  <c r="G187" i="19"/>
  <c r="G312" i="19"/>
  <c r="F314" i="19"/>
  <c r="H312" i="19"/>
  <c r="M255" i="19"/>
  <c r="O254" i="19"/>
  <c r="F254" i="19" s="1"/>
  <c r="M372" i="19"/>
  <c r="O371" i="19"/>
  <c r="F371" i="19" s="1"/>
  <c r="G516" i="19"/>
  <c r="H516" i="19"/>
  <c r="M488" i="19"/>
  <c r="O487" i="19"/>
  <c r="F487" i="19" s="1"/>
  <c r="M552" i="19"/>
  <c r="O551" i="19"/>
  <c r="F551" i="19" s="1"/>
  <c r="I69" i="19"/>
  <c r="I61" i="19"/>
  <c r="O69" i="19"/>
  <c r="F69" i="19" s="1"/>
  <c r="M70" i="19"/>
  <c r="I198" i="19"/>
  <c r="I190" i="19"/>
  <c r="O369" i="18"/>
  <c r="F369" i="18" s="1"/>
  <c r="M370" i="18"/>
  <c r="M530" i="18"/>
  <c r="O529" i="18"/>
  <c r="F529" i="18" s="1"/>
  <c r="I448" i="18"/>
  <c r="I456" i="18"/>
  <c r="H227" i="18"/>
  <c r="G227" i="18"/>
  <c r="M298" i="18"/>
  <c r="O297" i="18"/>
  <c r="F297" i="18" s="1"/>
  <c r="H509" i="18"/>
  <c r="G509" i="18"/>
  <c r="M177" i="18"/>
  <c r="O176" i="18"/>
  <c r="F176" i="18" s="1"/>
  <c r="I28" i="18"/>
  <c r="I20" i="18"/>
  <c r="H314" i="18"/>
  <c r="M263" i="18"/>
  <c r="O262" i="18"/>
  <c r="F262" i="18" s="1"/>
  <c r="I498" i="18"/>
  <c r="I490" i="18"/>
  <c r="I499" i="18" s="1"/>
  <c r="I62" i="18"/>
  <c r="I70" i="18"/>
  <c r="O308" i="18"/>
  <c r="F308" i="18" s="1"/>
  <c r="M309" i="18"/>
  <c r="O309" i="18" s="1"/>
  <c r="F309" i="18" s="1"/>
  <c r="H253" i="18"/>
  <c r="G253" i="18"/>
  <c r="M84" i="18"/>
  <c r="O83" i="18"/>
  <c r="F83" i="18" s="1"/>
  <c r="H346" i="18"/>
  <c r="G346" i="18"/>
  <c r="M487" i="18"/>
  <c r="O486" i="18"/>
  <c r="F486" i="18" s="1"/>
  <c r="M47" i="18"/>
  <c r="O47" i="18" s="1"/>
  <c r="F47" i="18" s="1"/>
  <c r="O46" i="18"/>
  <c r="F46" i="18" s="1"/>
  <c r="O274" i="18"/>
  <c r="F274" i="18" s="1"/>
  <c r="M275" i="18"/>
  <c r="M425" i="18"/>
  <c r="O424" i="18"/>
  <c r="F424" i="18" s="1"/>
  <c r="O219" i="18"/>
  <c r="F219" i="18" s="1"/>
  <c r="M220" i="18"/>
  <c r="O220" i="18" s="1"/>
  <c r="F220" i="18" s="1"/>
  <c r="H68" i="18"/>
  <c r="G68" i="18"/>
  <c r="H551" i="18"/>
  <c r="G551" i="18"/>
  <c r="O578" i="18"/>
  <c r="F578" i="18" s="1"/>
  <c r="M579" i="18"/>
  <c r="O579" i="18" s="1"/>
  <c r="F579" i="18" s="1"/>
  <c r="G296" i="18"/>
  <c r="H296" i="18"/>
  <c r="M456" i="18"/>
  <c r="O455" i="18"/>
  <c r="F455" i="18" s="1"/>
  <c r="H383" i="18"/>
  <c r="G383" i="18"/>
  <c r="G596" i="18"/>
  <c r="H197" i="18"/>
  <c r="G197" i="18"/>
  <c r="M109" i="18"/>
  <c r="O106" i="18"/>
  <c r="F106" i="18" s="1"/>
  <c r="O405" i="18"/>
  <c r="F405" i="18" s="1"/>
  <c r="M406" i="18"/>
  <c r="H45" i="18"/>
  <c r="G45" i="18"/>
  <c r="G273" i="18"/>
  <c r="H273" i="18"/>
  <c r="G480" i="18"/>
  <c r="F482" i="18"/>
  <c r="H480" i="18"/>
  <c r="H423" i="18"/>
  <c r="G423" i="18"/>
  <c r="G63" i="18"/>
  <c r="H63" i="18"/>
  <c r="O282" i="18"/>
  <c r="F282" i="18" s="1"/>
  <c r="M283" i="18"/>
  <c r="O168" i="18"/>
  <c r="F168" i="18" s="1"/>
  <c r="M169" i="18"/>
  <c r="O552" i="18"/>
  <c r="F552" i="18" s="1"/>
  <c r="M553" i="18"/>
  <c r="G473" i="18"/>
  <c r="H473" i="18"/>
  <c r="F475" i="18"/>
  <c r="H514" i="18"/>
  <c r="G514" i="18"/>
  <c r="I276" i="18"/>
  <c r="I284" i="18"/>
  <c r="H360" i="18"/>
  <c r="G360" i="18"/>
  <c r="I255" i="18"/>
  <c r="I263" i="18"/>
  <c r="G454" i="18"/>
  <c r="H454" i="18"/>
  <c r="H290" i="18"/>
  <c r="G290" i="18"/>
  <c r="F292" i="18"/>
  <c r="H189" i="18"/>
  <c r="G189" i="18"/>
  <c r="M385" i="18"/>
  <c r="O384" i="18"/>
  <c r="F384" i="18" s="1"/>
  <c r="H248" i="18"/>
  <c r="M199" i="18"/>
  <c r="O198" i="18"/>
  <c r="F198" i="18" s="1"/>
  <c r="I340" i="18"/>
  <c r="I348" i="18"/>
  <c r="M449" i="18"/>
  <c r="O449" i="18" s="1"/>
  <c r="F449" i="18" s="1"/>
  <c r="O448" i="18"/>
  <c r="F448" i="18" s="1"/>
  <c r="H132" i="18"/>
  <c r="G132" i="18"/>
  <c r="H537" i="18"/>
  <c r="G537" i="18"/>
  <c r="H559" i="18"/>
  <c r="G559" i="18"/>
  <c r="G55" i="18"/>
  <c r="G213" i="18"/>
  <c r="G502" i="18"/>
  <c r="F504" i="18"/>
  <c r="H502" i="18"/>
  <c r="H93" i="18"/>
  <c r="G93" i="18"/>
  <c r="M240" i="18"/>
  <c r="O240" i="18" s="1"/>
  <c r="F240" i="18" s="1"/>
  <c r="O239" i="18"/>
  <c r="F239" i="18" s="1"/>
  <c r="H218" i="18"/>
  <c r="G218" i="18"/>
  <c r="I169" i="18"/>
  <c r="I177" i="18"/>
  <c r="M70" i="18"/>
  <c r="O69" i="18"/>
  <c r="F69" i="18" s="1"/>
  <c r="H152" i="18"/>
  <c r="G152" i="18"/>
  <c r="H432" i="18"/>
  <c r="G432" i="18"/>
  <c r="H577" i="18"/>
  <c r="G577" i="18"/>
  <c r="H26" i="18"/>
  <c r="G26" i="18"/>
  <c r="H141" i="18"/>
  <c r="G141" i="18"/>
  <c r="H323" i="18"/>
  <c r="G323" i="18"/>
  <c r="M496" i="18"/>
  <c r="O495" i="18"/>
  <c r="F495" i="18" s="1"/>
  <c r="M21" i="18"/>
  <c r="O21" i="18" s="1"/>
  <c r="F21" i="18" s="1"/>
  <c r="O20" i="18"/>
  <c r="F20" i="18" s="1"/>
  <c r="G378" i="18"/>
  <c r="H105" i="18"/>
  <c r="G105" i="18"/>
  <c r="F107" i="18"/>
  <c r="M134" i="18"/>
  <c r="O134" i="18" s="1"/>
  <c r="F134" i="18" s="1"/>
  <c r="O133" i="18"/>
  <c r="F133" i="18" s="1"/>
  <c r="G468" i="18"/>
  <c r="I307" i="18"/>
  <c r="I299" i="18"/>
  <c r="H404" i="18"/>
  <c r="G404" i="18"/>
  <c r="H481" i="18"/>
  <c r="G481" i="18"/>
  <c r="H62" i="18"/>
  <c r="G62" i="18"/>
  <c r="G64" i="18" s="1"/>
  <c r="H281" i="18"/>
  <c r="G281" i="18"/>
  <c r="H167" i="18"/>
  <c r="G167" i="18"/>
  <c r="O433" i="18"/>
  <c r="F433" i="18" s="1"/>
  <c r="M434" i="18"/>
  <c r="H474" i="18"/>
  <c r="G474" i="18"/>
  <c r="O515" i="18"/>
  <c r="F515" i="18" s="1"/>
  <c r="M516" i="18"/>
  <c r="O516" i="18" s="1"/>
  <c r="F516" i="18" s="1"/>
  <c r="F228" i="18"/>
  <c r="G226" i="18"/>
  <c r="G228" i="18" s="1"/>
  <c r="H226" i="18"/>
  <c r="O27" i="18"/>
  <c r="F27" i="18" s="1"/>
  <c r="M28" i="18"/>
  <c r="G175" i="18"/>
  <c r="H175" i="18"/>
  <c r="H468" i="18"/>
  <c r="H503" i="18"/>
  <c r="G503" i="18"/>
  <c r="O254" i="18"/>
  <c r="F254" i="18" s="1"/>
  <c r="M255" i="18"/>
  <c r="G82" i="18"/>
  <c r="H82" i="18"/>
  <c r="I191" i="18"/>
  <c r="I199" i="18"/>
  <c r="F510" i="18"/>
  <c r="G485" i="18"/>
  <c r="H485" i="18"/>
  <c r="G127" i="18"/>
  <c r="G217" i="18"/>
  <c r="H217" i="18"/>
  <c r="G368" i="18"/>
  <c r="H368" i="18"/>
  <c r="M154" i="18"/>
  <c r="O154" i="18" s="1"/>
  <c r="F154" i="18" s="1"/>
  <c r="O153" i="18"/>
  <c r="F153" i="18" s="1"/>
  <c r="G528" i="18"/>
  <c r="H528" i="18"/>
  <c r="G524" i="18"/>
  <c r="M362" i="18"/>
  <c r="O361" i="18"/>
  <c r="F361" i="18" s="1"/>
  <c r="G508" i="18"/>
  <c r="H508" i="18"/>
  <c r="G291" i="18"/>
  <c r="H291" i="18"/>
  <c r="O190" i="18"/>
  <c r="F190" i="18" s="1"/>
  <c r="M191" i="18"/>
  <c r="F142" i="18"/>
  <c r="H140" i="18"/>
  <c r="G140" i="18"/>
  <c r="I371" i="18"/>
  <c r="I363" i="18"/>
  <c r="M325" i="18"/>
  <c r="O324" i="18"/>
  <c r="F324" i="18" s="1"/>
  <c r="G494" i="18"/>
  <c r="H494" i="18"/>
  <c r="H19" i="18"/>
  <c r="G19" i="18"/>
  <c r="G314" i="18"/>
  <c r="H261" i="18"/>
  <c r="G261" i="18"/>
  <c r="G447" i="18"/>
  <c r="H447" i="18"/>
  <c r="F450" i="18"/>
  <c r="H131" i="18"/>
  <c r="G131" i="18"/>
  <c r="O538" i="18"/>
  <c r="F538" i="18" s="1"/>
  <c r="M539" i="18"/>
  <c r="M561" i="18"/>
  <c r="O560" i="18"/>
  <c r="F560" i="18" s="1"/>
  <c r="H55" i="18"/>
  <c r="H307" i="18"/>
  <c r="G307" i="18"/>
  <c r="G94" i="18"/>
  <c r="H94" i="18"/>
  <c r="G238" i="18"/>
  <c r="H238" i="18"/>
  <c r="M348" i="18"/>
  <c r="O347" i="18"/>
  <c r="F347" i="18" s="1"/>
  <c r="I530" i="18"/>
  <c r="I538" i="18"/>
  <c r="H34" i="15"/>
  <c r="G34" i="15"/>
  <c r="H76" i="15"/>
  <c r="G76" i="15"/>
  <c r="I17" i="15"/>
  <c r="I25" i="15"/>
  <c r="M25" i="15"/>
  <c r="O24" i="15"/>
  <c r="F24" i="15" s="1"/>
  <c r="G75" i="15"/>
  <c r="F77" i="15"/>
  <c r="G126" i="15"/>
  <c r="H126" i="15"/>
  <c r="H183" i="15"/>
  <c r="G183" i="15"/>
  <c r="M19" i="15"/>
  <c r="O18" i="15"/>
  <c r="F18" i="15" s="1"/>
  <c r="H33" i="15"/>
  <c r="H35" i="15" s="1"/>
  <c r="G33" i="15"/>
  <c r="G35" i="15" s="1"/>
  <c r="F35" i="15"/>
  <c r="H54" i="15"/>
  <c r="G54" i="15"/>
  <c r="I81" i="15"/>
  <c r="I89" i="15"/>
  <c r="M83" i="15"/>
  <c r="O82" i="15"/>
  <c r="F82" i="15" s="1"/>
  <c r="G98" i="15"/>
  <c r="I126" i="15"/>
  <c r="I125" i="15"/>
  <c r="H37" i="15"/>
  <c r="G37" i="15"/>
  <c r="H53" i="15"/>
  <c r="H55" i="15" s="1"/>
  <c r="H79" i="15"/>
  <c r="G79" i="15"/>
  <c r="H97" i="15"/>
  <c r="H99" i="15" s="1"/>
  <c r="G97" i="15"/>
  <c r="F99" i="15"/>
  <c r="M103" i="15"/>
  <c r="O102" i="15"/>
  <c r="F102" i="15" s="1"/>
  <c r="H122" i="15"/>
  <c r="G122" i="15"/>
  <c r="G17" i="15"/>
  <c r="M46" i="15"/>
  <c r="O45" i="15"/>
  <c r="F45" i="15" s="1"/>
  <c r="O44" i="15"/>
  <c r="F44" i="15" s="1"/>
  <c r="H58" i="15"/>
  <c r="M60" i="15"/>
  <c r="O59" i="15"/>
  <c r="F59" i="15" s="1"/>
  <c r="O67" i="15"/>
  <c r="F67" i="15" s="1"/>
  <c r="M39" i="15"/>
  <c r="O38" i="15"/>
  <c r="F38" i="15" s="1"/>
  <c r="H66" i="15"/>
  <c r="H101" i="15"/>
  <c r="G101" i="15"/>
  <c r="H15" i="15"/>
  <c r="G15" i="15"/>
  <c r="G43" i="15"/>
  <c r="G53" i="15"/>
  <c r="I61" i="15"/>
  <c r="I69" i="15"/>
  <c r="M69" i="15"/>
  <c r="O68" i="15"/>
  <c r="F68" i="15" s="1"/>
  <c r="I68" i="15"/>
  <c r="H75" i="15"/>
  <c r="H77" i="15" s="1"/>
  <c r="H80" i="15"/>
  <c r="G80" i="15"/>
  <c r="M89" i="15"/>
  <c r="O88" i="15"/>
  <c r="F88" i="15" s="1"/>
  <c r="H123" i="15"/>
  <c r="G123" i="15"/>
  <c r="I166" i="15"/>
  <c r="I174" i="15"/>
  <c r="M174" i="15"/>
  <c r="O173" i="15"/>
  <c r="F173" i="15" s="1"/>
  <c r="M247" i="15"/>
  <c r="O247" i="15" s="1"/>
  <c r="F247" i="15" s="1"/>
  <c r="O246" i="15"/>
  <c r="F246" i="15" s="1"/>
  <c r="H294" i="15"/>
  <c r="G294" i="15"/>
  <c r="H303" i="15"/>
  <c r="G303" i="15"/>
  <c r="M377" i="15"/>
  <c r="O377" i="15" s="1"/>
  <c r="F377" i="15" s="1"/>
  <c r="O376" i="15"/>
  <c r="F376" i="15" s="1"/>
  <c r="M125" i="15"/>
  <c r="O125" i="15" s="1"/>
  <c r="F125" i="15" s="1"/>
  <c r="I133" i="15"/>
  <c r="I134" i="15" s="1"/>
  <c r="I132" i="15"/>
  <c r="M141" i="15"/>
  <c r="O141" i="15" s="1"/>
  <c r="F141" i="15" s="1"/>
  <c r="O140" i="15"/>
  <c r="F140" i="15" s="1"/>
  <c r="H144" i="15"/>
  <c r="G160" i="15"/>
  <c r="M161" i="15"/>
  <c r="O161" i="15" s="1"/>
  <c r="F161" i="15" s="1"/>
  <c r="F162" i="15" s="1"/>
  <c r="M168" i="15"/>
  <c r="O167" i="15"/>
  <c r="F167" i="15" s="1"/>
  <c r="M211" i="15"/>
  <c r="O211" i="15" s="1"/>
  <c r="F211" i="15" s="1"/>
  <c r="O210" i="15"/>
  <c r="F210" i="15" s="1"/>
  <c r="M212" i="15"/>
  <c r="O212" i="15" s="1"/>
  <c r="F212" i="15" s="1"/>
  <c r="I218" i="15"/>
  <c r="I219" i="15"/>
  <c r="I220" i="15" s="1"/>
  <c r="H230" i="15"/>
  <c r="G230" i="15"/>
  <c r="O232" i="15"/>
  <c r="F232" i="15" s="1"/>
  <c r="M238" i="15"/>
  <c r="O237" i="15"/>
  <c r="F237" i="15" s="1"/>
  <c r="I274" i="15"/>
  <c r="I282" i="15"/>
  <c r="I362" i="15"/>
  <c r="I370" i="15"/>
  <c r="H380" i="15"/>
  <c r="G380" i="15"/>
  <c r="M147" i="15"/>
  <c r="O147" i="15" s="1"/>
  <c r="F147" i="15" s="1"/>
  <c r="O146" i="15"/>
  <c r="F146" i="15" s="1"/>
  <c r="O16" i="15"/>
  <c r="F16" i="15" s="1"/>
  <c r="I67" i="15"/>
  <c r="G166" i="15"/>
  <c r="I189" i="15"/>
  <c r="I197" i="15"/>
  <c r="M197" i="15"/>
  <c r="O196" i="15"/>
  <c r="F196" i="15" s="1"/>
  <c r="M205" i="15"/>
  <c r="O205" i="15" s="1"/>
  <c r="F205" i="15" s="1"/>
  <c r="O204" i="15"/>
  <c r="F204" i="15" s="1"/>
  <c r="H208" i="15"/>
  <c r="M217" i="15"/>
  <c r="O216" i="15"/>
  <c r="F216" i="15" s="1"/>
  <c r="F244" i="15"/>
  <c r="H243" i="15"/>
  <c r="H244" i="15" s="1"/>
  <c r="G250" i="15"/>
  <c r="H250" i="15"/>
  <c r="H269" i="15"/>
  <c r="H270" i="15" s="1"/>
  <c r="G269" i="15"/>
  <c r="M282" i="15"/>
  <c r="O281" i="15"/>
  <c r="F281" i="15" s="1"/>
  <c r="H291" i="15"/>
  <c r="G291" i="15"/>
  <c r="H381" i="15"/>
  <c r="G381" i="15"/>
  <c r="O50" i="15"/>
  <c r="F50" i="15" s="1"/>
  <c r="M130" i="15"/>
  <c r="O129" i="15"/>
  <c r="F129" i="15" s="1"/>
  <c r="F138" i="15"/>
  <c r="H137" i="15"/>
  <c r="H138" i="15" s="1"/>
  <c r="M151" i="15"/>
  <c r="O150" i="15"/>
  <c r="F150" i="15" s="1"/>
  <c r="H164" i="15"/>
  <c r="G164" i="15"/>
  <c r="H186" i="15"/>
  <c r="G186" i="15"/>
  <c r="M188" i="15"/>
  <c r="O187" i="15"/>
  <c r="F187" i="15" s="1"/>
  <c r="H195" i="15"/>
  <c r="G209" i="15"/>
  <c r="G215" i="15"/>
  <c r="G226" i="15"/>
  <c r="M227" i="15"/>
  <c r="O227" i="15" s="1"/>
  <c r="F227" i="15" s="1"/>
  <c r="H233" i="15"/>
  <c r="G233" i="15"/>
  <c r="M296" i="15"/>
  <c r="O295" i="15"/>
  <c r="F295" i="15" s="1"/>
  <c r="H383" i="15"/>
  <c r="G383" i="15"/>
  <c r="M253" i="15"/>
  <c r="O252" i="15"/>
  <c r="F252" i="15" s="1"/>
  <c r="M276" i="15"/>
  <c r="O275" i="15"/>
  <c r="F275" i="15" s="1"/>
  <c r="H290" i="15"/>
  <c r="H292" i="15" s="1"/>
  <c r="G290" i="15"/>
  <c r="G292" i="15" s="1"/>
  <c r="F292" i="15"/>
  <c r="M323" i="15"/>
  <c r="O322" i="15"/>
  <c r="F322" i="15" s="1"/>
  <c r="H336" i="15"/>
  <c r="G336" i="15"/>
  <c r="M371" i="15"/>
  <c r="O370" i="15"/>
  <c r="F370" i="15" s="1"/>
  <c r="M467" i="15"/>
  <c r="O467" i="15" s="1"/>
  <c r="F467" i="15" s="1"/>
  <c r="O466" i="15"/>
  <c r="F466" i="15" s="1"/>
  <c r="O157" i="15"/>
  <c r="F157" i="15" s="1"/>
  <c r="O165" i="15"/>
  <c r="F165" i="15" s="1"/>
  <c r="O182" i="15"/>
  <c r="F182" i="15" s="1"/>
  <c r="O223" i="15"/>
  <c r="F223" i="15" s="1"/>
  <c r="O231" i="15"/>
  <c r="F231" i="15" s="1"/>
  <c r="I254" i="15"/>
  <c r="I262" i="15"/>
  <c r="M262" i="15"/>
  <c r="O261" i="15"/>
  <c r="F261" i="15" s="1"/>
  <c r="I261" i="15"/>
  <c r="M319" i="15"/>
  <c r="O319" i="15" s="1"/>
  <c r="F319" i="15" s="1"/>
  <c r="O318" i="15"/>
  <c r="F318" i="15" s="1"/>
  <c r="I338" i="15"/>
  <c r="I346" i="15"/>
  <c r="M346" i="15"/>
  <c r="O345" i="15"/>
  <c r="F345" i="15" s="1"/>
  <c r="H358" i="15"/>
  <c r="G358" i="15"/>
  <c r="M360" i="15"/>
  <c r="O359" i="15"/>
  <c r="F359" i="15" s="1"/>
  <c r="G368" i="15"/>
  <c r="M385" i="15"/>
  <c r="O384" i="15"/>
  <c r="F384" i="15" s="1"/>
  <c r="H259" i="15"/>
  <c r="G259" i="15"/>
  <c r="G268" i="15"/>
  <c r="G270" i="15" s="1"/>
  <c r="F270" i="15"/>
  <c r="H272" i="15"/>
  <c r="G272" i="15"/>
  <c r="O274" i="15"/>
  <c r="F274" i="15" s="1"/>
  <c r="I297" i="15"/>
  <c r="I305" i="15"/>
  <c r="M305" i="15"/>
  <c r="O304" i="15"/>
  <c r="F304" i="15" s="1"/>
  <c r="M313" i="15"/>
  <c r="O313" i="15" s="1"/>
  <c r="F313" i="15" s="1"/>
  <c r="O312" i="15"/>
  <c r="F312" i="15" s="1"/>
  <c r="H316" i="15"/>
  <c r="G332" i="15"/>
  <c r="M333" i="15"/>
  <c r="O333" i="15" s="1"/>
  <c r="F333" i="15" s="1"/>
  <c r="M340" i="15"/>
  <c r="O339" i="15"/>
  <c r="F339" i="15" s="1"/>
  <c r="H354" i="15"/>
  <c r="H356" i="15" s="1"/>
  <c r="G354" i="15"/>
  <c r="F356" i="15"/>
  <c r="H367" i="15"/>
  <c r="M481" i="15"/>
  <c r="O481" i="15" s="1"/>
  <c r="F481" i="15" s="1"/>
  <c r="O480" i="15"/>
  <c r="F480" i="15" s="1"/>
  <c r="G507" i="15"/>
  <c r="H507" i="15"/>
  <c r="M404" i="15"/>
  <c r="O403" i="15"/>
  <c r="F403" i="15" s="1"/>
  <c r="I424" i="15"/>
  <c r="I432" i="15"/>
  <c r="M432" i="15"/>
  <c r="O431" i="15"/>
  <c r="F431" i="15" s="1"/>
  <c r="M440" i="15"/>
  <c r="O440" i="15" s="1"/>
  <c r="F440" i="15" s="1"/>
  <c r="O439" i="15"/>
  <c r="F439" i="15" s="1"/>
  <c r="H443" i="15"/>
  <c r="H453" i="15"/>
  <c r="G453" i="15"/>
  <c r="H462" i="15"/>
  <c r="H463" i="15" s="1"/>
  <c r="G462" i="15"/>
  <c r="I260" i="15"/>
  <c r="O273" i="15"/>
  <c r="F273" i="15" s="1"/>
  <c r="O329" i="15"/>
  <c r="F329" i="15" s="1"/>
  <c r="O337" i="15"/>
  <c r="F337" i="15" s="1"/>
  <c r="I369" i="15"/>
  <c r="O382" i="15"/>
  <c r="F382" i="15" s="1"/>
  <c r="H401" i="15"/>
  <c r="H421" i="15"/>
  <c r="G421" i="15"/>
  <c r="M423" i="15"/>
  <c r="O422" i="15"/>
  <c r="F422" i="15" s="1"/>
  <c r="H430" i="15"/>
  <c r="I446" i="15"/>
  <c r="I454" i="15"/>
  <c r="M487" i="15"/>
  <c r="O486" i="15"/>
  <c r="F486" i="15" s="1"/>
  <c r="G430" i="15"/>
  <c r="H544" i="15"/>
  <c r="H546" i="15" s="1"/>
  <c r="G544" i="15"/>
  <c r="F546" i="15"/>
  <c r="M455" i="15"/>
  <c r="O454" i="15"/>
  <c r="F454" i="15" s="1"/>
  <c r="H503" i="15"/>
  <c r="G503" i="15"/>
  <c r="G504" i="15" s="1"/>
  <c r="O445" i="15"/>
  <c r="F445" i="15" s="1"/>
  <c r="H452" i="15"/>
  <c r="G461" i="15"/>
  <c r="F463" i="15"/>
  <c r="H464" i="15"/>
  <c r="G464" i="15"/>
  <c r="M472" i="15"/>
  <c r="O471" i="15"/>
  <c r="F471" i="15" s="1"/>
  <c r="F478" i="15"/>
  <c r="H477" i="15"/>
  <c r="H478" i="15" s="1"/>
  <c r="I487" i="15"/>
  <c r="I495" i="15"/>
  <c r="F504" i="15"/>
  <c r="H502" i="15"/>
  <c r="H527" i="15"/>
  <c r="G527" i="15"/>
  <c r="M550" i="15"/>
  <c r="O549" i="15"/>
  <c r="F549" i="15" s="1"/>
  <c r="G452" i="15"/>
  <c r="M495" i="15"/>
  <c r="O494" i="15"/>
  <c r="F494" i="15" s="1"/>
  <c r="M509" i="15"/>
  <c r="O509" i="15" s="1"/>
  <c r="F509" i="15" s="1"/>
  <c r="O508" i="15"/>
  <c r="F508" i="15" s="1"/>
  <c r="F510" i="15" s="1"/>
  <c r="H548" i="15"/>
  <c r="G548" i="15"/>
  <c r="G557" i="15"/>
  <c r="H484" i="15"/>
  <c r="M513" i="15"/>
  <c r="O512" i="15"/>
  <c r="F512" i="15" s="1"/>
  <c r="H526" i="15"/>
  <c r="G526" i="15"/>
  <c r="G545" i="15"/>
  <c r="M576" i="15"/>
  <c r="O575" i="15"/>
  <c r="F575" i="15" s="1"/>
  <c r="O465" i="15"/>
  <c r="F465" i="15" s="1"/>
  <c r="F468" i="15" s="1"/>
  <c r="I528" i="15"/>
  <c r="I536" i="15"/>
  <c r="O528" i="15"/>
  <c r="F528" i="15" s="1"/>
  <c r="M572" i="15"/>
  <c r="O572" i="15" s="1"/>
  <c r="F572" i="15" s="1"/>
  <c r="F573" i="15" s="1"/>
  <c r="O571" i="15"/>
  <c r="F571" i="15" s="1"/>
  <c r="G522" i="15"/>
  <c r="F524" i="15"/>
  <c r="M523" i="15"/>
  <c r="O523" i="15" s="1"/>
  <c r="F523" i="15" s="1"/>
  <c r="M530" i="15"/>
  <c r="O529" i="15"/>
  <c r="F529" i="15" s="1"/>
  <c r="M536" i="15"/>
  <c r="O535" i="15"/>
  <c r="F535" i="15" s="1"/>
  <c r="I551" i="15"/>
  <c r="I559" i="15"/>
  <c r="M559" i="15"/>
  <c r="O558" i="15"/>
  <c r="F558" i="15" s="1"/>
  <c r="M567" i="15"/>
  <c r="O567" i="15" s="1"/>
  <c r="F567" i="15" s="1"/>
  <c r="O566" i="15"/>
  <c r="F566" i="15" s="1"/>
  <c r="H569" i="15"/>
  <c r="G585" i="15"/>
  <c r="M586" i="15"/>
  <c r="O586" i="15" s="1"/>
  <c r="F586" i="15" s="1"/>
  <c r="F587" i="15" s="1"/>
  <c r="O519" i="15"/>
  <c r="F519" i="15" s="1"/>
  <c r="O582" i="15"/>
  <c r="F582" i="15" s="1"/>
  <c r="G570" i="14"/>
  <c r="H570" i="14"/>
  <c r="H569" i="14"/>
  <c r="G569" i="14"/>
  <c r="O577" i="14"/>
  <c r="F577" i="14" s="1"/>
  <c r="G577" i="14" s="1"/>
  <c r="H527" i="14"/>
  <c r="H544" i="14"/>
  <c r="O512" i="14"/>
  <c r="F512" i="14" s="1"/>
  <c r="M480" i="14"/>
  <c r="N480" i="14" s="1"/>
  <c r="H464" i="14"/>
  <c r="M454" i="14"/>
  <c r="O453" i="14"/>
  <c r="F453" i="14" s="1"/>
  <c r="H453" i="14" s="1"/>
  <c r="G452" i="14"/>
  <c r="M425" i="14"/>
  <c r="O424" i="14"/>
  <c r="F424" i="14" s="1"/>
  <c r="G424" i="14" s="1"/>
  <c r="O423" i="14"/>
  <c r="F423" i="14" s="1"/>
  <c r="O422" i="14"/>
  <c r="F422" i="14" s="1"/>
  <c r="H402" i="14"/>
  <c r="G402" i="14"/>
  <c r="M404" i="14"/>
  <c r="O404" i="14" s="1"/>
  <c r="F404" i="14" s="1"/>
  <c r="M383" i="14"/>
  <c r="H355" i="14"/>
  <c r="G355" i="14"/>
  <c r="O337" i="14"/>
  <c r="F337" i="14" s="1"/>
  <c r="G337" i="14" s="1"/>
  <c r="M332" i="14"/>
  <c r="G319" i="14"/>
  <c r="O251" i="14"/>
  <c r="F251" i="14" s="1"/>
  <c r="F244" i="14"/>
  <c r="H243" i="14"/>
  <c r="H244" i="14" s="1"/>
  <c r="G243" i="14"/>
  <c r="G244" i="14" s="1"/>
  <c r="M246" i="14"/>
  <c r="M247" i="14" s="1"/>
  <c r="O247" i="14" s="1"/>
  <c r="F247" i="14" s="1"/>
  <c r="M237" i="14"/>
  <c r="M226" i="14"/>
  <c r="N226" i="14" s="1"/>
  <c r="M196" i="14"/>
  <c r="M197" i="14" s="1"/>
  <c r="O195" i="14"/>
  <c r="F195" i="14" s="1"/>
  <c r="O173" i="14"/>
  <c r="F173" i="14" s="1"/>
  <c r="H173" i="14" s="1"/>
  <c r="G164" i="14"/>
  <c r="H145" i="14"/>
  <c r="G145" i="14"/>
  <c r="M146" i="14"/>
  <c r="M151" i="14"/>
  <c r="H144" i="14"/>
  <c r="G137" i="14"/>
  <c r="G138" i="14" s="1"/>
  <c r="F138" i="14"/>
  <c r="H137" i="14"/>
  <c r="H138" i="14" s="1"/>
  <c r="M140" i="14"/>
  <c r="N140" i="14" s="1"/>
  <c r="M125" i="14"/>
  <c r="O125" i="14" s="1"/>
  <c r="F125" i="14" s="1"/>
  <c r="H126" i="14"/>
  <c r="H101" i="14"/>
  <c r="G101" i="14"/>
  <c r="M103" i="14"/>
  <c r="O103" i="14" s="1"/>
  <c r="F103" i="14" s="1"/>
  <c r="H103" i="14" s="1"/>
  <c r="M83" i="14"/>
  <c r="O82" i="14"/>
  <c r="F82" i="14" s="1"/>
  <c r="G82" i="14" s="1"/>
  <c r="O80" i="14"/>
  <c r="F80" i="14" s="1"/>
  <c r="H80" i="14" s="1"/>
  <c r="O88" i="14"/>
  <c r="F88" i="14" s="1"/>
  <c r="H88" i="14" s="1"/>
  <c r="O81" i="14"/>
  <c r="F81" i="14" s="1"/>
  <c r="H81" i="14" s="1"/>
  <c r="O97" i="14"/>
  <c r="F97" i="14" s="1"/>
  <c r="H97" i="14" s="1"/>
  <c r="H99" i="14" s="1"/>
  <c r="H98" i="14"/>
  <c r="O69" i="14"/>
  <c r="F69" i="14" s="1"/>
  <c r="H69" i="14" s="1"/>
  <c r="M70" i="14"/>
  <c r="M71" i="14" s="1"/>
  <c r="M72" i="14" s="1"/>
  <c r="O72" i="14" s="1"/>
  <c r="F72" i="14" s="1"/>
  <c r="G72" i="14" s="1"/>
  <c r="O67" i="14"/>
  <c r="F67" i="14" s="1"/>
  <c r="O66" i="14"/>
  <c r="F66" i="14" s="1"/>
  <c r="G66" i="14" s="1"/>
  <c r="G57" i="14"/>
  <c r="H57" i="14"/>
  <c r="G205" i="14"/>
  <c r="H205" i="14"/>
  <c r="M47" i="14"/>
  <c r="O47" i="14" s="1"/>
  <c r="F47" i="14" s="1"/>
  <c r="O46" i="14"/>
  <c r="F46" i="14" s="1"/>
  <c r="G75" i="14"/>
  <c r="H75" i="14"/>
  <c r="H82" i="14"/>
  <c r="O89" i="14"/>
  <c r="F89" i="14" s="1"/>
  <c r="M90" i="14"/>
  <c r="H123" i="14"/>
  <c r="G123" i="14"/>
  <c r="G166" i="14"/>
  <c r="H166" i="14"/>
  <c r="G215" i="14"/>
  <c r="H215" i="14"/>
  <c r="H233" i="14"/>
  <c r="G233" i="14"/>
  <c r="H187" i="14"/>
  <c r="G187" i="14"/>
  <c r="G80" i="14"/>
  <c r="G174" i="14"/>
  <c r="H174" i="14"/>
  <c r="G211" i="14"/>
  <c r="H211" i="14"/>
  <c r="G183" i="14"/>
  <c r="H183" i="14"/>
  <c r="M54" i="14"/>
  <c r="O54" i="14" s="1"/>
  <c r="F54" i="14" s="1"/>
  <c r="O53" i="14"/>
  <c r="F53" i="14" s="1"/>
  <c r="I125" i="14"/>
  <c r="I126" i="14"/>
  <c r="H230" i="14"/>
  <c r="G230" i="14"/>
  <c r="G102" i="14"/>
  <c r="I166" i="14"/>
  <c r="H208" i="14"/>
  <c r="F224" i="14"/>
  <c r="H223" i="14"/>
  <c r="H224" i="14" s="1"/>
  <c r="O232" i="14"/>
  <c r="F232" i="14" s="1"/>
  <c r="G236" i="14"/>
  <c r="H236" i="14"/>
  <c r="F270" i="14"/>
  <c r="H268" i="14"/>
  <c r="G272" i="14"/>
  <c r="H272" i="14"/>
  <c r="I276" i="14"/>
  <c r="I284" i="14"/>
  <c r="M313" i="14"/>
  <c r="O313" i="14" s="1"/>
  <c r="F313" i="14" s="1"/>
  <c r="O312" i="14"/>
  <c r="F312" i="14" s="1"/>
  <c r="H317" i="14"/>
  <c r="G317" i="14"/>
  <c r="O368" i="14"/>
  <c r="F368" i="14" s="1"/>
  <c r="M369" i="14"/>
  <c r="H380" i="14"/>
  <c r="H424" i="14"/>
  <c r="M33" i="14"/>
  <c r="N33" i="14" s="1"/>
  <c r="M16" i="14"/>
  <c r="I17" i="14"/>
  <c r="O45" i="14"/>
  <c r="F45" i="14" s="1"/>
  <c r="O50" i="14"/>
  <c r="F50" i="14" s="1"/>
  <c r="G88" i="14"/>
  <c r="O160" i="14"/>
  <c r="F160" i="14" s="1"/>
  <c r="M161" i="14"/>
  <c r="O161" i="14" s="1"/>
  <c r="F161" i="14" s="1"/>
  <c r="O204" i="14"/>
  <c r="F204" i="14" s="1"/>
  <c r="O231" i="14"/>
  <c r="F231" i="14" s="1"/>
  <c r="G380" i="14"/>
  <c r="G526" i="14"/>
  <c r="H526" i="14"/>
  <c r="M168" i="14"/>
  <c r="O167" i="14"/>
  <c r="F167" i="14" s="1"/>
  <c r="M216" i="14"/>
  <c r="H38" i="14"/>
  <c r="O44" i="14"/>
  <c r="F44" i="14" s="1"/>
  <c r="G186" i="14"/>
  <c r="G209" i="14"/>
  <c r="O210" i="14"/>
  <c r="F210" i="14" s="1"/>
  <c r="G223" i="14"/>
  <c r="G224" i="14" s="1"/>
  <c r="M238" i="14"/>
  <c r="O237" i="14"/>
  <c r="F237" i="14" s="1"/>
  <c r="M253" i="14"/>
  <c r="O252" i="14"/>
  <c r="F252" i="14" s="1"/>
  <c r="O367" i="14"/>
  <c r="F367" i="14" s="1"/>
  <c r="I423" i="14"/>
  <c r="I431" i="14"/>
  <c r="I530" i="14"/>
  <c r="I538" i="14"/>
  <c r="O15" i="14"/>
  <c r="F15" i="14" s="1"/>
  <c r="H37" i="14"/>
  <c r="H58" i="14"/>
  <c r="O68" i="14"/>
  <c r="F68" i="14" s="1"/>
  <c r="H79" i="14"/>
  <c r="I133" i="14"/>
  <c r="I134" i="14" s="1"/>
  <c r="I132" i="14"/>
  <c r="H150" i="14"/>
  <c r="O157" i="14"/>
  <c r="F157" i="14" s="1"/>
  <c r="O165" i="14"/>
  <c r="F165" i="14" s="1"/>
  <c r="M188" i="14"/>
  <c r="G259" i="14"/>
  <c r="G268" i="14"/>
  <c r="H269" i="14"/>
  <c r="G269" i="14"/>
  <c r="O273" i="14"/>
  <c r="F273" i="14" s="1"/>
  <c r="M274" i="14"/>
  <c r="M360" i="14"/>
  <c r="O359" i="14"/>
  <c r="F359" i="14" s="1"/>
  <c r="O431" i="14"/>
  <c r="F431" i="14" s="1"/>
  <c r="M432" i="14"/>
  <c r="M24" i="14"/>
  <c r="M39" i="14"/>
  <c r="I59" i="14"/>
  <c r="I67" i="14"/>
  <c r="M59" i="14"/>
  <c r="M76" i="14"/>
  <c r="O76" i="14" s="1"/>
  <c r="F76" i="14" s="1"/>
  <c r="F77" i="14" s="1"/>
  <c r="G79" i="14"/>
  <c r="I90" i="14"/>
  <c r="I82" i="14"/>
  <c r="M104" i="14"/>
  <c r="G122" i="14"/>
  <c r="O124" i="14"/>
  <c r="F124" i="14" s="1"/>
  <c r="M130" i="14"/>
  <c r="O129" i="14"/>
  <c r="F129" i="14" s="1"/>
  <c r="G144" i="14"/>
  <c r="M175" i="14"/>
  <c r="O182" i="14"/>
  <c r="F182" i="14" s="1"/>
  <c r="O196" i="14"/>
  <c r="F196" i="14" s="1"/>
  <c r="G208" i="14"/>
  <c r="M212" i="14"/>
  <c r="O212" i="14" s="1"/>
  <c r="F212" i="14" s="1"/>
  <c r="I218" i="14"/>
  <c r="I219" i="14"/>
  <c r="I220" i="14" s="1"/>
  <c r="H250" i="14"/>
  <c r="G250" i="14"/>
  <c r="I253" i="14"/>
  <c r="I296" i="14"/>
  <c r="I304" i="14"/>
  <c r="I338" i="14"/>
  <c r="I346" i="14"/>
  <c r="M339" i="14"/>
  <c r="O338" i="14"/>
  <c r="F338" i="14" s="1"/>
  <c r="I371" i="14"/>
  <c r="I363" i="14"/>
  <c r="I370" i="14"/>
  <c r="O430" i="14"/>
  <c r="F430" i="14" s="1"/>
  <c r="M494" i="14"/>
  <c r="O493" i="14"/>
  <c r="F493" i="14" s="1"/>
  <c r="H512" i="14"/>
  <c r="G512" i="14"/>
  <c r="H535" i="14"/>
  <c r="G535" i="14"/>
  <c r="M260" i="14"/>
  <c r="M303" i="14"/>
  <c r="M295" i="14"/>
  <c r="O294" i="14"/>
  <c r="F294" i="14" s="1"/>
  <c r="G329" i="14"/>
  <c r="G330" i="14" s="1"/>
  <c r="F330" i="14"/>
  <c r="H329" i="14"/>
  <c r="H330" i="14" s="1"/>
  <c r="H358" i="14"/>
  <c r="G358" i="14"/>
  <c r="H401" i="14"/>
  <c r="G401" i="14"/>
  <c r="M486" i="14"/>
  <c r="O485" i="14"/>
  <c r="F485" i="14" s="1"/>
  <c r="M509" i="14"/>
  <c r="O509" i="14" s="1"/>
  <c r="F509" i="14" s="1"/>
  <c r="O508" i="14"/>
  <c r="F508" i="14" s="1"/>
  <c r="M282" i="14"/>
  <c r="O281" i="14"/>
  <c r="F281" i="14" s="1"/>
  <c r="H290" i="14"/>
  <c r="F320" i="14"/>
  <c r="H316" i="14"/>
  <c r="G316" i="14"/>
  <c r="M471" i="14"/>
  <c r="O470" i="14"/>
  <c r="F470" i="14" s="1"/>
  <c r="F478" i="14"/>
  <c r="H477" i="14"/>
  <c r="H478" i="14" s="1"/>
  <c r="G477" i="14"/>
  <c r="G478" i="14" s="1"/>
  <c r="H484" i="14"/>
  <c r="G484" i="14"/>
  <c r="I495" i="14"/>
  <c r="I487" i="14"/>
  <c r="O507" i="14"/>
  <c r="F507" i="14" s="1"/>
  <c r="I559" i="14"/>
  <c r="I551" i="14"/>
  <c r="M323" i="14"/>
  <c r="O322" i="14"/>
  <c r="F322" i="14" s="1"/>
  <c r="G336" i="14"/>
  <c r="M346" i="14"/>
  <c r="O345" i="14"/>
  <c r="F345" i="14" s="1"/>
  <c r="G354" i="14"/>
  <c r="G356" i="14" s="1"/>
  <c r="F356" i="14"/>
  <c r="G403" i="14"/>
  <c r="H403" i="14"/>
  <c r="H465" i="14"/>
  <c r="G465" i="14"/>
  <c r="H506" i="14"/>
  <c r="H577" i="14"/>
  <c r="M291" i="14"/>
  <c r="O291" i="14" s="1"/>
  <c r="F291" i="14" s="1"/>
  <c r="H354" i="14"/>
  <c r="H356" i="14" s="1"/>
  <c r="I368" i="14"/>
  <c r="M377" i="14"/>
  <c r="O377" i="14" s="1"/>
  <c r="F377" i="14" s="1"/>
  <c r="O376" i="14"/>
  <c r="F376" i="14" s="1"/>
  <c r="O381" i="14"/>
  <c r="F381" i="14" s="1"/>
  <c r="H421" i="14"/>
  <c r="M440" i="14"/>
  <c r="O440" i="14" s="1"/>
  <c r="F440" i="14" s="1"/>
  <c r="O439" i="14"/>
  <c r="F439" i="14" s="1"/>
  <c r="M445" i="14"/>
  <c r="O444" i="14"/>
  <c r="F444" i="14" s="1"/>
  <c r="M462" i="14"/>
  <c r="O462" i="14" s="1"/>
  <c r="F462" i="14" s="1"/>
  <c r="O461" i="14"/>
  <c r="F461" i="14" s="1"/>
  <c r="M467" i="14"/>
  <c r="O467" i="14" s="1"/>
  <c r="F467" i="14" s="1"/>
  <c r="O466" i="14"/>
  <c r="F466" i="14" s="1"/>
  <c r="G506" i="14"/>
  <c r="M538" i="14"/>
  <c r="O537" i="14"/>
  <c r="F537" i="14" s="1"/>
  <c r="H536" i="14"/>
  <c r="G536" i="14"/>
  <c r="H443" i="14"/>
  <c r="O502" i="14"/>
  <c r="F502" i="14" s="1"/>
  <c r="M514" i="14"/>
  <c r="O513" i="14"/>
  <c r="F513" i="14" s="1"/>
  <c r="M550" i="14"/>
  <c r="O549" i="14"/>
  <c r="F549" i="14" s="1"/>
  <c r="O558" i="14"/>
  <c r="F558" i="14" s="1"/>
  <c r="M559" i="14"/>
  <c r="M567" i="14"/>
  <c r="O567" i="14" s="1"/>
  <c r="F567" i="14" s="1"/>
  <c r="O566" i="14"/>
  <c r="F566" i="14" s="1"/>
  <c r="O578" i="14"/>
  <c r="F578" i="14" s="1"/>
  <c r="M579" i="14"/>
  <c r="O579" i="14" s="1"/>
  <c r="F579" i="14" s="1"/>
  <c r="H548" i="14"/>
  <c r="G548" i="14"/>
  <c r="M522" i="14"/>
  <c r="N522" i="14" s="1"/>
  <c r="O519" i="14"/>
  <c r="F519" i="14" s="1"/>
  <c r="M545" i="14"/>
  <c r="O545" i="14" s="1"/>
  <c r="F545" i="14" s="1"/>
  <c r="M572" i="14"/>
  <c r="O572" i="14" s="1"/>
  <c r="F572" i="14" s="1"/>
  <c r="O571" i="14"/>
  <c r="F571" i="14" s="1"/>
  <c r="M528" i="14"/>
  <c r="O557" i="14"/>
  <c r="F557" i="14" s="1"/>
  <c r="O575" i="14"/>
  <c r="F575" i="14" s="1"/>
  <c r="M585" i="14"/>
  <c r="N585" i="14" s="1"/>
  <c r="O582" i="14"/>
  <c r="F582" i="14" s="1"/>
  <c r="G475" i="18" l="1"/>
  <c r="H95" i="18"/>
  <c r="G453" i="14"/>
  <c r="G173" i="14"/>
  <c r="I198" i="14"/>
  <c r="I190" i="14"/>
  <c r="H485" i="15"/>
  <c r="G485" i="15"/>
  <c r="F127" i="14"/>
  <c r="H43" i="14"/>
  <c r="G103" i="14"/>
  <c r="G463" i="15"/>
  <c r="G95" i="18"/>
  <c r="G142" i="18"/>
  <c r="F517" i="18"/>
  <c r="G22" i="19"/>
  <c r="G234" i="19"/>
  <c r="I554" i="18"/>
  <c r="I563" i="18" s="1"/>
  <c r="I562" i="18"/>
  <c r="I427" i="18"/>
  <c r="I436" i="18" s="1"/>
  <c r="I435" i="18"/>
  <c r="H369" i="15"/>
  <c r="F127" i="15"/>
  <c r="G356" i="15"/>
  <c r="F320" i="15"/>
  <c r="G517" i="19"/>
  <c r="H517" i="19"/>
  <c r="F510" i="14"/>
  <c r="G124" i="15"/>
  <c r="I285" i="19"/>
  <c r="I277" i="19"/>
  <c r="H317" i="15"/>
  <c r="G317" i="15"/>
  <c r="H503" i="14"/>
  <c r="G503" i="14"/>
  <c r="H81" i="15"/>
  <c r="G81" i="15"/>
  <c r="M405" i="14"/>
  <c r="G81" i="14"/>
  <c r="G69" i="14"/>
  <c r="H72" i="14"/>
  <c r="O70" i="14"/>
  <c r="F70" i="14" s="1"/>
  <c r="G99" i="15"/>
  <c r="G402" i="15"/>
  <c r="H570" i="15"/>
  <c r="G570" i="15"/>
  <c r="M447" i="15"/>
  <c r="O446" i="15"/>
  <c r="F446" i="15" s="1"/>
  <c r="H320" i="14"/>
  <c r="O71" i="14"/>
  <c r="F71" i="14" s="1"/>
  <c r="H71" i="14" s="1"/>
  <c r="I197" i="14"/>
  <c r="F148" i="15"/>
  <c r="F155" i="18"/>
  <c r="F221" i="18"/>
  <c r="H145" i="15"/>
  <c r="G145" i="15"/>
  <c r="M342" i="19"/>
  <c r="O342" i="19" s="1"/>
  <c r="F342" i="19" s="1"/>
  <c r="O341" i="19"/>
  <c r="F341" i="19" s="1"/>
  <c r="G347" i="19"/>
  <c r="H347" i="19"/>
  <c r="H340" i="19"/>
  <c r="G340" i="19"/>
  <c r="M349" i="19"/>
  <c r="O348" i="19"/>
  <c r="F348" i="19" s="1"/>
  <c r="M326" i="19"/>
  <c r="O326" i="19" s="1"/>
  <c r="F326" i="19" s="1"/>
  <c r="O325" i="19"/>
  <c r="F325" i="19" s="1"/>
  <c r="H324" i="19"/>
  <c r="G324" i="19"/>
  <c r="H314" i="19"/>
  <c r="M263" i="19"/>
  <c r="O262" i="19"/>
  <c r="F262" i="19" s="1"/>
  <c r="G261" i="19"/>
  <c r="H261" i="19"/>
  <c r="H234" i="19"/>
  <c r="G238" i="19"/>
  <c r="H238" i="19"/>
  <c r="O239" i="19"/>
  <c r="F239" i="19" s="1"/>
  <c r="F241" i="19" s="1"/>
  <c r="M240" i="19"/>
  <c r="O240" i="19" s="1"/>
  <c r="F240" i="19" s="1"/>
  <c r="G510" i="18"/>
  <c r="H504" i="18"/>
  <c r="G340" i="18"/>
  <c r="H340" i="18"/>
  <c r="O341" i="18"/>
  <c r="F341" i="18" s="1"/>
  <c r="M342" i="18"/>
  <c r="O342" i="18" s="1"/>
  <c r="F342" i="18" s="1"/>
  <c r="F343" i="18" s="1"/>
  <c r="H142" i="18"/>
  <c r="H64" i="18"/>
  <c r="H551" i="19"/>
  <c r="G551" i="19"/>
  <c r="H427" i="19"/>
  <c r="G427" i="19"/>
  <c r="I539" i="19"/>
  <c r="I531" i="19"/>
  <c r="H473" i="19"/>
  <c r="G473" i="19"/>
  <c r="F475" i="19"/>
  <c r="H282" i="19"/>
  <c r="G282" i="19"/>
  <c r="G111" i="19"/>
  <c r="H111" i="19"/>
  <c r="I191" i="19"/>
  <c r="I199" i="19"/>
  <c r="G69" i="19"/>
  <c r="H69" i="19"/>
  <c r="O552" i="19"/>
  <c r="F552" i="19" s="1"/>
  <c r="M553" i="19"/>
  <c r="H254" i="19"/>
  <c r="G254" i="19"/>
  <c r="H218" i="19"/>
  <c r="G218" i="19"/>
  <c r="I170" i="19"/>
  <c r="I179" i="19" s="1"/>
  <c r="I178" i="19"/>
  <c r="M134" i="19"/>
  <c r="O134" i="19" s="1"/>
  <c r="F134" i="19" s="1"/>
  <c r="O133" i="19"/>
  <c r="F133" i="19" s="1"/>
  <c r="G176" i="19"/>
  <c r="H176" i="19"/>
  <c r="I554" i="19"/>
  <c r="I563" i="19" s="1"/>
  <c r="I562" i="19"/>
  <c r="I371" i="19"/>
  <c r="I363" i="19"/>
  <c r="I434" i="19"/>
  <c r="I426" i="19"/>
  <c r="H206" i="19"/>
  <c r="H532" i="19"/>
  <c r="G532" i="19"/>
  <c r="G474" i="19"/>
  <c r="G475" i="19" s="1"/>
  <c r="H474" i="19"/>
  <c r="O283" i="19"/>
  <c r="F283" i="19" s="1"/>
  <c r="M284" i="19"/>
  <c r="H124" i="19"/>
  <c r="G124" i="19"/>
  <c r="H496" i="19"/>
  <c r="G496" i="19"/>
  <c r="M409" i="19"/>
  <c r="O406" i="19"/>
  <c r="F406" i="19" s="1"/>
  <c r="H389" i="19"/>
  <c r="G389" i="19"/>
  <c r="H170" i="19"/>
  <c r="G170" i="19"/>
  <c r="M562" i="19"/>
  <c r="O561" i="19"/>
  <c r="F561" i="19" s="1"/>
  <c r="H86" i="19"/>
  <c r="M199" i="19"/>
  <c r="O198" i="19"/>
  <c r="F198" i="19" s="1"/>
  <c r="O70" i="19"/>
  <c r="F70" i="19" s="1"/>
  <c r="M71" i="19"/>
  <c r="M373" i="19"/>
  <c r="O373" i="19" s="1"/>
  <c r="F373" i="19" s="1"/>
  <c r="O372" i="19"/>
  <c r="F372" i="19" s="1"/>
  <c r="G153" i="19"/>
  <c r="H153" i="19"/>
  <c r="F155" i="19"/>
  <c r="M178" i="19"/>
  <c r="O177" i="19"/>
  <c r="F177" i="19" s="1"/>
  <c r="G26" i="19"/>
  <c r="H26" i="19"/>
  <c r="O578" i="19"/>
  <c r="F578" i="19" s="1"/>
  <c r="M579" i="19"/>
  <c r="O579" i="19" s="1"/>
  <c r="F579" i="19" s="1"/>
  <c r="H169" i="19"/>
  <c r="G169" i="19"/>
  <c r="F171" i="19"/>
  <c r="O275" i="19"/>
  <c r="F275" i="19" s="1"/>
  <c r="M276" i="19"/>
  <c r="I70" i="19"/>
  <c r="I62" i="19"/>
  <c r="M256" i="19"/>
  <c r="O256" i="19" s="1"/>
  <c r="F256" i="19" s="1"/>
  <c r="O255" i="19"/>
  <c r="F255" i="19" s="1"/>
  <c r="O219" i="19"/>
  <c r="F219" i="19" s="1"/>
  <c r="M220" i="19"/>
  <c r="O220" i="19" s="1"/>
  <c r="F220" i="19" s="1"/>
  <c r="I349" i="19"/>
  <c r="I341" i="19"/>
  <c r="O46" i="19"/>
  <c r="F46" i="19" s="1"/>
  <c r="M47" i="19"/>
  <c r="O47" i="19" s="1"/>
  <c r="F47" i="19" s="1"/>
  <c r="G131" i="19"/>
  <c r="H131" i="19"/>
  <c r="H296" i="19"/>
  <c r="G296" i="19"/>
  <c r="H456" i="19"/>
  <c r="G456" i="19"/>
  <c r="H432" i="19"/>
  <c r="G432" i="19"/>
  <c r="G206" i="19"/>
  <c r="H446" i="19"/>
  <c r="G446" i="19"/>
  <c r="H292" i="19"/>
  <c r="H188" i="19"/>
  <c r="G188" i="19"/>
  <c r="H125" i="19"/>
  <c r="G125" i="19"/>
  <c r="M498" i="19"/>
  <c r="O497" i="19"/>
  <c r="F497" i="19" s="1"/>
  <c r="G405" i="19"/>
  <c r="H405" i="19"/>
  <c r="F407" i="19"/>
  <c r="M363" i="19"/>
  <c r="O362" i="19"/>
  <c r="F362" i="19" s="1"/>
  <c r="O390" i="19"/>
  <c r="F390" i="19" s="1"/>
  <c r="M391" i="19"/>
  <c r="F135" i="19"/>
  <c r="G86" i="19"/>
  <c r="G197" i="19"/>
  <c r="H197" i="19"/>
  <c r="O488" i="19"/>
  <c r="F488" i="19" s="1"/>
  <c r="M489" i="19"/>
  <c r="I28" i="19"/>
  <c r="I20" i="19"/>
  <c r="H531" i="19"/>
  <c r="H533" i="19" s="1"/>
  <c r="G531" i="19"/>
  <c r="F533" i="19"/>
  <c r="M306" i="19"/>
  <c r="O305" i="19"/>
  <c r="F305" i="19" s="1"/>
  <c r="H560" i="19"/>
  <c r="G560" i="19"/>
  <c r="O538" i="19"/>
  <c r="F538" i="19" s="1"/>
  <c r="M539" i="19"/>
  <c r="H487" i="19"/>
  <c r="G487" i="19"/>
  <c r="H371" i="19"/>
  <c r="G371" i="19"/>
  <c r="F374" i="19"/>
  <c r="G314" i="19"/>
  <c r="H154" i="19"/>
  <c r="G154" i="19"/>
  <c r="G217" i="19"/>
  <c r="H217" i="19"/>
  <c r="H426" i="19"/>
  <c r="H428" i="19" s="1"/>
  <c r="G426" i="19"/>
  <c r="G428" i="19" s="1"/>
  <c r="F428" i="19"/>
  <c r="G45" i="19"/>
  <c r="H45" i="19"/>
  <c r="G132" i="19"/>
  <c r="H132" i="19"/>
  <c r="O297" i="19"/>
  <c r="F297" i="19" s="1"/>
  <c r="M298" i="19"/>
  <c r="O27" i="19"/>
  <c r="F27" i="19" s="1"/>
  <c r="M28" i="19"/>
  <c r="M458" i="19"/>
  <c r="O458" i="19" s="1"/>
  <c r="F458" i="19" s="1"/>
  <c r="O457" i="19"/>
  <c r="F457" i="19" s="1"/>
  <c r="O433" i="19"/>
  <c r="F433" i="19" s="1"/>
  <c r="M434" i="19"/>
  <c r="H304" i="19"/>
  <c r="G304" i="19"/>
  <c r="I490" i="19"/>
  <c r="I499" i="19" s="1"/>
  <c r="I498" i="19"/>
  <c r="O447" i="19"/>
  <c r="F447" i="19" s="1"/>
  <c r="M448" i="19"/>
  <c r="G292" i="19"/>
  <c r="M190" i="19"/>
  <c r="O189" i="19"/>
  <c r="F189" i="19" s="1"/>
  <c r="H126" i="19"/>
  <c r="G126" i="19"/>
  <c r="H577" i="19"/>
  <c r="G577" i="19"/>
  <c r="G361" i="19"/>
  <c r="H361" i="19"/>
  <c r="H274" i="19"/>
  <c r="G274" i="19"/>
  <c r="I300" i="19"/>
  <c r="I309" i="19" s="1"/>
  <c r="I308" i="19"/>
  <c r="O112" i="19"/>
  <c r="F112" i="19" s="1"/>
  <c r="M113" i="19"/>
  <c r="H537" i="19"/>
  <c r="G537" i="19"/>
  <c r="H361" i="18"/>
  <c r="G361" i="18"/>
  <c r="M497" i="18"/>
  <c r="O496" i="18"/>
  <c r="F496" i="18" s="1"/>
  <c r="I178" i="18"/>
  <c r="I170" i="18"/>
  <c r="I179" i="18" s="1"/>
  <c r="H198" i="18"/>
  <c r="G198" i="18"/>
  <c r="G578" i="18"/>
  <c r="H578" i="18"/>
  <c r="H220" i="18"/>
  <c r="G220" i="18"/>
  <c r="M426" i="18"/>
  <c r="O425" i="18"/>
  <c r="F425" i="18" s="1"/>
  <c r="H529" i="18"/>
  <c r="G529" i="18"/>
  <c r="G27" i="18"/>
  <c r="H27" i="18"/>
  <c r="H133" i="18"/>
  <c r="G133" i="18"/>
  <c r="H20" i="18"/>
  <c r="G20" i="18"/>
  <c r="F22" i="18"/>
  <c r="H69" i="18"/>
  <c r="G69" i="18"/>
  <c r="H239" i="18"/>
  <c r="G239" i="18"/>
  <c r="F241" i="18"/>
  <c r="G292" i="18"/>
  <c r="G219" i="18"/>
  <c r="H219" i="18"/>
  <c r="M276" i="18"/>
  <c r="O275" i="18"/>
  <c r="F275" i="18" s="1"/>
  <c r="O263" i="18"/>
  <c r="F263" i="18" s="1"/>
  <c r="M264" i="18"/>
  <c r="H176" i="18"/>
  <c r="G176" i="18"/>
  <c r="M531" i="18"/>
  <c r="O530" i="18"/>
  <c r="F530" i="18" s="1"/>
  <c r="M371" i="18"/>
  <c r="O370" i="18"/>
  <c r="F370" i="18" s="1"/>
  <c r="I539" i="18"/>
  <c r="I531" i="18"/>
  <c r="M562" i="18"/>
  <c r="O561" i="18"/>
  <c r="F561" i="18" s="1"/>
  <c r="F135" i="18"/>
  <c r="M192" i="18"/>
  <c r="O192" i="18" s="1"/>
  <c r="F192" i="18" s="1"/>
  <c r="O191" i="18"/>
  <c r="F191" i="18" s="1"/>
  <c r="H510" i="18"/>
  <c r="H153" i="18"/>
  <c r="G153" i="18"/>
  <c r="G516" i="18"/>
  <c r="H516" i="18"/>
  <c r="M435" i="18"/>
  <c r="O434" i="18"/>
  <c r="F434" i="18" s="1"/>
  <c r="H134" i="18"/>
  <c r="G134" i="18"/>
  <c r="H21" i="18"/>
  <c r="G21" i="18"/>
  <c r="M71" i="18"/>
  <c r="O70" i="18"/>
  <c r="F70" i="18" s="1"/>
  <c r="H240" i="18"/>
  <c r="G240" i="18"/>
  <c r="H448" i="18"/>
  <c r="G448" i="18"/>
  <c r="H292" i="18"/>
  <c r="I256" i="18"/>
  <c r="I265" i="18" s="1"/>
  <c r="I264" i="18"/>
  <c r="I285" i="18"/>
  <c r="I277" i="18"/>
  <c r="M170" i="18"/>
  <c r="O170" i="18" s="1"/>
  <c r="F170" i="18" s="1"/>
  <c r="O169" i="18"/>
  <c r="F169" i="18" s="1"/>
  <c r="M284" i="18"/>
  <c r="O283" i="18"/>
  <c r="F283" i="18" s="1"/>
  <c r="H482" i="18"/>
  <c r="M409" i="18"/>
  <c r="O406" i="18"/>
  <c r="F406" i="18" s="1"/>
  <c r="G106" i="18"/>
  <c r="G107" i="18" s="1"/>
  <c r="H106" i="18"/>
  <c r="H107" i="18" s="1"/>
  <c r="H455" i="18"/>
  <c r="G455" i="18"/>
  <c r="G274" i="18"/>
  <c r="H274" i="18"/>
  <c r="O487" i="18"/>
  <c r="F487" i="18" s="1"/>
  <c r="M488" i="18"/>
  <c r="H83" i="18"/>
  <c r="G83" i="18"/>
  <c r="H309" i="18"/>
  <c r="G309" i="18"/>
  <c r="G310" i="18" s="1"/>
  <c r="O177" i="18"/>
  <c r="F177" i="18" s="1"/>
  <c r="M178" i="18"/>
  <c r="O298" i="18"/>
  <c r="F298" i="18" s="1"/>
  <c r="M299" i="18"/>
  <c r="H369" i="18"/>
  <c r="G369" i="18"/>
  <c r="F580" i="18"/>
  <c r="M349" i="18"/>
  <c r="O348" i="18"/>
  <c r="F348" i="18" s="1"/>
  <c r="G538" i="18"/>
  <c r="H538" i="18"/>
  <c r="O325" i="18"/>
  <c r="F325" i="18" s="1"/>
  <c r="M326" i="18"/>
  <c r="O326" i="18" s="1"/>
  <c r="F326" i="18" s="1"/>
  <c r="G254" i="18"/>
  <c r="H254" i="18"/>
  <c r="M29" i="18"/>
  <c r="O28" i="18"/>
  <c r="F28" i="18" s="1"/>
  <c r="H384" i="18"/>
  <c r="G384" i="18"/>
  <c r="G552" i="18"/>
  <c r="H552" i="18"/>
  <c r="G482" i="18"/>
  <c r="G47" i="18"/>
  <c r="H47" i="18"/>
  <c r="H262" i="18"/>
  <c r="G262" i="18"/>
  <c r="H560" i="18"/>
  <c r="G560" i="18"/>
  <c r="I364" i="18"/>
  <c r="I373" i="18" s="1"/>
  <c r="I372" i="18"/>
  <c r="O362" i="18"/>
  <c r="F362" i="18" s="1"/>
  <c r="M363" i="18"/>
  <c r="I300" i="18"/>
  <c r="I309" i="18" s="1"/>
  <c r="I308" i="18"/>
  <c r="M200" i="18"/>
  <c r="O199" i="18"/>
  <c r="F199" i="18" s="1"/>
  <c r="M388" i="18"/>
  <c r="O385" i="18"/>
  <c r="F385" i="18" s="1"/>
  <c r="H475" i="18"/>
  <c r="H486" i="18"/>
  <c r="G486" i="18"/>
  <c r="I71" i="18"/>
  <c r="I63" i="18"/>
  <c r="I72" i="18" s="1"/>
  <c r="H297" i="18"/>
  <c r="G297" i="18"/>
  <c r="H347" i="18"/>
  <c r="G347" i="18"/>
  <c r="M540" i="18"/>
  <c r="O539" i="18"/>
  <c r="F539" i="18" s="1"/>
  <c r="H324" i="18"/>
  <c r="G324" i="18"/>
  <c r="G190" i="18"/>
  <c r="H190" i="18"/>
  <c r="H154" i="18"/>
  <c r="H155" i="18" s="1"/>
  <c r="G154" i="18"/>
  <c r="I192" i="18"/>
  <c r="I201" i="18" s="1"/>
  <c r="I200" i="18"/>
  <c r="M256" i="18"/>
  <c r="O256" i="18" s="1"/>
  <c r="F256" i="18" s="1"/>
  <c r="O255" i="18"/>
  <c r="F255" i="18" s="1"/>
  <c r="H228" i="18"/>
  <c r="G515" i="18"/>
  <c r="H515" i="18"/>
  <c r="G433" i="18"/>
  <c r="H433" i="18"/>
  <c r="H495" i="18"/>
  <c r="G495" i="18"/>
  <c r="G504" i="18"/>
  <c r="G449" i="18"/>
  <c r="G450" i="18" s="1"/>
  <c r="H449" i="18"/>
  <c r="I341" i="18"/>
  <c r="I349" i="18"/>
  <c r="M554" i="18"/>
  <c r="O554" i="18" s="1"/>
  <c r="F554" i="18" s="1"/>
  <c r="O553" i="18"/>
  <c r="F553" i="18" s="1"/>
  <c r="G168" i="18"/>
  <c r="H168" i="18"/>
  <c r="G282" i="18"/>
  <c r="H282" i="18"/>
  <c r="F48" i="18"/>
  <c r="G405" i="18"/>
  <c r="H405" i="18"/>
  <c r="M110" i="18"/>
  <c r="O109" i="18"/>
  <c r="F109" i="18" s="1"/>
  <c r="M457" i="18"/>
  <c r="O456" i="18"/>
  <c r="F456" i="18" s="1"/>
  <c r="H579" i="18"/>
  <c r="H580" i="18" s="1"/>
  <c r="G579" i="18"/>
  <c r="H424" i="18"/>
  <c r="G424" i="18"/>
  <c r="H46" i="18"/>
  <c r="G46" i="18"/>
  <c r="M85" i="18"/>
  <c r="O85" i="18" s="1"/>
  <c r="F85" i="18" s="1"/>
  <c r="O84" i="18"/>
  <c r="F84" i="18" s="1"/>
  <c r="G308" i="18"/>
  <c r="H308" i="18"/>
  <c r="H310" i="18" s="1"/>
  <c r="F310" i="18"/>
  <c r="I29" i="18"/>
  <c r="I21" i="18"/>
  <c r="I30" i="18" s="1"/>
  <c r="I457" i="18"/>
  <c r="I449" i="18"/>
  <c r="I458" i="18" s="1"/>
  <c r="H575" i="15"/>
  <c r="G575" i="15"/>
  <c r="H549" i="15"/>
  <c r="G549" i="15"/>
  <c r="H471" i="15"/>
  <c r="G471" i="15"/>
  <c r="M456" i="15"/>
  <c r="O455" i="15"/>
  <c r="F455" i="15" s="1"/>
  <c r="G481" i="15"/>
  <c r="H481" i="15"/>
  <c r="H304" i="15"/>
  <c r="G304" i="15"/>
  <c r="H359" i="15"/>
  <c r="G359" i="15"/>
  <c r="H261" i="15"/>
  <c r="G261" i="15"/>
  <c r="H370" i="15"/>
  <c r="G370" i="15"/>
  <c r="H252" i="15"/>
  <c r="G252" i="15"/>
  <c r="H281" i="15"/>
  <c r="G281" i="15"/>
  <c r="H196" i="15"/>
  <c r="G196" i="15"/>
  <c r="H210" i="15"/>
  <c r="G210" i="15"/>
  <c r="H38" i="15"/>
  <c r="G38" i="15"/>
  <c r="H82" i="15"/>
  <c r="G82" i="15"/>
  <c r="H566" i="15"/>
  <c r="G566" i="15"/>
  <c r="F568" i="15"/>
  <c r="H529" i="15"/>
  <c r="G529" i="15"/>
  <c r="O576" i="15"/>
  <c r="F576" i="15" s="1"/>
  <c r="M577" i="15"/>
  <c r="O550" i="15"/>
  <c r="F550" i="15" s="1"/>
  <c r="M551" i="15"/>
  <c r="H504" i="15"/>
  <c r="I496" i="15"/>
  <c r="I488" i="15"/>
  <c r="O472" i="15"/>
  <c r="F472" i="15" s="1"/>
  <c r="M473" i="15"/>
  <c r="H445" i="15"/>
  <c r="G445" i="15"/>
  <c r="H486" i="15"/>
  <c r="G486" i="15"/>
  <c r="I455" i="15"/>
  <c r="I447" i="15"/>
  <c r="H422" i="15"/>
  <c r="G422" i="15"/>
  <c r="H337" i="15"/>
  <c r="G337" i="15"/>
  <c r="H431" i="15"/>
  <c r="G431" i="15"/>
  <c r="H403" i="15"/>
  <c r="G403" i="15"/>
  <c r="H333" i="15"/>
  <c r="H334" i="15" s="1"/>
  <c r="G333" i="15"/>
  <c r="M306" i="15"/>
  <c r="O305" i="15"/>
  <c r="F305" i="15" s="1"/>
  <c r="O385" i="15"/>
  <c r="F385" i="15" s="1"/>
  <c r="M388" i="15"/>
  <c r="O360" i="15"/>
  <c r="F360" i="15" s="1"/>
  <c r="M361" i="15"/>
  <c r="O346" i="15"/>
  <c r="F346" i="15" s="1"/>
  <c r="M347" i="15"/>
  <c r="H319" i="15"/>
  <c r="G319" i="15"/>
  <c r="M263" i="15"/>
  <c r="O262" i="15"/>
  <c r="F262" i="15" s="1"/>
  <c r="F224" i="15"/>
  <c r="H223" i="15"/>
  <c r="H224" i="15" s="1"/>
  <c r="G223" i="15"/>
  <c r="G224" i="15" s="1"/>
  <c r="H466" i="15"/>
  <c r="G466" i="15"/>
  <c r="M372" i="15"/>
  <c r="O371" i="15"/>
  <c r="F371" i="15" s="1"/>
  <c r="H322" i="15"/>
  <c r="G322" i="15"/>
  <c r="O253" i="15"/>
  <c r="F253" i="15" s="1"/>
  <c r="M254" i="15"/>
  <c r="H295" i="15"/>
  <c r="G295" i="15"/>
  <c r="O282" i="15"/>
  <c r="F282" i="15" s="1"/>
  <c r="M283" i="15"/>
  <c r="F213" i="15"/>
  <c r="M198" i="15"/>
  <c r="O197" i="15"/>
  <c r="F197" i="15" s="1"/>
  <c r="H147" i="15"/>
  <c r="G147" i="15"/>
  <c r="I283" i="15"/>
  <c r="I275" i="15"/>
  <c r="H232" i="15"/>
  <c r="G232" i="15"/>
  <c r="H211" i="15"/>
  <c r="G211" i="15"/>
  <c r="H140" i="15"/>
  <c r="G140" i="15"/>
  <c r="F142" i="15"/>
  <c r="H125" i="15"/>
  <c r="H127" i="15" s="1"/>
  <c r="G125" i="15"/>
  <c r="F248" i="15"/>
  <c r="H246" i="15"/>
  <c r="G246" i="15"/>
  <c r="O174" i="15"/>
  <c r="F174" i="15" s="1"/>
  <c r="M175" i="15"/>
  <c r="O89" i="15"/>
  <c r="F89" i="15" s="1"/>
  <c r="M90" i="15"/>
  <c r="I62" i="15"/>
  <c r="I70" i="15"/>
  <c r="O39" i="15"/>
  <c r="F39" i="15" s="1"/>
  <c r="M40" i="15"/>
  <c r="O40" i="15" s="1"/>
  <c r="F40" i="15" s="1"/>
  <c r="H102" i="15"/>
  <c r="G102" i="15"/>
  <c r="M84" i="15"/>
  <c r="O83" i="15"/>
  <c r="F83" i="15" s="1"/>
  <c r="H18" i="15"/>
  <c r="G18" i="15"/>
  <c r="M560" i="15"/>
  <c r="O559" i="15"/>
  <c r="F559" i="15" s="1"/>
  <c r="I425" i="15"/>
  <c r="I433" i="15"/>
  <c r="H345" i="15"/>
  <c r="G345" i="15"/>
  <c r="H231" i="15"/>
  <c r="G231" i="15"/>
  <c r="O188" i="15"/>
  <c r="F188" i="15" s="1"/>
  <c r="M189" i="15"/>
  <c r="G50" i="15"/>
  <c r="G51" i="15" s="1"/>
  <c r="H50" i="15"/>
  <c r="H51" i="15" s="1"/>
  <c r="F51" i="15"/>
  <c r="H146" i="15"/>
  <c r="G146" i="15"/>
  <c r="G148" i="15" s="1"/>
  <c r="F234" i="15"/>
  <c r="H161" i="15"/>
  <c r="H162" i="15" s="1"/>
  <c r="G161" i="15"/>
  <c r="H173" i="15"/>
  <c r="G173" i="15"/>
  <c r="O60" i="15"/>
  <c r="F60" i="15" s="1"/>
  <c r="M61" i="15"/>
  <c r="O25" i="15"/>
  <c r="F25" i="15" s="1"/>
  <c r="M26" i="15"/>
  <c r="F583" i="15"/>
  <c r="H582" i="15"/>
  <c r="H583" i="15" s="1"/>
  <c r="G582" i="15"/>
  <c r="G583" i="15" s="1"/>
  <c r="G567" i="15"/>
  <c r="H567" i="15"/>
  <c r="I552" i="15"/>
  <c r="I560" i="15"/>
  <c r="M531" i="15"/>
  <c r="O530" i="15"/>
  <c r="F530" i="15" s="1"/>
  <c r="H571" i="15"/>
  <c r="G571" i="15"/>
  <c r="I537" i="15"/>
  <c r="I529" i="15"/>
  <c r="H512" i="15"/>
  <c r="G512" i="15"/>
  <c r="H508" i="15"/>
  <c r="G508" i="15"/>
  <c r="H494" i="15"/>
  <c r="G494" i="15"/>
  <c r="M488" i="15"/>
  <c r="O487" i="15"/>
  <c r="F487" i="15" s="1"/>
  <c r="O423" i="15"/>
  <c r="F423" i="15" s="1"/>
  <c r="M424" i="15"/>
  <c r="F330" i="15"/>
  <c r="H329" i="15"/>
  <c r="H330" i="15" s="1"/>
  <c r="G329" i="15"/>
  <c r="G330" i="15" s="1"/>
  <c r="M433" i="15"/>
  <c r="O432" i="15"/>
  <c r="F432" i="15" s="1"/>
  <c r="M405" i="15"/>
  <c r="O404" i="15"/>
  <c r="F404" i="15" s="1"/>
  <c r="F334" i="15"/>
  <c r="H312" i="15"/>
  <c r="G312" i="15"/>
  <c r="F314" i="15"/>
  <c r="H182" i="15"/>
  <c r="H184" i="15" s="1"/>
  <c r="G182" i="15"/>
  <c r="G184" i="15" s="1"/>
  <c r="F184" i="15"/>
  <c r="H467" i="15"/>
  <c r="G467" i="15"/>
  <c r="O323" i="15"/>
  <c r="F323" i="15" s="1"/>
  <c r="M324" i="15"/>
  <c r="H275" i="15"/>
  <c r="G275" i="15"/>
  <c r="O296" i="15"/>
  <c r="F296" i="15" s="1"/>
  <c r="M297" i="15"/>
  <c r="H227" i="15"/>
  <c r="H228" i="15" s="1"/>
  <c r="G227" i="15"/>
  <c r="G228" i="15" s="1"/>
  <c r="H150" i="15"/>
  <c r="G150" i="15"/>
  <c r="H129" i="15"/>
  <c r="G129" i="15"/>
  <c r="H216" i="15"/>
  <c r="G216" i="15"/>
  <c r="H204" i="15"/>
  <c r="G204" i="15"/>
  <c r="F206" i="15"/>
  <c r="I363" i="15"/>
  <c r="I371" i="15"/>
  <c r="G234" i="15"/>
  <c r="H167" i="15"/>
  <c r="G167" i="15"/>
  <c r="G162" i="15"/>
  <c r="G141" i="15"/>
  <c r="H141" i="15"/>
  <c r="H376" i="15"/>
  <c r="G376" i="15"/>
  <c r="F378" i="15"/>
  <c r="H247" i="15"/>
  <c r="G247" i="15"/>
  <c r="H68" i="15"/>
  <c r="G68" i="15"/>
  <c r="H67" i="15"/>
  <c r="G67" i="15"/>
  <c r="H44" i="15"/>
  <c r="G44" i="15"/>
  <c r="G127" i="15"/>
  <c r="O103" i="15"/>
  <c r="F103" i="15" s="1"/>
  <c r="M104" i="15"/>
  <c r="M20" i="15"/>
  <c r="O19" i="15"/>
  <c r="F19" i="15" s="1"/>
  <c r="G77" i="15"/>
  <c r="I26" i="15"/>
  <c r="I18" i="15"/>
  <c r="H586" i="15"/>
  <c r="H587" i="15" s="1"/>
  <c r="G586" i="15"/>
  <c r="G587" i="15" s="1"/>
  <c r="O536" i="15"/>
  <c r="F536" i="15" s="1"/>
  <c r="M537" i="15"/>
  <c r="H528" i="15"/>
  <c r="G528" i="15"/>
  <c r="G440" i="15"/>
  <c r="H440" i="15"/>
  <c r="M341" i="15"/>
  <c r="O340" i="15"/>
  <c r="F340" i="15" s="1"/>
  <c r="H274" i="15"/>
  <c r="G274" i="15"/>
  <c r="H384" i="15"/>
  <c r="G384" i="15"/>
  <c r="H318" i="15"/>
  <c r="G318" i="15"/>
  <c r="F158" i="15"/>
  <c r="H157" i="15"/>
  <c r="H158" i="15" s="1"/>
  <c r="G157" i="15"/>
  <c r="G158" i="15" s="1"/>
  <c r="O238" i="15"/>
  <c r="F238" i="15" s="1"/>
  <c r="M239" i="15"/>
  <c r="H88" i="15"/>
  <c r="G88" i="15"/>
  <c r="M47" i="15"/>
  <c r="O47" i="15" s="1"/>
  <c r="F47" i="15" s="1"/>
  <c r="O46" i="15"/>
  <c r="F46" i="15" s="1"/>
  <c r="F520" i="15"/>
  <c r="H519" i="15"/>
  <c r="H520" i="15" s="1"/>
  <c r="G519" i="15"/>
  <c r="G520" i="15" s="1"/>
  <c r="H558" i="15"/>
  <c r="G558" i="15"/>
  <c r="H535" i="15"/>
  <c r="G535" i="15"/>
  <c r="H523" i="15"/>
  <c r="H524" i="15" s="1"/>
  <c r="G523" i="15"/>
  <c r="G524" i="15" s="1"/>
  <c r="H572" i="15"/>
  <c r="H573" i="15" s="1"/>
  <c r="G572" i="15"/>
  <c r="H465" i="15"/>
  <c r="G465" i="15"/>
  <c r="O513" i="15"/>
  <c r="F513" i="15" s="1"/>
  <c r="M514" i="15"/>
  <c r="G509" i="15"/>
  <c r="H509" i="15"/>
  <c r="O495" i="15"/>
  <c r="F495" i="15" s="1"/>
  <c r="M496" i="15"/>
  <c r="H468" i="15"/>
  <c r="H454" i="15"/>
  <c r="G454" i="15"/>
  <c r="G546" i="15"/>
  <c r="H382" i="15"/>
  <c r="G382" i="15"/>
  <c r="H273" i="15"/>
  <c r="G273" i="15"/>
  <c r="H439" i="15"/>
  <c r="G439" i="15"/>
  <c r="G441" i="15" s="1"/>
  <c r="F441" i="15"/>
  <c r="H480" i="15"/>
  <c r="H482" i="15" s="1"/>
  <c r="G480" i="15"/>
  <c r="F482" i="15"/>
  <c r="H339" i="15"/>
  <c r="G339" i="15"/>
  <c r="G334" i="15"/>
  <c r="G313" i="15"/>
  <c r="H313" i="15"/>
  <c r="I298" i="15"/>
  <c r="I306" i="15"/>
  <c r="I347" i="15"/>
  <c r="I339" i="15"/>
  <c r="I255" i="15"/>
  <c r="I263" i="15"/>
  <c r="H165" i="15"/>
  <c r="G165" i="15"/>
  <c r="M277" i="15"/>
  <c r="O276" i="15"/>
  <c r="F276" i="15" s="1"/>
  <c r="F228" i="15"/>
  <c r="H187" i="15"/>
  <c r="G187" i="15"/>
  <c r="O151" i="15"/>
  <c r="F151" i="15" s="1"/>
  <c r="M152" i="15"/>
  <c r="O130" i="15"/>
  <c r="F130" i="15" s="1"/>
  <c r="M131" i="15"/>
  <c r="O217" i="15"/>
  <c r="F217" i="15" s="1"/>
  <c r="M219" i="15"/>
  <c r="M218" i="15"/>
  <c r="O218" i="15" s="1"/>
  <c r="F218" i="15" s="1"/>
  <c r="G205" i="15"/>
  <c r="H205" i="15"/>
  <c r="I190" i="15"/>
  <c r="I198" i="15"/>
  <c r="H16" i="15"/>
  <c r="G16" i="15"/>
  <c r="H237" i="15"/>
  <c r="G237" i="15"/>
  <c r="H234" i="15"/>
  <c r="H212" i="15"/>
  <c r="G212" i="15"/>
  <c r="M169" i="15"/>
  <c r="O168" i="15"/>
  <c r="F168" i="15" s="1"/>
  <c r="H148" i="15"/>
  <c r="G377" i="15"/>
  <c r="H377" i="15"/>
  <c r="I175" i="15"/>
  <c r="I167" i="15"/>
  <c r="M70" i="15"/>
  <c r="O69" i="15"/>
  <c r="F69" i="15" s="1"/>
  <c r="G55" i="15"/>
  <c r="H59" i="15"/>
  <c r="G59" i="15"/>
  <c r="H45" i="15"/>
  <c r="G45" i="15"/>
  <c r="I90" i="15"/>
  <c r="I82" i="15"/>
  <c r="H24" i="15"/>
  <c r="G24" i="15"/>
  <c r="O480" i="14"/>
  <c r="F480" i="14" s="1"/>
  <c r="M481" i="14"/>
  <c r="O481" i="14" s="1"/>
  <c r="F481" i="14" s="1"/>
  <c r="O454" i="14"/>
  <c r="F454" i="14" s="1"/>
  <c r="M455" i="14"/>
  <c r="H422" i="14"/>
  <c r="G422" i="14"/>
  <c r="G423" i="14"/>
  <c r="H423" i="14"/>
  <c r="M426" i="14"/>
  <c r="O425" i="14"/>
  <c r="F425" i="14" s="1"/>
  <c r="M384" i="14"/>
  <c r="O383" i="14"/>
  <c r="F383" i="14" s="1"/>
  <c r="H337" i="14"/>
  <c r="O332" i="14"/>
  <c r="F332" i="14" s="1"/>
  <c r="M333" i="14"/>
  <c r="O333" i="14" s="1"/>
  <c r="F333" i="14" s="1"/>
  <c r="G320" i="14"/>
  <c r="H251" i="14"/>
  <c r="G251" i="14"/>
  <c r="O246" i="14"/>
  <c r="F246" i="14" s="1"/>
  <c r="F213" i="14"/>
  <c r="O226" i="14"/>
  <c r="F226" i="14" s="1"/>
  <c r="M227" i="14"/>
  <c r="O227" i="14" s="1"/>
  <c r="F227" i="14" s="1"/>
  <c r="H195" i="14"/>
  <c r="G195" i="14"/>
  <c r="O197" i="14"/>
  <c r="F197" i="14" s="1"/>
  <c r="M198" i="14"/>
  <c r="M147" i="14"/>
  <c r="O147" i="14" s="1"/>
  <c r="F147" i="14" s="1"/>
  <c r="O146" i="14"/>
  <c r="F146" i="14" s="1"/>
  <c r="O151" i="14"/>
  <c r="F151" i="14" s="1"/>
  <c r="M152" i="14"/>
  <c r="M141" i="14"/>
  <c r="O141" i="14" s="1"/>
  <c r="F141" i="14" s="1"/>
  <c r="O140" i="14"/>
  <c r="F140" i="14" s="1"/>
  <c r="H125" i="14"/>
  <c r="G125" i="14"/>
  <c r="G97" i="14"/>
  <c r="G99" i="14" s="1"/>
  <c r="F99" i="14"/>
  <c r="O83" i="14"/>
  <c r="F83" i="14" s="1"/>
  <c r="M84" i="14"/>
  <c r="G67" i="14"/>
  <c r="H67" i="14"/>
  <c r="F73" i="14"/>
  <c r="H66" i="14"/>
  <c r="G572" i="14"/>
  <c r="H572" i="14"/>
  <c r="G558" i="14"/>
  <c r="H558" i="14"/>
  <c r="O445" i="14"/>
  <c r="F445" i="14" s="1"/>
  <c r="M446" i="14"/>
  <c r="H291" i="14"/>
  <c r="H292" i="14" s="1"/>
  <c r="G291" i="14"/>
  <c r="G292" i="14" s="1"/>
  <c r="F292" i="14"/>
  <c r="I560" i="14"/>
  <c r="I552" i="14"/>
  <c r="G493" i="14"/>
  <c r="H493" i="14"/>
  <c r="I305" i="14"/>
  <c r="I297" i="14"/>
  <c r="I83" i="14"/>
  <c r="I91" i="14"/>
  <c r="I68" i="14"/>
  <c r="I60" i="14"/>
  <c r="H165" i="14"/>
  <c r="G165" i="14"/>
  <c r="H167" i="14"/>
  <c r="G167" i="14"/>
  <c r="I175" i="14"/>
  <c r="I167" i="14"/>
  <c r="M91" i="14"/>
  <c r="O90" i="14"/>
  <c r="F90" i="14" s="1"/>
  <c r="G47" i="14"/>
  <c r="H47" i="14"/>
  <c r="F583" i="14"/>
  <c r="H582" i="14"/>
  <c r="H583" i="14" s="1"/>
  <c r="G582" i="14"/>
  <c r="G583" i="14" s="1"/>
  <c r="G545" i="14"/>
  <c r="G546" i="14" s="1"/>
  <c r="F546" i="14"/>
  <c r="H545" i="14"/>
  <c r="H546" i="14" s="1"/>
  <c r="H566" i="14"/>
  <c r="G566" i="14"/>
  <c r="F568" i="14"/>
  <c r="H549" i="14"/>
  <c r="G549" i="14"/>
  <c r="H502" i="14"/>
  <c r="F504" i="14"/>
  <c r="G502" i="14"/>
  <c r="G504" i="14" s="1"/>
  <c r="M539" i="14"/>
  <c r="O538" i="14"/>
  <c r="F538" i="14" s="1"/>
  <c r="G461" i="14"/>
  <c r="H461" i="14"/>
  <c r="F463" i="14"/>
  <c r="H439" i="14"/>
  <c r="G439" i="14"/>
  <c r="F441" i="14"/>
  <c r="H381" i="14"/>
  <c r="G381" i="14"/>
  <c r="H345" i="14"/>
  <c r="G345" i="14"/>
  <c r="H322" i="14"/>
  <c r="G322" i="14"/>
  <c r="O471" i="14"/>
  <c r="F471" i="14" s="1"/>
  <c r="M472" i="14"/>
  <c r="M283" i="14"/>
  <c r="O282" i="14"/>
  <c r="F282" i="14" s="1"/>
  <c r="M487" i="14"/>
  <c r="O486" i="14"/>
  <c r="F486" i="14" s="1"/>
  <c r="H294" i="14"/>
  <c r="G294" i="14"/>
  <c r="M261" i="14"/>
  <c r="O260" i="14"/>
  <c r="F260" i="14" s="1"/>
  <c r="O494" i="14"/>
  <c r="F494" i="14" s="1"/>
  <c r="M495" i="14"/>
  <c r="I347" i="14"/>
  <c r="I339" i="14"/>
  <c r="I262" i="14"/>
  <c r="I254" i="14"/>
  <c r="M176" i="14"/>
  <c r="O175" i="14"/>
  <c r="F175" i="14" s="1"/>
  <c r="G129" i="14"/>
  <c r="H129" i="14"/>
  <c r="M105" i="14"/>
  <c r="O104" i="14"/>
  <c r="F104" i="14" s="1"/>
  <c r="M40" i="14"/>
  <c r="O40" i="14" s="1"/>
  <c r="F40" i="14" s="1"/>
  <c r="O39" i="14"/>
  <c r="F39" i="14" s="1"/>
  <c r="H359" i="14"/>
  <c r="G359" i="14"/>
  <c r="I539" i="14"/>
  <c r="I531" i="14"/>
  <c r="H252" i="14"/>
  <c r="G252" i="14"/>
  <c r="M169" i="14"/>
  <c r="O168" i="14"/>
  <c r="F168" i="14" s="1"/>
  <c r="G71" i="14"/>
  <c r="H161" i="14"/>
  <c r="G161" i="14"/>
  <c r="H70" i="14"/>
  <c r="G70" i="14"/>
  <c r="I26" i="14"/>
  <c r="I18" i="14"/>
  <c r="H270" i="14"/>
  <c r="G89" i="14"/>
  <c r="H89" i="14"/>
  <c r="M515" i="14"/>
  <c r="O514" i="14"/>
  <c r="F514" i="14" s="1"/>
  <c r="H467" i="14"/>
  <c r="G467" i="14"/>
  <c r="H485" i="14"/>
  <c r="G485" i="14"/>
  <c r="I364" i="14"/>
  <c r="I373" i="14" s="1"/>
  <c r="I372" i="14"/>
  <c r="H182" i="14"/>
  <c r="H184" i="14" s="1"/>
  <c r="F184" i="14"/>
  <c r="G182" i="14"/>
  <c r="G184" i="14" s="1"/>
  <c r="G273" i="14"/>
  <c r="H273" i="14"/>
  <c r="H367" i="14"/>
  <c r="G367" i="14"/>
  <c r="H44" i="14"/>
  <c r="G44" i="14"/>
  <c r="H231" i="14"/>
  <c r="G231" i="14"/>
  <c r="O585" i="14"/>
  <c r="F585" i="14" s="1"/>
  <c r="M586" i="14"/>
  <c r="O586" i="14" s="1"/>
  <c r="F586" i="14" s="1"/>
  <c r="M529" i="14"/>
  <c r="O528" i="14"/>
  <c r="F528" i="14" s="1"/>
  <c r="G519" i="14"/>
  <c r="G520" i="14" s="1"/>
  <c r="F520" i="14"/>
  <c r="H519" i="14"/>
  <c r="H520" i="14" s="1"/>
  <c r="G567" i="14"/>
  <c r="H567" i="14"/>
  <c r="M551" i="14"/>
  <c r="O550" i="14"/>
  <c r="F550" i="14" s="1"/>
  <c r="G462" i="14"/>
  <c r="H462" i="14"/>
  <c r="H440" i="14"/>
  <c r="G440" i="14"/>
  <c r="H376" i="14"/>
  <c r="G376" i="14"/>
  <c r="F378" i="14"/>
  <c r="M347" i="14"/>
  <c r="O346" i="14"/>
  <c r="F346" i="14" s="1"/>
  <c r="O323" i="14"/>
  <c r="F323" i="14" s="1"/>
  <c r="M324" i="14"/>
  <c r="H507" i="14"/>
  <c r="G507" i="14"/>
  <c r="G404" i="14"/>
  <c r="H404" i="14"/>
  <c r="H508" i="14"/>
  <c r="G508" i="14"/>
  <c r="O295" i="14"/>
  <c r="F295" i="14" s="1"/>
  <c r="M296" i="14"/>
  <c r="H430" i="14"/>
  <c r="G430" i="14"/>
  <c r="H338" i="14"/>
  <c r="G338" i="14"/>
  <c r="O130" i="14"/>
  <c r="F130" i="14" s="1"/>
  <c r="M131" i="14"/>
  <c r="M60" i="14"/>
  <c r="O59" i="14"/>
  <c r="F59" i="14" s="1"/>
  <c r="O24" i="14"/>
  <c r="F24" i="14" s="1"/>
  <c r="M25" i="14"/>
  <c r="O360" i="14"/>
  <c r="F360" i="14" s="1"/>
  <c r="M361" i="14"/>
  <c r="F248" i="14"/>
  <c r="G246" i="14"/>
  <c r="H246" i="14"/>
  <c r="O188" i="14"/>
  <c r="F188" i="14" s="1"/>
  <c r="M189" i="14"/>
  <c r="F158" i="14"/>
  <c r="H157" i="14"/>
  <c r="H158" i="14" s="1"/>
  <c r="G157" i="14"/>
  <c r="G158" i="14" s="1"/>
  <c r="M254" i="14"/>
  <c r="O253" i="14"/>
  <c r="F253" i="14" s="1"/>
  <c r="F206" i="14"/>
  <c r="G204" i="14"/>
  <c r="G206" i="14" s="1"/>
  <c r="H204" i="14"/>
  <c r="H206" i="14" s="1"/>
  <c r="G160" i="14"/>
  <c r="F162" i="14"/>
  <c r="H160" i="14"/>
  <c r="H50" i="14"/>
  <c r="H51" i="14" s="1"/>
  <c r="F51" i="14"/>
  <c r="G50" i="14"/>
  <c r="G51" i="14" s="1"/>
  <c r="M17" i="14"/>
  <c r="O16" i="14"/>
  <c r="F16" i="14" s="1"/>
  <c r="M370" i="14"/>
  <c r="O369" i="14"/>
  <c r="F369" i="14" s="1"/>
  <c r="H312" i="14"/>
  <c r="G312" i="14"/>
  <c r="F314" i="14"/>
  <c r="I285" i="14"/>
  <c r="I277" i="14"/>
  <c r="H232" i="14"/>
  <c r="G232" i="14"/>
  <c r="G234" i="14" s="1"/>
  <c r="H53" i="14"/>
  <c r="F55" i="14"/>
  <c r="G53" i="14"/>
  <c r="G557" i="14"/>
  <c r="H557" i="14"/>
  <c r="G578" i="14"/>
  <c r="H578" i="14"/>
  <c r="H537" i="14"/>
  <c r="G537" i="14"/>
  <c r="G470" i="14"/>
  <c r="H470" i="14"/>
  <c r="H281" i="14"/>
  <c r="G281" i="14"/>
  <c r="H212" i="14"/>
  <c r="G212" i="14"/>
  <c r="G431" i="14"/>
  <c r="H431" i="14"/>
  <c r="H68" i="14"/>
  <c r="G68" i="14"/>
  <c r="O238" i="14"/>
  <c r="F238" i="14" s="1"/>
  <c r="M239" i="14"/>
  <c r="F234" i="14"/>
  <c r="F48" i="14"/>
  <c r="F580" i="14"/>
  <c r="H575" i="14"/>
  <c r="G575" i="14"/>
  <c r="H571" i="14"/>
  <c r="H573" i="14" s="1"/>
  <c r="G571" i="14"/>
  <c r="F573" i="14"/>
  <c r="M523" i="14"/>
  <c r="O523" i="14" s="1"/>
  <c r="F523" i="14" s="1"/>
  <c r="O522" i="14"/>
  <c r="F522" i="14" s="1"/>
  <c r="H579" i="14"/>
  <c r="G579" i="14"/>
  <c r="O559" i="14"/>
  <c r="F559" i="14" s="1"/>
  <c r="M560" i="14"/>
  <c r="G513" i="14"/>
  <c r="H513" i="14"/>
  <c r="H466" i="14"/>
  <c r="G466" i="14"/>
  <c r="G468" i="14" s="1"/>
  <c r="F468" i="14"/>
  <c r="G444" i="14"/>
  <c r="H444" i="14"/>
  <c r="H377" i="14"/>
  <c r="G377" i="14"/>
  <c r="I496" i="14"/>
  <c r="I488" i="14"/>
  <c r="O405" i="14"/>
  <c r="F405" i="14" s="1"/>
  <c r="M406" i="14"/>
  <c r="H509" i="14"/>
  <c r="G509" i="14"/>
  <c r="M304" i="14"/>
  <c r="O303" i="14"/>
  <c r="F303" i="14" s="1"/>
  <c r="O339" i="14"/>
  <c r="F339" i="14" s="1"/>
  <c r="M340" i="14"/>
  <c r="H196" i="14"/>
  <c r="G196" i="14"/>
  <c r="G124" i="14"/>
  <c r="H124" i="14"/>
  <c r="G76" i="14"/>
  <c r="G77" i="14" s="1"/>
  <c r="H76" i="14"/>
  <c r="H77" i="14" s="1"/>
  <c r="O432" i="14"/>
  <c r="F432" i="14" s="1"/>
  <c r="M433" i="14"/>
  <c r="O274" i="14"/>
  <c r="F274" i="14" s="1"/>
  <c r="M275" i="14"/>
  <c r="G270" i="14"/>
  <c r="G247" i="14"/>
  <c r="H247" i="14"/>
  <c r="G15" i="14"/>
  <c r="H15" i="14"/>
  <c r="I432" i="14"/>
  <c r="I424" i="14"/>
  <c r="H237" i="14"/>
  <c r="G237" i="14"/>
  <c r="H210" i="14"/>
  <c r="H213" i="14" s="1"/>
  <c r="G210" i="14"/>
  <c r="G213" i="14" s="1"/>
  <c r="M217" i="14"/>
  <c r="O216" i="14"/>
  <c r="F216" i="14" s="1"/>
  <c r="H45" i="14"/>
  <c r="G45" i="14"/>
  <c r="M34" i="14"/>
  <c r="O34" i="14" s="1"/>
  <c r="F34" i="14" s="1"/>
  <c r="O33" i="14"/>
  <c r="F33" i="14" s="1"/>
  <c r="G368" i="14"/>
  <c r="H368" i="14"/>
  <c r="H313" i="14"/>
  <c r="G313" i="14"/>
  <c r="H54" i="14"/>
  <c r="G54" i="14"/>
  <c r="H46" i="14"/>
  <c r="G46" i="14"/>
  <c r="G580" i="18" l="1"/>
  <c r="H48" i="18"/>
  <c r="G22" i="18"/>
  <c r="I286" i="19"/>
  <c r="I278" i="19"/>
  <c r="I287" i="19" s="1"/>
  <c r="G206" i="15"/>
  <c r="F596" i="15"/>
  <c r="H127" i="14"/>
  <c r="H314" i="14"/>
  <c r="H504" i="14"/>
  <c r="G213" i="15"/>
  <c r="H135" i="18"/>
  <c r="H248" i="15"/>
  <c r="G596" i="14"/>
  <c r="H73" i="14"/>
  <c r="G241" i="18"/>
  <c r="H221" i="18"/>
  <c r="G533" i="19"/>
  <c r="F221" i="19"/>
  <c r="H475" i="19"/>
  <c r="H446" i="15"/>
  <c r="G446" i="15"/>
  <c r="M448" i="15"/>
  <c r="O447" i="15"/>
  <c r="F447" i="15" s="1"/>
  <c r="I191" i="14"/>
  <c r="I199" i="14"/>
  <c r="H468" i="14"/>
  <c r="H320" i="15"/>
  <c r="G378" i="15"/>
  <c r="G517" i="18"/>
  <c r="G468" i="15"/>
  <c r="F596" i="14"/>
  <c r="G320" i="15"/>
  <c r="G248" i="14"/>
  <c r="H213" i="15"/>
  <c r="H441" i="15"/>
  <c r="H241" i="18"/>
  <c r="H127" i="19"/>
  <c r="G342" i="19"/>
  <c r="H342" i="19"/>
  <c r="H343" i="19" s="1"/>
  <c r="O349" i="19"/>
  <c r="F349" i="19" s="1"/>
  <c r="M350" i="19"/>
  <c r="G341" i="19"/>
  <c r="H341" i="19"/>
  <c r="G348" i="19"/>
  <c r="H348" i="19"/>
  <c r="F343" i="19"/>
  <c r="G325" i="19"/>
  <c r="G327" i="19" s="1"/>
  <c r="H325" i="19"/>
  <c r="H327" i="19" s="1"/>
  <c r="F327" i="19"/>
  <c r="G326" i="19"/>
  <c r="H326" i="19"/>
  <c r="H262" i="19"/>
  <c r="G262" i="19"/>
  <c r="O263" i="19"/>
  <c r="F263" i="19" s="1"/>
  <c r="M264" i="19"/>
  <c r="H240" i="19"/>
  <c r="G240" i="19"/>
  <c r="G239" i="19"/>
  <c r="G241" i="19" s="1"/>
  <c r="H239" i="19"/>
  <c r="H171" i="19"/>
  <c r="G171" i="19"/>
  <c r="G127" i="19"/>
  <c r="H517" i="18"/>
  <c r="H450" i="18"/>
  <c r="G342" i="18"/>
  <c r="H342" i="18"/>
  <c r="G341" i="18"/>
  <c r="G343" i="18" s="1"/>
  <c r="H341" i="18"/>
  <c r="H343" i="18" s="1"/>
  <c r="G221" i="18"/>
  <c r="G135" i="18"/>
  <c r="G48" i="18"/>
  <c r="H22" i="18"/>
  <c r="H457" i="19"/>
  <c r="G457" i="19"/>
  <c r="M299" i="19"/>
  <c r="O298" i="19"/>
  <c r="F298" i="19" s="1"/>
  <c r="M392" i="19"/>
  <c r="O391" i="19"/>
  <c r="F391" i="19" s="1"/>
  <c r="G578" i="19"/>
  <c r="G580" i="19" s="1"/>
  <c r="H578" i="19"/>
  <c r="M285" i="19"/>
  <c r="O284" i="19"/>
  <c r="F284" i="19" s="1"/>
  <c r="H189" i="19"/>
  <c r="G189" i="19"/>
  <c r="M449" i="19"/>
  <c r="O449" i="19" s="1"/>
  <c r="F449" i="19" s="1"/>
  <c r="O448" i="19"/>
  <c r="F448" i="19" s="1"/>
  <c r="G433" i="19"/>
  <c r="H433" i="19"/>
  <c r="H458" i="19"/>
  <c r="G458" i="19"/>
  <c r="H297" i="19"/>
  <c r="G297" i="19"/>
  <c r="O306" i="19"/>
  <c r="F306" i="19" s="1"/>
  <c r="M307" i="19"/>
  <c r="I29" i="19"/>
  <c r="I21" i="19"/>
  <c r="I30" i="19" s="1"/>
  <c r="G488" i="19"/>
  <c r="H488" i="19"/>
  <c r="G390" i="19"/>
  <c r="H390" i="19"/>
  <c r="H497" i="19"/>
  <c r="G497" i="19"/>
  <c r="G47" i="19"/>
  <c r="H47" i="19"/>
  <c r="G219" i="19"/>
  <c r="H219" i="19"/>
  <c r="H177" i="19"/>
  <c r="G177" i="19"/>
  <c r="G155" i="19"/>
  <c r="G70" i="19"/>
  <c r="H70" i="19"/>
  <c r="H561" i="19"/>
  <c r="G561" i="19"/>
  <c r="H406" i="19"/>
  <c r="H407" i="19" s="1"/>
  <c r="G406" i="19"/>
  <c r="G407" i="19" s="1"/>
  <c r="G283" i="19"/>
  <c r="H283" i="19"/>
  <c r="H133" i="19"/>
  <c r="G133" i="19"/>
  <c r="I532" i="19"/>
  <c r="I541" i="19" s="1"/>
  <c r="I540" i="19"/>
  <c r="G538" i="19"/>
  <c r="H538" i="19"/>
  <c r="M490" i="19"/>
  <c r="O490" i="19" s="1"/>
  <c r="F490" i="19" s="1"/>
  <c r="O489" i="19"/>
  <c r="F489" i="19" s="1"/>
  <c r="I71" i="19"/>
  <c r="I63" i="19"/>
  <c r="I72" i="19" s="1"/>
  <c r="H155" i="19"/>
  <c r="O113" i="19"/>
  <c r="F113" i="19" s="1"/>
  <c r="M114" i="19"/>
  <c r="M191" i="19"/>
  <c r="O190" i="19"/>
  <c r="F190" i="19" s="1"/>
  <c r="G447" i="19"/>
  <c r="H447" i="19"/>
  <c r="O28" i="19"/>
  <c r="F28" i="19" s="1"/>
  <c r="M29" i="19"/>
  <c r="H362" i="19"/>
  <c r="G362" i="19"/>
  <c r="M499" i="19"/>
  <c r="O499" i="19" s="1"/>
  <c r="F499" i="19" s="1"/>
  <c r="F500" i="19" s="1"/>
  <c r="O498" i="19"/>
  <c r="F498" i="19" s="1"/>
  <c r="F459" i="19"/>
  <c r="G46" i="19"/>
  <c r="G48" i="19" s="1"/>
  <c r="H46" i="19"/>
  <c r="F48" i="19"/>
  <c r="H255" i="19"/>
  <c r="G255" i="19"/>
  <c r="M277" i="19"/>
  <c r="O276" i="19"/>
  <c r="F276" i="19" s="1"/>
  <c r="O178" i="19"/>
  <c r="F178" i="19" s="1"/>
  <c r="M179" i="19"/>
  <c r="O179" i="19" s="1"/>
  <c r="F179" i="19" s="1"/>
  <c r="F180" i="19" s="1"/>
  <c r="H372" i="19"/>
  <c r="G372" i="19"/>
  <c r="H198" i="19"/>
  <c r="G198" i="19"/>
  <c r="M563" i="19"/>
  <c r="O563" i="19" s="1"/>
  <c r="F563" i="19" s="1"/>
  <c r="O562" i="19"/>
  <c r="F562" i="19" s="1"/>
  <c r="M410" i="19"/>
  <c r="O409" i="19"/>
  <c r="F409" i="19" s="1"/>
  <c r="I364" i="19"/>
  <c r="I373" i="19" s="1"/>
  <c r="I372" i="19"/>
  <c r="G134" i="19"/>
  <c r="H134" i="19"/>
  <c r="M554" i="19"/>
  <c r="O554" i="19" s="1"/>
  <c r="F554" i="19" s="1"/>
  <c r="O553" i="19"/>
  <c r="F553" i="19" s="1"/>
  <c r="M435" i="19"/>
  <c r="O434" i="19"/>
  <c r="F434" i="19" s="1"/>
  <c r="H305" i="19"/>
  <c r="G305" i="19"/>
  <c r="H459" i="19"/>
  <c r="G220" i="19"/>
  <c r="H220" i="19"/>
  <c r="O71" i="19"/>
  <c r="F71" i="19" s="1"/>
  <c r="M72" i="19"/>
  <c r="O72" i="19" s="1"/>
  <c r="F72" i="19" s="1"/>
  <c r="I427" i="19"/>
  <c r="I436" i="19" s="1"/>
  <c r="I435" i="19"/>
  <c r="G112" i="19"/>
  <c r="H112" i="19"/>
  <c r="F580" i="19"/>
  <c r="H27" i="19"/>
  <c r="G27" i="19"/>
  <c r="M540" i="19"/>
  <c r="O539" i="19"/>
  <c r="F539" i="19" s="1"/>
  <c r="O363" i="19"/>
  <c r="F363" i="19" s="1"/>
  <c r="M364" i="19"/>
  <c r="O364" i="19" s="1"/>
  <c r="F364" i="19" s="1"/>
  <c r="G459" i="19"/>
  <c r="I350" i="19"/>
  <c r="I342" i="19"/>
  <c r="I351" i="19" s="1"/>
  <c r="H256" i="19"/>
  <c r="H257" i="19" s="1"/>
  <c r="G256" i="19"/>
  <c r="G275" i="19"/>
  <c r="H275" i="19"/>
  <c r="H579" i="19"/>
  <c r="H580" i="19" s="1"/>
  <c r="G579" i="19"/>
  <c r="H373" i="19"/>
  <c r="G373" i="19"/>
  <c r="G374" i="19" s="1"/>
  <c r="O199" i="19"/>
  <c r="F199" i="19" s="1"/>
  <c r="M200" i="19"/>
  <c r="F257" i="19"/>
  <c r="G552" i="19"/>
  <c r="H552" i="19"/>
  <c r="I200" i="19"/>
  <c r="I192" i="19"/>
  <c r="I201" i="19" s="1"/>
  <c r="M111" i="18"/>
  <c r="O110" i="18"/>
  <c r="F110" i="18" s="1"/>
  <c r="H553" i="18"/>
  <c r="H555" i="18" s="1"/>
  <c r="G553" i="18"/>
  <c r="H385" i="18"/>
  <c r="H386" i="18" s="1"/>
  <c r="G385" i="18"/>
  <c r="G386" i="18" s="1"/>
  <c r="G362" i="18"/>
  <c r="H362" i="18"/>
  <c r="H348" i="18"/>
  <c r="G348" i="18"/>
  <c r="H169" i="18"/>
  <c r="H171" i="18" s="1"/>
  <c r="G169" i="18"/>
  <c r="F171" i="18"/>
  <c r="M532" i="18"/>
  <c r="O532" i="18" s="1"/>
  <c r="F532" i="18" s="1"/>
  <c r="O531" i="18"/>
  <c r="F531" i="18" s="1"/>
  <c r="M265" i="18"/>
  <c r="O265" i="18" s="1"/>
  <c r="F265" i="18" s="1"/>
  <c r="O264" i="18"/>
  <c r="F264" i="18" s="1"/>
  <c r="M427" i="18"/>
  <c r="O427" i="18" s="1"/>
  <c r="F427" i="18" s="1"/>
  <c r="O426" i="18"/>
  <c r="F426" i="18" s="1"/>
  <c r="F428" i="18" s="1"/>
  <c r="M498" i="18"/>
  <c r="O497" i="18"/>
  <c r="F497" i="18" s="1"/>
  <c r="M458" i="18"/>
  <c r="O458" i="18" s="1"/>
  <c r="F458" i="18" s="1"/>
  <c r="O457" i="18"/>
  <c r="F457" i="18" s="1"/>
  <c r="G554" i="18"/>
  <c r="H554" i="18"/>
  <c r="I342" i="18"/>
  <c r="I351" i="18" s="1"/>
  <c r="I350" i="18"/>
  <c r="H255" i="18"/>
  <c r="G255" i="18"/>
  <c r="M389" i="18"/>
  <c r="O388" i="18"/>
  <c r="F388" i="18" s="1"/>
  <c r="M350" i="18"/>
  <c r="O349" i="18"/>
  <c r="F349" i="18" s="1"/>
  <c r="M300" i="18"/>
  <c r="O300" i="18" s="1"/>
  <c r="F300" i="18" s="1"/>
  <c r="O299" i="18"/>
  <c r="F299" i="18" s="1"/>
  <c r="M489" i="18"/>
  <c r="O488" i="18"/>
  <c r="F488" i="18" s="1"/>
  <c r="G170" i="18"/>
  <c r="H170" i="18"/>
  <c r="H191" i="18"/>
  <c r="G191" i="18"/>
  <c r="F193" i="18"/>
  <c r="G561" i="18"/>
  <c r="H561" i="18"/>
  <c r="H370" i="18"/>
  <c r="G370" i="18"/>
  <c r="H263" i="18"/>
  <c r="G263" i="18"/>
  <c r="F386" i="18"/>
  <c r="G256" i="18"/>
  <c r="G257" i="18" s="1"/>
  <c r="H256" i="18"/>
  <c r="F257" i="18"/>
  <c r="G539" i="18"/>
  <c r="H539" i="18"/>
  <c r="G199" i="18"/>
  <c r="H199" i="18"/>
  <c r="G28" i="18"/>
  <c r="H28" i="18"/>
  <c r="H298" i="18"/>
  <c r="G298" i="18"/>
  <c r="G487" i="18"/>
  <c r="H487" i="18"/>
  <c r="H283" i="18"/>
  <c r="G283" i="18"/>
  <c r="I278" i="18"/>
  <c r="I287" i="18" s="1"/>
  <c r="I286" i="18"/>
  <c r="H434" i="18"/>
  <c r="G434" i="18"/>
  <c r="G155" i="18"/>
  <c r="G192" i="18"/>
  <c r="H192" i="18"/>
  <c r="M563" i="18"/>
  <c r="O563" i="18" s="1"/>
  <c r="F563" i="18" s="1"/>
  <c r="O562" i="18"/>
  <c r="F562" i="18" s="1"/>
  <c r="O371" i="18"/>
  <c r="F371" i="18" s="1"/>
  <c r="M372" i="18"/>
  <c r="H275" i="18"/>
  <c r="G275" i="18"/>
  <c r="H85" i="18"/>
  <c r="G85" i="18"/>
  <c r="G86" i="18" s="1"/>
  <c r="H456" i="18"/>
  <c r="G456" i="18"/>
  <c r="G325" i="18"/>
  <c r="H325" i="18"/>
  <c r="F327" i="18"/>
  <c r="H177" i="18"/>
  <c r="G177" i="18"/>
  <c r="M410" i="18"/>
  <c r="O409" i="18"/>
  <c r="F409" i="18" s="1"/>
  <c r="M72" i="18"/>
  <c r="O72" i="18" s="1"/>
  <c r="F72" i="18" s="1"/>
  <c r="O71" i="18"/>
  <c r="F71" i="18" s="1"/>
  <c r="G84" i="18"/>
  <c r="H84" i="18"/>
  <c r="F86" i="18"/>
  <c r="G109" i="18"/>
  <c r="H109" i="18"/>
  <c r="O540" i="18"/>
  <c r="F540" i="18" s="1"/>
  <c r="M541" i="18"/>
  <c r="O541" i="18" s="1"/>
  <c r="F541" i="18" s="1"/>
  <c r="M201" i="18"/>
  <c r="O201" i="18" s="1"/>
  <c r="F201" i="18" s="1"/>
  <c r="O200" i="18"/>
  <c r="F200" i="18" s="1"/>
  <c r="M364" i="18"/>
  <c r="O364" i="18" s="1"/>
  <c r="F364" i="18" s="1"/>
  <c r="O363" i="18"/>
  <c r="F363" i="18" s="1"/>
  <c r="F555" i="18"/>
  <c r="M30" i="18"/>
  <c r="O30" i="18" s="1"/>
  <c r="F30" i="18" s="1"/>
  <c r="O29" i="18"/>
  <c r="F29" i="18" s="1"/>
  <c r="H326" i="18"/>
  <c r="H327" i="18" s="1"/>
  <c r="G326" i="18"/>
  <c r="G327" i="18" s="1"/>
  <c r="M179" i="18"/>
  <c r="O179" i="18" s="1"/>
  <c r="F179" i="18" s="1"/>
  <c r="O178" i="18"/>
  <c r="F178" i="18" s="1"/>
  <c r="F180" i="18" s="1"/>
  <c r="H406" i="18"/>
  <c r="H407" i="18" s="1"/>
  <c r="G406" i="18"/>
  <c r="G407" i="18" s="1"/>
  <c r="F407" i="18"/>
  <c r="O284" i="18"/>
  <c r="F284" i="18" s="1"/>
  <c r="M285" i="18"/>
  <c r="H70" i="18"/>
  <c r="G70" i="18"/>
  <c r="O435" i="18"/>
  <c r="F435" i="18" s="1"/>
  <c r="M436" i="18"/>
  <c r="O436" i="18" s="1"/>
  <c r="F436" i="18" s="1"/>
  <c r="I532" i="18"/>
  <c r="I541" i="18" s="1"/>
  <c r="I540" i="18"/>
  <c r="G530" i="18"/>
  <c r="H530" i="18"/>
  <c r="M277" i="18"/>
  <c r="O276" i="18"/>
  <c r="F276" i="18" s="1"/>
  <c r="G425" i="18"/>
  <c r="H425" i="18"/>
  <c r="F365" i="18"/>
  <c r="G496" i="18"/>
  <c r="H496" i="18"/>
  <c r="G48" i="15"/>
  <c r="H69" i="15"/>
  <c r="G69" i="15"/>
  <c r="I191" i="15"/>
  <c r="I199" i="15"/>
  <c r="M153" i="15"/>
  <c r="O152" i="15"/>
  <c r="F152" i="15" s="1"/>
  <c r="G323" i="15"/>
  <c r="H323" i="15"/>
  <c r="G60" i="15"/>
  <c r="H60" i="15"/>
  <c r="H40" i="15"/>
  <c r="G40" i="15"/>
  <c r="M284" i="15"/>
  <c r="O283" i="15"/>
  <c r="F283" i="15" s="1"/>
  <c r="H371" i="15"/>
  <c r="G371" i="15"/>
  <c r="H385" i="15"/>
  <c r="H386" i="15" s="1"/>
  <c r="G385" i="15"/>
  <c r="G386" i="15" s="1"/>
  <c r="I448" i="15"/>
  <c r="I456" i="15"/>
  <c r="G576" i="15"/>
  <c r="H576" i="15"/>
  <c r="M71" i="15"/>
  <c r="O70" i="15"/>
  <c r="F70" i="15" s="1"/>
  <c r="M170" i="15"/>
  <c r="O170" i="15" s="1"/>
  <c r="F170" i="15" s="1"/>
  <c r="O169" i="15"/>
  <c r="F169" i="15" s="1"/>
  <c r="G217" i="15"/>
  <c r="H217" i="15"/>
  <c r="G151" i="15"/>
  <c r="H151" i="15"/>
  <c r="I340" i="15"/>
  <c r="I348" i="15"/>
  <c r="G495" i="15"/>
  <c r="H495" i="15"/>
  <c r="M515" i="15"/>
  <c r="O514" i="15"/>
  <c r="F514" i="15" s="1"/>
  <c r="H47" i="15"/>
  <c r="G47" i="15"/>
  <c r="M342" i="15"/>
  <c r="O342" i="15" s="1"/>
  <c r="F342" i="15" s="1"/>
  <c r="O341" i="15"/>
  <c r="F341" i="15" s="1"/>
  <c r="M105" i="15"/>
  <c r="O104" i="15"/>
  <c r="F104" i="15" s="1"/>
  <c r="H378" i="15"/>
  <c r="I364" i="15"/>
  <c r="I373" i="15" s="1"/>
  <c r="I372" i="15"/>
  <c r="H206" i="15"/>
  <c r="H432" i="15"/>
  <c r="G432" i="15"/>
  <c r="G510" i="15"/>
  <c r="G573" i="15"/>
  <c r="M27" i="15"/>
  <c r="O26" i="15"/>
  <c r="F26" i="15" s="1"/>
  <c r="I426" i="15"/>
  <c r="I434" i="15"/>
  <c r="F41" i="15"/>
  <c r="G39" i="15"/>
  <c r="G41" i="15" s="1"/>
  <c r="H39" i="15"/>
  <c r="H41" i="15" s="1"/>
  <c r="M176" i="15"/>
  <c r="O175" i="15"/>
  <c r="F175" i="15" s="1"/>
  <c r="M199" i="15"/>
  <c r="O198" i="15"/>
  <c r="F198" i="15" s="1"/>
  <c r="G282" i="15"/>
  <c r="H282" i="15"/>
  <c r="M373" i="15"/>
  <c r="O373" i="15" s="1"/>
  <c r="F373" i="15" s="1"/>
  <c r="F374" i="15" s="1"/>
  <c r="O372" i="15"/>
  <c r="F372" i="15" s="1"/>
  <c r="M362" i="15"/>
  <c r="O361" i="15"/>
  <c r="F361" i="15" s="1"/>
  <c r="H305" i="15"/>
  <c r="G305" i="15"/>
  <c r="G472" i="15"/>
  <c r="H472" i="15"/>
  <c r="M552" i="15"/>
  <c r="O551" i="15"/>
  <c r="F551" i="15" s="1"/>
  <c r="G568" i="15"/>
  <c r="H168" i="15"/>
  <c r="G168" i="15"/>
  <c r="H46" i="15"/>
  <c r="G46" i="15"/>
  <c r="F48" i="15"/>
  <c r="G536" i="15"/>
  <c r="H536" i="15"/>
  <c r="G423" i="15"/>
  <c r="H423" i="15"/>
  <c r="G188" i="15"/>
  <c r="H188" i="15"/>
  <c r="G89" i="15"/>
  <c r="H89" i="15"/>
  <c r="I276" i="15"/>
  <c r="I284" i="15"/>
  <c r="G253" i="15"/>
  <c r="H253" i="15"/>
  <c r="M264" i="15"/>
  <c r="O263" i="15"/>
  <c r="F263" i="15" s="1"/>
  <c r="M474" i="15"/>
  <c r="O474" i="15" s="1"/>
  <c r="F474" i="15" s="1"/>
  <c r="O473" i="15"/>
  <c r="F473" i="15" s="1"/>
  <c r="I168" i="15"/>
  <c r="I176" i="15"/>
  <c r="M132" i="15"/>
  <c r="O132" i="15" s="1"/>
  <c r="F132" i="15" s="1"/>
  <c r="O131" i="15"/>
  <c r="F131" i="15" s="1"/>
  <c r="M133" i="15"/>
  <c r="H276" i="15"/>
  <c r="G276" i="15"/>
  <c r="G513" i="15"/>
  <c r="H513" i="15"/>
  <c r="H19" i="15"/>
  <c r="G19" i="15"/>
  <c r="G103" i="15"/>
  <c r="H103" i="15"/>
  <c r="M434" i="15"/>
  <c r="O433" i="15"/>
  <c r="F433" i="15" s="1"/>
  <c r="H487" i="15"/>
  <c r="G487" i="15"/>
  <c r="H510" i="15"/>
  <c r="I553" i="15"/>
  <c r="I561" i="15"/>
  <c r="G596" i="15"/>
  <c r="G25" i="15"/>
  <c r="H25" i="15"/>
  <c r="I63" i="15"/>
  <c r="I72" i="15" s="1"/>
  <c r="I71" i="15"/>
  <c r="G174" i="15"/>
  <c r="H174" i="15"/>
  <c r="G142" i="15"/>
  <c r="G360" i="15"/>
  <c r="H360" i="15"/>
  <c r="M307" i="15"/>
  <c r="O306" i="15"/>
  <c r="F306" i="15" s="1"/>
  <c r="I489" i="15"/>
  <c r="I497" i="15"/>
  <c r="G550" i="15"/>
  <c r="H550" i="15"/>
  <c r="H568" i="15"/>
  <c r="H455" i="15"/>
  <c r="G455" i="15"/>
  <c r="F386" i="15"/>
  <c r="O219" i="15"/>
  <c r="F219" i="15" s="1"/>
  <c r="M220" i="15"/>
  <c r="O220" i="15" s="1"/>
  <c r="F220" i="15" s="1"/>
  <c r="I256" i="15"/>
  <c r="I265" i="15" s="1"/>
  <c r="I264" i="15"/>
  <c r="M497" i="15"/>
  <c r="O496" i="15"/>
  <c r="F496" i="15" s="1"/>
  <c r="G238" i="15"/>
  <c r="H238" i="15"/>
  <c r="H340" i="15"/>
  <c r="G340" i="15"/>
  <c r="G296" i="15"/>
  <c r="H296" i="15"/>
  <c r="H314" i="15"/>
  <c r="M406" i="15"/>
  <c r="O405" i="15"/>
  <c r="F405" i="15" s="1"/>
  <c r="M532" i="15"/>
  <c r="O532" i="15" s="1"/>
  <c r="F532" i="15" s="1"/>
  <c r="O531" i="15"/>
  <c r="F531" i="15" s="1"/>
  <c r="M561" i="15"/>
  <c r="O560" i="15"/>
  <c r="F560" i="15" s="1"/>
  <c r="M85" i="15"/>
  <c r="O85" i="15" s="1"/>
  <c r="F85" i="15" s="1"/>
  <c r="O84" i="15"/>
  <c r="F84" i="15" s="1"/>
  <c r="H197" i="15"/>
  <c r="G197" i="15"/>
  <c r="G346" i="15"/>
  <c r="H346" i="15"/>
  <c r="I83" i="15"/>
  <c r="I91" i="15"/>
  <c r="H218" i="15"/>
  <c r="G218" i="15"/>
  <c r="G130" i="15"/>
  <c r="H130" i="15"/>
  <c r="M278" i="15"/>
  <c r="O278" i="15" s="1"/>
  <c r="F278" i="15" s="1"/>
  <c r="O277" i="15"/>
  <c r="F277" i="15" s="1"/>
  <c r="I299" i="15"/>
  <c r="I307" i="15"/>
  <c r="G482" i="15"/>
  <c r="M240" i="15"/>
  <c r="O240" i="15" s="1"/>
  <c r="F240" i="15" s="1"/>
  <c r="O239" i="15"/>
  <c r="F239" i="15" s="1"/>
  <c r="F241" i="15" s="1"/>
  <c r="M538" i="15"/>
  <c r="O537" i="15"/>
  <c r="F537" i="15" s="1"/>
  <c r="I19" i="15"/>
  <c r="I27" i="15"/>
  <c r="M21" i="15"/>
  <c r="O21" i="15" s="1"/>
  <c r="F21" i="15" s="1"/>
  <c r="O20" i="15"/>
  <c r="F20" i="15" s="1"/>
  <c r="M298" i="15"/>
  <c r="O297" i="15"/>
  <c r="F297" i="15" s="1"/>
  <c r="M325" i="15"/>
  <c r="O324" i="15"/>
  <c r="F324" i="15" s="1"/>
  <c r="G314" i="15"/>
  <c r="H404" i="15"/>
  <c r="G404" i="15"/>
  <c r="M425" i="15"/>
  <c r="O424" i="15"/>
  <c r="F424" i="15" s="1"/>
  <c r="M489" i="15"/>
  <c r="O488" i="15"/>
  <c r="F488" i="15" s="1"/>
  <c r="I530" i="15"/>
  <c r="I538" i="15"/>
  <c r="H530" i="15"/>
  <c r="G530" i="15"/>
  <c r="H596" i="15"/>
  <c r="M62" i="15"/>
  <c r="O61" i="15"/>
  <c r="F61" i="15" s="1"/>
  <c r="M190" i="15"/>
  <c r="O189" i="15"/>
  <c r="F189" i="15" s="1"/>
  <c r="H559" i="15"/>
  <c r="G559" i="15"/>
  <c r="H83" i="15"/>
  <c r="G83" i="15"/>
  <c r="M91" i="15"/>
  <c r="O90" i="15"/>
  <c r="F90" i="15" s="1"/>
  <c r="G248" i="15"/>
  <c r="H142" i="15"/>
  <c r="M255" i="15"/>
  <c r="O254" i="15"/>
  <c r="F254" i="15" s="1"/>
  <c r="H262" i="15"/>
  <c r="G262" i="15"/>
  <c r="M348" i="15"/>
  <c r="O347" i="15"/>
  <c r="F347" i="15" s="1"/>
  <c r="M389" i="15"/>
  <c r="O388" i="15"/>
  <c r="F388" i="15" s="1"/>
  <c r="M578" i="15"/>
  <c r="O577" i="15"/>
  <c r="F577" i="15" s="1"/>
  <c r="M457" i="15"/>
  <c r="O456" i="15"/>
  <c r="F456" i="15" s="1"/>
  <c r="F279" i="15"/>
  <c r="G573" i="14"/>
  <c r="H510" i="14"/>
  <c r="G510" i="14"/>
  <c r="H481" i="14"/>
  <c r="G481" i="14"/>
  <c r="G480" i="14"/>
  <c r="G482" i="14" s="1"/>
  <c r="H480" i="14"/>
  <c r="F482" i="14"/>
  <c r="M456" i="14"/>
  <c r="O455" i="14"/>
  <c r="F455" i="14" s="1"/>
  <c r="H454" i="14"/>
  <c r="G454" i="14"/>
  <c r="H425" i="14"/>
  <c r="G425" i="14"/>
  <c r="M427" i="14"/>
  <c r="O427" i="14" s="1"/>
  <c r="F427" i="14" s="1"/>
  <c r="O426" i="14"/>
  <c r="F426" i="14" s="1"/>
  <c r="H383" i="14"/>
  <c r="G383" i="14"/>
  <c r="O384" i="14"/>
  <c r="F384" i="14" s="1"/>
  <c r="M385" i="14"/>
  <c r="H333" i="14"/>
  <c r="G333" i="14"/>
  <c r="G332" i="14"/>
  <c r="H332" i="14"/>
  <c r="F334" i="14"/>
  <c r="H234" i="14"/>
  <c r="G226" i="14"/>
  <c r="H226" i="14"/>
  <c r="F228" i="14"/>
  <c r="H227" i="14"/>
  <c r="G227" i="14"/>
  <c r="M199" i="14"/>
  <c r="O198" i="14"/>
  <c r="F198" i="14" s="1"/>
  <c r="H197" i="14"/>
  <c r="G197" i="14"/>
  <c r="G151" i="14"/>
  <c r="H151" i="14"/>
  <c r="H162" i="14"/>
  <c r="H146" i="14"/>
  <c r="G146" i="14"/>
  <c r="G148" i="14" s="1"/>
  <c r="F148" i="14"/>
  <c r="O152" i="14"/>
  <c r="F152" i="14" s="1"/>
  <c r="M153" i="14"/>
  <c r="H147" i="14"/>
  <c r="G147" i="14"/>
  <c r="G127" i="14"/>
  <c r="H140" i="14"/>
  <c r="G140" i="14"/>
  <c r="G142" i="14" s="1"/>
  <c r="F142" i="14"/>
  <c r="H141" i="14"/>
  <c r="G141" i="14"/>
  <c r="H83" i="14"/>
  <c r="G83" i="14"/>
  <c r="M85" i="14"/>
  <c r="O85" i="14" s="1"/>
  <c r="F85" i="14" s="1"/>
  <c r="O84" i="14"/>
  <c r="F84" i="14" s="1"/>
  <c r="H55" i="14"/>
  <c r="H48" i="14"/>
  <c r="F524" i="14"/>
  <c r="H522" i="14"/>
  <c r="G522" i="14"/>
  <c r="G238" i="14"/>
  <c r="H238" i="14"/>
  <c r="I278" i="14"/>
  <c r="I287" i="14" s="1"/>
  <c r="I286" i="14"/>
  <c r="M18" i="14"/>
  <c r="O17" i="14"/>
  <c r="F17" i="14" s="1"/>
  <c r="M325" i="14"/>
  <c r="O324" i="14"/>
  <c r="F324" i="14" s="1"/>
  <c r="I27" i="14"/>
  <c r="I19" i="14"/>
  <c r="O105" i="14"/>
  <c r="F105" i="14" s="1"/>
  <c r="M106" i="14"/>
  <c r="I168" i="14"/>
  <c r="I176" i="14"/>
  <c r="F35" i="14"/>
  <c r="H33" i="14"/>
  <c r="G33" i="14"/>
  <c r="I425" i="14"/>
  <c r="I433" i="14"/>
  <c r="H274" i="14"/>
  <c r="G274" i="14"/>
  <c r="G339" i="14"/>
  <c r="H339" i="14"/>
  <c r="G405" i="14"/>
  <c r="H405" i="14"/>
  <c r="H559" i="14"/>
  <c r="G559" i="14"/>
  <c r="H523" i="14"/>
  <c r="G523" i="14"/>
  <c r="G580" i="14"/>
  <c r="G73" i="14"/>
  <c r="H369" i="14"/>
  <c r="G369" i="14"/>
  <c r="M190" i="14"/>
  <c r="O189" i="14"/>
  <c r="F189" i="14" s="1"/>
  <c r="G24" i="14"/>
  <c r="H24" i="14"/>
  <c r="O131" i="14"/>
  <c r="F131" i="14" s="1"/>
  <c r="M132" i="14"/>
  <c r="O132" i="14" s="1"/>
  <c r="F132" i="14" s="1"/>
  <c r="M133" i="14"/>
  <c r="G323" i="14"/>
  <c r="H323" i="14"/>
  <c r="G378" i="14"/>
  <c r="H550" i="14"/>
  <c r="G550" i="14"/>
  <c r="H528" i="14"/>
  <c r="G528" i="14"/>
  <c r="G48" i="14"/>
  <c r="H168" i="14"/>
  <c r="G168" i="14"/>
  <c r="I532" i="14"/>
  <c r="I541" i="14" s="1"/>
  <c r="I540" i="14"/>
  <c r="H39" i="14"/>
  <c r="G39" i="14"/>
  <c r="F41" i="14"/>
  <c r="O176" i="14"/>
  <c r="F176" i="14" s="1"/>
  <c r="M177" i="14"/>
  <c r="I340" i="14"/>
  <c r="I348" i="14"/>
  <c r="O495" i="14"/>
  <c r="F495" i="14" s="1"/>
  <c r="M496" i="14"/>
  <c r="O261" i="14"/>
  <c r="F261" i="14" s="1"/>
  <c r="M262" i="14"/>
  <c r="M284" i="14"/>
  <c r="O283" i="14"/>
  <c r="F283" i="14" s="1"/>
  <c r="H463" i="14"/>
  <c r="H596" i="14"/>
  <c r="G90" i="14"/>
  <c r="H90" i="14"/>
  <c r="I561" i="14"/>
  <c r="I553" i="14"/>
  <c r="M341" i="14"/>
  <c r="O340" i="14"/>
  <c r="F340" i="14" s="1"/>
  <c r="O406" i="14"/>
  <c r="F406" i="14" s="1"/>
  <c r="F407" i="14" s="1"/>
  <c r="M409" i="14"/>
  <c r="O560" i="14"/>
  <c r="F560" i="14" s="1"/>
  <c r="M561" i="14"/>
  <c r="G585" i="14"/>
  <c r="F587" i="14"/>
  <c r="H585" i="14"/>
  <c r="H587" i="14" s="1"/>
  <c r="G282" i="14"/>
  <c r="H282" i="14"/>
  <c r="M540" i="14"/>
  <c r="O539" i="14"/>
  <c r="F539" i="14" s="1"/>
  <c r="H34" i="14"/>
  <c r="G34" i="14"/>
  <c r="O433" i="14"/>
  <c r="F433" i="14" s="1"/>
  <c r="M434" i="14"/>
  <c r="H303" i="14"/>
  <c r="G303" i="14"/>
  <c r="H580" i="14"/>
  <c r="G55" i="14"/>
  <c r="O370" i="14"/>
  <c r="F370" i="14" s="1"/>
  <c r="M371" i="14"/>
  <c r="G162" i="14"/>
  <c r="G188" i="14"/>
  <c r="H188" i="14"/>
  <c r="M362" i="14"/>
  <c r="O361" i="14"/>
  <c r="F361" i="14" s="1"/>
  <c r="H59" i="14"/>
  <c r="G59" i="14"/>
  <c r="G130" i="14"/>
  <c r="H130" i="14"/>
  <c r="M297" i="14"/>
  <c r="O296" i="14"/>
  <c r="F296" i="14" s="1"/>
  <c r="G346" i="14"/>
  <c r="H346" i="14"/>
  <c r="H378" i="14"/>
  <c r="M552" i="14"/>
  <c r="O551" i="14"/>
  <c r="F551" i="14" s="1"/>
  <c r="O529" i="14"/>
  <c r="F529" i="14" s="1"/>
  <c r="M530" i="14"/>
  <c r="H514" i="14"/>
  <c r="G514" i="14"/>
  <c r="M170" i="14"/>
  <c r="O170" i="14" s="1"/>
  <c r="F170" i="14" s="1"/>
  <c r="O169" i="14"/>
  <c r="F169" i="14" s="1"/>
  <c r="G40" i="14"/>
  <c r="H40" i="14"/>
  <c r="G494" i="14"/>
  <c r="H494" i="14"/>
  <c r="H486" i="14"/>
  <c r="G486" i="14"/>
  <c r="M473" i="14"/>
  <c r="O472" i="14"/>
  <c r="F472" i="14" s="1"/>
  <c r="G441" i="14"/>
  <c r="G463" i="14"/>
  <c r="G568" i="14"/>
  <c r="O91" i="14"/>
  <c r="F91" i="14" s="1"/>
  <c r="M92" i="14"/>
  <c r="I92" i="14"/>
  <c r="I84" i="14"/>
  <c r="O446" i="14"/>
  <c r="F446" i="14" s="1"/>
  <c r="M447" i="14"/>
  <c r="O217" i="14"/>
  <c r="F217" i="14" s="1"/>
  <c r="M218" i="14"/>
  <c r="O218" i="14" s="1"/>
  <c r="F218" i="14" s="1"/>
  <c r="M219" i="14"/>
  <c r="O275" i="14"/>
  <c r="F275" i="14" s="1"/>
  <c r="M276" i="14"/>
  <c r="M255" i="14"/>
  <c r="O254" i="14"/>
  <c r="F254" i="14" s="1"/>
  <c r="M26" i="14"/>
  <c r="O25" i="14"/>
  <c r="F25" i="14" s="1"/>
  <c r="H175" i="14"/>
  <c r="G175" i="14"/>
  <c r="G260" i="14"/>
  <c r="H260" i="14"/>
  <c r="G216" i="14"/>
  <c r="H216" i="14"/>
  <c r="G432" i="14"/>
  <c r="H432" i="14"/>
  <c r="O304" i="14"/>
  <c r="F304" i="14" s="1"/>
  <c r="M305" i="14"/>
  <c r="I497" i="14"/>
  <c r="I489" i="14"/>
  <c r="M240" i="14"/>
  <c r="O240" i="14" s="1"/>
  <c r="F240" i="14" s="1"/>
  <c r="O239" i="14"/>
  <c r="F239" i="14" s="1"/>
  <c r="G314" i="14"/>
  <c r="G16" i="14"/>
  <c r="H16" i="14"/>
  <c r="G253" i="14"/>
  <c r="H253" i="14"/>
  <c r="H248" i="14"/>
  <c r="H360" i="14"/>
  <c r="G360" i="14"/>
  <c r="O60" i="14"/>
  <c r="F60" i="14" s="1"/>
  <c r="M61" i="14"/>
  <c r="G295" i="14"/>
  <c r="H295" i="14"/>
  <c r="M348" i="14"/>
  <c r="O347" i="14"/>
  <c r="F347" i="14" s="1"/>
  <c r="H586" i="14"/>
  <c r="G586" i="14"/>
  <c r="M516" i="14"/>
  <c r="O516" i="14" s="1"/>
  <c r="F516" i="14" s="1"/>
  <c r="O515" i="14"/>
  <c r="F515" i="14" s="1"/>
  <c r="H104" i="14"/>
  <c r="G104" i="14"/>
  <c r="I263" i="14"/>
  <c r="I255" i="14"/>
  <c r="M488" i="14"/>
  <c r="O487" i="14"/>
  <c r="F487" i="14" s="1"/>
  <c r="G471" i="14"/>
  <c r="H471" i="14"/>
  <c r="H441" i="14"/>
  <c r="G538" i="14"/>
  <c r="H538" i="14"/>
  <c r="H568" i="14"/>
  <c r="I61" i="14"/>
  <c r="I69" i="14"/>
  <c r="I298" i="14"/>
  <c r="I306" i="14"/>
  <c r="G445" i="14"/>
  <c r="H445" i="14"/>
  <c r="F564" i="19" l="1"/>
  <c r="G555" i="18"/>
  <c r="G193" i="18"/>
  <c r="I192" i="14"/>
  <c r="I201" i="14" s="1"/>
  <c r="I200" i="14"/>
  <c r="H142" i="14"/>
  <c r="H148" i="14"/>
  <c r="G228" i="14"/>
  <c r="H482" i="14"/>
  <c r="F343" i="15"/>
  <c r="H241" i="19"/>
  <c r="H447" i="15"/>
  <c r="G447" i="15"/>
  <c r="O448" i="15"/>
  <c r="F448" i="15" s="1"/>
  <c r="M449" i="15"/>
  <c r="O449" i="15" s="1"/>
  <c r="F449" i="15" s="1"/>
  <c r="H48" i="15"/>
  <c r="H86" i="18"/>
  <c r="H48" i="19"/>
  <c r="G343" i="19"/>
  <c r="H334" i="14"/>
  <c r="H257" i="18"/>
  <c r="H374" i="19"/>
  <c r="G349" i="19"/>
  <c r="H349" i="19"/>
  <c r="O350" i="19"/>
  <c r="F350" i="19" s="1"/>
  <c r="M351" i="19"/>
  <c r="O351" i="19" s="1"/>
  <c r="F351" i="19" s="1"/>
  <c r="G263" i="19"/>
  <c r="H263" i="19"/>
  <c r="F266" i="19"/>
  <c r="G257" i="19"/>
  <c r="M265" i="19"/>
  <c r="O265" i="19" s="1"/>
  <c r="F265" i="19" s="1"/>
  <c r="O264" i="19"/>
  <c r="F264" i="19" s="1"/>
  <c r="G221" i="19"/>
  <c r="H221" i="19"/>
  <c r="G135" i="19"/>
  <c r="F266" i="18"/>
  <c r="H193" i="18"/>
  <c r="O285" i="19"/>
  <c r="F285" i="19" s="1"/>
  <c r="M286" i="19"/>
  <c r="H539" i="19"/>
  <c r="G539" i="19"/>
  <c r="H434" i="19"/>
  <c r="G434" i="19"/>
  <c r="H553" i="19"/>
  <c r="G553" i="19"/>
  <c r="F555" i="19"/>
  <c r="M411" i="19"/>
  <c r="O410" i="19"/>
  <c r="F410" i="19" s="1"/>
  <c r="H179" i="19"/>
  <c r="G179" i="19"/>
  <c r="H498" i="19"/>
  <c r="G498" i="19"/>
  <c r="G28" i="19"/>
  <c r="H28" i="19"/>
  <c r="M192" i="19"/>
  <c r="O192" i="19" s="1"/>
  <c r="F192" i="19" s="1"/>
  <c r="O191" i="19"/>
  <c r="F191" i="19" s="1"/>
  <c r="G113" i="19"/>
  <c r="H113" i="19"/>
  <c r="H489" i="19"/>
  <c r="G489" i="19"/>
  <c r="F491" i="19"/>
  <c r="H449" i="19"/>
  <c r="G449" i="19"/>
  <c r="O392" i="19"/>
  <c r="F392" i="19" s="1"/>
  <c r="M393" i="19"/>
  <c r="O277" i="19"/>
  <c r="F277" i="19" s="1"/>
  <c r="M278" i="19"/>
  <c r="O278" i="19" s="1"/>
  <c r="F278" i="19" s="1"/>
  <c r="O29" i="19"/>
  <c r="F29" i="19" s="1"/>
  <c r="M30" i="19"/>
  <c r="O30" i="19" s="1"/>
  <c r="F30" i="19" s="1"/>
  <c r="O540" i="19"/>
  <c r="F540" i="19" s="1"/>
  <c r="F542" i="19" s="1"/>
  <c r="M541" i="19"/>
  <c r="O541" i="19" s="1"/>
  <c r="F541" i="19" s="1"/>
  <c r="G72" i="19"/>
  <c r="H72" i="19"/>
  <c r="O435" i="19"/>
  <c r="F435" i="19" s="1"/>
  <c r="M436" i="19"/>
  <c r="O436" i="19" s="1"/>
  <c r="F436" i="19" s="1"/>
  <c r="G554" i="19"/>
  <c r="H554" i="19"/>
  <c r="H555" i="19" s="1"/>
  <c r="H562" i="19"/>
  <c r="G562" i="19"/>
  <c r="G178" i="19"/>
  <c r="H178" i="19"/>
  <c r="H180" i="19" s="1"/>
  <c r="H499" i="19"/>
  <c r="G499" i="19"/>
  <c r="G500" i="19" s="1"/>
  <c r="G490" i="19"/>
  <c r="G491" i="19" s="1"/>
  <c r="H490" i="19"/>
  <c r="H491" i="19" s="1"/>
  <c r="M308" i="19"/>
  <c r="O307" i="19"/>
  <c r="F307" i="19" s="1"/>
  <c r="H298" i="19"/>
  <c r="G298" i="19"/>
  <c r="G199" i="19"/>
  <c r="H199" i="19"/>
  <c r="G363" i="19"/>
  <c r="H363" i="19"/>
  <c r="H409" i="19"/>
  <c r="G409" i="19"/>
  <c r="H190" i="19"/>
  <c r="G190" i="19"/>
  <c r="M117" i="19"/>
  <c r="O114" i="19"/>
  <c r="F114" i="19" s="1"/>
  <c r="H448" i="19"/>
  <c r="G448" i="19"/>
  <c r="G391" i="19"/>
  <c r="H391" i="19"/>
  <c r="O200" i="19"/>
  <c r="F200" i="19" s="1"/>
  <c r="M201" i="19"/>
  <c r="O201" i="19" s="1"/>
  <c r="F201" i="19" s="1"/>
  <c r="H364" i="19"/>
  <c r="G364" i="19"/>
  <c r="G71" i="19"/>
  <c r="G73" i="19" s="1"/>
  <c r="H71" i="19"/>
  <c r="F73" i="19"/>
  <c r="H563" i="19"/>
  <c r="G563" i="19"/>
  <c r="H276" i="19"/>
  <c r="G276" i="19"/>
  <c r="F450" i="19"/>
  <c r="F365" i="19"/>
  <c r="H135" i="19"/>
  <c r="H306" i="19"/>
  <c r="G306" i="19"/>
  <c r="H284" i="19"/>
  <c r="G284" i="19"/>
  <c r="O299" i="19"/>
  <c r="F299" i="19" s="1"/>
  <c r="M300" i="19"/>
  <c r="O300" i="19" s="1"/>
  <c r="F300" i="19" s="1"/>
  <c r="G435" i="18"/>
  <c r="H435" i="18"/>
  <c r="G30" i="18"/>
  <c r="H30" i="18"/>
  <c r="G540" i="18"/>
  <c r="H540" i="18"/>
  <c r="F542" i="18"/>
  <c r="H71" i="18"/>
  <c r="G71" i="18"/>
  <c r="F73" i="18"/>
  <c r="H563" i="18"/>
  <c r="G563" i="18"/>
  <c r="H488" i="18"/>
  <c r="G488" i="18"/>
  <c r="H388" i="18"/>
  <c r="G388" i="18"/>
  <c r="M499" i="18"/>
  <c r="O499" i="18" s="1"/>
  <c r="F499" i="18" s="1"/>
  <c r="O498" i="18"/>
  <c r="F498" i="18" s="1"/>
  <c r="H72" i="18"/>
  <c r="G72" i="18"/>
  <c r="M373" i="18"/>
  <c r="O373" i="18" s="1"/>
  <c r="F373" i="18" s="1"/>
  <c r="O372" i="18"/>
  <c r="F372" i="18" s="1"/>
  <c r="O489" i="18"/>
  <c r="F489" i="18" s="1"/>
  <c r="M490" i="18"/>
  <c r="O490" i="18" s="1"/>
  <c r="F490" i="18" s="1"/>
  <c r="H265" i="18"/>
  <c r="G265" i="18"/>
  <c r="H178" i="18"/>
  <c r="G178" i="18"/>
  <c r="H363" i="18"/>
  <c r="G363" i="18"/>
  <c r="H409" i="18"/>
  <c r="G409" i="18"/>
  <c r="H371" i="18"/>
  <c r="G371" i="18"/>
  <c r="G171" i="18"/>
  <c r="H299" i="18"/>
  <c r="G299" i="18"/>
  <c r="H458" i="18"/>
  <c r="G458" i="18"/>
  <c r="H426" i="18"/>
  <c r="G426" i="18"/>
  <c r="H531" i="18"/>
  <c r="G531" i="18"/>
  <c r="F533" i="18"/>
  <c r="F459" i="18"/>
  <c r="G276" i="18"/>
  <c r="H276" i="18"/>
  <c r="G284" i="18"/>
  <c r="H284" i="18"/>
  <c r="H200" i="18"/>
  <c r="G200" i="18"/>
  <c r="F202" i="18"/>
  <c r="H349" i="18"/>
  <c r="G349" i="18"/>
  <c r="H264" i="18"/>
  <c r="G264" i="18"/>
  <c r="H110" i="18"/>
  <c r="G110" i="18"/>
  <c r="M278" i="18"/>
  <c r="O278" i="18" s="1"/>
  <c r="F278" i="18" s="1"/>
  <c r="O277" i="18"/>
  <c r="F277" i="18" s="1"/>
  <c r="H201" i="18"/>
  <c r="G201" i="18"/>
  <c r="O350" i="18"/>
  <c r="F350" i="18" s="1"/>
  <c r="M351" i="18"/>
  <c r="O351" i="18" s="1"/>
  <c r="F351" i="18" s="1"/>
  <c r="O389" i="18"/>
  <c r="F389" i="18" s="1"/>
  <c r="M390" i="18"/>
  <c r="H457" i="18"/>
  <c r="G457" i="18"/>
  <c r="O111" i="18"/>
  <c r="F111" i="18" s="1"/>
  <c r="M112" i="18"/>
  <c r="H436" i="18"/>
  <c r="G436" i="18"/>
  <c r="F437" i="18"/>
  <c r="M286" i="18"/>
  <c r="O285" i="18"/>
  <c r="F285" i="18" s="1"/>
  <c r="G179" i="18"/>
  <c r="H179" i="18"/>
  <c r="G29" i="18"/>
  <c r="G31" i="18" s="1"/>
  <c r="H29" i="18"/>
  <c r="F31" i="18"/>
  <c r="H364" i="18"/>
  <c r="H365" i="18" s="1"/>
  <c r="G364" i="18"/>
  <c r="H541" i="18"/>
  <c r="G541" i="18"/>
  <c r="M411" i="18"/>
  <c r="O410" i="18"/>
  <c r="F410" i="18" s="1"/>
  <c r="H562" i="18"/>
  <c r="G562" i="18"/>
  <c r="F564" i="18"/>
  <c r="G300" i="18"/>
  <c r="H300" i="18"/>
  <c r="F301" i="18"/>
  <c r="H497" i="18"/>
  <c r="G497" i="18"/>
  <c r="H427" i="18"/>
  <c r="G427" i="18"/>
  <c r="H532" i="18"/>
  <c r="H533" i="18" s="1"/>
  <c r="G532" i="18"/>
  <c r="G533" i="18" s="1"/>
  <c r="M390" i="15"/>
  <c r="O389" i="15"/>
  <c r="F389" i="15" s="1"/>
  <c r="H90" i="15"/>
  <c r="G90" i="15"/>
  <c r="O425" i="15"/>
  <c r="F425" i="15" s="1"/>
  <c r="M426" i="15"/>
  <c r="H20" i="15"/>
  <c r="G20" i="15"/>
  <c r="F22" i="15"/>
  <c r="I300" i="15"/>
  <c r="I309" i="15" s="1"/>
  <c r="I308" i="15"/>
  <c r="G219" i="15"/>
  <c r="H219" i="15"/>
  <c r="H221" i="15" s="1"/>
  <c r="I554" i="15"/>
  <c r="I563" i="15" s="1"/>
  <c r="I562" i="15"/>
  <c r="H373" i="15"/>
  <c r="G373" i="15"/>
  <c r="O515" i="15"/>
  <c r="F515" i="15" s="1"/>
  <c r="M516" i="15"/>
  <c r="O516" i="15" s="1"/>
  <c r="F516" i="15" s="1"/>
  <c r="H169" i="15"/>
  <c r="G169" i="15"/>
  <c r="G171" i="15" s="1"/>
  <c r="H456" i="15"/>
  <c r="G456" i="15"/>
  <c r="O578" i="15"/>
  <c r="F578" i="15" s="1"/>
  <c r="M579" i="15"/>
  <c r="O579" i="15" s="1"/>
  <c r="F579" i="15" s="1"/>
  <c r="H347" i="15"/>
  <c r="G347" i="15"/>
  <c r="O91" i="15"/>
  <c r="F91" i="15" s="1"/>
  <c r="M92" i="15"/>
  <c r="H61" i="15"/>
  <c r="G61" i="15"/>
  <c r="H488" i="15"/>
  <c r="G488" i="15"/>
  <c r="O298" i="15"/>
  <c r="F298" i="15" s="1"/>
  <c r="M299" i="15"/>
  <c r="H21" i="15"/>
  <c r="H22" i="15" s="1"/>
  <c r="G21" i="15"/>
  <c r="G22" i="15" s="1"/>
  <c r="O538" i="15"/>
  <c r="F538" i="15" s="1"/>
  <c r="M539" i="15"/>
  <c r="H277" i="15"/>
  <c r="G277" i="15"/>
  <c r="G279" i="15" s="1"/>
  <c r="I92" i="15"/>
  <c r="I84" i="15"/>
  <c r="H85" i="15"/>
  <c r="H86" i="15" s="1"/>
  <c r="G85" i="15"/>
  <c r="H531" i="15"/>
  <c r="G531" i="15"/>
  <c r="F533" i="15"/>
  <c r="H405" i="15"/>
  <c r="G405" i="15"/>
  <c r="H306" i="15"/>
  <c r="G306" i="15"/>
  <c r="G132" i="15"/>
  <c r="H132" i="15"/>
  <c r="G474" i="15"/>
  <c r="H474" i="15"/>
  <c r="H361" i="15"/>
  <c r="G361" i="15"/>
  <c r="M200" i="15"/>
  <c r="O199" i="15"/>
  <c r="F199" i="15" s="1"/>
  <c r="H104" i="15"/>
  <c r="G104" i="15"/>
  <c r="I349" i="15"/>
  <c r="I341" i="15"/>
  <c r="H170" i="15"/>
  <c r="G170" i="15"/>
  <c r="H283" i="15"/>
  <c r="G283" i="15"/>
  <c r="I192" i="15"/>
  <c r="I201" i="15" s="1"/>
  <c r="I200" i="15"/>
  <c r="H537" i="15"/>
  <c r="G537" i="15"/>
  <c r="H84" i="15"/>
  <c r="G84" i="15"/>
  <c r="F86" i="15"/>
  <c r="H131" i="15"/>
  <c r="G131" i="15"/>
  <c r="H473" i="15"/>
  <c r="H475" i="15" s="1"/>
  <c r="G473" i="15"/>
  <c r="I427" i="15"/>
  <c r="I436" i="15" s="1"/>
  <c r="I435" i="15"/>
  <c r="H342" i="15"/>
  <c r="G342" i="15"/>
  <c r="F221" i="15"/>
  <c r="M458" i="15"/>
  <c r="O458" i="15" s="1"/>
  <c r="F458" i="15" s="1"/>
  <c r="O457" i="15"/>
  <c r="F457" i="15" s="1"/>
  <c r="F475" i="15"/>
  <c r="O348" i="15"/>
  <c r="F348" i="15" s="1"/>
  <c r="M349" i="15"/>
  <c r="H189" i="15"/>
  <c r="G189" i="15"/>
  <c r="O62" i="15"/>
  <c r="F62" i="15" s="1"/>
  <c r="F64" i="15" s="1"/>
  <c r="M63" i="15"/>
  <c r="O63" i="15" s="1"/>
  <c r="F63" i="15" s="1"/>
  <c r="M490" i="15"/>
  <c r="O490" i="15" s="1"/>
  <c r="F490" i="15" s="1"/>
  <c r="O489" i="15"/>
  <c r="F489" i="15" s="1"/>
  <c r="H324" i="15"/>
  <c r="G324" i="15"/>
  <c r="H239" i="15"/>
  <c r="G239" i="15"/>
  <c r="H278" i="15"/>
  <c r="G278" i="15"/>
  <c r="H560" i="15"/>
  <c r="G560" i="15"/>
  <c r="H532" i="15"/>
  <c r="H533" i="15" s="1"/>
  <c r="G532" i="15"/>
  <c r="M409" i="15"/>
  <c r="O406" i="15"/>
  <c r="F406" i="15" s="1"/>
  <c r="I498" i="15"/>
  <c r="I490" i="15"/>
  <c r="I499" i="15" s="1"/>
  <c r="M308" i="15"/>
  <c r="O307" i="15"/>
  <c r="F307" i="15" s="1"/>
  <c r="H433" i="15"/>
  <c r="G433" i="15"/>
  <c r="F171" i="15"/>
  <c r="H263" i="15"/>
  <c r="G263" i="15"/>
  <c r="O362" i="15"/>
  <c r="F362" i="15" s="1"/>
  <c r="M363" i="15"/>
  <c r="H175" i="15"/>
  <c r="G175" i="15"/>
  <c r="H26" i="15"/>
  <c r="G26" i="15"/>
  <c r="O105" i="15"/>
  <c r="F105" i="15" s="1"/>
  <c r="M106" i="15"/>
  <c r="H70" i="15"/>
  <c r="G70" i="15"/>
  <c r="O284" i="15"/>
  <c r="F284" i="15" s="1"/>
  <c r="M285" i="15"/>
  <c r="H152" i="15"/>
  <c r="G152" i="15"/>
  <c r="H577" i="15"/>
  <c r="G577" i="15"/>
  <c r="O255" i="15"/>
  <c r="F255" i="15" s="1"/>
  <c r="M256" i="15"/>
  <c r="O256" i="15" s="1"/>
  <c r="F256" i="15" s="1"/>
  <c r="H297" i="15"/>
  <c r="G297" i="15"/>
  <c r="O497" i="15"/>
  <c r="F497" i="15" s="1"/>
  <c r="M498" i="15"/>
  <c r="I177" i="15"/>
  <c r="I169" i="15"/>
  <c r="O552" i="15"/>
  <c r="F552" i="15" s="1"/>
  <c r="M553" i="15"/>
  <c r="H198" i="15"/>
  <c r="G198" i="15"/>
  <c r="I449" i="15"/>
  <c r="I458" i="15" s="1"/>
  <c r="I457" i="15"/>
  <c r="H388" i="15"/>
  <c r="G388" i="15"/>
  <c r="H254" i="15"/>
  <c r="G254" i="15"/>
  <c r="O190" i="15"/>
  <c r="F190" i="15" s="1"/>
  <c r="M191" i="15"/>
  <c r="I539" i="15"/>
  <c r="I531" i="15"/>
  <c r="H424" i="15"/>
  <c r="G424" i="15"/>
  <c r="O325" i="15"/>
  <c r="F325" i="15" s="1"/>
  <c r="M326" i="15"/>
  <c r="O326" i="15" s="1"/>
  <c r="F326" i="15" s="1"/>
  <c r="I28" i="15"/>
  <c r="I20" i="15"/>
  <c r="G240" i="15"/>
  <c r="H240" i="15"/>
  <c r="H241" i="15" s="1"/>
  <c r="M562" i="15"/>
  <c r="O561" i="15"/>
  <c r="F561" i="15" s="1"/>
  <c r="H496" i="15"/>
  <c r="G496" i="15"/>
  <c r="H220" i="15"/>
  <c r="G220" i="15"/>
  <c r="M435" i="15"/>
  <c r="O434" i="15"/>
  <c r="F434" i="15" s="1"/>
  <c r="M134" i="15"/>
  <c r="O134" i="15" s="1"/>
  <c r="F134" i="15" s="1"/>
  <c r="O133" i="15"/>
  <c r="F133" i="15" s="1"/>
  <c r="F135" i="15" s="1"/>
  <c r="M265" i="15"/>
  <c r="O265" i="15" s="1"/>
  <c r="F265" i="15" s="1"/>
  <c r="O264" i="15"/>
  <c r="F264" i="15" s="1"/>
  <c r="I285" i="15"/>
  <c r="I277" i="15"/>
  <c r="H551" i="15"/>
  <c r="G551" i="15"/>
  <c r="H372" i="15"/>
  <c r="G372" i="15"/>
  <c r="G374" i="15" s="1"/>
  <c r="O176" i="15"/>
  <c r="F176" i="15" s="1"/>
  <c r="M177" i="15"/>
  <c r="O27" i="15"/>
  <c r="F27" i="15" s="1"/>
  <c r="M28" i="15"/>
  <c r="H341" i="15"/>
  <c r="G341" i="15"/>
  <c r="H514" i="15"/>
  <c r="G514" i="15"/>
  <c r="M72" i="15"/>
  <c r="O72" i="15" s="1"/>
  <c r="F72" i="15" s="1"/>
  <c r="O71" i="15"/>
  <c r="F71" i="15" s="1"/>
  <c r="O153" i="15"/>
  <c r="F153" i="15" s="1"/>
  <c r="M154" i="15"/>
  <c r="O154" i="15" s="1"/>
  <c r="F154" i="15" s="1"/>
  <c r="H524" i="14"/>
  <c r="H455" i="14"/>
  <c r="G455" i="14"/>
  <c r="O456" i="14"/>
  <c r="F456" i="14" s="1"/>
  <c r="M457" i="14"/>
  <c r="H427" i="14"/>
  <c r="G427" i="14"/>
  <c r="H426" i="14"/>
  <c r="H428" i="14" s="1"/>
  <c r="F428" i="14"/>
  <c r="G426" i="14"/>
  <c r="G428" i="14" s="1"/>
  <c r="M388" i="14"/>
  <c r="O385" i="14"/>
  <c r="F385" i="14" s="1"/>
  <c r="H384" i="14"/>
  <c r="G384" i="14"/>
  <c r="G334" i="14"/>
  <c r="H228" i="14"/>
  <c r="H198" i="14"/>
  <c r="G198" i="14"/>
  <c r="O199" i="14"/>
  <c r="F199" i="14" s="1"/>
  <c r="M200" i="14"/>
  <c r="O153" i="14"/>
  <c r="F153" i="14" s="1"/>
  <c r="M154" i="14"/>
  <c r="O154" i="14" s="1"/>
  <c r="F154" i="14" s="1"/>
  <c r="H152" i="14"/>
  <c r="G152" i="14"/>
  <c r="G85" i="14"/>
  <c r="H85" i="14"/>
  <c r="F86" i="14"/>
  <c r="H84" i="14"/>
  <c r="H86" i="14" s="1"/>
  <c r="G84" i="14"/>
  <c r="G41" i="14"/>
  <c r="I299" i="14"/>
  <c r="I307" i="14"/>
  <c r="O561" i="14"/>
  <c r="F561" i="14" s="1"/>
  <c r="M562" i="14"/>
  <c r="H35" i="14"/>
  <c r="M326" i="14"/>
  <c r="O326" i="14" s="1"/>
  <c r="F326" i="14" s="1"/>
  <c r="O325" i="14"/>
  <c r="F325" i="14" s="1"/>
  <c r="H515" i="14"/>
  <c r="G515" i="14"/>
  <c r="F517" i="14"/>
  <c r="G239" i="14"/>
  <c r="H239" i="14"/>
  <c r="I490" i="14"/>
  <c r="I499" i="14" s="1"/>
  <c r="I498" i="14"/>
  <c r="O26" i="14"/>
  <c r="F26" i="14" s="1"/>
  <c r="M27" i="14"/>
  <c r="M277" i="14"/>
  <c r="O276" i="14"/>
  <c r="F276" i="14" s="1"/>
  <c r="G217" i="14"/>
  <c r="H217" i="14"/>
  <c r="H446" i="14"/>
  <c r="G446" i="14"/>
  <c r="O473" i="14"/>
  <c r="F473" i="14" s="1"/>
  <c r="F475" i="14" s="1"/>
  <c r="M474" i="14"/>
  <c r="O474" i="14" s="1"/>
  <c r="F474" i="14" s="1"/>
  <c r="M553" i="14"/>
  <c r="O552" i="14"/>
  <c r="F552" i="14" s="1"/>
  <c r="H296" i="14"/>
  <c r="G296" i="14"/>
  <c r="G370" i="14"/>
  <c r="H370" i="14"/>
  <c r="M435" i="14"/>
  <c r="O434" i="14"/>
  <c r="F434" i="14" s="1"/>
  <c r="G560" i="14"/>
  <c r="H560" i="14"/>
  <c r="O341" i="14"/>
  <c r="F341" i="14" s="1"/>
  <c r="F343" i="14" s="1"/>
  <c r="M342" i="14"/>
  <c r="O342" i="14" s="1"/>
  <c r="F342" i="14" s="1"/>
  <c r="M285" i="14"/>
  <c r="O284" i="14"/>
  <c r="F284" i="14" s="1"/>
  <c r="H495" i="14"/>
  <c r="G495" i="14"/>
  <c r="G176" i="14"/>
  <c r="H176" i="14"/>
  <c r="H41" i="14"/>
  <c r="M134" i="14"/>
  <c r="O134" i="14" s="1"/>
  <c r="F134" i="14" s="1"/>
  <c r="O133" i="14"/>
  <c r="F133" i="14" s="1"/>
  <c r="H17" i="14"/>
  <c r="G17" i="14"/>
  <c r="H304" i="14"/>
  <c r="G304" i="14"/>
  <c r="H25" i="14"/>
  <c r="G25" i="14"/>
  <c r="O447" i="14"/>
  <c r="F447" i="14" s="1"/>
  <c r="M448" i="14"/>
  <c r="H551" i="14"/>
  <c r="G551" i="14"/>
  <c r="M372" i="14"/>
  <c r="O371" i="14"/>
  <c r="F371" i="14" s="1"/>
  <c r="H340" i="14"/>
  <c r="G340" i="14"/>
  <c r="H283" i="14"/>
  <c r="G283" i="14"/>
  <c r="O177" i="14"/>
  <c r="F177" i="14" s="1"/>
  <c r="M178" i="14"/>
  <c r="I62" i="14"/>
  <c r="I70" i="14"/>
  <c r="H487" i="14"/>
  <c r="G487" i="14"/>
  <c r="H516" i="14"/>
  <c r="H517" i="14" s="1"/>
  <c r="G516" i="14"/>
  <c r="G517" i="14" s="1"/>
  <c r="H347" i="14"/>
  <c r="G347" i="14"/>
  <c r="G240" i="14"/>
  <c r="H240" i="14"/>
  <c r="H254" i="14"/>
  <c r="G254" i="14"/>
  <c r="G275" i="14"/>
  <c r="H275" i="14"/>
  <c r="M93" i="14"/>
  <c r="O92" i="14"/>
  <c r="F92" i="14" s="1"/>
  <c r="H169" i="14"/>
  <c r="G169" i="14"/>
  <c r="F171" i="14"/>
  <c r="O530" i="14"/>
  <c r="F530" i="14" s="1"/>
  <c r="M531" i="14"/>
  <c r="O297" i="14"/>
  <c r="F297" i="14" s="1"/>
  <c r="M298" i="14"/>
  <c r="H361" i="14"/>
  <c r="G361" i="14"/>
  <c r="G433" i="14"/>
  <c r="H433" i="14"/>
  <c r="H539" i="14"/>
  <c r="G539" i="14"/>
  <c r="G587" i="14"/>
  <c r="M410" i="14"/>
  <c r="O409" i="14"/>
  <c r="F409" i="14" s="1"/>
  <c r="M263" i="14"/>
  <c r="O262" i="14"/>
  <c r="F262" i="14" s="1"/>
  <c r="G132" i="14"/>
  <c r="H132" i="14"/>
  <c r="I434" i="14"/>
  <c r="I426" i="14"/>
  <c r="O106" i="14"/>
  <c r="F106" i="14" s="1"/>
  <c r="M109" i="14"/>
  <c r="M19" i="14"/>
  <c r="O18" i="14"/>
  <c r="F18" i="14" s="1"/>
  <c r="G60" i="14"/>
  <c r="H60" i="14"/>
  <c r="H218" i="14"/>
  <c r="G218" i="14"/>
  <c r="H472" i="14"/>
  <c r="G472" i="14"/>
  <c r="I554" i="14"/>
  <c r="I563" i="14" s="1"/>
  <c r="I562" i="14"/>
  <c r="O496" i="14"/>
  <c r="F496" i="14" s="1"/>
  <c r="M497" i="14"/>
  <c r="O190" i="14"/>
  <c r="F190" i="14" s="1"/>
  <c r="M191" i="14"/>
  <c r="I20" i="14"/>
  <c r="I28" i="14"/>
  <c r="M489" i="14"/>
  <c r="O488" i="14"/>
  <c r="F488" i="14" s="1"/>
  <c r="I264" i="14"/>
  <c r="I256" i="14"/>
  <c r="I265" i="14" s="1"/>
  <c r="O348" i="14"/>
  <c r="F348" i="14" s="1"/>
  <c r="M349" i="14"/>
  <c r="O61" i="14"/>
  <c r="F61" i="14" s="1"/>
  <c r="M62" i="14"/>
  <c r="M306" i="14"/>
  <c r="O305" i="14"/>
  <c r="F305" i="14" s="1"/>
  <c r="F241" i="14"/>
  <c r="M256" i="14"/>
  <c r="O256" i="14" s="1"/>
  <c r="F256" i="14" s="1"/>
  <c r="O255" i="14"/>
  <c r="F255" i="14" s="1"/>
  <c r="O219" i="14"/>
  <c r="F219" i="14" s="1"/>
  <c r="M220" i="14"/>
  <c r="O220" i="14" s="1"/>
  <c r="F220" i="14" s="1"/>
  <c r="I93" i="14"/>
  <c r="I85" i="14"/>
  <c r="I94" i="14" s="1"/>
  <c r="G91" i="14"/>
  <c r="H91" i="14"/>
  <c r="H170" i="14"/>
  <c r="G170" i="14"/>
  <c r="G529" i="14"/>
  <c r="H529" i="14"/>
  <c r="M363" i="14"/>
  <c r="O362" i="14"/>
  <c r="F362" i="14" s="1"/>
  <c r="M541" i="14"/>
  <c r="O541" i="14" s="1"/>
  <c r="F541" i="14" s="1"/>
  <c r="O540" i="14"/>
  <c r="F540" i="14" s="1"/>
  <c r="G406" i="14"/>
  <c r="G407" i="14" s="1"/>
  <c r="H406" i="14"/>
  <c r="H407" i="14" s="1"/>
  <c r="G261" i="14"/>
  <c r="H261" i="14"/>
  <c r="I341" i="14"/>
  <c r="I349" i="14"/>
  <c r="H131" i="14"/>
  <c r="G131" i="14"/>
  <c r="G189" i="14"/>
  <c r="H189" i="14"/>
  <c r="G35" i="14"/>
  <c r="I177" i="14"/>
  <c r="I169" i="14"/>
  <c r="G105" i="14"/>
  <c r="H105" i="14"/>
  <c r="H324" i="14"/>
  <c r="G324" i="14"/>
  <c r="G524" i="14"/>
  <c r="H437" i="18" l="1"/>
  <c r="H448" i="15"/>
  <c r="G448" i="15"/>
  <c r="G343" i="15"/>
  <c r="H343" i="15"/>
  <c r="G86" i="15"/>
  <c r="G555" i="19"/>
  <c r="G221" i="15"/>
  <c r="H171" i="15"/>
  <c r="G171" i="14"/>
  <c r="H241" i="14"/>
  <c r="G475" i="15"/>
  <c r="H279" i="15"/>
  <c r="H374" i="15"/>
  <c r="G564" i="18"/>
  <c r="H449" i="15"/>
  <c r="G449" i="15"/>
  <c r="G241" i="15"/>
  <c r="H500" i="19"/>
  <c r="G241" i="14"/>
  <c r="G533" i="15"/>
  <c r="H542" i="18"/>
  <c r="F279" i="18"/>
  <c r="G564" i="19"/>
  <c r="G86" i="14"/>
  <c r="G301" i="18"/>
  <c r="G365" i="18"/>
  <c r="G450" i="19"/>
  <c r="F450" i="15"/>
  <c r="H365" i="19"/>
  <c r="G351" i="19"/>
  <c r="H351" i="19"/>
  <c r="F352" i="19"/>
  <c r="H350" i="19"/>
  <c r="G350" i="19"/>
  <c r="G264" i="19"/>
  <c r="H264" i="19"/>
  <c r="G265" i="19"/>
  <c r="G266" i="19" s="1"/>
  <c r="H265" i="19"/>
  <c r="G180" i="19"/>
  <c r="H266" i="18"/>
  <c r="H202" i="18"/>
  <c r="H31" i="18"/>
  <c r="H541" i="19"/>
  <c r="G541" i="19"/>
  <c r="G201" i="19"/>
  <c r="H201" i="19"/>
  <c r="M118" i="19"/>
  <c r="O118" i="19" s="1"/>
  <c r="F118" i="19" s="1"/>
  <c r="O117" i="19"/>
  <c r="F117" i="19" s="1"/>
  <c r="H73" i="19"/>
  <c r="G540" i="19"/>
  <c r="G542" i="19" s="1"/>
  <c r="H540" i="19"/>
  <c r="H277" i="19"/>
  <c r="G277" i="19"/>
  <c r="F279" i="19"/>
  <c r="F594" i="19" s="1"/>
  <c r="H450" i="19"/>
  <c r="G285" i="19"/>
  <c r="H285" i="19"/>
  <c r="H278" i="19"/>
  <c r="H279" i="19" s="1"/>
  <c r="G278" i="19"/>
  <c r="M287" i="19"/>
  <c r="O287" i="19" s="1"/>
  <c r="F287" i="19" s="1"/>
  <c r="O286" i="19"/>
  <c r="F286" i="19" s="1"/>
  <c r="H300" i="19"/>
  <c r="H301" i="19" s="1"/>
  <c r="G300" i="19"/>
  <c r="F301" i="19"/>
  <c r="G200" i="19"/>
  <c r="H200" i="19"/>
  <c r="H307" i="19"/>
  <c r="G307" i="19"/>
  <c r="G30" i="19"/>
  <c r="H30" i="19"/>
  <c r="O393" i="19"/>
  <c r="F393" i="19" s="1"/>
  <c r="M396" i="19"/>
  <c r="G191" i="19"/>
  <c r="H191" i="19"/>
  <c r="F193" i="19"/>
  <c r="H410" i="19"/>
  <c r="G410" i="19"/>
  <c r="F202" i="19"/>
  <c r="G114" i="19"/>
  <c r="G115" i="19" s="1"/>
  <c r="H114" i="19"/>
  <c r="H115" i="19" s="1"/>
  <c r="G435" i="19"/>
  <c r="H435" i="19"/>
  <c r="F437" i="19"/>
  <c r="H299" i="19"/>
  <c r="G299" i="19"/>
  <c r="H564" i="19"/>
  <c r="G365" i="19"/>
  <c r="O308" i="19"/>
  <c r="F308" i="19" s="1"/>
  <c r="M309" i="19"/>
  <c r="O309" i="19" s="1"/>
  <c r="F309" i="19" s="1"/>
  <c r="H436" i="19"/>
  <c r="G436" i="19"/>
  <c r="G29" i="19"/>
  <c r="H29" i="19"/>
  <c r="F31" i="19"/>
  <c r="G392" i="19"/>
  <c r="H392" i="19"/>
  <c r="F115" i="19"/>
  <c r="H192" i="19"/>
  <c r="H193" i="19" s="1"/>
  <c r="G192" i="19"/>
  <c r="M412" i="19"/>
  <c r="O411" i="19"/>
  <c r="F411" i="19" s="1"/>
  <c r="H285" i="18"/>
  <c r="G285" i="18"/>
  <c r="O286" i="18"/>
  <c r="F286" i="18" s="1"/>
  <c r="M287" i="18"/>
  <c r="O287" i="18" s="1"/>
  <c r="F287" i="18" s="1"/>
  <c r="H277" i="18"/>
  <c r="G277" i="18"/>
  <c r="H490" i="18"/>
  <c r="G490" i="18"/>
  <c r="G73" i="18"/>
  <c r="H498" i="18"/>
  <c r="G498" i="18"/>
  <c r="H428" i="18"/>
  <c r="H180" i="18"/>
  <c r="H111" i="18"/>
  <c r="G111" i="18"/>
  <c r="M391" i="18"/>
  <c r="O390" i="18"/>
  <c r="F390" i="18" s="1"/>
  <c r="H278" i="18"/>
  <c r="G278" i="18"/>
  <c r="G459" i="18"/>
  <c r="G489" i="18"/>
  <c r="H489" i="18"/>
  <c r="H73" i="18"/>
  <c r="H499" i="18"/>
  <c r="G499" i="18"/>
  <c r="F491" i="18"/>
  <c r="F594" i="18" s="1"/>
  <c r="H564" i="18"/>
  <c r="H410" i="18"/>
  <c r="G410" i="18"/>
  <c r="H351" i="18"/>
  <c r="G351" i="18"/>
  <c r="G373" i="18"/>
  <c r="H373" i="18"/>
  <c r="G428" i="18"/>
  <c r="M412" i="18"/>
  <c r="O411" i="18"/>
  <c r="F411" i="18" s="1"/>
  <c r="M113" i="18"/>
  <c r="O112" i="18"/>
  <c r="F112" i="18" s="1"/>
  <c r="G350" i="18"/>
  <c r="H350" i="18"/>
  <c r="F500" i="18"/>
  <c r="H301" i="18"/>
  <c r="G542" i="18"/>
  <c r="G180" i="18"/>
  <c r="G437" i="18"/>
  <c r="F352" i="18"/>
  <c r="G389" i="18"/>
  <c r="H389" i="18"/>
  <c r="G202" i="18"/>
  <c r="H459" i="18"/>
  <c r="G266" i="18"/>
  <c r="H372" i="18"/>
  <c r="G372" i="18"/>
  <c r="F374" i="18"/>
  <c r="G190" i="15"/>
  <c r="H190" i="15"/>
  <c r="M410" i="15"/>
  <c r="O409" i="15"/>
  <c r="F409" i="15" s="1"/>
  <c r="I85" i="15"/>
  <c r="I94" i="15" s="1"/>
  <c r="I93" i="15"/>
  <c r="M300" i="15"/>
  <c r="O300" i="15" s="1"/>
  <c r="F300" i="15" s="1"/>
  <c r="O299" i="15"/>
  <c r="F299" i="15" s="1"/>
  <c r="G578" i="15"/>
  <c r="H578" i="15"/>
  <c r="G425" i="15"/>
  <c r="H425" i="15"/>
  <c r="M391" i="15"/>
  <c r="O390" i="15"/>
  <c r="F390" i="15" s="1"/>
  <c r="F580" i="15"/>
  <c r="G153" i="15"/>
  <c r="H153" i="15"/>
  <c r="F155" i="15"/>
  <c r="M29" i="15"/>
  <c r="O28" i="15"/>
  <c r="F28" i="15" s="1"/>
  <c r="H264" i="15"/>
  <c r="G264" i="15"/>
  <c r="F266" i="15"/>
  <c r="H434" i="15"/>
  <c r="G434" i="15"/>
  <c r="H561" i="15"/>
  <c r="G561" i="15"/>
  <c r="H326" i="15"/>
  <c r="G326" i="15"/>
  <c r="I532" i="15"/>
  <c r="I541" i="15" s="1"/>
  <c r="I540" i="15"/>
  <c r="G552" i="15"/>
  <c r="H552" i="15"/>
  <c r="M499" i="15"/>
  <c r="O499" i="15" s="1"/>
  <c r="F499" i="15" s="1"/>
  <c r="O498" i="15"/>
  <c r="F498" i="15" s="1"/>
  <c r="M286" i="15"/>
  <c r="O285" i="15"/>
  <c r="F285" i="15" s="1"/>
  <c r="H490" i="15"/>
  <c r="G490" i="15"/>
  <c r="G538" i="15"/>
  <c r="H538" i="15"/>
  <c r="G298" i="15"/>
  <c r="H298" i="15"/>
  <c r="H516" i="15"/>
  <c r="H517" i="15" s="1"/>
  <c r="G516" i="15"/>
  <c r="G134" i="15"/>
  <c r="G135" i="15" s="1"/>
  <c r="H134" i="15"/>
  <c r="M554" i="15"/>
  <c r="O554" i="15" s="1"/>
  <c r="F554" i="15" s="1"/>
  <c r="O553" i="15"/>
  <c r="F553" i="15" s="1"/>
  <c r="F555" i="15" s="1"/>
  <c r="M201" i="15"/>
  <c r="O201" i="15" s="1"/>
  <c r="F201" i="15" s="1"/>
  <c r="O200" i="15"/>
  <c r="F200" i="15" s="1"/>
  <c r="M540" i="15"/>
  <c r="O539" i="15"/>
  <c r="F539" i="15" s="1"/>
  <c r="H71" i="15"/>
  <c r="G71" i="15"/>
  <c r="F73" i="15"/>
  <c r="G27" i="15"/>
  <c r="H27" i="15"/>
  <c r="H265" i="15"/>
  <c r="G265" i="15"/>
  <c r="M436" i="15"/>
  <c r="O436" i="15" s="1"/>
  <c r="F436" i="15" s="1"/>
  <c r="O435" i="15"/>
  <c r="F435" i="15" s="1"/>
  <c r="F437" i="15" s="1"/>
  <c r="M563" i="15"/>
  <c r="O563" i="15" s="1"/>
  <c r="F563" i="15" s="1"/>
  <c r="F564" i="15" s="1"/>
  <c r="O562" i="15"/>
  <c r="F562" i="15" s="1"/>
  <c r="G325" i="15"/>
  <c r="G327" i="15" s="1"/>
  <c r="H325" i="15"/>
  <c r="F327" i="15"/>
  <c r="I170" i="15"/>
  <c r="I179" i="15" s="1"/>
  <c r="I178" i="15"/>
  <c r="G497" i="15"/>
  <c r="H497" i="15"/>
  <c r="H256" i="15"/>
  <c r="G256" i="15"/>
  <c r="G284" i="15"/>
  <c r="H284" i="15"/>
  <c r="M109" i="15"/>
  <c r="O106" i="15"/>
  <c r="F106" i="15" s="1"/>
  <c r="M364" i="15"/>
  <c r="O364" i="15" s="1"/>
  <c r="F364" i="15" s="1"/>
  <c r="O363" i="15"/>
  <c r="F363" i="15" s="1"/>
  <c r="H307" i="15"/>
  <c r="G307" i="15"/>
  <c r="H63" i="15"/>
  <c r="G63" i="15"/>
  <c r="H457" i="15"/>
  <c r="G457" i="15"/>
  <c r="M93" i="15"/>
  <c r="O92" i="15"/>
  <c r="F92" i="15" s="1"/>
  <c r="G515" i="15"/>
  <c r="G517" i="15" s="1"/>
  <c r="H515" i="15"/>
  <c r="F517" i="15"/>
  <c r="H154" i="15"/>
  <c r="G154" i="15"/>
  <c r="G176" i="15"/>
  <c r="H176" i="15"/>
  <c r="H489" i="15"/>
  <c r="H491" i="15" s="1"/>
  <c r="G489" i="15"/>
  <c r="G348" i="15"/>
  <c r="H348" i="15"/>
  <c r="H72" i="15"/>
  <c r="G72" i="15"/>
  <c r="M178" i="15"/>
  <c r="O177" i="15"/>
  <c r="F177" i="15" s="1"/>
  <c r="I278" i="15"/>
  <c r="I287" i="15" s="1"/>
  <c r="I286" i="15"/>
  <c r="H133" i="15"/>
  <c r="H135" i="15" s="1"/>
  <c r="G133" i="15"/>
  <c r="F491" i="15"/>
  <c r="I21" i="15"/>
  <c r="I30" i="15" s="1"/>
  <c r="I29" i="15"/>
  <c r="M192" i="15"/>
  <c r="O192" i="15" s="1"/>
  <c r="F192" i="15" s="1"/>
  <c r="O191" i="15"/>
  <c r="F191" i="15" s="1"/>
  <c r="G255" i="15"/>
  <c r="G257" i="15" s="1"/>
  <c r="H255" i="15"/>
  <c r="G105" i="15"/>
  <c r="H105" i="15"/>
  <c r="F107" i="15"/>
  <c r="G362" i="15"/>
  <c r="H362" i="15"/>
  <c r="M309" i="15"/>
  <c r="O309" i="15" s="1"/>
  <c r="F309" i="15" s="1"/>
  <c r="O308" i="15"/>
  <c r="F308" i="15" s="1"/>
  <c r="H406" i="15"/>
  <c r="H407" i="15" s="1"/>
  <c r="G406" i="15"/>
  <c r="G407" i="15" s="1"/>
  <c r="F407" i="15"/>
  <c r="H327" i="15"/>
  <c r="G62" i="15"/>
  <c r="H62" i="15"/>
  <c r="M350" i="15"/>
  <c r="O349" i="15"/>
  <c r="F349" i="15" s="1"/>
  <c r="H458" i="15"/>
  <c r="H459" i="15" s="1"/>
  <c r="G458" i="15"/>
  <c r="I342" i="15"/>
  <c r="I351" i="15" s="1"/>
  <c r="I350" i="15"/>
  <c r="H199" i="15"/>
  <c r="G199" i="15"/>
  <c r="F459" i="15"/>
  <c r="G91" i="15"/>
  <c r="H91" i="15"/>
  <c r="H579" i="15"/>
  <c r="H580" i="15" s="1"/>
  <c r="G579" i="15"/>
  <c r="G580" i="15" s="1"/>
  <c r="M427" i="15"/>
  <c r="O427" i="15" s="1"/>
  <c r="F427" i="15" s="1"/>
  <c r="O426" i="15"/>
  <c r="F426" i="15" s="1"/>
  <c r="G389" i="15"/>
  <c r="H389" i="15"/>
  <c r="F257" i="15"/>
  <c r="M458" i="14"/>
  <c r="O458" i="14" s="1"/>
  <c r="F458" i="14" s="1"/>
  <c r="O457" i="14"/>
  <c r="F457" i="14" s="1"/>
  <c r="G456" i="14"/>
  <c r="H456" i="14"/>
  <c r="G385" i="14"/>
  <c r="G386" i="14" s="1"/>
  <c r="H385" i="14"/>
  <c r="H386" i="14" s="1"/>
  <c r="F386" i="14"/>
  <c r="O388" i="14"/>
  <c r="F388" i="14" s="1"/>
  <c r="M389" i="14"/>
  <c r="M201" i="14"/>
  <c r="O201" i="14" s="1"/>
  <c r="F201" i="14" s="1"/>
  <c r="O200" i="14"/>
  <c r="F200" i="14" s="1"/>
  <c r="G199" i="14"/>
  <c r="H199" i="14"/>
  <c r="F155" i="14"/>
  <c r="H154" i="14"/>
  <c r="G154" i="14"/>
  <c r="H153" i="14"/>
  <c r="G153" i="14"/>
  <c r="H541" i="14"/>
  <c r="G541" i="14"/>
  <c r="H255" i="14"/>
  <c r="G255" i="14"/>
  <c r="F257" i="14"/>
  <c r="G106" i="14"/>
  <c r="G107" i="14" s="1"/>
  <c r="H106" i="14"/>
  <c r="H107" i="14" s="1"/>
  <c r="F107" i="14"/>
  <c r="O93" i="14"/>
  <c r="F93" i="14" s="1"/>
  <c r="F95" i="14" s="1"/>
  <c r="M94" i="14"/>
  <c r="O94" i="14" s="1"/>
  <c r="F94" i="14" s="1"/>
  <c r="G447" i="14"/>
  <c r="H447" i="14"/>
  <c r="G284" i="14"/>
  <c r="H284" i="14"/>
  <c r="G552" i="14"/>
  <c r="H552" i="14"/>
  <c r="G26" i="14"/>
  <c r="H26" i="14"/>
  <c r="I170" i="14"/>
  <c r="I179" i="14" s="1"/>
  <c r="I178" i="14"/>
  <c r="H256" i="14"/>
  <c r="H257" i="14" s="1"/>
  <c r="G256" i="14"/>
  <c r="G257" i="14" s="1"/>
  <c r="H305" i="14"/>
  <c r="G305" i="14"/>
  <c r="M350" i="14"/>
  <c r="O349" i="14"/>
  <c r="F349" i="14" s="1"/>
  <c r="I29" i="14"/>
  <c r="I21" i="14"/>
  <c r="I30" i="14" s="1"/>
  <c r="O497" i="14"/>
  <c r="F497" i="14" s="1"/>
  <c r="M498" i="14"/>
  <c r="G18" i="14"/>
  <c r="H18" i="14"/>
  <c r="I435" i="14"/>
  <c r="I427" i="14"/>
  <c r="I436" i="14" s="1"/>
  <c r="H262" i="14"/>
  <c r="G262" i="14"/>
  <c r="H530" i="14"/>
  <c r="G530" i="14"/>
  <c r="H371" i="14"/>
  <c r="G371" i="14"/>
  <c r="H133" i="14"/>
  <c r="G133" i="14"/>
  <c r="F135" i="14"/>
  <c r="M286" i="14"/>
  <c r="O285" i="14"/>
  <c r="F285" i="14" s="1"/>
  <c r="M554" i="14"/>
  <c r="O554" i="14" s="1"/>
  <c r="F554" i="14" s="1"/>
  <c r="O553" i="14"/>
  <c r="F553" i="14" s="1"/>
  <c r="G276" i="14"/>
  <c r="H276" i="14"/>
  <c r="I300" i="14"/>
  <c r="I309" i="14" s="1"/>
  <c r="I308" i="14"/>
  <c r="G190" i="14"/>
  <c r="H190" i="14"/>
  <c r="H171" i="14"/>
  <c r="G473" i="14"/>
  <c r="H473" i="14"/>
  <c r="G362" i="14"/>
  <c r="H362" i="14"/>
  <c r="H220" i="14"/>
  <c r="G220" i="14"/>
  <c r="O306" i="14"/>
  <c r="F306" i="14" s="1"/>
  <c r="M307" i="14"/>
  <c r="H348" i="14"/>
  <c r="G348" i="14"/>
  <c r="G488" i="14"/>
  <c r="H488" i="14"/>
  <c r="G496" i="14"/>
  <c r="H496" i="14"/>
  <c r="M20" i="14"/>
  <c r="O19" i="14"/>
  <c r="F19" i="14" s="1"/>
  <c r="O263" i="14"/>
  <c r="F263" i="14" s="1"/>
  <c r="M264" i="14"/>
  <c r="O298" i="14"/>
  <c r="F298" i="14" s="1"/>
  <c r="M299" i="14"/>
  <c r="I63" i="14"/>
  <c r="I72" i="14" s="1"/>
  <c r="I71" i="14"/>
  <c r="O178" i="14"/>
  <c r="F178" i="14" s="1"/>
  <c r="M179" i="14"/>
  <c r="O179" i="14" s="1"/>
  <c r="F179" i="14" s="1"/>
  <c r="O372" i="14"/>
  <c r="F372" i="14" s="1"/>
  <c r="M373" i="14"/>
  <c r="O373" i="14" s="1"/>
  <c r="F373" i="14" s="1"/>
  <c r="G134" i="14"/>
  <c r="H134" i="14"/>
  <c r="H135" i="14" s="1"/>
  <c r="H342" i="14"/>
  <c r="G342" i="14"/>
  <c r="O277" i="14"/>
  <c r="F277" i="14" s="1"/>
  <c r="M278" i="14"/>
  <c r="O278" i="14" s="1"/>
  <c r="F278" i="14" s="1"/>
  <c r="H325" i="14"/>
  <c r="G325" i="14"/>
  <c r="F327" i="14"/>
  <c r="M563" i="14"/>
  <c r="O563" i="14" s="1"/>
  <c r="F563" i="14" s="1"/>
  <c r="O562" i="14"/>
  <c r="F562" i="14" s="1"/>
  <c r="I342" i="14"/>
  <c r="I351" i="14" s="1"/>
  <c r="I350" i="14"/>
  <c r="H61" i="14"/>
  <c r="G61" i="14"/>
  <c r="M411" i="14"/>
  <c r="O410" i="14"/>
  <c r="F410" i="14" s="1"/>
  <c r="O531" i="14"/>
  <c r="F531" i="14" s="1"/>
  <c r="M532" i="14"/>
  <c r="O532" i="14" s="1"/>
  <c r="F532" i="14" s="1"/>
  <c r="O435" i="14"/>
  <c r="F435" i="14" s="1"/>
  <c r="M436" i="14"/>
  <c r="O436" i="14" s="1"/>
  <c r="F436" i="14" s="1"/>
  <c r="H540" i="14"/>
  <c r="G540" i="14"/>
  <c r="F542" i="14"/>
  <c r="M364" i="14"/>
  <c r="O364" i="14" s="1"/>
  <c r="F364" i="14" s="1"/>
  <c r="O363" i="14"/>
  <c r="F363" i="14" s="1"/>
  <c r="G219" i="14"/>
  <c r="G221" i="14" s="1"/>
  <c r="H219" i="14"/>
  <c r="F221" i="14"/>
  <c r="O62" i="14"/>
  <c r="F62" i="14" s="1"/>
  <c r="M63" i="14"/>
  <c r="O63" i="14" s="1"/>
  <c r="F63" i="14" s="1"/>
  <c r="M490" i="14"/>
  <c r="O490" i="14" s="1"/>
  <c r="F490" i="14" s="1"/>
  <c r="O489" i="14"/>
  <c r="F489" i="14" s="1"/>
  <c r="M192" i="14"/>
  <c r="O192" i="14" s="1"/>
  <c r="F192" i="14" s="1"/>
  <c r="O191" i="14"/>
  <c r="F191" i="14" s="1"/>
  <c r="M110" i="14"/>
  <c r="O109" i="14"/>
  <c r="F109" i="14" s="1"/>
  <c r="H409" i="14"/>
  <c r="G409" i="14"/>
  <c r="G297" i="14"/>
  <c r="H297" i="14"/>
  <c r="G92" i="14"/>
  <c r="H92" i="14"/>
  <c r="G177" i="14"/>
  <c r="H177" i="14"/>
  <c r="F180" i="14"/>
  <c r="O448" i="14"/>
  <c r="F448" i="14" s="1"/>
  <c r="M449" i="14"/>
  <c r="O449" i="14" s="1"/>
  <c r="F449" i="14" s="1"/>
  <c r="G341" i="14"/>
  <c r="H341" i="14"/>
  <c r="H343" i="14" s="1"/>
  <c r="H434" i="14"/>
  <c r="G434" i="14"/>
  <c r="H474" i="14"/>
  <c r="G474" i="14"/>
  <c r="G475" i="14" s="1"/>
  <c r="M28" i="14"/>
  <c r="O27" i="14"/>
  <c r="F27" i="14" s="1"/>
  <c r="H326" i="14"/>
  <c r="G326" i="14"/>
  <c r="H561" i="14"/>
  <c r="G561" i="14"/>
  <c r="G491" i="15" l="1"/>
  <c r="F555" i="14"/>
  <c r="F437" i="14"/>
  <c r="H257" i="15"/>
  <c r="H155" i="15"/>
  <c r="H279" i="18"/>
  <c r="H155" i="14"/>
  <c r="G301" i="19"/>
  <c r="F193" i="14"/>
  <c r="G64" i="15"/>
  <c r="G155" i="15"/>
  <c r="H437" i="19"/>
  <c r="G135" i="14"/>
  <c r="H73" i="15"/>
  <c r="H352" i="19"/>
  <c r="G450" i="15"/>
  <c r="H475" i="14"/>
  <c r="G155" i="14"/>
  <c r="F202" i="14"/>
  <c r="G266" i="15"/>
  <c r="F288" i="18"/>
  <c r="H450" i="15"/>
  <c r="G352" i="19"/>
  <c r="H266" i="19"/>
  <c r="H594" i="19"/>
  <c r="G193" i="19"/>
  <c r="G491" i="18"/>
  <c r="G594" i="18" s="1"/>
  <c r="H491" i="18"/>
  <c r="G352" i="18"/>
  <c r="H352" i="18"/>
  <c r="M397" i="19"/>
  <c r="O397" i="19" s="1"/>
  <c r="F397" i="19" s="1"/>
  <c r="O396" i="19"/>
  <c r="F396" i="19" s="1"/>
  <c r="H411" i="19"/>
  <c r="G411" i="19"/>
  <c r="H309" i="19"/>
  <c r="G309" i="19"/>
  <c r="F310" i="19"/>
  <c r="H393" i="19"/>
  <c r="H394" i="19" s="1"/>
  <c r="G393" i="19"/>
  <c r="G394" i="19" s="1"/>
  <c r="F394" i="19"/>
  <c r="H286" i="19"/>
  <c r="G286" i="19"/>
  <c r="F288" i="19"/>
  <c r="H118" i="19"/>
  <c r="G118" i="19"/>
  <c r="F120" i="19"/>
  <c r="H117" i="19"/>
  <c r="H120" i="19" s="1"/>
  <c r="G117" i="19"/>
  <c r="M413" i="19"/>
  <c r="O412" i="19"/>
  <c r="F412" i="19" s="1"/>
  <c r="H308" i="19"/>
  <c r="G308" i="19"/>
  <c r="H31" i="19"/>
  <c r="G287" i="19"/>
  <c r="G288" i="19" s="1"/>
  <c r="H287" i="19"/>
  <c r="H202" i="19"/>
  <c r="H542" i="19"/>
  <c r="G437" i="19"/>
  <c r="G31" i="19"/>
  <c r="G279" i="19"/>
  <c r="G202" i="19"/>
  <c r="H112" i="18"/>
  <c r="G112" i="18"/>
  <c r="H390" i="18"/>
  <c r="G390" i="18"/>
  <c r="O391" i="18"/>
  <c r="F391" i="18" s="1"/>
  <c r="M392" i="18"/>
  <c r="H411" i="18"/>
  <c r="G411" i="18"/>
  <c r="G374" i="18"/>
  <c r="G500" i="18"/>
  <c r="G279" i="18"/>
  <c r="G286" i="18"/>
  <c r="H286" i="18"/>
  <c r="M114" i="18"/>
  <c r="O113" i="18"/>
  <c r="F113" i="18" s="1"/>
  <c r="H374" i="18"/>
  <c r="O412" i="18"/>
  <c r="F412" i="18" s="1"/>
  <c r="M413" i="18"/>
  <c r="H500" i="18"/>
  <c r="H287" i="18"/>
  <c r="H288" i="18" s="1"/>
  <c r="G287" i="18"/>
  <c r="H426" i="15"/>
  <c r="G426" i="15"/>
  <c r="H349" i="15"/>
  <c r="G349" i="15"/>
  <c r="H200" i="15"/>
  <c r="G200" i="15"/>
  <c r="H498" i="15"/>
  <c r="G498" i="15"/>
  <c r="M392" i="15"/>
  <c r="O391" i="15"/>
  <c r="F391" i="15" s="1"/>
  <c r="G427" i="15"/>
  <c r="H427" i="15"/>
  <c r="H428" i="15" s="1"/>
  <c r="O350" i="15"/>
  <c r="F350" i="15" s="1"/>
  <c r="M351" i="15"/>
  <c r="O351" i="15" s="1"/>
  <c r="F351" i="15" s="1"/>
  <c r="H308" i="15"/>
  <c r="G308" i="15"/>
  <c r="F310" i="15"/>
  <c r="H191" i="15"/>
  <c r="G191" i="15"/>
  <c r="G73" i="15"/>
  <c r="F500" i="15"/>
  <c r="H92" i="15"/>
  <c r="G92" i="15"/>
  <c r="H106" i="15"/>
  <c r="G106" i="15"/>
  <c r="H435" i="15"/>
  <c r="G435" i="15"/>
  <c r="H201" i="15"/>
  <c r="H202" i="15" s="1"/>
  <c r="G201" i="15"/>
  <c r="F202" i="15"/>
  <c r="H285" i="15"/>
  <c r="G285" i="15"/>
  <c r="G499" i="15"/>
  <c r="G500" i="15" s="1"/>
  <c r="H499" i="15"/>
  <c r="H500" i="15" s="1"/>
  <c r="O29" i="15"/>
  <c r="F29" i="15" s="1"/>
  <c r="F31" i="15" s="1"/>
  <c r="M30" i="15"/>
  <c r="O30" i="15" s="1"/>
  <c r="F30" i="15" s="1"/>
  <c r="H299" i="15"/>
  <c r="G299" i="15"/>
  <c r="F301" i="15"/>
  <c r="H409" i="15"/>
  <c r="G409" i="15"/>
  <c r="O178" i="15"/>
  <c r="F178" i="15" s="1"/>
  <c r="M179" i="15"/>
  <c r="O179" i="15" s="1"/>
  <c r="F179" i="15" s="1"/>
  <c r="G459" i="15"/>
  <c r="H309" i="15"/>
  <c r="G309" i="15"/>
  <c r="G310" i="15" s="1"/>
  <c r="G192" i="15"/>
  <c r="H192" i="15"/>
  <c r="O93" i="15"/>
  <c r="F93" i="15" s="1"/>
  <c r="M94" i="15"/>
  <c r="O94" i="15" s="1"/>
  <c r="F94" i="15" s="1"/>
  <c r="M110" i="15"/>
  <c r="O109" i="15"/>
  <c r="F109" i="15" s="1"/>
  <c r="H436" i="15"/>
  <c r="G436" i="15"/>
  <c r="H539" i="15"/>
  <c r="G539" i="15"/>
  <c r="F193" i="15"/>
  <c r="O286" i="15"/>
  <c r="F286" i="15" s="1"/>
  <c r="M287" i="15"/>
  <c r="O287" i="15" s="1"/>
  <c r="F287" i="15" s="1"/>
  <c r="F428" i="15"/>
  <c r="F594" i="15" s="1"/>
  <c r="G300" i="15"/>
  <c r="G301" i="15" s="1"/>
  <c r="H300" i="15"/>
  <c r="H301" i="15" s="1"/>
  <c r="O410" i="15"/>
  <c r="F410" i="15" s="1"/>
  <c r="M411" i="15"/>
  <c r="G107" i="15"/>
  <c r="G364" i="15"/>
  <c r="G365" i="15" s="1"/>
  <c r="H364" i="15"/>
  <c r="H563" i="15"/>
  <c r="H564" i="15" s="1"/>
  <c r="G563" i="15"/>
  <c r="G554" i="15"/>
  <c r="H554" i="15"/>
  <c r="H28" i="15"/>
  <c r="G28" i="15"/>
  <c r="H107" i="15"/>
  <c r="H177" i="15"/>
  <c r="G177" i="15"/>
  <c r="H64" i="15"/>
  <c r="H363" i="15"/>
  <c r="G363" i="15"/>
  <c r="H562" i="15"/>
  <c r="G562" i="15"/>
  <c r="O540" i="15"/>
  <c r="F540" i="15" s="1"/>
  <c r="M541" i="15"/>
  <c r="O541" i="15" s="1"/>
  <c r="F541" i="15" s="1"/>
  <c r="H553" i="15"/>
  <c r="G553" i="15"/>
  <c r="H555" i="15"/>
  <c r="H266" i="15"/>
  <c r="H390" i="15"/>
  <c r="G390" i="15"/>
  <c r="F365" i="15"/>
  <c r="F564" i="14"/>
  <c r="H542" i="14"/>
  <c r="G457" i="14"/>
  <c r="H457" i="14"/>
  <c r="F459" i="14"/>
  <c r="H458" i="14"/>
  <c r="H459" i="14" s="1"/>
  <c r="G458" i="14"/>
  <c r="G388" i="14"/>
  <c r="H388" i="14"/>
  <c r="M390" i="14"/>
  <c r="O389" i="14"/>
  <c r="F389" i="14" s="1"/>
  <c r="G343" i="14"/>
  <c r="H327" i="14"/>
  <c r="G327" i="14"/>
  <c r="H221" i="14"/>
  <c r="H200" i="14"/>
  <c r="H202" i="14" s="1"/>
  <c r="G200" i="14"/>
  <c r="G202" i="14" s="1"/>
  <c r="G201" i="14"/>
  <c r="H201" i="14"/>
  <c r="G410" i="14"/>
  <c r="H410" i="14"/>
  <c r="G449" i="14"/>
  <c r="H449" i="14"/>
  <c r="H109" i="14"/>
  <c r="G109" i="14"/>
  <c r="H489" i="14"/>
  <c r="G489" i="14"/>
  <c r="H364" i="14"/>
  <c r="G364" i="14"/>
  <c r="F365" i="14"/>
  <c r="M412" i="14"/>
  <c r="O411" i="14"/>
  <c r="F411" i="14" s="1"/>
  <c r="G563" i="14"/>
  <c r="H563" i="14"/>
  <c r="H278" i="14"/>
  <c r="G278" i="14"/>
  <c r="F279" i="14"/>
  <c r="G179" i="14"/>
  <c r="H179" i="14"/>
  <c r="O264" i="14"/>
  <c r="F264" i="14" s="1"/>
  <c r="M265" i="14"/>
  <c r="O265" i="14" s="1"/>
  <c r="F265" i="14" s="1"/>
  <c r="M308" i="14"/>
  <c r="O307" i="14"/>
  <c r="F307" i="14" s="1"/>
  <c r="H553" i="14"/>
  <c r="G553" i="14"/>
  <c r="O286" i="14"/>
  <c r="F286" i="14" s="1"/>
  <c r="M287" i="14"/>
  <c r="O287" i="14" s="1"/>
  <c r="F287" i="14" s="1"/>
  <c r="H94" i="14"/>
  <c r="G94" i="14"/>
  <c r="G192" i="14"/>
  <c r="H192" i="14"/>
  <c r="H363" i="14"/>
  <c r="G363" i="14"/>
  <c r="H285" i="14"/>
  <c r="G285" i="14"/>
  <c r="H448" i="14"/>
  <c r="G448" i="14"/>
  <c r="M111" i="14"/>
  <c r="O110" i="14"/>
  <c r="F110" i="14" s="1"/>
  <c r="G490" i="14"/>
  <c r="G491" i="14" s="1"/>
  <c r="H490" i="14"/>
  <c r="H491" i="14" s="1"/>
  <c r="F491" i="14"/>
  <c r="H436" i="14"/>
  <c r="G436" i="14"/>
  <c r="G532" i="14"/>
  <c r="H532" i="14"/>
  <c r="F533" i="14"/>
  <c r="G277" i="14"/>
  <c r="H277" i="14"/>
  <c r="H279" i="14" s="1"/>
  <c r="H373" i="14"/>
  <c r="G373" i="14"/>
  <c r="G178" i="14"/>
  <c r="H178" i="14"/>
  <c r="O299" i="14"/>
  <c r="F299" i="14" s="1"/>
  <c r="M300" i="14"/>
  <c r="O300" i="14" s="1"/>
  <c r="F300" i="14" s="1"/>
  <c r="G263" i="14"/>
  <c r="H263" i="14"/>
  <c r="H306" i="14"/>
  <c r="G306" i="14"/>
  <c r="H554" i="14"/>
  <c r="H555" i="14" s="1"/>
  <c r="G554" i="14"/>
  <c r="G555" i="14" s="1"/>
  <c r="O498" i="14"/>
  <c r="F498" i="14" s="1"/>
  <c r="M499" i="14"/>
  <c r="O499" i="14" s="1"/>
  <c r="F499" i="14" s="1"/>
  <c r="H349" i="14"/>
  <c r="G349" i="14"/>
  <c r="F450" i="14"/>
  <c r="G93" i="14"/>
  <c r="H93" i="14"/>
  <c r="G542" i="14"/>
  <c r="O28" i="14"/>
  <c r="F28" i="14" s="1"/>
  <c r="M29" i="14"/>
  <c r="G62" i="14"/>
  <c r="H62" i="14"/>
  <c r="F64" i="14"/>
  <c r="G562" i="14"/>
  <c r="H562" i="14"/>
  <c r="O20" i="14"/>
  <c r="F20" i="14" s="1"/>
  <c r="M21" i="14"/>
  <c r="O21" i="14" s="1"/>
  <c r="F21" i="14" s="1"/>
  <c r="H27" i="14"/>
  <c r="G27" i="14"/>
  <c r="H191" i="14"/>
  <c r="G191" i="14"/>
  <c r="H63" i="14"/>
  <c r="G63" i="14"/>
  <c r="G435" i="14"/>
  <c r="H435" i="14"/>
  <c r="G531" i="14"/>
  <c r="H531" i="14"/>
  <c r="G372" i="14"/>
  <c r="H372" i="14"/>
  <c r="F374" i="14"/>
  <c r="H298" i="14"/>
  <c r="G298" i="14"/>
  <c r="H19" i="14"/>
  <c r="G19" i="14"/>
  <c r="H497" i="14"/>
  <c r="G497" i="14"/>
  <c r="M351" i="14"/>
  <c r="O351" i="14" s="1"/>
  <c r="F351" i="14" s="1"/>
  <c r="O350" i="14"/>
  <c r="F350" i="14" s="1"/>
  <c r="H450" i="14"/>
  <c r="G564" i="14" l="1"/>
  <c r="F95" i="15"/>
  <c r="G428" i="15"/>
  <c r="G374" i="14"/>
  <c r="H193" i="15"/>
  <c r="G594" i="19"/>
  <c r="H594" i="18"/>
  <c r="H365" i="14"/>
  <c r="G193" i="15"/>
  <c r="H193" i="14"/>
  <c r="G437" i="15"/>
  <c r="F266" i="14"/>
  <c r="H437" i="14"/>
  <c r="H437" i="15"/>
  <c r="H310" i="15"/>
  <c r="G288" i="18"/>
  <c r="M414" i="19"/>
  <c r="O413" i="19"/>
  <c r="F413" i="19" s="1"/>
  <c r="G120" i="19"/>
  <c r="H288" i="19"/>
  <c r="G310" i="19"/>
  <c r="G397" i="19"/>
  <c r="H397" i="19"/>
  <c r="H412" i="19"/>
  <c r="G412" i="19"/>
  <c r="H310" i="19"/>
  <c r="F399" i="19"/>
  <c r="H396" i="19"/>
  <c r="G396" i="19"/>
  <c r="G391" i="18"/>
  <c r="H391" i="18"/>
  <c r="H412" i="18"/>
  <c r="G412" i="18"/>
  <c r="H113" i="18"/>
  <c r="G113" i="18"/>
  <c r="M393" i="18"/>
  <c r="O392" i="18"/>
  <c r="F392" i="18" s="1"/>
  <c r="M414" i="18"/>
  <c r="O413" i="18"/>
  <c r="F413" i="18" s="1"/>
  <c r="M117" i="18"/>
  <c r="O114" i="18"/>
  <c r="F114" i="18" s="1"/>
  <c r="M412" i="15"/>
  <c r="O411" i="15"/>
  <c r="F411" i="15" s="1"/>
  <c r="H594" i="15"/>
  <c r="G540" i="15"/>
  <c r="H540" i="15"/>
  <c r="H365" i="15"/>
  <c r="G410" i="15"/>
  <c r="H410" i="15"/>
  <c r="H287" i="15"/>
  <c r="G287" i="15"/>
  <c r="H109" i="15"/>
  <c r="G109" i="15"/>
  <c r="G93" i="15"/>
  <c r="H93" i="15"/>
  <c r="G178" i="15"/>
  <c r="H178" i="15"/>
  <c r="F180" i="15"/>
  <c r="G202" i="15"/>
  <c r="H541" i="15"/>
  <c r="G541" i="15"/>
  <c r="G542" i="15" s="1"/>
  <c r="F542" i="15"/>
  <c r="H179" i="15"/>
  <c r="H180" i="15" s="1"/>
  <c r="G179" i="15"/>
  <c r="M393" i="15"/>
  <c r="O392" i="15"/>
  <c r="F392" i="15" s="1"/>
  <c r="G555" i="15"/>
  <c r="G594" i="15" s="1"/>
  <c r="G286" i="15"/>
  <c r="G288" i="15" s="1"/>
  <c r="H286" i="15"/>
  <c r="F288" i="15"/>
  <c r="M111" i="15"/>
  <c r="O110" i="15"/>
  <c r="F110" i="15" s="1"/>
  <c r="H30" i="15"/>
  <c r="G30" i="15"/>
  <c r="G31" i="15" s="1"/>
  <c r="H351" i="15"/>
  <c r="G351" i="15"/>
  <c r="F352" i="15"/>
  <c r="H94" i="15"/>
  <c r="H95" i="15" s="1"/>
  <c r="G94" i="15"/>
  <c r="G95" i="15" s="1"/>
  <c r="G564" i="15"/>
  <c r="G29" i="15"/>
  <c r="H29" i="15"/>
  <c r="G350" i="15"/>
  <c r="H350" i="15"/>
  <c r="H391" i="15"/>
  <c r="G391" i="15"/>
  <c r="H533" i="14"/>
  <c r="G533" i="14"/>
  <c r="G450" i="14"/>
  <c r="G459" i="14"/>
  <c r="G437" i="14"/>
  <c r="H389" i="14"/>
  <c r="G389" i="14"/>
  <c r="O390" i="14"/>
  <c r="F390" i="14" s="1"/>
  <c r="M391" i="14"/>
  <c r="G279" i="14"/>
  <c r="G180" i="14"/>
  <c r="H64" i="14"/>
  <c r="H307" i="14"/>
  <c r="G307" i="14"/>
  <c r="H411" i="14"/>
  <c r="G411" i="14"/>
  <c r="H351" i="14"/>
  <c r="H352" i="14" s="1"/>
  <c r="G351" i="14"/>
  <c r="H300" i="14"/>
  <c r="G300" i="14"/>
  <c r="H110" i="14"/>
  <c r="G110" i="14"/>
  <c r="G193" i="14"/>
  <c r="H286" i="14"/>
  <c r="G286" i="14"/>
  <c r="M309" i="14"/>
  <c r="O309" i="14" s="1"/>
  <c r="F309" i="14" s="1"/>
  <c r="O308" i="14"/>
  <c r="F308" i="14" s="1"/>
  <c r="H180" i="14"/>
  <c r="M413" i="14"/>
  <c r="O412" i="14"/>
  <c r="F412" i="14" s="1"/>
  <c r="G350" i="14"/>
  <c r="H350" i="14"/>
  <c r="F352" i="14"/>
  <c r="H287" i="14"/>
  <c r="G287" i="14"/>
  <c r="G288" i="14" s="1"/>
  <c r="H21" i="14"/>
  <c r="G21" i="14"/>
  <c r="M30" i="14"/>
  <c r="O30" i="14" s="1"/>
  <c r="F30" i="14" s="1"/>
  <c r="O29" i="14"/>
  <c r="F29" i="14" s="1"/>
  <c r="G499" i="14"/>
  <c r="H499" i="14"/>
  <c r="G299" i="14"/>
  <c r="H299" i="14"/>
  <c r="F301" i="14"/>
  <c r="F594" i="14" s="1"/>
  <c r="H374" i="14"/>
  <c r="M112" i="14"/>
  <c r="O111" i="14"/>
  <c r="F111" i="14" s="1"/>
  <c r="G95" i="14"/>
  <c r="G265" i="14"/>
  <c r="H265" i="14"/>
  <c r="H564" i="14"/>
  <c r="F22" i="14"/>
  <c r="G64" i="14"/>
  <c r="H20" i="14"/>
  <c r="G20" i="14"/>
  <c r="G28" i="14"/>
  <c r="H28" i="14"/>
  <c r="G498" i="14"/>
  <c r="H498" i="14"/>
  <c r="F500" i="14"/>
  <c r="F288" i="14"/>
  <c r="H95" i="14"/>
  <c r="H264" i="14"/>
  <c r="G264" i="14"/>
  <c r="G365" i="14"/>
  <c r="H288" i="15" l="1"/>
  <c r="G500" i="14"/>
  <c r="H288" i="14"/>
  <c r="H399" i="19"/>
  <c r="H413" i="19"/>
  <c r="G413" i="19"/>
  <c r="G399" i="19"/>
  <c r="M417" i="19"/>
  <c r="O414" i="19"/>
  <c r="F414" i="19" s="1"/>
  <c r="F415" i="19" s="1"/>
  <c r="F595" i="19" s="1"/>
  <c r="H114" i="18"/>
  <c r="H115" i="18" s="1"/>
  <c r="G114" i="18"/>
  <c r="G115" i="18" s="1"/>
  <c r="H392" i="18"/>
  <c r="G392" i="18"/>
  <c r="F115" i="18"/>
  <c r="O117" i="18"/>
  <c r="F117" i="18" s="1"/>
  <c r="M118" i="18"/>
  <c r="O118" i="18" s="1"/>
  <c r="F118" i="18" s="1"/>
  <c r="M396" i="18"/>
  <c r="O393" i="18"/>
  <c r="F393" i="18" s="1"/>
  <c r="O414" i="18"/>
  <c r="F414" i="18" s="1"/>
  <c r="M417" i="18"/>
  <c r="H413" i="18"/>
  <c r="G413" i="18"/>
  <c r="O412" i="15"/>
  <c r="F412" i="15" s="1"/>
  <c r="M413" i="15"/>
  <c r="G352" i="15"/>
  <c r="H31" i="15"/>
  <c r="H392" i="15"/>
  <c r="G392" i="15"/>
  <c r="H352" i="15"/>
  <c r="H110" i="15"/>
  <c r="G110" i="15"/>
  <c r="M396" i="15"/>
  <c r="O393" i="15"/>
  <c r="F393" i="15" s="1"/>
  <c r="M112" i="15"/>
  <c r="O111" i="15"/>
  <c r="F111" i="15" s="1"/>
  <c r="G180" i="15"/>
  <c r="H542" i="15"/>
  <c r="H411" i="15"/>
  <c r="G411" i="15"/>
  <c r="H390" i="14"/>
  <c r="G390" i="14"/>
  <c r="M392" i="14"/>
  <c r="O391" i="14"/>
  <c r="F391" i="14" s="1"/>
  <c r="G301" i="14"/>
  <c r="G594" i="14" s="1"/>
  <c r="G266" i="14"/>
  <c r="G29" i="14"/>
  <c r="H29" i="14"/>
  <c r="O112" i="14"/>
  <c r="F112" i="14" s="1"/>
  <c r="M113" i="14"/>
  <c r="G30" i="14"/>
  <c r="H30" i="14"/>
  <c r="H31" i="14" s="1"/>
  <c r="F31" i="14"/>
  <c r="G308" i="14"/>
  <c r="H308" i="14"/>
  <c r="F310" i="14"/>
  <c r="H301" i="14"/>
  <c r="H500" i="14"/>
  <c r="G22" i="14"/>
  <c r="H412" i="14"/>
  <c r="G412" i="14"/>
  <c r="H309" i="14"/>
  <c r="G309" i="14"/>
  <c r="H111" i="14"/>
  <c r="G111" i="14"/>
  <c r="H266" i="14"/>
  <c r="H22" i="14"/>
  <c r="M414" i="14"/>
  <c r="O413" i="14"/>
  <c r="F413" i="14" s="1"/>
  <c r="G352" i="14"/>
  <c r="H310" i="14" l="1"/>
  <c r="H414" i="19"/>
  <c r="H415" i="19" s="1"/>
  <c r="H595" i="19" s="1"/>
  <c r="G414" i="19"/>
  <c r="G415" i="19" s="1"/>
  <c r="G595" i="19" s="1"/>
  <c r="M418" i="19"/>
  <c r="O418" i="19" s="1"/>
  <c r="F418" i="19" s="1"/>
  <c r="O417" i="19"/>
  <c r="F417" i="19" s="1"/>
  <c r="G393" i="18"/>
  <c r="G394" i="18" s="1"/>
  <c r="H393" i="18"/>
  <c r="H394" i="18" s="1"/>
  <c r="F394" i="18"/>
  <c r="O396" i="18"/>
  <c r="F396" i="18" s="1"/>
  <c r="M397" i="18"/>
  <c r="O397" i="18" s="1"/>
  <c r="F397" i="18" s="1"/>
  <c r="G414" i="18"/>
  <c r="G415" i="18" s="1"/>
  <c r="H414" i="18"/>
  <c r="H415" i="18" s="1"/>
  <c r="H595" i="18" s="1"/>
  <c r="G117" i="18"/>
  <c r="G120" i="18" s="1"/>
  <c r="F120" i="18"/>
  <c r="H117" i="18"/>
  <c r="M418" i="18"/>
  <c r="O418" i="18" s="1"/>
  <c r="F418" i="18" s="1"/>
  <c r="O417" i="18"/>
  <c r="F417" i="18" s="1"/>
  <c r="H118" i="18"/>
  <c r="G118" i="18"/>
  <c r="F415" i="18"/>
  <c r="F595" i="18" s="1"/>
  <c r="H111" i="15"/>
  <c r="G111" i="15"/>
  <c r="M113" i="15"/>
  <c r="O112" i="15"/>
  <c r="F112" i="15" s="1"/>
  <c r="O396" i="15"/>
  <c r="F396" i="15" s="1"/>
  <c r="M397" i="15"/>
  <c r="O397" i="15" s="1"/>
  <c r="F397" i="15" s="1"/>
  <c r="M414" i="15"/>
  <c r="O413" i="15"/>
  <c r="F413" i="15" s="1"/>
  <c r="H393" i="15"/>
  <c r="H394" i="15" s="1"/>
  <c r="G393" i="15"/>
  <c r="G394" i="15" s="1"/>
  <c r="G412" i="15"/>
  <c r="H412" i="15"/>
  <c r="F394" i="15"/>
  <c r="H391" i="14"/>
  <c r="G391" i="14"/>
  <c r="M393" i="14"/>
  <c r="O392" i="14"/>
  <c r="F392" i="14" s="1"/>
  <c r="G310" i="14"/>
  <c r="M417" i="14"/>
  <c r="O414" i="14"/>
  <c r="F414" i="14" s="1"/>
  <c r="G31" i="14"/>
  <c r="H413" i="14"/>
  <c r="G413" i="14"/>
  <c r="F415" i="14"/>
  <c r="H594" i="14"/>
  <c r="M114" i="14"/>
  <c r="O113" i="14"/>
  <c r="F113" i="14" s="1"/>
  <c r="G112" i="14"/>
  <c r="H112" i="14"/>
  <c r="F420" i="19" l="1"/>
  <c r="F597" i="19" s="1"/>
  <c r="F599" i="19" s="1"/>
  <c r="H417" i="19"/>
  <c r="G417" i="19"/>
  <c r="G418" i="19"/>
  <c r="H418" i="19"/>
  <c r="F420" i="18"/>
  <c r="H417" i="18"/>
  <c r="G417" i="18"/>
  <c r="G418" i="18"/>
  <c r="H418" i="18"/>
  <c r="H396" i="18"/>
  <c r="F399" i="18"/>
  <c r="G396" i="18"/>
  <c r="G595" i="18"/>
  <c r="H120" i="18"/>
  <c r="H397" i="18"/>
  <c r="G397" i="18"/>
  <c r="G396" i="15"/>
  <c r="H396" i="15"/>
  <c r="F399" i="15"/>
  <c r="H413" i="15"/>
  <c r="G413" i="15"/>
  <c r="H112" i="15"/>
  <c r="G112" i="15"/>
  <c r="H397" i="15"/>
  <c r="G397" i="15"/>
  <c r="M417" i="15"/>
  <c r="O414" i="15"/>
  <c r="F414" i="15" s="1"/>
  <c r="M114" i="15"/>
  <c r="O113" i="15"/>
  <c r="F113" i="15" s="1"/>
  <c r="H392" i="14"/>
  <c r="G392" i="14"/>
  <c r="O393" i="14"/>
  <c r="F393" i="14" s="1"/>
  <c r="M396" i="14"/>
  <c r="H414" i="14"/>
  <c r="H415" i="14" s="1"/>
  <c r="G414" i="14"/>
  <c r="G415" i="14" s="1"/>
  <c r="M418" i="14"/>
  <c r="O418" i="14" s="1"/>
  <c r="F418" i="14" s="1"/>
  <c r="O417" i="14"/>
  <c r="F417" i="14" s="1"/>
  <c r="H113" i="14"/>
  <c r="G113" i="14"/>
  <c r="O114" i="14"/>
  <c r="F114" i="14" s="1"/>
  <c r="M117" i="14"/>
  <c r="H399" i="18" l="1"/>
  <c r="G420" i="19"/>
  <c r="G597" i="19" s="1"/>
  <c r="G599" i="19" s="1"/>
  <c r="H420" i="19"/>
  <c r="H597" i="19" s="1"/>
  <c r="H599" i="19" s="1"/>
  <c r="G420" i="18"/>
  <c r="G399" i="18"/>
  <c r="H420" i="18"/>
  <c r="H597" i="18" s="1"/>
  <c r="H599" i="18" s="1"/>
  <c r="F597" i="18"/>
  <c r="F599" i="18" s="1"/>
  <c r="H399" i="15"/>
  <c r="G414" i="15"/>
  <c r="G415" i="15" s="1"/>
  <c r="H414" i="15"/>
  <c r="H415" i="15" s="1"/>
  <c r="F415" i="15"/>
  <c r="G399" i="15"/>
  <c r="M117" i="15"/>
  <c r="O114" i="15"/>
  <c r="F114" i="15" s="1"/>
  <c r="M418" i="15"/>
  <c r="O418" i="15" s="1"/>
  <c r="F418" i="15" s="1"/>
  <c r="O417" i="15"/>
  <c r="F417" i="15" s="1"/>
  <c r="H113" i="15"/>
  <c r="G113" i="15"/>
  <c r="G393" i="14"/>
  <c r="G394" i="14" s="1"/>
  <c r="G595" i="14" s="1"/>
  <c r="H393" i="14"/>
  <c r="H394" i="14" s="1"/>
  <c r="F394" i="14"/>
  <c r="F595" i="14" s="1"/>
  <c r="M397" i="14"/>
  <c r="O397" i="14" s="1"/>
  <c r="F397" i="14" s="1"/>
  <c r="O396" i="14"/>
  <c r="F396" i="14" s="1"/>
  <c r="G418" i="14"/>
  <c r="H418" i="14"/>
  <c r="G114" i="14"/>
  <c r="G115" i="14" s="1"/>
  <c r="H114" i="14"/>
  <c r="H115" i="14" s="1"/>
  <c r="H595" i="14" s="1"/>
  <c r="F115" i="14"/>
  <c r="O117" i="14"/>
  <c r="F117" i="14" s="1"/>
  <c r="M118" i="14"/>
  <c r="O118" i="14" s="1"/>
  <c r="F118" i="14" s="1"/>
  <c r="F420" i="14"/>
  <c r="H417" i="14"/>
  <c r="G417" i="14"/>
  <c r="G420" i="14" s="1"/>
  <c r="G597" i="18" l="1"/>
  <c r="G599" i="18" s="1"/>
  <c r="M118" i="15"/>
  <c r="O118" i="15" s="1"/>
  <c r="F118" i="15" s="1"/>
  <c r="O117" i="15"/>
  <c r="F117" i="15" s="1"/>
  <c r="G595" i="15"/>
  <c r="H114" i="15"/>
  <c r="H115" i="15" s="1"/>
  <c r="H595" i="15" s="1"/>
  <c r="G114" i="15"/>
  <c r="G115" i="15" s="1"/>
  <c r="F115" i="15"/>
  <c r="F595" i="15" s="1"/>
  <c r="F420" i="15"/>
  <c r="H417" i="15"/>
  <c r="G417" i="15"/>
  <c r="H418" i="15"/>
  <c r="G418" i="15"/>
  <c r="H420" i="14"/>
  <c r="G397" i="14"/>
  <c r="H397" i="14"/>
  <c r="G396" i="14"/>
  <c r="F399" i="14"/>
  <c r="F597" i="14" s="1"/>
  <c r="F599" i="14" s="1"/>
  <c r="H396" i="14"/>
  <c r="H399" i="14" s="1"/>
  <c r="G118" i="14"/>
  <c r="H118" i="14"/>
  <c r="G117" i="14"/>
  <c r="F120" i="14"/>
  <c r="H117" i="14"/>
  <c r="H120" i="14" l="1"/>
  <c r="H597" i="14" s="1"/>
  <c r="H599" i="14" s="1"/>
  <c r="H420" i="15"/>
  <c r="G399" i="14"/>
  <c r="F120" i="15"/>
  <c r="H117" i="15"/>
  <c r="H120" i="15" s="1"/>
  <c r="H597" i="15" s="1"/>
  <c r="H599" i="15" s="1"/>
  <c r="G117" i="15"/>
  <c r="F597" i="15"/>
  <c r="F599" i="15" s="1"/>
  <c r="G420" i="15"/>
  <c r="G118" i="15"/>
  <c r="H118" i="15"/>
  <c r="G120" i="14"/>
  <c r="G597" i="14" l="1"/>
  <c r="G599" i="14" s="1"/>
  <c r="G120" i="15"/>
  <c r="G597" i="15" s="1"/>
  <c r="G599" i="15" s="1"/>
  <c r="O24" i="12" l="1"/>
  <c r="F24" i="12" s="1"/>
  <c r="I24" i="12"/>
  <c r="O23" i="12"/>
  <c r="F23" i="12" s="1"/>
  <c r="I23" i="12"/>
  <c r="O21" i="12"/>
  <c r="F21" i="12" s="1"/>
  <c r="O18" i="12"/>
  <c r="F18" i="12"/>
  <c r="H18" i="12" s="1"/>
  <c r="G24" i="12" l="1"/>
  <c r="H24" i="12"/>
  <c r="G23" i="12"/>
  <c r="H23" i="12"/>
  <c r="G21" i="12"/>
  <c r="H21" i="12"/>
  <c r="G18" i="12"/>
  <c r="O15" i="12" l="1"/>
  <c r="F15" i="12" s="1"/>
  <c r="M484" i="11"/>
  <c r="M294" i="11"/>
  <c r="M272" i="11"/>
  <c r="M290" i="11" s="1"/>
  <c r="O290" i="11" s="1"/>
  <c r="F290" i="11" s="1"/>
  <c r="H290" i="11" s="1"/>
  <c r="M208" i="11"/>
  <c r="M209" i="11" s="1"/>
  <c r="M210" i="11" s="1"/>
  <c r="M186" i="11"/>
  <c r="M122" i="11"/>
  <c r="O582" i="11"/>
  <c r="F582" i="11" s="1"/>
  <c r="M582" i="11"/>
  <c r="M585" i="11" s="1"/>
  <c r="O585" i="11" s="1"/>
  <c r="F585" i="11" s="1"/>
  <c r="H585" i="11" s="1"/>
  <c r="I576" i="11"/>
  <c r="I577" i="11" s="1"/>
  <c r="I578" i="11" s="1"/>
  <c r="I579" i="11" s="1"/>
  <c r="M575" i="11"/>
  <c r="I575" i="11"/>
  <c r="I582" i="11" s="1"/>
  <c r="I585" i="11" s="1"/>
  <c r="I586" i="11" s="1"/>
  <c r="M570" i="11"/>
  <c r="M571" i="11" s="1"/>
  <c r="M572" i="11" s="1"/>
  <c r="O572" i="11" s="1"/>
  <c r="F572" i="11" s="1"/>
  <c r="I570" i="11"/>
  <c r="I571" i="11" s="1"/>
  <c r="I572" i="11" s="1"/>
  <c r="O569" i="11"/>
  <c r="F569" i="11" s="1"/>
  <c r="G569" i="11" s="1"/>
  <c r="M566" i="11"/>
  <c r="O557" i="11"/>
  <c r="F557" i="11" s="1"/>
  <c r="M557" i="11"/>
  <c r="M558" i="11" s="1"/>
  <c r="M559" i="11" s="1"/>
  <c r="I557" i="11"/>
  <c r="I566" i="11" s="1"/>
  <c r="I567" i="11" s="1"/>
  <c r="M549" i="11"/>
  <c r="I549" i="11"/>
  <c r="I550" i="11" s="1"/>
  <c r="I551" i="11" s="1"/>
  <c r="I552" i="11" s="1"/>
  <c r="O548" i="11"/>
  <c r="F548" i="11" s="1"/>
  <c r="M544" i="11"/>
  <c r="O544" i="11" s="1"/>
  <c r="F544" i="11" s="1"/>
  <c r="M535" i="11"/>
  <c r="I535" i="11"/>
  <c r="I544" i="11" s="1"/>
  <c r="I545" i="11" s="1"/>
  <c r="M527" i="11"/>
  <c r="I527" i="11"/>
  <c r="I536" i="11" s="1"/>
  <c r="O526" i="11"/>
  <c r="F526" i="11" s="1"/>
  <c r="O519" i="11"/>
  <c r="F519" i="11" s="1"/>
  <c r="M519" i="11"/>
  <c r="M522" i="11" s="1"/>
  <c r="I513" i="11"/>
  <c r="I514" i="11" s="1"/>
  <c r="I515" i="11" s="1"/>
  <c r="I516" i="11" s="1"/>
  <c r="M512" i="11"/>
  <c r="O512" i="11" s="1"/>
  <c r="F512" i="11" s="1"/>
  <c r="I512" i="11"/>
  <c r="I519" i="11" s="1"/>
  <c r="I522" i="11" s="1"/>
  <c r="I523" i="11" s="1"/>
  <c r="O507" i="11"/>
  <c r="F507" i="11" s="1"/>
  <c r="H507" i="11" s="1"/>
  <c r="M507" i="11"/>
  <c r="M508" i="11" s="1"/>
  <c r="I507" i="11"/>
  <c r="I508" i="11" s="1"/>
  <c r="I509" i="11" s="1"/>
  <c r="O506" i="11"/>
  <c r="F506" i="11"/>
  <c r="M502" i="11"/>
  <c r="O493" i="11"/>
  <c r="F493" i="11" s="1"/>
  <c r="M493" i="11"/>
  <c r="M494" i="11" s="1"/>
  <c r="I493" i="11"/>
  <c r="I502" i="11" s="1"/>
  <c r="I503" i="11" s="1"/>
  <c r="M485" i="11"/>
  <c r="I485" i="11"/>
  <c r="I486" i="11" s="1"/>
  <c r="O484" i="11"/>
  <c r="F484" i="11" s="1"/>
  <c r="M477" i="11"/>
  <c r="I471" i="11"/>
  <c r="I472" i="11" s="1"/>
  <c r="I473" i="11" s="1"/>
  <c r="I474" i="11" s="1"/>
  <c r="M470" i="11"/>
  <c r="M471" i="11" s="1"/>
  <c r="I470" i="11"/>
  <c r="I477" i="11" s="1"/>
  <c r="I480" i="11" s="1"/>
  <c r="I481" i="11" s="1"/>
  <c r="M465" i="11"/>
  <c r="I465" i="11"/>
  <c r="I466" i="11" s="1"/>
  <c r="I467" i="11" s="1"/>
  <c r="O464" i="11"/>
  <c r="F464" i="11"/>
  <c r="G464" i="11" s="1"/>
  <c r="M461" i="11"/>
  <c r="M462" i="11" s="1"/>
  <c r="O462" i="11" s="1"/>
  <c r="F462" i="11" s="1"/>
  <c r="M452" i="11"/>
  <c r="M453" i="11" s="1"/>
  <c r="I452" i="11"/>
  <c r="I461" i="11" s="1"/>
  <c r="I462" i="11" s="1"/>
  <c r="M444" i="11"/>
  <c r="I444" i="11"/>
  <c r="I445" i="11" s="1"/>
  <c r="O443" i="11"/>
  <c r="F443" i="11"/>
  <c r="O439" i="11"/>
  <c r="F439" i="11" s="1"/>
  <c r="M439" i="11"/>
  <c r="M440" i="11" s="1"/>
  <c r="O440" i="11" s="1"/>
  <c r="F440" i="11" s="1"/>
  <c r="M430" i="11"/>
  <c r="I430" i="11"/>
  <c r="I439" i="11" s="1"/>
  <c r="I440" i="11" s="1"/>
  <c r="M422" i="11"/>
  <c r="M423" i="11" s="1"/>
  <c r="M424" i="11" s="1"/>
  <c r="I422" i="11"/>
  <c r="O421" i="11"/>
  <c r="F421" i="11" s="1"/>
  <c r="H419" i="11"/>
  <c r="G419" i="11"/>
  <c r="I410" i="11"/>
  <c r="I411" i="11" s="1"/>
  <c r="I412" i="11" s="1"/>
  <c r="I413" i="11" s="1"/>
  <c r="I414" i="11" s="1"/>
  <c r="I409" i="11"/>
  <c r="I417" i="11" s="1"/>
  <c r="I418" i="11" s="1"/>
  <c r="M402" i="11"/>
  <c r="I402" i="11"/>
  <c r="I403" i="11" s="1"/>
  <c r="I404" i="11" s="1"/>
  <c r="I405" i="11" s="1"/>
  <c r="I406" i="11" s="1"/>
  <c r="O401" i="11"/>
  <c r="F401" i="11" s="1"/>
  <c r="H401" i="11" s="1"/>
  <c r="H398" i="11"/>
  <c r="G398" i="11"/>
  <c r="I389" i="11"/>
  <c r="I390" i="11" s="1"/>
  <c r="I391" i="11" s="1"/>
  <c r="I392" i="11" s="1"/>
  <c r="I393" i="11" s="1"/>
  <c r="I388" i="11"/>
  <c r="I396" i="11" s="1"/>
  <c r="I397" i="11" s="1"/>
  <c r="M381" i="11"/>
  <c r="I381" i="11"/>
  <c r="I382" i="11" s="1"/>
  <c r="I383" i="11" s="1"/>
  <c r="I384" i="11" s="1"/>
  <c r="I385" i="11" s="1"/>
  <c r="O380" i="11"/>
  <c r="F380" i="11" s="1"/>
  <c r="M376" i="11"/>
  <c r="M377" i="11" s="1"/>
  <c r="O377" i="11" s="1"/>
  <c r="F377" i="11" s="1"/>
  <c r="H377" i="11" s="1"/>
  <c r="I376" i="11"/>
  <c r="I377" i="11" s="1"/>
  <c r="M367" i="11"/>
  <c r="I367" i="11"/>
  <c r="M359" i="11"/>
  <c r="M360" i="11" s="1"/>
  <c r="I359" i="11"/>
  <c r="O358" i="11"/>
  <c r="F358" i="11" s="1"/>
  <c r="M354" i="11"/>
  <c r="M355" i="11" s="1"/>
  <c r="O355" i="11" s="1"/>
  <c r="F355" i="11" s="1"/>
  <c r="M346" i="11"/>
  <c r="M347" i="11" s="1"/>
  <c r="M345" i="11"/>
  <c r="O345" i="11" s="1"/>
  <c r="F345" i="11" s="1"/>
  <c r="I345" i="11"/>
  <c r="I354" i="11" s="1"/>
  <c r="I355" i="11" s="1"/>
  <c r="M337" i="11"/>
  <c r="O337" i="11" s="1"/>
  <c r="F337" i="11" s="1"/>
  <c r="I337" i="11"/>
  <c r="I338" i="11" s="1"/>
  <c r="O336" i="11"/>
  <c r="F336" i="11"/>
  <c r="G336" i="11" s="1"/>
  <c r="M329" i="11"/>
  <c r="M332" i="11" s="1"/>
  <c r="M333" i="11" s="1"/>
  <c r="O333" i="11" s="1"/>
  <c r="F333" i="11" s="1"/>
  <c r="I323" i="11"/>
  <c r="I324" i="11" s="1"/>
  <c r="I325" i="11" s="1"/>
  <c r="I326" i="11" s="1"/>
  <c r="M322" i="11"/>
  <c r="M323" i="11" s="1"/>
  <c r="M324" i="11" s="1"/>
  <c r="I322" i="11"/>
  <c r="I329" i="11" s="1"/>
  <c r="I332" i="11" s="1"/>
  <c r="I333" i="11" s="1"/>
  <c r="M317" i="11"/>
  <c r="I317" i="11"/>
  <c r="I318" i="11" s="1"/>
  <c r="I319" i="11" s="1"/>
  <c r="O316" i="11"/>
  <c r="F316" i="11" s="1"/>
  <c r="M312" i="11"/>
  <c r="M313" i="11" s="1"/>
  <c r="O313" i="11" s="1"/>
  <c r="F313" i="11" s="1"/>
  <c r="H313" i="11" s="1"/>
  <c r="I312" i="11"/>
  <c r="I313" i="11" s="1"/>
  <c r="M303" i="11"/>
  <c r="I303" i="11"/>
  <c r="M295" i="11"/>
  <c r="M296" i="11" s="1"/>
  <c r="I295" i="11"/>
  <c r="O294" i="11"/>
  <c r="F294" i="11" s="1"/>
  <c r="M281" i="11"/>
  <c r="M282" i="11" s="1"/>
  <c r="M283" i="11" s="1"/>
  <c r="I281" i="11"/>
  <c r="I290" i="11" s="1"/>
  <c r="I291" i="11" s="1"/>
  <c r="M273" i="11"/>
  <c r="O273" i="11" s="1"/>
  <c r="F273" i="11" s="1"/>
  <c r="G273" i="11" s="1"/>
  <c r="I273" i="11"/>
  <c r="I274" i="11" s="1"/>
  <c r="I275" i="11" s="1"/>
  <c r="M268" i="11"/>
  <c r="M269" i="11" s="1"/>
  <c r="O269" i="11" s="1"/>
  <c r="F269" i="11" s="1"/>
  <c r="M259" i="11"/>
  <c r="I259" i="11"/>
  <c r="I268" i="11" s="1"/>
  <c r="I269" i="11" s="1"/>
  <c r="M251" i="11"/>
  <c r="M252" i="11" s="1"/>
  <c r="I251" i="11"/>
  <c r="I260" i="11" s="1"/>
  <c r="O250" i="11"/>
  <c r="F250" i="11" s="1"/>
  <c r="G250" i="11" s="1"/>
  <c r="M246" i="11"/>
  <c r="M243" i="11"/>
  <c r="O243" i="11" s="1"/>
  <c r="F243" i="11" s="1"/>
  <c r="I238" i="11"/>
  <c r="I239" i="11" s="1"/>
  <c r="I240" i="11" s="1"/>
  <c r="I237" i="11"/>
  <c r="M236" i="11"/>
  <c r="O236" i="11" s="1"/>
  <c r="F236" i="11" s="1"/>
  <c r="I236" i="11"/>
  <c r="I243" i="11" s="1"/>
  <c r="I246" i="11" s="1"/>
  <c r="I247" i="11" s="1"/>
  <c r="M231" i="11"/>
  <c r="M232" i="11" s="1"/>
  <c r="I231" i="11"/>
  <c r="I232" i="11" s="1"/>
  <c r="I233" i="11" s="1"/>
  <c r="O230" i="11"/>
  <c r="F230" i="11" s="1"/>
  <c r="G230" i="11" s="1"/>
  <c r="I216" i="11"/>
  <c r="I217" i="11" s="1"/>
  <c r="I219" i="11" s="1"/>
  <c r="I220" i="11" s="1"/>
  <c r="M215" i="11"/>
  <c r="O215" i="11" s="1"/>
  <c r="F215" i="11" s="1"/>
  <c r="I215" i="11"/>
  <c r="I223" i="11" s="1"/>
  <c r="I226" i="11" s="1"/>
  <c r="I227" i="11" s="1"/>
  <c r="I209" i="11"/>
  <c r="I210" i="11" s="1"/>
  <c r="I201" i="11"/>
  <c r="I197" i="11"/>
  <c r="I196" i="11"/>
  <c r="I195" i="11"/>
  <c r="I204" i="11" s="1"/>
  <c r="I205" i="11" s="1"/>
  <c r="I187" i="11"/>
  <c r="I188" i="11" s="1"/>
  <c r="I189" i="11" s="1"/>
  <c r="I190" i="11" s="1"/>
  <c r="I191" i="11" s="1"/>
  <c r="I192" i="11" s="1"/>
  <c r="M182" i="11"/>
  <c r="M183" i="11" s="1"/>
  <c r="O183" i="11" s="1"/>
  <c r="F183" i="11" s="1"/>
  <c r="H183" i="11" s="1"/>
  <c r="I182" i="11"/>
  <c r="I183" i="11" s="1"/>
  <c r="M173" i="11"/>
  <c r="O173" i="11" s="1"/>
  <c r="I173" i="11"/>
  <c r="F173" i="11"/>
  <c r="O169" i="11"/>
  <c r="F169" i="11" s="1"/>
  <c r="H169" i="11" s="1"/>
  <c r="O165" i="11"/>
  <c r="F165" i="11" s="1"/>
  <c r="H165" i="11" s="1"/>
  <c r="M165" i="11"/>
  <c r="M166" i="11" s="1"/>
  <c r="M167" i="11" s="1"/>
  <c r="M168" i="11" s="1"/>
  <c r="M169" i="11" s="1"/>
  <c r="M170" i="11" s="1"/>
  <c r="O170" i="11" s="1"/>
  <c r="F170" i="11" s="1"/>
  <c r="H170" i="11" s="1"/>
  <c r="I165" i="11"/>
  <c r="I174" i="11" s="1"/>
  <c r="O164" i="11"/>
  <c r="F164" i="11" s="1"/>
  <c r="G164" i="11" s="1"/>
  <c r="M157" i="11"/>
  <c r="M160" i="11" s="1"/>
  <c r="I151" i="11"/>
  <c r="I152" i="11" s="1"/>
  <c r="I153" i="11" s="1"/>
  <c r="I154" i="11" s="1"/>
  <c r="M150" i="11"/>
  <c r="O150" i="11" s="1"/>
  <c r="F150" i="11" s="1"/>
  <c r="I150" i="11"/>
  <c r="I157" i="11" s="1"/>
  <c r="I160" i="11" s="1"/>
  <c r="I161" i="11" s="1"/>
  <c r="I146" i="11"/>
  <c r="I147" i="11" s="1"/>
  <c r="M145" i="11"/>
  <c r="M146" i="11" s="1"/>
  <c r="M147" i="11" s="1"/>
  <c r="O147" i="11" s="1"/>
  <c r="F147" i="11" s="1"/>
  <c r="I145" i="11"/>
  <c r="O144" i="11"/>
  <c r="F144" i="11" s="1"/>
  <c r="G144" i="11"/>
  <c r="M140" i="11"/>
  <c r="O140" i="11" s="1"/>
  <c r="F140" i="11" s="1"/>
  <c r="O137" i="11"/>
  <c r="F137" i="11" s="1"/>
  <c r="G137" i="11" s="1"/>
  <c r="G138" i="11" s="1"/>
  <c r="M137" i="11"/>
  <c r="I130" i="11"/>
  <c r="I131" i="11" s="1"/>
  <c r="M129" i="11"/>
  <c r="O129" i="11" s="1"/>
  <c r="F129" i="11" s="1"/>
  <c r="I129" i="11"/>
  <c r="I137" i="11" s="1"/>
  <c r="I140" i="11" s="1"/>
  <c r="I141" i="11" s="1"/>
  <c r="I124" i="11"/>
  <c r="M123" i="11"/>
  <c r="M124" i="11" s="1"/>
  <c r="M126" i="11" s="1"/>
  <c r="O126" i="11" s="1"/>
  <c r="F126" i="11" s="1"/>
  <c r="I123" i="11"/>
  <c r="O122" i="11"/>
  <c r="F122" i="11" s="1"/>
  <c r="H119" i="11"/>
  <c r="G119" i="11"/>
  <c r="I110" i="11"/>
  <c r="I111" i="11" s="1"/>
  <c r="I112" i="11" s="1"/>
  <c r="I113" i="11" s="1"/>
  <c r="I114" i="11" s="1"/>
  <c r="I109" i="11"/>
  <c r="I117" i="11" s="1"/>
  <c r="I118" i="11" s="1"/>
  <c r="M102" i="11"/>
  <c r="O102" i="11" s="1"/>
  <c r="F102" i="11" s="1"/>
  <c r="G102" i="11" s="1"/>
  <c r="I102" i="11"/>
  <c r="I103" i="11" s="1"/>
  <c r="I104" i="11" s="1"/>
  <c r="I105" i="11" s="1"/>
  <c r="I106" i="11" s="1"/>
  <c r="O101" i="11"/>
  <c r="F101" i="11" s="1"/>
  <c r="G101" i="11" s="1"/>
  <c r="M97" i="11"/>
  <c r="O97" i="11" s="1"/>
  <c r="F97" i="11" s="1"/>
  <c r="G97" i="11" s="1"/>
  <c r="M89" i="11"/>
  <c r="M88" i="11"/>
  <c r="O88" i="11" s="1"/>
  <c r="F88" i="11" s="1"/>
  <c r="I88" i="11"/>
  <c r="I97" i="11" s="1"/>
  <c r="I98" i="11" s="1"/>
  <c r="M80" i="11"/>
  <c r="M81" i="11" s="1"/>
  <c r="I80" i="11"/>
  <c r="I89" i="11" s="1"/>
  <c r="O79" i="11"/>
  <c r="F79" i="11" s="1"/>
  <c r="M75" i="11"/>
  <c r="M66" i="11"/>
  <c r="M67" i="11" s="1"/>
  <c r="I66" i="11"/>
  <c r="I75" i="11" s="1"/>
  <c r="I76" i="11" s="1"/>
  <c r="M58" i="11"/>
  <c r="I58" i="11"/>
  <c r="I59" i="11" s="1"/>
  <c r="O57" i="11"/>
  <c r="F57" i="11" s="1"/>
  <c r="M50" i="11"/>
  <c r="I44" i="11"/>
  <c r="I45" i="11" s="1"/>
  <c r="I46" i="11" s="1"/>
  <c r="I47" i="11" s="1"/>
  <c r="M43" i="11"/>
  <c r="M44" i="11" s="1"/>
  <c r="I43" i="11"/>
  <c r="I50" i="11" s="1"/>
  <c r="I53" i="11" s="1"/>
  <c r="I54" i="11" s="1"/>
  <c r="M39" i="11"/>
  <c r="O38" i="11"/>
  <c r="F38" i="11" s="1"/>
  <c r="G38" i="11" s="1"/>
  <c r="I38" i="11"/>
  <c r="I39" i="11" s="1"/>
  <c r="I40" i="11" s="1"/>
  <c r="O37" i="11"/>
  <c r="F37" i="11" s="1"/>
  <c r="M33" i="11"/>
  <c r="M34" i="11" s="1"/>
  <c r="O34" i="11" s="1"/>
  <c r="F34" i="11" s="1"/>
  <c r="I25" i="11"/>
  <c r="O24" i="11"/>
  <c r="F24" i="11" s="1"/>
  <c r="M24" i="11"/>
  <c r="M25" i="11" s="1"/>
  <c r="I24" i="11"/>
  <c r="I33" i="11" s="1"/>
  <c r="I34" i="11" s="1"/>
  <c r="M16" i="11"/>
  <c r="M17" i="11" s="1"/>
  <c r="I16" i="11"/>
  <c r="I17" i="11" s="1"/>
  <c r="O15" i="11"/>
  <c r="F15" i="11"/>
  <c r="M582" i="10"/>
  <c r="M585" i="10" s="1"/>
  <c r="O585" i="10" s="1"/>
  <c r="F585" i="10" s="1"/>
  <c r="H585" i="10" s="1"/>
  <c r="I582" i="10"/>
  <c r="I585" i="10" s="1"/>
  <c r="I586" i="10" s="1"/>
  <c r="I576" i="10"/>
  <c r="I577" i="10" s="1"/>
  <c r="I578" i="10" s="1"/>
  <c r="I579" i="10" s="1"/>
  <c r="M575" i="10"/>
  <c r="I575" i="10"/>
  <c r="M570" i="10"/>
  <c r="M571" i="10" s="1"/>
  <c r="I570" i="10"/>
  <c r="I571" i="10" s="1"/>
  <c r="I572" i="10" s="1"/>
  <c r="O569" i="10"/>
  <c r="F569" i="10"/>
  <c r="G569" i="10" s="1"/>
  <c r="M566" i="10"/>
  <c r="I558" i="10"/>
  <c r="M557" i="10"/>
  <c r="I557" i="10"/>
  <c r="I566" i="10" s="1"/>
  <c r="I567" i="10" s="1"/>
  <c r="M549" i="10"/>
  <c r="I549" i="10"/>
  <c r="I550" i="10" s="1"/>
  <c r="O548" i="10"/>
  <c r="F548" i="10"/>
  <c r="M545" i="10"/>
  <c r="O545" i="10" s="1"/>
  <c r="F545" i="10" s="1"/>
  <c r="M544" i="10"/>
  <c r="O544" i="10" s="1"/>
  <c r="F544" i="10" s="1"/>
  <c r="I544" i="10"/>
  <c r="I545" i="10" s="1"/>
  <c r="M535" i="10"/>
  <c r="I535" i="10"/>
  <c r="M527" i="10"/>
  <c r="M528" i="10" s="1"/>
  <c r="M529" i="10" s="1"/>
  <c r="I527" i="10"/>
  <c r="O526" i="10"/>
  <c r="F526" i="10" s="1"/>
  <c r="H526" i="10"/>
  <c r="M519" i="10"/>
  <c r="I514" i="10"/>
  <c r="I515" i="10" s="1"/>
  <c r="I516" i="10" s="1"/>
  <c r="I513" i="10"/>
  <c r="M512" i="10"/>
  <c r="I512" i="10"/>
  <c r="I519" i="10" s="1"/>
  <c r="I522" i="10" s="1"/>
  <c r="I523" i="10" s="1"/>
  <c r="M507" i="10"/>
  <c r="I507" i="10"/>
  <c r="I508" i="10" s="1"/>
  <c r="I509" i="10" s="1"/>
  <c r="O506" i="10"/>
  <c r="F506" i="10" s="1"/>
  <c r="H506" i="10" s="1"/>
  <c r="M502" i="10"/>
  <c r="M493" i="10"/>
  <c r="O493" i="10" s="1"/>
  <c r="F493" i="10" s="1"/>
  <c r="I493" i="10"/>
  <c r="I502" i="10" s="1"/>
  <c r="I503" i="10" s="1"/>
  <c r="M486" i="10"/>
  <c r="M487" i="10" s="1"/>
  <c r="M488" i="10" s="1"/>
  <c r="I486" i="10"/>
  <c r="M485" i="10"/>
  <c r="O485" i="10" s="1"/>
  <c r="F485" i="10" s="1"/>
  <c r="I485" i="10"/>
  <c r="I494" i="10" s="1"/>
  <c r="O484" i="10"/>
  <c r="F484" i="10" s="1"/>
  <c r="M477" i="10"/>
  <c r="O477" i="10" s="1"/>
  <c r="F477" i="10" s="1"/>
  <c r="G477" i="10" s="1"/>
  <c r="G478" i="10" s="1"/>
  <c r="I471" i="10"/>
  <c r="I472" i="10" s="1"/>
  <c r="I473" i="10" s="1"/>
  <c r="I474" i="10" s="1"/>
  <c r="M470" i="10"/>
  <c r="O470" i="10" s="1"/>
  <c r="F470" i="10" s="1"/>
  <c r="G470" i="10" s="1"/>
  <c r="I470" i="10"/>
  <c r="I477" i="10" s="1"/>
  <c r="I480" i="10" s="1"/>
  <c r="I481" i="10" s="1"/>
  <c r="I467" i="10"/>
  <c r="M465" i="10"/>
  <c r="I465" i="10"/>
  <c r="I466" i="10" s="1"/>
  <c r="O464" i="10"/>
  <c r="F464" i="10" s="1"/>
  <c r="M462" i="10"/>
  <c r="O462" i="10" s="1"/>
  <c r="F462" i="10" s="1"/>
  <c r="M461" i="10"/>
  <c r="O461" i="10" s="1"/>
  <c r="F461" i="10" s="1"/>
  <c r="H461" i="10" s="1"/>
  <c r="O453" i="10"/>
  <c r="F453" i="10"/>
  <c r="H453" i="10" s="1"/>
  <c r="M452" i="10"/>
  <c r="M453" i="10" s="1"/>
  <c r="M454" i="10" s="1"/>
  <c r="I452" i="10"/>
  <c r="I461" i="10" s="1"/>
  <c r="I462" i="10" s="1"/>
  <c r="I445" i="10"/>
  <c r="I446" i="10" s="1"/>
  <c r="I455" i="10" s="1"/>
  <c r="M444" i="10"/>
  <c r="I444" i="10"/>
  <c r="I453" i="10" s="1"/>
  <c r="O443" i="10"/>
  <c r="F443" i="10"/>
  <c r="G443" i="10" s="1"/>
  <c r="I440" i="10"/>
  <c r="M439" i="10"/>
  <c r="M440" i="10" s="1"/>
  <c r="O440" i="10" s="1"/>
  <c r="F440" i="10" s="1"/>
  <c r="G440" i="10" s="1"/>
  <c r="M430" i="10"/>
  <c r="M431" i="10" s="1"/>
  <c r="I430" i="10"/>
  <c r="I439" i="10" s="1"/>
  <c r="M424" i="10"/>
  <c r="H423" i="10"/>
  <c r="M422" i="10"/>
  <c r="M423" i="10" s="1"/>
  <c r="O423" i="10" s="1"/>
  <c r="F423" i="10" s="1"/>
  <c r="G423" i="10" s="1"/>
  <c r="I422" i="10"/>
  <c r="I423" i="10" s="1"/>
  <c r="O421" i="10"/>
  <c r="F421" i="10"/>
  <c r="H419" i="10"/>
  <c r="G419" i="10"/>
  <c r="I410" i="10"/>
  <c r="I411" i="10" s="1"/>
  <c r="I412" i="10" s="1"/>
  <c r="I413" i="10" s="1"/>
  <c r="I414" i="10" s="1"/>
  <c r="I409" i="10"/>
  <c r="I417" i="10" s="1"/>
  <c r="I418" i="10" s="1"/>
  <c r="M403" i="10"/>
  <c r="I403" i="10"/>
  <c r="I404" i="10" s="1"/>
  <c r="I405" i="10" s="1"/>
  <c r="I406" i="10" s="1"/>
  <c r="O402" i="10"/>
  <c r="F402" i="10" s="1"/>
  <c r="M402" i="10"/>
  <c r="I402" i="10"/>
  <c r="O401" i="10"/>
  <c r="F401" i="10" s="1"/>
  <c r="H401" i="10"/>
  <c r="G401" i="10"/>
  <c r="H398" i="10"/>
  <c r="G398" i="10"/>
  <c r="I389" i="10"/>
  <c r="I390" i="10" s="1"/>
  <c r="I391" i="10" s="1"/>
  <c r="I392" i="10" s="1"/>
  <c r="I393" i="10" s="1"/>
  <c r="I388" i="10"/>
  <c r="I396" i="10" s="1"/>
  <c r="I397" i="10" s="1"/>
  <c r="M383" i="10"/>
  <c r="M384" i="10" s="1"/>
  <c r="O384" i="10" s="1"/>
  <c r="F384" i="10" s="1"/>
  <c r="G384" i="10" s="1"/>
  <c r="I382" i="10"/>
  <c r="I383" i="10" s="1"/>
  <c r="I384" i="10" s="1"/>
  <c r="I385" i="10" s="1"/>
  <c r="H382" i="10"/>
  <c r="M381" i="10"/>
  <c r="M382" i="10" s="1"/>
  <c r="O382" i="10" s="1"/>
  <c r="F382" i="10" s="1"/>
  <c r="G382" i="10" s="1"/>
  <c r="I381" i="10"/>
  <c r="O380" i="10"/>
  <c r="F380" i="10"/>
  <c r="G380" i="10" s="1"/>
  <c r="M376" i="10"/>
  <c r="O367" i="10"/>
  <c r="M367" i="10"/>
  <c r="M368" i="10" s="1"/>
  <c r="O368" i="10" s="1"/>
  <c r="F368" i="10" s="1"/>
  <c r="G368" i="10" s="1"/>
  <c r="I367" i="10"/>
  <c r="I376" i="10" s="1"/>
  <c r="I377" i="10" s="1"/>
  <c r="F367" i="10"/>
  <c r="I361" i="10"/>
  <c r="M359" i="10"/>
  <c r="I359" i="10"/>
  <c r="I360" i="10" s="1"/>
  <c r="I369" i="10" s="1"/>
  <c r="O358" i="10"/>
  <c r="F358" i="10" s="1"/>
  <c r="M355" i="10"/>
  <c r="O355" i="10" s="1"/>
  <c r="F355" i="10" s="1"/>
  <c r="M354" i="10"/>
  <c r="O354" i="10" s="1"/>
  <c r="F354" i="10" s="1"/>
  <c r="I354" i="10"/>
  <c r="I355" i="10" s="1"/>
  <c r="H354" i="10"/>
  <c r="M345" i="10"/>
  <c r="I345" i="10"/>
  <c r="M338" i="10"/>
  <c r="M339" i="10" s="1"/>
  <c r="O339" i="10" s="1"/>
  <c r="F339" i="10" s="1"/>
  <c r="G339" i="10" s="1"/>
  <c r="M337" i="10"/>
  <c r="O337" i="10" s="1"/>
  <c r="F337" i="10" s="1"/>
  <c r="G337" i="10" s="1"/>
  <c r="I337" i="10"/>
  <c r="H337" i="10"/>
  <c r="O336" i="10"/>
  <c r="F336" i="10" s="1"/>
  <c r="H336" i="10" s="1"/>
  <c r="M329" i="10"/>
  <c r="M332" i="10" s="1"/>
  <c r="M333" i="10" s="1"/>
  <c r="O333" i="10" s="1"/>
  <c r="F333" i="10" s="1"/>
  <c r="I323" i="10"/>
  <c r="I324" i="10" s="1"/>
  <c r="I325" i="10" s="1"/>
  <c r="I326" i="10" s="1"/>
  <c r="M322" i="10"/>
  <c r="I322" i="10"/>
  <c r="I329" i="10" s="1"/>
  <c r="I332" i="10" s="1"/>
  <c r="I333" i="10" s="1"/>
  <c r="M317" i="10"/>
  <c r="M318" i="10" s="1"/>
  <c r="O318" i="10" s="1"/>
  <c r="F318" i="10" s="1"/>
  <c r="G318" i="10" s="1"/>
  <c r="I317" i="10"/>
  <c r="I318" i="10" s="1"/>
  <c r="I319" i="10" s="1"/>
  <c r="O316" i="10"/>
  <c r="F316" i="10" s="1"/>
  <c r="M312" i="10"/>
  <c r="M303" i="10"/>
  <c r="I303" i="10"/>
  <c r="I312" i="10" s="1"/>
  <c r="I313" i="10" s="1"/>
  <c r="M295" i="10"/>
  <c r="I295" i="10"/>
  <c r="I296" i="10" s="1"/>
  <c r="I305" i="10" s="1"/>
  <c r="O294" i="10"/>
  <c r="F294" i="10" s="1"/>
  <c r="M291" i="10"/>
  <c r="O291" i="10" s="1"/>
  <c r="F291" i="10" s="1"/>
  <c r="M290" i="10"/>
  <c r="O290" i="10" s="1"/>
  <c r="F290" i="10" s="1"/>
  <c r="H290" i="10"/>
  <c r="M281" i="10"/>
  <c r="I281" i="10"/>
  <c r="I290" i="10" s="1"/>
  <c r="I291" i="10" s="1"/>
  <c r="M274" i="10"/>
  <c r="M273" i="10"/>
  <c r="O273" i="10" s="1"/>
  <c r="F273" i="10" s="1"/>
  <c r="I273" i="10"/>
  <c r="O272" i="10"/>
  <c r="F272" i="10" s="1"/>
  <c r="M268" i="10"/>
  <c r="I268" i="10"/>
  <c r="I269" i="10" s="1"/>
  <c r="M260" i="10"/>
  <c r="I260" i="10"/>
  <c r="M259" i="10"/>
  <c r="O259" i="10" s="1"/>
  <c r="F259" i="10" s="1"/>
  <c r="I259" i="10"/>
  <c r="M251" i="10"/>
  <c r="M252" i="10" s="1"/>
  <c r="I251" i="10"/>
  <c r="I252" i="10" s="1"/>
  <c r="O250" i="10"/>
  <c r="F250" i="10"/>
  <c r="H250" i="10" s="1"/>
  <c r="M243" i="10"/>
  <c r="O243" i="10" s="1"/>
  <c r="I243" i="10"/>
  <c r="I246" i="10" s="1"/>
  <c r="I247" i="10" s="1"/>
  <c r="F243" i="10"/>
  <c r="I237" i="10"/>
  <c r="I238" i="10" s="1"/>
  <c r="I239" i="10" s="1"/>
  <c r="I240" i="10" s="1"/>
  <c r="O236" i="10"/>
  <c r="F236" i="10" s="1"/>
  <c r="M236" i="10"/>
  <c r="M237" i="10" s="1"/>
  <c r="O237" i="10" s="1"/>
  <c r="F237" i="10" s="1"/>
  <c r="I236" i="10"/>
  <c r="G236" i="10"/>
  <c r="M231" i="10"/>
  <c r="M232" i="10" s="1"/>
  <c r="M233" i="10" s="1"/>
  <c r="O233" i="10" s="1"/>
  <c r="F233" i="10" s="1"/>
  <c r="I231" i="10"/>
  <c r="I232" i="10" s="1"/>
  <c r="I233" i="10" s="1"/>
  <c r="O230" i="10"/>
  <c r="F230" i="10" s="1"/>
  <c r="G230" i="10" s="1"/>
  <c r="H230" i="10"/>
  <c r="M223" i="10"/>
  <c r="I216" i="10"/>
  <c r="I217" i="10" s="1"/>
  <c r="I219" i="10" s="1"/>
  <c r="I220" i="10" s="1"/>
  <c r="O215" i="10"/>
  <c r="F215" i="10" s="1"/>
  <c r="H215" i="10" s="1"/>
  <c r="M215" i="10"/>
  <c r="M216" i="10" s="1"/>
  <c r="O216" i="10" s="1"/>
  <c r="F216" i="10" s="1"/>
  <c r="I215" i="10"/>
  <c r="I223" i="10" s="1"/>
  <c r="I226" i="10" s="1"/>
  <c r="I227" i="10" s="1"/>
  <c r="M209" i="10"/>
  <c r="I209" i="10"/>
  <c r="I210" i="10" s="1"/>
  <c r="I212" i="10" s="1"/>
  <c r="O208" i="10"/>
  <c r="F208" i="10" s="1"/>
  <c r="H208" i="10" s="1"/>
  <c r="G208" i="10"/>
  <c r="M204" i="10"/>
  <c r="O204" i="10" s="1"/>
  <c r="F204" i="10"/>
  <c r="G204" i="10" s="1"/>
  <c r="I197" i="10"/>
  <c r="M195" i="10"/>
  <c r="I195" i="10"/>
  <c r="I204" i="10" s="1"/>
  <c r="I205" i="10" s="1"/>
  <c r="I189" i="10"/>
  <c r="M187" i="10"/>
  <c r="O187" i="10" s="1"/>
  <c r="F187" i="10" s="1"/>
  <c r="I187" i="10"/>
  <c r="I188" i="10" s="1"/>
  <c r="O186" i="10"/>
  <c r="F186" i="10" s="1"/>
  <c r="O182" i="10"/>
  <c r="F182" i="10" s="1"/>
  <c r="M182" i="10"/>
  <c r="M183" i="10" s="1"/>
  <c r="O183" i="10" s="1"/>
  <c r="F183" i="10" s="1"/>
  <c r="H182" i="10"/>
  <c r="G182" i="10"/>
  <c r="M173" i="10"/>
  <c r="I173" i="10"/>
  <c r="I182" i="10" s="1"/>
  <c r="I183" i="10" s="1"/>
  <c r="M165" i="10"/>
  <c r="M166" i="10" s="1"/>
  <c r="M167" i="10" s="1"/>
  <c r="I165" i="10"/>
  <c r="O164" i="10"/>
  <c r="F164" i="10" s="1"/>
  <c r="H164" i="10"/>
  <c r="M160" i="10"/>
  <c r="M161" i="10" s="1"/>
  <c r="O161" i="10" s="1"/>
  <c r="F161" i="10" s="1"/>
  <c r="O157" i="10"/>
  <c r="F157" i="10" s="1"/>
  <c r="G157" i="10" s="1"/>
  <c r="G158" i="10" s="1"/>
  <c r="M157" i="10"/>
  <c r="I152" i="10"/>
  <c r="I153" i="10" s="1"/>
  <c r="I154" i="10" s="1"/>
  <c r="I151" i="10"/>
  <c r="M150" i="10"/>
  <c r="I150" i="10"/>
  <c r="I157" i="10" s="1"/>
  <c r="I160" i="10" s="1"/>
  <c r="I161" i="10" s="1"/>
  <c r="I146" i="10"/>
  <c r="I147" i="10" s="1"/>
  <c r="M145" i="10"/>
  <c r="M146" i="10" s="1"/>
  <c r="I145" i="10"/>
  <c r="O144" i="10"/>
  <c r="F144" i="10"/>
  <c r="M137" i="10"/>
  <c r="M140" i="10" s="1"/>
  <c r="I130" i="10"/>
  <c r="I131" i="10" s="1"/>
  <c r="I132" i="10" s="1"/>
  <c r="M129" i="10"/>
  <c r="I129" i="10"/>
  <c r="I137" i="10" s="1"/>
  <c r="I140" i="10" s="1"/>
  <c r="I141" i="10" s="1"/>
  <c r="M123" i="10"/>
  <c r="O123" i="10" s="1"/>
  <c r="F123" i="10" s="1"/>
  <c r="G123" i="10" s="1"/>
  <c r="I123" i="10"/>
  <c r="I124" i="10" s="1"/>
  <c r="I126" i="10" s="1"/>
  <c r="O122" i="10"/>
  <c r="F122" i="10" s="1"/>
  <c r="H122" i="10"/>
  <c r="H119" i="10"/>
  <c r="G119" i="10"/>
  <c r="I110" i="10"/>
  <c r="I111" i="10" s="1"/>
  <c r="I112" i="10" s="1"/>
  <c r="I113" i="10" s="1"/>
  <c r="I114" i="10" s="1"/>
  <c r="I109" i="10"/>
  <c r="I117" i="10" s="1"/>
  <c r="I118" i="10" s="1"/>
  <c r="M102" i="10"/>
  <c r="I102" i="10"/>
  <c r="I103" i="10" s="1"/>
  <c r="I104" i="10" s="1"/>
  <c r="I105" i="10" s="1"/>
  <c r="I106" i="10" s="1"/>
  <c r="O101" i="10"/>
  <c r="F101" i="10" s="1"/>
  <c r="M98" i="10"/>
  <c r="O98" i="10" s="1"/>
  <c r="F98" i="10" s="1"/>
  <c r="H98" i="10" s="1"/>
  <c r="G98" i="10"/>
  <c r="O97" i="10"/>
  <c r="F97" i="10" s="1"/>
  <c r="M97" i="10"/>
  <c r="I97" i="10"/>
  <c r="I98" i="10" s="1"/>
  <c r="M90" i="10"/>
  <c r="O88" i="10"/>
  <c r="M88" i="10"/>
  <c r="M89" i="10" s="1"/>
  <c r="O89" i="10" s="1"/>
  <c r="F89" i="10" s="1"/>
  <c r="I88" i="10"/>
  <c r="F88" i="10"/>
  <c r="G88" i="10" s="1"/>
  <c r="M80" i="10"/>
  <c r="I80" i="10"/>
  <c r="O79" i="10"/>
  <c r="F79" i="10"/>
  <c r="M76" i="10"/>
  <c r="O76" i="10" s="1"/>
  <c r="F76" i="10" s="1"/>
  <c r="M75" i="10"/>
  <c r="O75" i="10" s="1"/>
  <c r="F75" i="10" s="1"/>
  <c r="I75" i="10"/>
  <c r="I76" i="10" s="1"/>
  <c r="H75" i="10"/>
  <c r="M66" i="10"/>
  <c r="I66" i="10"/>
  <c r="H60" i="10"/>
  <c r="M59" i="10"/>
  <c r="M60" i="10" s="1"/>
  <c r="O60" i="10" s="1"/>
  <c r="F60" i="10" s="1"/>
  <c r="G60" i="10" s="1"/>
  <c r="M58" i="10"/>
  <c r="O58" i="10" s="1"/>
  <c r="F58" i="10" s="1"/>
  <c r="G58" i="10" s="1"/>
  <c r="I58" i="10"/>
  <c r="H58" i="10"/>
  <c r="O57" i="10"/>
  <c r="F57" i="10" s="1"/>
  <c r="M50" i="10"/>
  <c r="M53" i="10" s="1"/>
  <c r="O53" i="10" s="1"/>
  <c r="F53" i="10" s="1"/>
  <c r="I44" i="10"/>
  <c r="I45" i="10" s="1"/>
  <c r="I46" i="10" s="1"/>
  <c r="I47" i="10" s="1"/>
  <c r="M43" i="10"/>
  <c r="I43" i="10"/>
  <c r="I50" i="10" s="1"/>
  <c r="I53" i="10" s="1"/>
  <c r="I54" i="10" s="1"/>
  <c r="M40" i="10"/>
  <c r="O40" i="10" s="1"/>
  <c r="F40" i="10" s="1"/>
  <c r="I39" i="10"/>
  <c r="I40" i="10" s="1"/>
  <c r="H39" i="10"/>
  <c r="M38" i="10"/>
  <c r="M39" i="10" s="1"/>
  <c r="O39" i="10" s="1"/>
  <c r="F39" i="10" s="1"/>
  <c r="G39" i="10" s="1"/>
  <c r="I38" i="10"/>
  <c r="O37" i="10"/>
  <c r="F37" i="10" s="1"/>
  <c r="M33" i="10"/>
  <c r="I33" i="10"/>
  <c r="I34" i="10" s="1"/>
  <c r="M24" i="10"/>
  <c r="M25" i="10" s="1"/>
  <c r="O25" i="10" s="1"/>
  <c r="F25" i="10" s="1"/>
  <c r="G25" i="10" s="1"/>
  <c r="I24" i="10"/>
  <c r="M16" i="10"/>
  <c r="I16" i="10"/>
  <c r="I17" i="10" s="1"/>
  <c r="I26" i="10" s="1"/>
  <c r="O15" i="10"/>
  <c r="F15" i="10" s="1"/>
  <c r="M582" i="9"/>
  <c r="I576" i="9"/>
  <c r="I577" i="9" s="1"/>
  <c r="I578" i="9" s="1"/>
  <c r="I579" i="9" s="1"/>
  <c r="M575" i="9"/>
  <c r="I575" i="9"/>
  <c r="I582" i="9" s="1"/>
  <c r="I585" i="9" s="1"/>
  <c r="I586" i="9" s="1"/>
  <c r="M570" i="9"/>
  <c r="M571" i="9" s="1"/>
  <c r="I570" i="9"/>
  <c r="I571" i="9" s="1"/>
  <c r="I572" i="9" s="1"/>
  <c r="O569" i="9"/>
  <c r="F569" i="9" s="1"/>
  <c r="G569" i="9" s="1"/>
  <c r="M566" i="9"/>
  <c r="M557" i="9"/>
  <c r="M558" i="9" s="1"/>
  <c r="I557" i="9"/>
  <c r="I566" i="9" s="1"/>
  <c r="I567" i="9" s="1"/>
  <c r="M549" i="9"/>
  <c r="I549" i="9"/>
  <c r="I550" i="9" s="1"/>
  <c r="O548" i="9"/>
  <c r="F548" i="9" s="1"/>
  <c r="M544" i="9"/>
  <c r="O544" i="9" s="1"/>
  <c r="F544" i="9" s="1"/>
  <c r="G544" i="9" s="1"/>
  <c r="I544" i="9"/>
  <c r="I545" i="9" s="1"/>
  <c r="M535" i="9"/>
  <c r="O535" i="9" s="1"/>
  <c r="I535" i="9"/>
  <c r="F535" i="9"/>
  <c r="G535" i="9" s="1"/>
  <c r="M528" i="9"/>
  <c r="M529" i="9" s="1"/>
  <c r="M530" i="9" s="1"/>
  <c r="M527" i="9"/>
  <c r="O527" i="9" s="1"/>
  <c r="F527" i="9" s="1"/>
  <c r="I527" i="9"/>
  <c r="I536" i="9" s="1"/>
  <c r="O526" i="9"/>
  <c r="F526" i="9" s="1"/>
  <c r="G526" i="9" s="1"/>
  <c r="M519" i="9"/>
  <c r="M522" i="9" s="1"/>
  <c r="O522" i="9" s="1"/>
  <c r="F522" i="9" s="1"/>
  <c r="I519" i="9"/>
  <c r="I522" i="9" s="1"/>
  <c r="I523" i="9" s="1"/>
  <c r="I513" i="9"/>
  <c r="I514" i="9" s="1"/>
  <c r="I515" i="9" s="1"/>
  <c r="I516" i="9" s="1"/>
  <c r="M512" i="9"/>
  <c r="O512" i="9" s="1"/>
  <c r="F512" i="9" s="1"/>
  <c r="I512" i="9"/>
  <c r="I508" i="9"/>
  <c r="I509" i="9" s="1"/>
  <c r="M507" i="9"/>
  <c r="I507" i="9"/>
  <c r="O506" i="9"/>
  <c r="F506" i="9" s="1"/>
  <c r="M502" i="9"/>
  <c r="M503" i="9" s="1"/>
  <c r="O503" i="9" s="1"/>
  <c r="F503" i="9" s="1"/>
  <c r="M493" i="9"/>
  <c r="M494" i="9" s="1"/>
  <c r="I493" i="9"/>
  <c r="I502" i="9" s="1"/>
  <c r="I503" i="9" s="1"/>
  <c r="I486" i="9"/>
  <c r="M485" i="9"/>
  <c r="M486" i="9" s="1"/>
  <c r="I485" i="9"/>
  <c r="I494" i="9" s="1"/>
  <c r="O484" i="9"/>
  <c r="F484" i="9"/>
  <c r="G484" i="9" s="1"/>
  <c r="I480" i="9"/>
  <c r="I481" i="9" s="1"/>
  <c r="M477" i="9"/>
  <c r="M480" i="9" s="1"/>
  <c r="I471" i="9"/>
  <c r="I472" i="9" s="1"/>
  <c r="I473" i="9" s="1"/>
  <c r="I474" i="9" s="1"/>
  <c r="M470" i="9"/>
  <c r="O470" i="9" s="1"/>
  <c r="F470" i="9" s="1"/>
  <c r="I470" i="9"/>
  <c r="I477" i="9" s="1"/>
  <c r="M466" i="9"/>
  <c r="M467" i="9" s="1"/>
  <c r="O467" i="9" s="1"/>
  <c r="F467" i="9" s="1"/>
  <c r="M465" i="9"/>
  <c r="O465" i="9" s="1"/>
  <c r="F465" i="9" s="1"/>
  <c r="I465" i="9"/>
  <c r="I466" i="9" s="1"/>
  <c r="I467" i="9" s="1"/>
  <c r="O464" i="9"/>
  <c r="F464" i="9" s="1"/>
  <c r="M461" i="9"/>
  <c r="O452" i="9"/>
  <c r="F452" i="9" s="1"/>
  <c r="M452" i="9"/>
  <c r="M453" i="9" s="1"/>
  <c r="M454" i="9" s="1"/>
  <c r="I452" i="9"/>
  <c r="I461" i="9" s="1"/>
  <c r="I462" i="9" s="1"/>
  <c r="M444" i="9"/>
  <c r="O444" i="9" s="1"/>
  <c r="F444" i="9" s="1"/>
  <c r="H444" i="9" s="1"/>
  <c r="I444" i="9"/>
  <c r="O443" i="9"/>
  <c r="F443" i="9" s="1"/>
  <c r="M439" i="9"/>
  <c r="M440" i="9" s="1"/>
  <c r="O440" i="9" s="1"/>
  <c r="F440" i="9" s="1"/>
  <c r="M430" i="9"/>
  <c r="M431" i="9" s="1"/>
  <c r="I430" i="9"/>
  <c r="I439" i="9" s="1"/>
  <c r="I440" i="9" s="1"/>
  <c r="O423" i="9"/>
  <c r="F423" i="9" s="1"/>
  <c r="M422" i="9"/>
  <c r="M423" i="9" s="1"/>
  <c r="M424" i="9" s="1"/>
  <c r="I422" i="9"/>
  <c r="I431" i="9" s="1"/>
  <c r="O421" i="9"/>
  <c r="F421" i="9" s="1"/>
  <c r="H419" i="9"/>
  <c r="G419" i="9"/>
  <c r="I411" i="9"/>
  <c r="I412" i="9" s="1"/>
  <c r="I413" i="9" s="1"/>
  <c r="I414" i="9" s="1"/>
  <c r="I410" i="9"/>
  <c r="I409" i="9"/>
  <c r="I417" i="9" s="1"/>
  <c r="I418" i="9" s="1"/>
  <c r="M402" i="9"/>
  <c r="I402" i="9"/>
  <c r="I403" i="9" s="1"/>
  <c r="I404" i="9" s="1"/>
  <c r="I405" i="9" s="1"/>
  <c r="I406" i="9" s="1"/>
  <c r="O401" i="9"/>
  <c r="F401" i="9"/>
  <c r="H398" i="9"/>
  <c r="G398" i="9"/>
  <c r="I389" i="9"/>
  <c r="I390" i="9" s="1"/>
  <c r="I391" i="9" s="1"/>
  <c r="I392" i="9" s="1"/>
  <c r="I393" i="9" s="1"/>
  <c r="I388" i="9"/>
  <c r="I396" i="9" s="1"/>
  <c r="I397" i="9" s="1"/>
  <c r="I382" i="9"/>
  <c r="I383" i="9" s="1"/>
  <c r="I384" i="9" s="1"/>
  <c r="I385" i="9" s="1"/>
  <c r="M381" i="9"/>
  <c r="M382" i="9" s="1"/>
  <c r="I381" i="9"/>
  <c r="O380" i="9"/>
  <c r="F380" i="9" s="1"/>
  <c r="G380" i="9" s="1"/>
  <c r="M376" i="9"/>
  <c r="M368" i="9"/>
  <c r="M369" i="9" s="1"/>
  <c r="M370" i="9" s="1"/>
  <c r="M367" i="9"/>
  <c r="O367" i="9" s="1"/>
  <c r="F367" i="9" s="1"/>
  <c r="I367" i="9"/>
  <c r="I376" i="9" s="1"/>
  <c r="I377" i="9" s="1"/>
  <c r="M359" i="9"/>
  <c r="I359" i="9"/>
  <c r="O358" i="9"/>
  <c r="F358" i="9" s="1"/>
  <c r="M354" i="9"/>
  <c r="M355" i="9" s="1"/>
  <c r="O355" i="9" s="1"/>
  <c r="F355" i="9" s="1"/>
  <c r="M345" i="9"/>
  <c r="I345" i="9"/>
  <c r="I354" i="9" s="1"/>
  <c r="I355" i="9" s="1"/>
  <c r="M337" i="9"/>
  <c r="M338" i="9" s="1"/>
  <c r="I337" i="9"/>
  <c r="O336" i="9"/>
  <c r="F336" i="9" s="1"/>
  <c r="M329" i="9"/>
  <c r="M332" i="9" s="1"/>
  <c r="O332" i="9" s="1"/>
  <c r="F332" i="9" s="1"/>
  <c r="H332" i="9" s="1"/>
  <c r="I329" i="9"/>
  <c r="I332" i="9" s="1"/>
  <c r="I333" i="9" s="1"/>
  <c r="I323" i="9"/>
  <c r="I324" i="9" s="1"/>
  <c r="I325" i="9" s="1"/>
  <c r="I326" i="9" s="1"/>
  <c r="M322" i="9"/>
  <c r="I322" i="9"/>
  <c r="M317" i="9"/>
  <c r="M318" i="9" s="1"/>
  <c r="I317" i="9"/>
  <c r="I318" i="9" s="1"/>
  <c r="I319" i="9" s="1"/>
  <c r="O316" i="9"/>
  <c r="F316" i="9" s="1"/>
  <c r="M312" i="9"/>
  <c r="I303" i="9"/>
  <c r="I312" i="9" s="1"/>
  <c r="I313" i="9" s="1"/>
  <c r="M295" i="9"/>
  <c r="I295" i="9"/>
  <c r="I296" i="9" s="1"/>
  <c r="M303" i="9"/>
  <c r="M304" i="9" s="1"/>
  <c r="M290" i="9"/>
  <c r="M281" i="9"/>
  <c r="M282" i="9" s="1"/>
  <c r="I281" i="9"/>
  <c r="I290" i="9" s="1"/>
  <c r="I291" i="9" s="1"/>
  <c r="M273" i="9"/>
  <c r="I273" i="9"/>
  <c r="I274" i="9" s="1"/>
  <c r="O272" i="9"/>
  <c r="F272" i="9" s="1"/>
  <c r="M268" i="9"/>
  <c r="M269" i="9" s="1"/>
  <c r="O269" i="9" s="1"/>
  <c r="F269" i="9" s="1"/>
  <c r="I268" i="9"/>
  <c r="I269" i="9" s="1"/>
  <c r="M259" i="9"/>
  <c r="I259" i="9"/>
  <c r="M251" i="9"/>
  <c r="M252" i="9" s="1"/>
  <c r="I251" i="9"/>
  <c r="O250" i="9"/>
  <c r="F250" i="9" s="1"/>
  <c r="M243" i="9"/>
  <c r="M246" i="9" s="1"/>
  <c r="O246" i="9" s="1"/>
  <c r="F246" i="9" s="1"/>
  <c r="I237" i="9"/>
  <c r="I238" i="9" s="1"/>
  <c r="I239" i="9" s="1"/>
  <c r="I240" i="9" s="1"/>
  <c r="M236" i="9"/>
  <c r="M237" i="9" s="1"/>
  <c r="O237" i="9" s="1"/>
  <c r="F237" i="9" s="1"/>
  <c r="G237" i="9" s="1"/>
  <c r="I236" i="9"/>
  <c r="I243" i="9" s="1"/>
  <c r="I246" i="9" s="1"/>
  <c r="I247" i="9" s="1"/>
  <c r="M232" i="9"/>
  <c r="M231" i="9"/>
  <c r="O231" i="9" s="1"/>
  <c r="F231" i="9" s="1"/>
  <c r="H231" i="9" s="1"/>
  <c r="I231" i="9"/>
  <c r="I232" i="9" s="1"/>
  <c r="I233" i="9" s="1"/>
  <c r="O230" i="9"/>
  <c r="F230" i="9" s="1"/>
  <c r="M223" i="9"/>
  <c r="I218" i="9"/>
  <c r="I216" i="9"/>
  <c r="I217" i="9" s="1"/>
  <c r="I219" i="9" s="1"/>
  <c r="I220" i="9" s="1"/>
  <c r="M215" i="9"/>
  <c r="M216" i="9" s="1"/>
  <c r="O216" i="9" s="1"/>
  <c r="F216" i="9" s="1"/>
  <c r="G216" i="9" s="1"/>
  <c r="I215" i="9"/>
  <c r="I223" i="9" s="1"/>
  <c r="I226" i="9" s="1"/>
  <c r="I227" i="9" s="1"/>
  <c r="M209" i="9"/>
  <c r="I209" i="9"/>
  <c r="I210" i="9" s="1"/>
  <c r="I212" i="9" s="1"/>
  <c r="O208" i="9"/>
  <c r="F208" i="9" s="1"/>
  <c r="M204" i="9"/>
  <c r="O204" i="9" s="1"/>
  <c r="F204" i="9" s="1"/>
  <c r="H204" i="9" s="1"/>
  <c r="M195" i="9"/>
  <c r="I195" i="9"/>
  <c r="I204" i="9" s="1"/>
  <c r="I205" i="9" s="1"/>
  <c r="M187" i="9"/>
  <c r="M188" i="9" s="1"/>
  <c r="I187" i="9"/>
  <c r="O186" i="9"/>
  <c r="F186" i="9" s="1"/>
  <c r="M182" i="9"/>
  <c r="M183" i="9" s="1"/>
  <c r="O183" i="9" s="1"/>
  <c r="F183" i="9" s="1"/>
  <c r="O173" i="9"/>
  <c r="F173" i="9" s="1"/>
  <c r="G173" i="9" s="1"/>
  <c r="M173" i="9"/>
  <c r="M174" i="9" s="1"/>
  <c r="M175" i="9" s="1"/>
  <c r="O175" i="9" s="1"/>
  <c r="F175" i="9" s="1"/>
  <c r="G175" i="9" s="1"/>
  <c r="I173" i="9"/>
  <c r="I182" i="9" s="1"/>
  <c r="I183" i="9" s="1"/>
  <c r="M165" i="9"/>
  <c r="M166" i="9" s="1"/>
  <c r="I165" i="9"/>
  <c r="I174" i="9" s="1"/>
  <c r="O164" i="9"/>
  <c r="F164" i="9" s="1"/>
  <c r="O157" i="9"/>
  <c r="F157" i="9" s="1"/>
  <c r="F158" i="9" s="1"/>
  <c r="M157" i="9"/>
  <c r="M160" i="9" s="1"/>
  <c r="M161" i="9" s="1"/>
  <c r="O161" i="9" s="1"/>
  <c r="F161" i="9" s="1"/>
  <c r="I152" i="9"/>
  <c r="I153" i="9" s="1"/>
  <c r="I154" i="9" s="1"/>
  <c r="I151" i="9"/>
  <c r="M150" i="9"/>
  <c r="O150" i="9" s="1"/>
  <c r="F150" i="9" s="1"/>
  <c r="I150" i="9"/>
  <c r="I157" i="9" s="1"/>
  <c r="I160" i="9" s="1"/>
  <c r="I161" i="9" s="1"/>
  <c r="I147" i="9"/>
  <c r="M145" i="9"/>
  <c r="I145" i="9"/>
  <c r="I146" i="9" s="1"/>
  <c r="O144" i="9"/>
  <c r="F144" i="9" s="1"/>
  <c r="M137" i="9"/>
  <c r="I137" i="9"/>
  <c r="I140" i="9" s="1"/>
  <c r="I141" i="9" s="1"/>
  <c r="I130" i="9"/>
  <c r="I131" i="9" s="1"/>
  <c r="I132" i="9" s="1"/>
  <c r="M129" i="9"/>
  <c r="I129" i="9"/>
  <c r="M123" i="9"/>
  <c r="M124" i="9" s="1"/>
  <c r="I123" i="9"/>
  <c r="I124" i="9" s="1"/>
  <c r="I125" i="9" s="1"/>
  <c r="O122" i="9"/>
  <c r="F122" i="9" s="1"/>
  <c r="H119" i="9"/>
  <c r="G119" i="9"/>
  <c r="I117" i="9"/>
  <c r="I118" i="9" s="1"/>
  <c r="I110" i="9"/>
  <c r="I111" i="9" s="1"/>
  <c r="I112" i="9" s="1"/>
  <c r="I113" i="9" s="1"/>
  <c r="I114" i="9" s="1"/>
  <c r="I109" i="9"/>
  <c r="M102" i="9"/>
  <c r="M103" i="9" s="1"/>
  <c r="I102" i="9"/>
  <c r="I103" i="9" s="1"/>
  <c r="I104" i="9" s="1"/>
  <c r="I105" i="9" s="1"/>
  <c r="I106" i="9" s="1"/>
  <c r="O101" i="9"/>
  <c r="F101" i="9" s="1"/>
  <c r="M97" i="9"/>
  <c r="O97" i="9" s="1"/>
  <c r="F97" i="9" s="1"/>
  <c r="M89" i="9"/>
  <c r="M90" i="9" s="1"/>
  <c r="M88" i="9"/>
  <c r="O88" i="9" s="1"/>
  <c r="F88" i="9" s="1"/>
  <c r="I88" i="9"/>
  <c r="I97" i="9" s="1"/>
  <c r="I98" i="9" s="1"/>
  <c r="M80" i="9"/>
  <c r="O80" i="9" s="1"/>
  <c r="F80" i="9" s="1"/>
  <c r="I80" i="9"/>
  <c r="O79" i="9"/>
  <c r="F79" i="9" s="1"/>
  <c r="M75" i="9"/>
  <c r="M76" i="9" s="1"/>
  <c r="O76" i="9" s="1"/>
  <c r="F76" i="9" s="1"/>
  <c r="M66" i="9"/>
  <c r="O66" i="9" s="1"/>
  <c r="F66" i="9" s="1"/>
  <c r="I66" i="9"/>
  <c r="I75" i="9" s="1"/>
  <c r="I76" i="9" s="1"/>
  <c r="I59" i="9"/>
  <c r="I60" i="9" s="1"/>
  <c r="M58" i="9"/>
  <c r="M59" i="9" s="1"/>
  <c r="I58" i="9"/>
  <c r="I67" i="9" s="1"/>
  <c r="O57" i="9"/>
  <c r="F57" i="9" s="1"/>
  <c r="O50" i="9"/>
  <c r="F50" i="9" s="1"/>
  <c r="M50" i="9"/>
  <c r="M53" i="9" s="1"/>
  <c r="M54" i="9" s="1"/>
  <c r="O54" i="9" s="1"/>
  <c r="F54" i="9" s="1"/>
  <c r="I44" i="9"/>
  <c r="I45" i="9" s="1"/>
  <c r="I46" i="9" s="1"/>
  <c r="I47" i="9" s="1"/>
  <c r="M43" i="9"/>
  <c r="O43" i="9" s="1"/>
  <c r="F43" i="9" s="1"/>
  <c r="G43" i="9" s="1"/>
  <c r="I43" i="9"/>
  <c r="I50" i="9" s="1"/>
  <c r="I53" i="9" s="1"/>
  <c r="I54" i="9" s="1"/>
  <c r="O38" i="9"/>
  <c r="F38" i="9" s="1"/>
  <c r="M38" i="9"/>
  <c r="M39" i="9" s="1"/>
  <c r="I38" i="9"/>
  <c r="I39" i="9" s="1"/>
  <c r="I40" i="9" s="1"/>
  <c r="O37" i="9"/>
  <c r="F37" i="9" s="1"/>
  <c r="I25" i="9"/>
  <c r="I24" i="9"/>
  <c r="I33" i="9" s="1"/>
  <c r="I34" i="9" s="1"/>
  <c r="I16" i="9"/>
  <c r="I17" i="9" s="1"/>
  <c r="I18" i="9" s="1"/>
  <c r="M582" i="8"/>
  <c r="M585" i="8" s="1"/>
  <c r="I576" i="8"/>
  <c r="I577" i="8" s="1"/>
  <c r="I578" i="8" s="1"/>
  <c r="I579" i="8" s="1"/>
  <c r="M575" i="8"/>
  <c r="M576" i="8" s="1"/>
  <c r="I575" i="8"/>
  <c r="I582" i="8" s="1"/>
  <c r="I585" i="8" s="1"/>
  <c r="I586" i="8" s="1"/>
  <c r="M570" i="8"/>
  <c r="M571" i="8" s="1"/>
  <c r="M572" i="8" s="1"/>
  <c r="O572" i="8" s="1"/>
  <c r="F572" i="8" s="1"/>
  <c r="I570" i="8"/>
  <c r="I571" i="8" s="1"/>
  <c r="I572" i="8" s="1"/>
  <c r="O569" i="8"/>
  <c r="F569" i="8" s="1"/>
  <c r="M566" i="8"/>
  <c r="M567" i="8" s="1"/>
  <c r="O567" i="8" s="1"/>
  <c r="F567" i="8" s="1"/>
  <c r="M557" i="8"/>
  <c r="O557" i="8" s="1"/>
  <c r="F557" i="8" s="1"/>
  <c r="I557" i="8"/>
  <c r="I566" i="8" s="1"/>
  <c r="I567" i="8" s="1"/>
  <c r="M549" i="8"/>
  <c r="M550" i="8" s="1"/>
  <c r="I549" i="8"/>
  <c r="I558" i="8" s="1"/>
  <c r="O548" i="8"/>
  <c r="F548" i="8" s="1"/>
  <c r="G548" i="8" s="1"/>
  <c r="M544" i="8"/>
  <c r="M545" i="8" s="1"/>
  <c r="O545" i="8" s="1"/>
  <c r="F545" i="8" s="1"/>
  <c r="M535" i="8"/>
  <c r="M536" i="8" s="1"/>
  <c r="I535" i="8"/>
  <c r="I544" i="8" s="1"/>
  <c r="I545" i="8" s="1"/>
  <c r="M527" i="8"/>
  <c r="I527" i="8"/>
  <c r="I536" i="8" s="1"/>
  <c r="O526" i="8"/>
  <c r="F526" i="8" s="1"/>
  <c r="M519" i="8"/>
  <c r="M522" i="8" s="1"/>
  <c r="I513" i="8"/>
  <c r="I514" i="8" s="1"/>
  <c r="I515" i="8" s="1"/>
  <c r="I516" i="8" s="1"/>
  <c r="M512" i="8"/>
  <c r="M513" i="8" s="1"/>
  <c r="I512" i="8"/>
  <c r="I519" i="8" s="1"/>
  <c r="I522" i="8" s="1"/>
  <c r="I523" i="8" s="1"/>
  <c r="M507" i="8"/>
  <c r="M508" i="8" s="1"/>
  <c r="I507" i="8"/>
  <c r="I508" i="8" s="1"/>
  <c r="I509" i="8" s="1"/>
  <c r="O506" i="8"/>
  <c r="F506" i="8" s="1"/>
  <c r="M493" i="8"/>
  <c r="M494" i="8" s="1"/>
  <c r="I493" i="8"/>
  <c r="I502" i="8" s="1"/>
  <c r="I503" i="8" s="1"/>
  <c r="I485" i="8"/>
  <c r="I486" i="8" s="1"/>
  <c r="O484" i="8"/>
  <c r="F484" i="8" s="1"/>
  <c r="M502" i="8"/>
  <c r="M477" i="8"/>
  <c r="M480" i="8" s="1"/>
  <c r="I471" i="8"/>
  <c r="I472" i="8" s="1"/>
  <c r="I473" i="8" s="1"/>
  <c r="I474" i="8" s="1"/>
  <c r="M470" i="8"/>
  <c r="M471" i="8" s="1"/>
  <c r="I470" i="8"/>
  <c r="I477" i="8" s="1"/>
  <c r="I480" i="8" s="1"/>
  <c r="I481" i="8" s="1"/>
  <c r="M465" i="8"/>
  <c r="M466" i="8" s="1"/>
  <c r="M467" i="8" s="1"/>
  <c r="O467" i="8" s="1"/>
  <c r="F467" i="8" s="1"/>
  <c r="I465" i="8"/>
  <c r="I466" i="8" s="1"/>
  <c r="I467" i="8" s="1"/>
  <c r="O464" i="8"/>
  <c r="F464" i="8" s="1"/>
  <c r="M461" i="8"/>
  <c r="M462" i="8" s="1"/>
  <c r="O462" i="8" s="1"/>
  <c r="F462" i="8" s="1"/>
  <c r="M452" i="8"/>
  <c r="M453" i="8" s="1"/>
  <c r="I452" i="8"/>
  <c r="I461" i="8" s="1"/>
  <c r="I462" i="8" s="1"/>
  <c r="M444" i="8"/>
  <c r="O444" i="8" s="1"/>
  <c r="F444" i="8" s="1"/>
  <c r="I444" i="8"/>
  <c r="I445" i="8" s="1"/>
  <c r="O443" i="8"/>
  <c r="F443" i="8" s="1"/>
  <c r="M439" i="8"/>
  <c r="O439" i="8" s="1"/>
  <c r="F439" i="8" s="1"/>
  <c r="M430" i="8"/>
  <c r="M431" i="8" s="1"/>
  <c r="I430" i="8"/>
  <c r="I439" i="8" s="1"/>
  <c r="I440" i="8" s="1"/>
  <c r="M422" i="8"/>
  <c r="O422" i="8" s="1"/>
  <c r="F422" i="8" s="1"/>
  <c r="I422" i="8"/>
  <c r="I423" i="8" s="1"/>
  <c r="O421" i="8"/>
  <c r="F421" i="8" s="1"/>
  <c r="H419" i="8"/>
  <c r="G419" i="8"/>
  <c r="I410" i="8"/>
  <c r="I411" i="8" s="1"/>
  <c r="I412" i="8" s="1"/>
  <c r="I413" i="8" s="1"/>
  <c r="I414" i="8" s="1"/>
  <c r="I409" i="8"/>
  <c r="I417" i="8" s="1"/>
  <c r="I418" i="8" s="1"/>
  <c r="M402" i="8"/>
  <c r="M403" i="8" s="1"/>
  <c r="I402" i="8"/>
  <c r="I403" i="8" s="1"/>
  <c r="I404" i="8" s="1"/>
  <c r="I405" i="8" s="1"/>
  <c r="I406" i="8" s="1"/>
  <c r="O401" i="8"/>
  <c r="F401" i="8" s="1"/>
  <c r="H398" i="8"/>
  <c r="G398" i="8"/>
  <c r="I389" i="8"/>
  <c r="I390" i="8" s="1"/>
  <c r="I391" i="8" s="1"/>
  <c r="I392" i="8" s="1"/>
  <c r="I393" i="8" s="1"/>
  <c r="I388" i="8"/>
  <c r="I396" i="8" s="1"/>
  <c r="I397" i="8" s="1"/>
  <c r="M381" i="8"/>
  <c r="O381" i="8" s="1"/>
  <c r="F381" i="8" s="1"/>
  <c r="I381" i="8"/>
  <c r="I382" i="8" s="1"/>
  <c r="I383" i="8" s="1"/>
  <c r="I384" i="8" s="1"/>
  <c r="I385" i="8" s="1"/>
  <c r="O380" i="8"/>
  <c r="F380" i="8" s="1"/>
  <c r="H380" i="8" s="1"/>
  <c r="M376" i="8"/>
  <c r="O376" i="8" s="1"/>
  <c r="F376" i="8" s="1"/>
  <c r="M367" i="8"/>
  <c r="O367" i="8" s="1"/>
  <c r="F367" i="8" s="1"/>
  <c r="I367" i="8"/>
  <c r="I376" i="8" s="1"/>
  <c r="I377" i="8" s="1"/>
  <c r="M359" i="8"/>
  <c r="M360" i="8" s="1"/>
  <c r="I359" i="8"/>
  <c r="I368" i="8" s="1"/>
  <c r="O358" i="8"/>
  <c r="F358" i="8" s="1"/>
  <c r="H358" i="8" s="1"/>
  <c r="M354" i="8"/>
  <c r="M355" i="8" s="1"/>
  <c r="O355" i="8" s="1"/>
  <c r="F355" i="8" s="1"/>
  <c r="H355" i="8" s="1"/>
  <c r="M345" i="8"/>
  <c r="I345" i="8"/>
  <c r="I354" i="8" s="1"/>
  <c r="I355" i="8" s="1"/>
  <c r="M337" i="8"/>
  <c r="M338" i="8" s="1"/>
  <c r="M339" i="8" s="1"/>
  <c r="M340" i="8" s="1"/>
  <c r="I337" i="8"/>
  <c r="I338" i="8" s="1"/>
  <c r="O336" i="8"/>
  <c r="F336" i="8" s="1"/>
  <c r="M329" i="8"/>
  <c r="O329" i="8" s="1"/>
  <c r="F329" i="8" s="1"/>
  <c r="G329" i="8" s="1"/>
  <c r="G330" i="8" s="1"/>
  <c r="I323" i="8"/>
  <c r="I324" i="8" s="1"/>
  <c r="I325" i="8" s="1"/>
  <c r="I326" i="8" s="1"/>
  <c r="M322" i="8"/>
  <c r="I322" i="8"/>
  <c r="I329" i="8" s="1"/>
  <c r="I332" i="8" s="1"/>
  <c r="I333" i="8" s="1"/>
  <c r="M318" i="8"/>
  <c r="M317" i="8"/>
  <c r="O317" i="8" s="1"/>
  <c r="F317" i="8" s="1"/>
  <c r="I317" i="8"/>
  <c r="I318" i="8" s="1"/>
  <c r="I319" i="8" s="1"/>
  <c r="O316" i="8"/>
  <c r="F316" i="8" s="1"/>
  <c r="G316" i="8" s="1"/>
  <c r="I303" i="8"/>
  <c r="I312" i="8" s="1"/>
  <c r="I313" i="8" s="1"/>
  <c r="I295" i="8"/>
  <c r="I296" i="8" s="1"/>
  <c r="I305" i="8" s="1"/>
  <c r="M294" i="8"/>
  <c r="M303" i="8" s="1"/>
  <c r="M304" i="8" s="1"/>
  <c r="O208" i="8"/>
  <c r="F208" i="8" s="1"/>
  <c r="H208" i="8" s="1"/>
  <c r="I209" i="8"/>
  <c r="I210" i="8" s="1"/>
  <c r="M209" i="8"/>
  <c r="M210" i="8" s="1"/>
  <c r="O209" i="8"/>
  <c r="F209" i="8" s="1"/>
  <c r="G209" i="8" s="1"/>
  <c r="I215" i="8"/>
  <c r="I223" i="8" s="1"/>
  <c r="M215" i="8"/>
  <c r="I216" i="8"/>
  <c r="I217" i="8" s="1"/>
  <c r="M223" i="8"/>
  <c r="I226" i="8"/>
  <c r="I227" i="8" s="1"/>
  <c r="O230" i="8"/>
  <c r="F230" i="8" s="1"/>
  <c r="G230" i="8" s="1"/>
  <c r="I231" i="8"/>
  <c r="I232" i="8" s="1"/>
  <c r="I233" i="8" s="1"/>
  <c r="M231" i="8"/>
  <c r="I236" i="8"/>
  <c r="I243" i="8" s="1"/>
  <c r="I246" i="8" s="1"/>
  <c r="I247" i="8" s="1"/>
  <c r="M236" i="8"/>
  <c r="O236" i="8" s="1"/>
  <c r="F236" i="8" s="1"/>
  <c r="G236" i="8" s="1"/>
  <c r="I237" i="8"/>
  <c r="I238" i="8" s="1"/>
  <c r="I239" i="8" s="1"/>
  <c r="I240" i="8" s="1"/>
  <c r="M243" i="8"/>
  <c r="M246" i="8" s="1"/>
  <c r="O250" i="8"/>
  <c r="F250" i="8" s="1"/>
  <c r="G250" i="8" s="1"/>
  <c r="I251" i="8"/>
  <c r="I260" i="8" s="1"/>
  <c r="M251" i="8"/>
  <c r="M252" i="8" s="1"/>
  <c r="I259" i="8"/>
  <c r="I268" i="8" s="1"/>
  <c r="I269" i="8" s="1"/>
  <c r="M259" i="8"/>
  <c r="O259" i="8" s="1"/>
  <c r="F259" i="8" s="1"/>
  <c r="M268" i="8"/>
  <c r="O268" i="8" s="1"/>
  <c r="F268" i="8" s="1"/>
  <c r="O272" i="8"/>
  <c r="F272" i="8" s="1"/>
  <c r="I273" i="8"/>
  <c r="M273" i="8"/>
  <c r="O273" i="8" s="1"/>
  <c r="F273" i="8" s="1"/>
  <c r="I281" i="8"/>
  <c r="I290" i="8" s="1"/>
  <c r="I291" i="8" s="1"/>
  <c r="M281" i="8"/>
  <c r="M282" i="8" s="1"/>
  <c r="O282" i="8" s="1"/>
  <c r="F282" i="8" s="1"/>
  <c r="M290" i="8"/>
  <c r="M291" i="8" s="1"/>
  <c r="O291" i="8" s="1"/>
  <c r="F291" i="8" s="1"/>
  <c r="O290" i="8"/>
  <c r="F290" i="8" s="1"/>
  <c r="H290" i="8" s="1"/>
  <c r="M204" i="8"/>
  <c r="M205" i="8" s="1"/>
  <c r="O205" i="8" s="1"/>
  <c r="F205" i="8" s="1"/>
  <c r="M195" i="8"/>
  <c r="O195" i="8" s="1"/>
  <c r="F195" i="8" s="1"/>
  <c r="I195" i="8"/>
  <c r="I204" i="8" s="1"/>
  <c r="I205" i="8" s="1"/>
  <c r="M187" i="8"/>
  <c r="M188" i="8" s="1"/>
  <c r="I187" i="8"/>
  <c r="I196" i="8" s="1"/>
  <c r="O186" i="8"/>
  <c r="F186" i="8" s="1"/>
  <c r="M182" i="8"/>
  <c r="M183" i="8" s="1"/>
  <c r="O183" i="8" s="1"/>
  <c r="F183" i="8" s="1"/>
  <c r="M173" i="8"/>
  <c r="M174" i="8" s="1"/>
  <c r="I173" i="8"/>
  <c r="I182" i="8" s="1"/>
  <c r="I183" i="8" s="1"/>
  <c r="M165" i="8"/>
  <c r="M166" i="8" s="1"/>
  <c r="I165" i="8"/>
  <c r="I174" i="8" s="1"/>
  <c r="O164" i="8"/>
  <c r="F164" i="8" s="1"/>
  <c r="M157" i="8"/>
  <c r="M160" i="8" s="1"/>
  <c r="I151" i="8"/>
  <c r="I152" i="8" s="1"/>
  <c r="I153" i="8" s="1"/>
  <c r="I154" i="8" s="1"/>
  <c r="M150" i="8"/>
  <c r="O150" i="8" s="1"/>
  <c r="F150" i="8" s="1"/>
  <c r="I150" i="8"/>
  <c r="I157" i="8" s="1"/>
  <c r="I160" i="8" s="1"/>
  <c r="I161" i="8" s="1"/>
  <c r="M145" i="8"/>
  <c r="M146" i="8" s="1"/>
  <c r="M147" i="8" s="1"/>
  <c r="O147" i="8" s="1"/>
  <c r="F147" i="8" s="1"/>
  <c r="I145" i="8"/>
  <c r="I146" i="8" s="1"/>
  <c r="I147" i="8" s="1"/>
  <c r="O144" i="8"/>
  <c r="F144" i="8" s="1"/>
  <c r="M137" i="8"/>
  <c r="M140" i="8" s="1"/>
  <c r="I130" i="8"/>
  <c r="I131" i="8" s="1"/>
  <c r="I133" i="8" s="1"/>
  <c r="I134" i="8" s="1"/>
  <c r="M129" i="8"/>
  <c r="M130" i="8" s="1"/>
  <c r="I129" i="8"/>
  <c r="I137" i="8" s="1"/>
  <c r="I140" i="8" s="1"/>
  <c r="I141" i="8" s="1"/>
  <c r="M123" i="8"/>
  <c r="M124" i="8" s="1"/>
  <c r="I123" i="8"/>
  <c r="I124" i="8" s="1"/>
  <c r="O122" i="8"/>
  <c r="F122" i="8" s="1"/>
  <c r="M102" i="8"/>
  <c r="H119" i="8"/>
  <c r="G119" i="8"/>
  <c r="I110" i="8"/>
  <c r="I111" i="8" s="1"/>
  <c r="I112" i="8" s="1"/>
  <c r="I113" i="8" s="1"/>
  <c r="I114" i="8" s="1"/>
  <c r="I109" i="8"/>
  <c r="I117" i="8" s="1"/>
  <c r="I118" i="8" s="1"/>
  <c r="I102" i="8"/>
  <c r="I103" i="8" s="1"/>
  <c r="I104" i="8" s="1"/>
  <c r="I105" i="8" s="1"/>
  <c r="I106" i="8" s="1"/>
  <c r="M97" i="8"/>
  <c r="M98" i="8" s="1"/>
  <c r="O98" i="8" s="1"/>
  <c r="F98" i="8" s="1"/>
  <c r="M88" i="8"/>
  <c r="O88" i="8" s="1"/>
  <c r="F88" i="8" s="1"/>
  <c r="I88" i="8"/>
  <c r="I97" i="8" s="1"/>
  <c r="I98" i="8" s="1"/>
  <c r="M80" i="8"/>
  <c r="O80" i="8" s="1"/>
  <c r="F80" i="8" s="1"/>
  <c r="I80" i="8"/>
  <c r="I89" i="8" s="1"/>
  <c r="O79" i="8"/>
  <c r="F79" i="8" s="1"/>
  <c r="I66" i="8"/>
  <c r="I75" i="8" s="1"/>
  <c r="I76" i="8" s="1"/>
  <c r="I58" i="8"/>
  <c r="I59" i="8" s="1"/>
  <c r="O57" i="8"/>
  <c r="F57" i="8" s="1"/>
  <c r="M75" i="8"/>
  <c r="M15" i="8"/>
  <c r="I24" i="8"/>
  <c r="I33" i="8" s="1"/>
  <c r="I34" i="8" s="1"/>
  <c r="I16" i="8"/>
  <c r="I17" i="8" s="1"/>
  <c r="H291" i="10" l="1"/>
  <c r="G291" i="10"/>
  <c r="H183" i="10"/>
  <c r="H184" i="10" s="1"/>
  <c r="G183" i="10"/>
  <c r="G184" i="10" s="1"/>
  <c r="O493" i="9"/>
  <c r="F493" i="9" s="1"/>
  <c r="G493" i="9" s="1"/>
  <c r="H259" i="10"/>
  <c r="G259" i="10"/>
  <c r="H79" i="11"/>
  <c r="G79" i="11"/>
  <c r="M195" i="11"/>
  <c r="M196" i="11" s="1"/>
  <c r="M197" i="11" s="1"/>
  <c r="M198" i="11" s="1"/>
  <c r="M199" i="11" s="1"/>
  <c r="M200" i="11" s="1"/>
  <c r="M201" i="11" s="1"/>
  <c r="O201" i="11" s="1"/>
  <c r="F201" i="11" s="1"/>
  <c r="O186" i="11"/>
  <c r="F186" i="11" s="1"/>
  <c r="M187" i="11"/>
  <c r="M204" i="11"/>
  <c r="O549" i="8"/>
  <c r="F549" i="8" s="1"/>
  <c r="M40" i="9"/>
  <c r="O40" i="9" s="1"/>
  <c r="F40" i="9" s="1"/>
  <c r="H40" i="9" s="1"/>
  <c r="O39" i="9"/>
  <c r="F39" i="9" s="1"/>
  <c r="H39" i="9" s="1"/>
  <c r="I133" i="10"/>
  <c r="I134" i="10" s="1"/>
  <c r="O232" i="10"/>
  <c r="F232" i="10" s="1"/>
  <c r="O527" i="8"/>
  <c r="F527" i="8" s="1"/>
  <c r="M528" i="8"/>
  <c r="M529" i="8" s="1"/>
  <c r="I362" i="10"/>
  <c r="I370" i="10"/>
  <c r="I89" i="9"/>
  <c r="I81" i="9"/>
  <c r="I453" i="9"/>
  <c r="I445" i="9"/>
  <c r="I446" i="9" s="1"/>
  <c r="I455" i="9" s="1"/>
  <c r="G97" i="10"/>
  <c r="H97" i="10"/>
  <c r="H99" i="10" s="1"/>
  <c r="I212" i="8"/>
  <c r="I211" i="8"/>
  <c r="O129" i="9"/>
  <c r="F129" i="9" s="1"/>
  <c r="H129" i="9" s="1"/>
  <c r="M130" i="9"/>
  <c r="M131" i="9" s="1"/>
  <c r="O131" i="9" s="1"/>
  <c r="F131" i="9" s="1"/>
  <c r="O507" i="9"/>
  <c r="F507" i="9" s="1"/>
  <c r="G507" i="9" s="1"/>
  <c r="M508" i="9"/>
  <c r="H89" i="10"/>
  <c r="G89" i="10"/>
  <c r="O167" i="10"/>
  <c r="F167" i="10" s="1"/>
  <c r="M168" i="10"/>
  <c r="M169" i="10" s="1"/>
  <c r="G88" i="11"/>
  <c r="H88" i="11"/>
  <c r="H506" i="11"/>
  <c r="G506" i="11"/>
  <c r="O223" i="10"/>
  <c r="F223" i="10" s="1"/>
  <c r="G223" i="10" s="1"/>
  <c r="G224" i="10" s="1"/>
  <c r="M226" i="10"/>
  <c r="M558" i="10"/>
  <c r="O557" i="10"/>
  <c r="F557" i="10" s="1"/>
  <c r="G557" i="10" s="1"/>
  <c r="O465" i="11"/>
  <c r="F465" i="11" s="1"/>
  <c r="G465" i="11" s="1"/>
  <c r="M466" i="11"/>
  <c r="M467" i="11" s="1"/>
  <c r="O467" i="11" s="1"/>
  <c r="F467" i="11" s="1"/>
  <c r="M528" i="11"/>
  <c r="M529" i="11" s="1"/>
  <c r="M530" i="11" s="1"/>
  <c r="M531" i="11" s="1"/>
  <c r="M532" i="11" s="1"/>
  <c r="O532" i="11" s="1"/>
  <c r="F532" i="11" s="1"/>
  <c r="O527" i="11"/>
  <c r="F527" i="11" s="1"/>
  <c r="O461" i="9"/>
  <c r="F461" i="9" s="1"/>
  <c r="H461" i="9" s="1"/>
  <c r="M462" i="9"/>
  <c r="O462" i="9" s="1"/>
  <c r="F462" i="9" s="1"/>
  <c r="M233" i="11"/>
  <c r="O233" i="11" s="1"/>
  <c r="F233" i="11" s="1"/>
  <c r="O232" i="11"/>
  <c r="F232" i="11" s="1"/>
  <c r="M585" i="9"/>
  <c r="O585" i="9" s="1"/>
  <c r="F585" i="9" s="1"/>
  <c r="H585" i="9" s="1"/>
  <c r="O582" i="9"/>
  <c r="F582" i="9" s="1"/>
  <c r="H582" i="9" s="1"/>
  <c r="H583" i="9" s="1"/>
  <c r="M275" i="10"/>
  <c r="O274" i="10"/>
  <c r="F274" i="10" s="1"/>
  <c r="M466" i="10"/>
  <c r="M467" i="10" s="1"/>
  <c r="O467" i="10" s="1"/>
  <c r="F467" i="10" s="1"/>
  <c r="O465" i="10"/>
  <c r="F465" i="10" s="1"/>
  <c r="I339" i="11"/>
  <c r="I347" i="11"/>
  <c r="I368" i="9"/>
  <c r="I360" i="9"/>
  <c r="I361" i="9" s="1"/>
  <c r="I362" i="9" s="1"/>
  <c r="I363" i="9" s="1"/>
  <c r="H402" i="10"/>
  <c r="G402" i="10"/>
  <c r="O507" i="10"/>
  <c r="F507" i="10" s="1"/>
  <c r="M508" i="10"/>
  <c r="O223" i="9"/>
  <c r="F223" i="9" s="1"/>
  <c r="H223" i="9" s="1"/>
  <c r="H224" i="9" s="1"/>
  <c r="M226" i="9"/>
  <c r="M227" i="9" s="1"/>
  <c r="O227" i="9" s="1"/>
  <c r="F227" i="9" s="1"/>
  <c r="G227" i="9" s="1"/>
  <c r="M91" i="10"/>
  <c r="O90" i="10"/>
  <c r="F90" i="10" s="1"/>
  <c r="G90" i="10" s="1"/>
  <c r="M445" i="10"/>
  <c r="O444" i="10"/>
  <c r="F444" i="10" s="1"/>
  <c r="M503" i="10"/>
  <c r="O503" i="10" s="1"/>
  <c r="F503" i="10" s="1"/>
  <c r="O502" i="10"/>
  <c r="F502" i="10" s="1"/>
  <c r="G502" i="10" s="1"/>
  <c r="M522" i="10"/>
  <c r="O519" i="10"/>
  <c r="F519" i="10" s="1"/>
  <c r="H122" i="11"/>
  <c r="G122" i="11"/>
  <c r="O519" i="9"/>
  <c r="F519" i="9" s="1"/>
  <c r="G519" i="9" s="1"/>
  <c r="G520" i="9" s="1"/>
  <c r="O137" i="10"/>
  <c r="F137" i="10" s="1"/>
  <c r="O527" i="10"/>
  <c r="F527" i="10" s="1"/>
  <c r="O570" i="10"/>
  <c r="F570" i="10" s="1"/>
  <c r="H570" i="10" s="1"/>
  <c r="O66" i="11"/>
  <c r="F66" i="11" s="1"/>
  <c r="M283" i="8"/>
  <c r="M260" i="8"/>
  <c r="M261" i="8" s="1"/>
  <c r="O236" i="9"/>
  <c r="F236" i="9" s="1"/>
  <c r="G236" i="9" s="1"/>
  <c r="O337" i="9"/>
  <c r="F337" i="9" s="1"/>
  <c r="M124" i="10"/>
  <c r="O160" i="10"/>
  <c r="F160" i="10" s="1"/>
  <c r="O165" i="10"/>
  <c r="F165" i="10" s="1"/>
  <c r="H318" i="10"/>
  <c r="O332" i="10"/>
  <c r="F332" i="10" s="1"/>
  <c r="O338" i="10"/>
  <c r="F338" i="10" s="1"/>
  <c r="O383" i="10"/>
  <c r="F383" i="10" s="1"/>
  <c r="H383" i="10" s="1"/>
  <c r="O430" i="10"/>
  <c r="F430" i="10" s="1"/>
  <c r="H443" i="10"/>
  <c r="H470" i="10"/>
  <c r="M480" i="10"/>
  <c r="O33" i="11"/>
  <c r="F33" i="11" s="1"/>
  <c r="G33" i="11" s="1"/>
  <c r="I67" i="11"/>
  <c r="I81" i="11"/>
  <c r="I82" i="11" s="1"/>
  <c r="H101" i="11"/>
  <c r="O282" i="11"/>
  <c r="F282" i="11" s="1"/>
  <c r="O312" i="11"/>
  <c r="F312" i="11" s="1"/>
  <c r="I453" i="11"/>
  <c r="M338" i="11"/>
  <c r="O281" i="8"/>
  <c r="F281" i="8" s="1"/>
  <c r="M81" i="9"/>
  <c r="M82" i="9" s="1"/>
  <c r="I166" i="9"/>
  <c r="I167" i="9" s="1"/>
  <c r="H237" i="9"/>
  <c r="M471" i="9"/>
  <c r="I196" i="10"/>
  <c r="I218" i="10"/>
  <c r="M246" i="10"/>
  <c r="H339" i="10"/>
  <c r="I431" i="10"/>
  <c r="I447" i="10"/>
  <c r="I456" i="10" s="1"/>
  <c r="O487" i="10"/>
  <c r="F487" i="10" s="1"/>
  <c r="O470" i="11"/>
  <c r="F470" i="11" s="1"/>
  <c r="G470" i="11" s="1"/>
  <c r="O570" i="11"/>
  <c r="F570" i="11" s="1"/>
  <c r="H570" i="11" s="1"/>
  <c r="I304" i="9"/>
  <c r="I558" i="9"/>
  <c r="M319" i="10"/>
  <c r="O319" i="10" s="1"/>
  <c r="F319" i="10" s="1"/>
  <c r="M340" i="10"/>
  <c r="O208" i="11"/>
  <c r="F208" i="11" s="1"/>
  <c r="H208" i="11" s="1"/>
  <c r="M223" i="11"/>
  <c r="M226" i="11" s="1"/>
  <c r="M227" i="11" s="1"/>
  <c r="O227" i="11" s="1"/>
  <c r="F227" i="11" s="1"/>
  <c r="M98" i="11"/>
  <c r="O98" i="11" s="1"/>
  <c r="F98" i="11" s="1"/>
  <c r="O75" i="9"/>
  <c r="F75" i="9" s="1"/>
  <c r="O215" i="9"/>
  <c r="F215" i="9" s="1"/>
  <c r="O281" i="9"/>
  <c r="F281" i="9" s="1"/>
  <c r="G281" i="9" s="1"/>
  <c r="M61" i="10"/>
  <c r="M62" i="10" s="1"/>
  <c r="O62" i="10" s="1"/>
  <c r="F62" i="10" s="1"/>
  <c r="G62" i="10" s="1"/>
  <c r="O231" i="10"/>
  <c r="F231" i="10" s="1"/>
  <c r="G250" i="10"/>
  <c r="H292" i="10"/>
  <c r="H336" i="11"/>
  <c r="O422" i="11"/>
  <c r="F422" i="11" s="1"/>
  <c r="I494" i="11"/>
  <c r="M545" i="11"/>
  <c r="O545" i="11" s="1"/>
  <c r="F545" i="11" s="1"/>
  <c r="I558" i="11"/>
  <c r="H535" i="9"/>
  <c r="O317" i="10"/>
  <c r="F317" i="10" s="1"/>
  <c r="I454" i="10"/>
  <c r="O486" i="10"/>
  <c r="F486" i="10" s="1"/>
  <c r="O268" i="9"/>
  <c r="F268" i="9" s="1"/>
  <c r="I282" i="9"/>
  <c r="I423" i="9"/>
  <c r="I432" i="9" s="1"/>
  <c r="O477" i="9"/>
  <c r="F477" i="9" s="1"/>
  <c r="G477" i="9" s="1"/>
  <c r="G478" i="9" s="1"/>
  <c r="M545" i="9"/>
  <c r="O545" i="9" s="1"/>
  <c r="F545" i="9" s="1"/>
  <c r="O38" i="10"/>
  <c r="F38" i="10" s="1"/>
  <c r="G38" i="10" s="1"/>
  <c r="M188" i="10"/>
  <c r="O381" i="10"/>
  <c r="F381" i="10" s="1"/>
  <c r="H440" i="10"/>
  <c r="O452" i="10"/>
  <c r="F452" i="10" s="1"/>
  <c r="M471" i="10"/>
  <c r="M494" i="10"/>
  <c r="G183" i="11"/>
  <c r="G377" i="11"/>
  <c r="I560" i="11"/>
  <c r="H15" i="12"/>
  <c r="G15" i="12"/>
  <c r="O20" i="12"/>
  <c r="F20" i="12" s="1"/>
  <c r="O22" i="12"/>
  <c r="F22" i="12" s="1"/>
  <c r="G570" i="11"/>
  <c r="M586" i="11"/>
  <c r="O586" i="11" s="1"/>
  <c r="F586" i="11" s="1"/>
  <c r="O571" i="11"/>
  <c r="F571" i="11" s="1"/>
  <c r="G571" i="11" s="1"/>
  <c r="G548" i="11"/>
  <c r="H548" i="11"/>
  <c r="O531" i="11"/>
  <c r="F531" i="11" s="1"/>
  <c r="G512" i="11"/>
  <c r="H512" i="11"/>
  <c r="O522" i="11"/>
  <c r="F522" i="11" s="1"/>
  <c r="M523" i="11"/>
  <c r="O523" i="11" s="1"/>
  <c r="F523" i="11" s="1"/>
  <c r="G523" i="11" s="1"/>
  <c r="H464" i="11"/>
  <c r="H465" i="11"/>
  <c r="O452" i="11"/>
  <c r="F452" i="11" s="1"/>
  <c r="O461" i="11"/>
  <c r="F461" i="11" s="1"/>
  <c r="G461" i="11" s="1"/>
  <c r="O423" i="11"/>
  <c r="F423" i="11" s="1"/>
  <c r="O346" i="11"/>
  <c r="F346" i="11" s="1"/>
  <c r="H346" i="11" s="1"/>
  <c r="O354" i="11"/>
  <c r="F354" i="11" s="1"/>
  <c r="H354" i="11" s="1"/>
  <c r="O332" i="11"/>
  <c r="F332" i="11" s="1"/>
  <c r="O322" i="11"/>
  <c r="F322" i="11" s="1"/>
  <c r="H322" i="11" s="1"/>
  <c r="O272" i="11"/>
  <c r="F272" i="11" s="1"/>
  <c r="G272" i="11" s="1"/>
  <c r="M274" i="11"/>
  <c r="H273" i="11"/>
  <c r="M291" i="11"/>
  <c r="O291" i="11" s="1"/>
  <c r="F291" i="11" s="1"/>
  <c r="G291" i="11" s="1"/>
  <c r="O281" i="11"/>
  <c r="F281" i="11" s="1"/>
  <c r="G281" i="11" s="1"/>
  <c r="M253" i="11"/>
  <c r="M254" i="11" s="1"/>
  <c r="O252" i="11"/>
  <c r="F252" i="11" s="1"/>
  <c r="O251" i="11"/>
  <c r="F251" i="11" s="1"/>
  <c r="O268" i="11"/>
  <c r="F268" i="11" s="1"/>
  <c r="G268" i="11" s="1"/>
  <c r="O231" i="11"/>
  <c r="F231" i="11" s="1"/>
  <c r="H231" i="11" s="1"/>
  <c r="M212" i="11"/>
  <c r="O212" i="11" s="1"/>
  <c r="F212" i="11" s="1"/>
  <c r="O210" i="11"/>
  <c r="F210" i="11" s="1"/>
  <c r="O209" i="11"/>
  <c r="F209" i="11" s="1"/>
  <c r="G209" i="11" s="1"/>
  <c r="O195" i="11"/>
  <c r="F195" i="11" s="1"/>
  <c r="G195" i="11" s="1"/>
  <c r="O199" i="11"/>
  <c r="F199" i="11" s="1"/>
  <c r="H199" i="11" s="1"/>
  <c r="O198" i="11"/>
  <c r="F198" i="11" s="1"/>
  <c r="H198" i="11" s="1"/>
  <c r="O167" i="11"/>
  <c r="F167" i="11" s="1"/>
  <c r="G165" i="11"/>
  <c r="O168" i="11"/>
  <c r="F168" i="11" s="1"/>
  <c r="H168" i="11" s="1"/>
  <c r="O182" i="11"/>
  <c r="F182" i="11" s="1"/>
  <c r="G182" i="11" s="1"/>
  <c r="G184" i="11" s="1"/>
  <c r="O145" i="11"/>
  <c r="F145" i="11" s="1"/>
  <c r="O157" i="11"/>
  <c r="F157" i="11" s="1"/>
  <c r="F158" i="11" s="1"/>
  <c r="O123" i="11"/>
  <c r="F123" i="11" s="1"/>
  <c r="H123" i="11" s="1"/>
  <c r="M103" i="11"/>
  <c r="M104" i="11" s="1"/>
  <c r="H102" i="11"/>
  <c r="O80" i="11"/>
  <c r="F80" i="11" s="1"/>
  <c r="H38" i="11"/>
  <c r="G37" i="11"/>
  <c r="H37" i="11"/>
  <c r="O43" i="11"/>
  <c r="F43" i="11" s="1"/>
  <c r="G43" i="11" s="1"/>
  <c r="I18" i="11"/>
  <c r="I26" i="11"/>
  <c r="G24" i="11"/>
  <c r="H24" i="11"/>
  <c r="O17" i="11"/>
  <c r="F17" i="11" s="1"/>
  <c r="M18" i="11"/>
  <c r="M26" i="11"/>
  <c r="O25" i="11"/>
  <c r="F25" i="11" s="1"/>
  <c r="H66" i="11"/>
  <c r="H98" i="11"/>
  <c r="G98" i="11"/>
  <c r="G99" i="11" s="1"/>
  <c r="O103" i="11"/>
  <c r="F103" i="11" s="1"/>
  <c r="G15" i="11"/>
  <c r="O16" i="11"/>
  <c r="F16" i="11" s="1"/>
  <c r="M40" i="11"/>
  <c r="O40" i="11" s="1"/>
  <c r="F40" i="11" s="1"/>
  <c r="O39" i="11"/>
  <c r="F39" i="11" s="1"/>
  <c r="G66" i="11"/>
  <c r="G129" i="11"/>
  <c r="H129" i="11"/>
  <c r="H147" i="11"/>
  <c r="G147" i="11"/>
  <c r="G173" i="11"/>
  <c r="H173" i="11"/>
  <c r="M237" i="11"/>
  <c r="O246" i="11"/>
  <c r="F246" i="11" s="1"/>
  <c r="M247" i="11"/>
  <c r="O247" i="11" s="1"/>
  <c r="F247" i="11" s="1"/>
  <c r="G337" i="11"/>
  <c r="H337" i="11"/>
  <c r="H57" i="11"/>
  <c r="G57" i="11"/>
  <c r="H201" i="11"/>
  <c r="G201" i="11"/>
  <c r="G215" i="11"/>
  <c r="H215" i="11"/>
  <c r="F244" i="11"/>
  <c r="H243" i="11"/>
  <c r="H244" i="11" s="1"/>
  <c r="G243" i="11"/>
  <c r="G244" i="11" s="1"/>
  <c r="H282" i="11"/>
  <c r="G282" i="11"/>
  <c r="H15" i="11"/>
  <c r="H34" i="11"/>
  <c r="G34" i="11"/>
  <c r="G35" i="11" s="1"/>
  <c r="M45" i="11"/>
  <c r="O44" i="11"/>
  <c r="F44" i="11" s="1"/>
  <c r="F99" i="11"/>
  <c r="H97" i="11"/>
  <c r="I132" i="11"/>
  <c r="I133" i="11"/>
  <c r="I134" i="11" s="1"/>
  <c r="G186" i="11"/>
  <c r="H186" i="11"/>
  <c r="I211" i="11"/>
  <c r="I212" i="11"/>
  <c r="H210" i="11"/>
  <c r="G210" i="11"/>
  <c r="H233" i="11"/>
  <c r="G233" i="11"/>
  <c r="H291" i="11"/>
  <c r="H292" i="11" s="1"/>
  <c r="M59" i="11"/>
  <c r="O58" i="11"/>
  <c r="F58" i="11" s="1"/>
  <c r="M82" i="11"/>
  <c r="O81" i="11"/>
  <c r="F81" i="11" s="1"/>
  <c r="G170" i="11"/>
  <c r="H232" i="11"/>
  <c r="G232" i="11"/>
  <c r="F35" i="11"/>
  <c r="H33" i="11"/>
  <c r="H43" i="11"/>
  <c r="M53" i="11"/>
  <c r="O50" i="11"/>
  <c r="F50" i="11" s="1"/>
  <c r="I60" i="11"/>
  <c r="I68" i="11"/>
  <c r="M68" i="11"/>
  <c r="O67" i="11"/>
  <c r="F67" i="11" s="1"/>
  <c r="M76" i="11"/>
  <c r="O76" i="11" s="1"/>
  <c r="F76" i="11" s="1"/>
  <c r="O75" i="11"/>
  <c r="F75" i="11" s="1"/>
  <c r="M90" i="11"/>
  <c r="O89" i="11"/>
  <c r="F89" i="11" s="1"/>
  <c r="G123" i="11"/>
  <c r="I126" i="11"/>
  <c r="I125" i="11"/>
  <c r="H126" i="11"/>
  <c r="G126" i="11"/>
  <c r="G140" i="11"/>
  <c r="H140" i="11"/>
  <c r="G150" i="11"/>
  <c r="H150" i="11"/>
  <c r="O160" i="11"/>
  <c r="F160" i="11" s="1"/>
  <c r="M161" i="11"/>
  <c r="O161" i="11" s="1"/>
  <c r="F161" i="11" s="1"/>
  <c r="G236" i="11"/>
  <c r="H236" i="11"/>
  <c r="O259" i="11"/>
  <c r="F259" i="11" s="1"/>
  <c r="M260" i="11"/>
  <c r="H316" i="11"/>
  <c r="G316" i="11"/>
  <c r="M130" i="11"/>
  <c r="O146" i="11"/>
  <c r="F146" i="11" s="1"/>
  <c r="M151" i="11"/>
  <c r="I166" i="11"/>
  <c r="G169" i="11"/>
  <c r="O197" i="11"/>
  <c r="F197" i="11" s="1"/>
  <c r="I200" i="11"/>
  <c r="F234" i="11"/>
  <c r="H230" i="11"/>
  <c r="I252" i="11"/>
  <c r="H312" i="11"/>
  <c r="H314" i="11" s="1"/>
  <c r="G312" i="11"/>
  <c r="F314" i="11"/>
  <c r="M361" i="11"/>
  <c r="O360" i="11"/>
  <c r="F360" i="11" s="1"/>
  <c r="O124" i="11"/>
  <c r="F124" i="11" s="1"/>
  <c r="M141" i="11"/>
  <c r="O141" i="11" s="1"/>
  <c r="F141" i="11" s="1"/>
  <c r="F142" i="11" s="1"/>
  <c r="H144" i="11"/>
  <c r="O166" i="11"/>
  <c r="F166" i="11" s="1"/>
  <c r="M174" i="11"/>
  <c r="O196" i="11"/>
  <c r="F196" i="11" s="1"/>
  <c r="I199" i="11"/>
  <c r="O200" i="11"/>
  <c r="F200" i="11" s="1"/>
  <c r="G231" i="11"/>
  <c r="H345" i="11"/>
  <c r="G345" i="11"/>
  <c r="H355" i="11"/>
  <c r="H356" i="11" s="1"/>
  <c r="G355" i="11"/>
  <c r="M125" i="11"/>
  <c r="O125" i="11" s="1"/>
  <c r="F125" i="11" s="1"/>
  <c r="F138" i="11"/>
  <c r="H137" i="11"/>
  <c r="H138" i="11" s="1"/>
  <c r="H164" i="11"/>
  <c r="F184" i="11"/>
  <c r="I198" i="11"/>
  <c r="M216" i="11"/>
  <c r="H250" i="11"/>
  <c r="M275" i="11"/>
  <c r="O274" i="11"/>
  <c r="F274" i="11" s="1"/>
  <c r="M297" i="11"/>
  <c r="O296" i="11"/>
  <c r="F296" i="11" s="1"/>
  <c r="M318" i="11"/>
  <c r="O317" i="11"/>
  <c r="F317" i="11" s="1"/>
  <c r="F334" i="11"/>
  <c r="H332" i="11"/>
  <c r="G332" i="11"/>
  <c r="M211" i="11"/>
  <c r="O211" i="11" s="1"/>
  <c r="F211" i="11" s="1"/>
  <c r="I218" i="11"/>
  <c r="H269" i="11"/>
  <c r="G269" i="11"/>
  <c r="G270" i="11" s="1"/>
  <c r="I276" i="11"/>
  <c r="I284" i="11"/>
  <c r="M284" i="11"/>
  <c r="O283" i="11"/>
  <c r="F283" i="11" s="1"/>
  <c r="I283" i="11"/>
  <c r="G313" i="11"/>
  <c r="H333" i="11"/>
  <c r="G333" i="11"/>
  <c r="G346" i="11"/>
  <c r="M431" i="11"/>
  <c r="O430" i="11"/>
  <c r="F430" i="11" s="1"/>
  <c r="H440" i="11"/>
  <c r="G440" i="11"/>
  <c r="G290" i="11"/>
  <c r="H294" i="11"/>
  <c r="G294" i="11"/>
  <c r="M325" i="11"/>
  <c r="O324" i="11"/>
  <c r="F324" i="11" s="1"/>
  <c r="O323" i="11"/>
  <c r="F323" i="11" s="1"/>
  <c r="M339" i="11"/>
  <c r="O338" i="11"/>
  <c r="F338" i="11" s="1"/>
  <c r="M348" i="11"/>
  <c r="O347" i="11"/>
  <c r="F347" i="11" s="1"/>
  <c r="G354" i="11"/>
  <c r="F356" i="11"/>
  <c r="H358" i="11"/>
  <c r="G358" i="11"/>
  <c r="H380" i="11"/>
  <c r="G380" i="11"/>
  <c r="M382" i="11"/>
  <c r="O381" i="11"/>
  <c r="F381" i="11" s="1"/>
  <c r="H422" i="11"/>
  <c r="G422" i="11"/>
  <c r="M445" i="11"/>
  <c r="O444" i="11"/>
  <c r="F444" i="11" s="1"/>
  <c r="I296" i="11"/>
  <c r="I304" i="11"/>
  <c r="M304" i="11"/>
  <c r="O303" i="11"/>
  <c r="F303" i="11" s="1"/>
  <c r="I340" i="11"/>
  <c r="I348" i="11"/>
  <c r="I360" i="11"/>
  <c r="I368" i="11"/>
  <c r="M368" i="11"/>
  <c r="O367" i="11"/>
  <c r="F367" i="11" s="1"/>
  <c r="M403" i="11"/>
  <c r="O402" i="11"/>
  <c r="F402" i="11" s="1"/>
  <c r="H443" i="11"/>
  <c r="G443" i="11"/>
  <c r="H452" i="11"/>
  <c r="G452" i="11"/>
  <c r="H421" i="11"/>
  <c r="G421" i="11"/>
  <c r="H439" i="11"/>
  <c r="G439" i="11"/>
  <c r="G441" i="11" s="1"/>
  <c r="F441" i="11"/>
  <c r="H527" i="11"/>
  <c r="G527" i="11"/>
  <c r="I282" i="11"/>
  <c r="O295" i="11"/>
  <c r="F295" i="11" s="1"/>
  <c r="I346" i="11"/>
  <c r="O359" i="11"/>
  <c r="F359" i="11" s="1"/>
  <c r="O376" i="11"/>
  <c r="F376" i="11" s="1"/>
  <c r="G401" i="11"/>
  <c r="I423" i="11"/>
  <c r="I431" i="11"/>
  <c r="M425" i="11"/>
  <c r="O424" i="11"/>
  <c r="F424" i="11" s="1"/>
  <c r="O329" i="11"/>
  <c r="F329" i="11" s="1"/>
  <c r="I446" i="11"/>
  <c r="I454" i="11"/>
  <c r="M454" i="11"/>
  <c r="O453" i="11"/>
  <c r="F453" i="11" s="1"/>
  <c r="H462" i="11"/>
  <c r="G462" i="11"/>
  <c r="G463" i="11" s="1"/>
  <c r="M472" i="11"/>
  <c r="O471" i="11"/>
  <c r="F471" i="11" s="1"/>
  <c r="H545" i="11"/>
  <c r="G545" i="11"/>
  <c r="F463" i="11"/>
  <c r="H461" i="11"/>
  <c r="H470" i="11"/>
  <c r="M480" i="11"/>
  <c r="O477" i="11"/>
  <c r="F477" i="11" s="1"/>
  <c r="I487" i="11"/>
  <c r="I495" i="11"/>
  <c r="M495" i="11"/>
  <c r="O494" i="11"/>
  <c r="F494" i="11" s="1"/>
  <c r="M503" i="11"/>
  <c r="O503" i="11" s="1"/>
  <c r="F503" i="11" s="1"/>
  <c r="O502" i="11"/>
  <c r="F502" i="11" s="1"/>
  <c r="M509" i="11"/>
  <c r="O509" i="11" s="1"/>
  <c r="F509" i="11" s="1"/>
  <c r="O508" i="11"/>
  <c r="F508" i="11" s="1"/>
  <c r="H526" i="11"/>
  <c r="G526" i="11"/>
  <c r="O549" i="11"/>
  <c r="F549" i="11" s="1"/>
  <c r="M550" i="11"/>
  <c r="H484" i="11"/>
  <c r="G484" i="11"/>
  <c r="M486" i="11"/>
  <c r="O485" i="11"/>
  <c r="F485" i="11" s="1"/>
  <c r="H493" i="11"/>
  <c r="O535" i="11"/>
  <c r="F535" i="11" s="1"/>
  <c r="M536" i="11"/>
  <c r="H544" i="11"/>
  <c r="F546" i="11"/>
  <c r="G544" i="11"/>
  <c r="O558" i="11"/>
  <c r="F558" i="11" s="1"/>
  <c r="H586" i="11"/>
  <c r="H587" i="11" s="1"/>
  <c r="G586" i="11"/>
  <c r="G493" i="11"/>
  <c r="G507" i="11"/>
  <c r="H532" i="11"/>
  <c r="G532" i="11"/>
  <c r="H531" i="11"/>
  <c r="G531" i="11"/>
  <c r="M560" i="11"/>
  <c r="O559" i="11"/>
  <c r="F559" i="11" s="1"/>
  <c r="H572" i="11"/>
  <c r="G572" i="11"/>
  <c r="F520" i="11"/>
  <c r="H519" i="11"/>
  <c r="H520" i="11" s="1"/>
  <c r="O530" i="11"/>
  <c r="F530" i="11" s="1"/>
  <c r="H557" i="11"/>
  <c r="G585" i="11"/>
  <c r="F587" i="11"/>
  <c r="M513" i="11"/>
  <c r="G519" i="11"/>
  <c r="G520" i="11" s="1"/>
  <c r="I528" i="11"/>
  <c r="O529" i="11"/>
  <c r="F529" i="11" s="1"/>
  <c r="G557" i="11"/>
  <c r="I559" i="11"/>
  <c r="F583" i="11"/>
  <c r="H582" i="11"/>
  <c r="H583" i="11" s="1"/>
  <c r="G582" i="11"/>
  <c r="G583" i="11" s="1"/>
  <c r="O528" i="11"/>
  <c r="F528" i="11" s="1"/>
  <c r="F533" i="11" s="1"/>
  <c r="I553" i="11"/>
  <c r="I561" i="11"/>
  <c r="M567" i="11"/>
  <c r="O567" i="11" s="1"/>
  <c r="F567" i="11" s="1"/>
  <c r="O566" i="11"/>
  <c r="F566" i="11" s="1"/>
  <c r="H569" i="11"/>
  <c r="M576" i="11"/>
  <c r="O575" i="11"/>
  <c r="F575" i="11" s="1"/>
  <c r="H38" i="10"/>
  <c r="G53" i="10"/>
  <c r="H53" i="10"/>
  <c r="H76" i="10"/>
  <c r="H77" i="10" s="1"/>
  <c r="G76" i="10"/>
  <c r="H40" i="10"/>
  <c r="G40" i="10"/>
  <c r="I25" i="10"/>
  <c r="M54" i="10"/>
  <c r="O54" i="10" s="1"/>
  <c r="F54" i="10" s="1"/>
  <c r="M81" i="10"/>
  <c r="O80" i="10"/>
  <c r="F80" i="10" s="1"/>
  <c r="H232" i="10"/>
  <c r="F234" i="10"/>
  <c r="M269" i="10"/>
  <c r="O269" i="10" s="1"/>
  <c r="F269" i="10" s="1"/>
  <c r="O268" i="10"/>
  <c r="F268" i="10" s="1"/>
  <c r="H15" i="10"/>
  <c r="G15" i="10"/>
  <c r="H37" i="10"/>
  <c r="O61" i="10"/>
  <c r="F61" i="10" s="1"/>
  <c r="M103" i="10"/>
  <c r="O102" i="10"/>
  <c r="F102" i="10" s="1"/>
  <c r="M125" i="10"/>
  <c r="O125" i="10" s="1"/>
  <c r="F125" i="10" s="1"/>
  <c r="M126" i="10"/>
  <c r="O126" i="10" s="1"/>
  <c r="F126" i="10" s="1"/>
  <c r="O124" i="10"/>
  <c r="F124" i="10" s="1"/>
  <c r="O146" i="10"/>
  <c r="F146" i="10" s="1"/>
  <c r="F148" i="10" s="1"/>
  <c r="M147" i="10"/>
  <c r="O147" i="10" s="1"/>
  <c r="F147" i="10" s="1"/>
  <c r="H233" i="10"/>
  <c r="G233" i="10"/>
  <c r="F244" i="10"/>
  <c r="H243" i="10"/>
  <c r="H244" i="10" s="1"/>
  <c r="G243" i="10"/>
  <c r="G244" i="10" s="1"/>
  <c r="I59" i="10"/>
  <c r="I67" i="10"/>
  <c r="M63" i="10"/>
  <c r="O63" i="10" s="1"/>
  <c r="F63" i="10" s="1"/>
  <c r="G75" i="10"/>
  <c r="F77" i="10"/>
  <c r="O168" i="10"/>
  <c r="F168" i="10" s="1"/>
  <c r="M34" i="10"/>
  <c r="O34" i="10" s="1"/>
  <c r="F34" i="10" s="1"/>
  <c r="O33" i="10"/>
  <c r="F33" i="10" s="1"/>
  <c r="G57" i="10"/>
  <c r="H79" i="10"/>
  <c r="G79" i="10"/>
  <c r="F138" i="10"/>
  <c r="H137" i="10"/>
  <c r="H138" i="10" s="1"/>
  <c r="G137" i="10"/>
  <c r="G138" i="10" s="1"/>
  <c r="M296" i="10"/>
  <c r="O295" i="10"/>
  <c r="F295" i="10" s="1"/>
  <c r="M17" i="10"/>
  <c r="O16" i="10"/>
  <c r="F16" i="10" s="1"/>
  <c r="F162" i="10"/>
  <c r="H160" i="10"/>
  <c r="I166" i="10"/>
  <c r="I174" i="10"/>
  <c r="O169" i="10"/>
  <c r="F169" i="10" s="1"/>
  <c r="M170" i="10"/>
  <c r="O170" i="10" s="1"/>
  <c r="F170" i="10" s="1"/>
  <c r="I18" i="10"/>
  <c r="O24" i="10"/>
  <c r="F24" i="10" s="1"/>
  <c r="G37" i="10"/>
  <c r="M44" i="10"/>
  <c r="O43" i="10"/>
  <c r="F43" i="10" s="1"/>
  <c r="H62" i="10"/>
  <c r="H101" i="10"/>
  <c r="G101" i="10"/>
  <c r="I125" i="10"/>
  <c r="M141" i="10"/>
  <c r="O141" i="10" s="1"/>
  <c r="F141" i="10" s="1"/>
  <c r="O140" i="10"/>
  <c r="F140" i="10" s="1"/>
  <c r="O145" i="10"/>
  <c r="F145" i="10" s="1"/>
  <c r="H161" i="10"/>
  <c r="G161" i="10"/>
  <c r="G186" i="10"/>
  <c r="H186" i="10"/>
  <c r="G216" i="10"/>
  <c r="H216" i="10"/>
  <c r="G232" i="10"/>
  <c r="H25" i="10"/>
  <c r="M26" i="10"/>
  <c r="H57" i="10"/>
  <c r="O59" i="10"/>
  <c r="F59" i="10" s="1"/>
  <c r="M67" i="10"/>
  <c r="O66" i="10"/>
  <c r="F66" i="10" s="1"/>
  <c r="I89" i="10"/>
  <c r="I81" i="10"/>
  <c r="H88" i="10"/>
  <c r="M130" i="10"/>
  <c r="O129" i="10"/>
  <c r="F129" i="10" s="1"/>
  <c r="G160" i="10"/>
  <c r="G187" i="10"/>
  <c r="H187" i="10"/>
  <c r="G237" i="10"/>
  <c r="H237" i="10"/>
  <c r="H333" i="10"/>
  <c r="G333" i="10"/>
  <c r="M247" i="10"/>
  <c r="O247" i="10" s="1"/>
  <c r="F247" i="10" s="1"/>
  <c r="O246" i="10"/>
  <c r="F246" i="10" s="1"/>
  <c r="O252" i="10"/>
  <c r="F252" i="10" s="1"/>
  <c r="M253" i="10"/>
  <c r="H294" i="10"/>
  <c r="G294" i="10"/>
  <c r="H355" i="10"/>
  <c r="H356" i="10" s="1"/>
  <c r="G355" i="10"/>
  <c r="H464" i="10"/>
  <c r="G464" i="10"/>
  <c r="G99" i="10"/>
  <c r="G122" i="10"/>
  <c r="H144" i="10"/>
  <c r="M196" i="10"/>
  <c r="O195" i="10"/>
  <c r="F195" i="10" s="1"/>
  <c r="H204" i="10"/>
  <c r="O251" i="10"/>
  <c r="F251" i="10" s="1"/>
  <c r="M261" i="10"/>
  <c r="O260" i="10"/>
  <c r="F260" i="10" s="1"/>
  <c r="H319" i="10"/>
  <c r="G319" i="10"/>
  <c r="H358" i="10"/>
  <c r="G358" i="10"/>
  <c r="I371" i="10"/>
  <c r="I363" i="10"/>
  <c r="O50" i="10"/>
  <c r="F50" i="10" s="1"/>
  <c r="H123" i="10"/>
  <c r="G144" i="10"/>
  <c r="M151" i="10"/>
  <c r="O150" i="10"/>
  <c r="F150" i="10" s="1"/>
  <c r="H157" i="10"/>
  <c r="H158" i="10" s="1"/>
  <c r="F158" i="10"/>
  <c r="G164" i="10"/>
  <c r="O166" i="10"/>
  <c r="F166" i="10" s="1"/>
  <c r="M174" i="10"/>
  <c r="O173" i="10"/>
  <c r="F173" i="10" s="1"/>
  <c r="I190" i="10"/>
  <c r="I198" i="10"/>
  <c r="M210" i="10"/>
  <c r="O209" i="10"/>
  <c r="F209" i="10" s="1"/>
  <c r="I211" i="10"/>
  <c r="G215" i="10"/>
  <c r="F224" i="10"/>
  <c r="H223" i="10"/>
  <c r="H224" i="10" s="1"/>
  <c r="H236" i="10"/>
  <c r="M238" i="10"/>
  <c r="G272" i="10"/>
  <c r="H272" i="10"/>
  <c r="H274" i="10"/>
  <c r="G274" i="10"/>
  <c r="H367" i="10"/>
  <c r="G367" i="10"/>
  <c r="H421" i="10"/>
  <c r="G421" i="10"/>
  <c r="F99" i="10"/>
  <c r="F184" i="10"/>
  <c r="G273" i="10"/>
  <c r="H273" i="10"/>
  <c r="M304" i="10"/>
  <c r="O303" i="10"/>
  <c r="F303" i="10" s="1"/>
  <c r="F334" i="10"/>
  <c r="H332" i="10"/>
  <c r="H334" i="10" s="1"/>
  <c r="G332" i="10"/>
  <c r="G334" i="10" s="1"/>
  <c r="M425" i="10"/>
  <c r="O424" i="10"/>
  <c r="F424" i="10" s="1"/>
  <c r="M205" i="10"/>
  <c r="O205" i="10" s="1"/>
  <c r="F205" i="10" s="1"/>
  <c r="M217" i="10"/>
  <c r="I253" i="10"/>
  <c r="I261" i="10"/>
  <c r="F320" i="10"/>
  <c r="H316" i="10"/>
  <c r="G316" i="10"/>
  <c r="I297" i="10"/>
  <c r="M323" i="10"/>
  <c r="O322" i="10"/>
  <c r="F322" i="10" s="1"/>
  <c r="I338" i="10"/>
  <c r="I346" i="10"/>
  <c r="G354" i="10"/>
  <c r="F356" i="10"/>
  <c r="H368" i="10"/>
  <c r="M369" i="10"/>
  <c r="H384" i="10"/>
  <c r="M385" i="10"/>
  <c r="G452" i="10"/>
  <c r="H452" i="10"/>
  <c r="G507" i="10"/>
  <c r="H507" i="10"/>
  <c r="I274" i="10"/>
  <c r="I282" i="10"/>
  <c r="G290" i="10"/>
  <c r="G292" i="10" s="1"/>
  <c r="F292" i="10"/>
  <c r="M346" i="10"/>
  <c r="O345" i="10"/>
  <c r="F345" i="10" s="1"/>
  <c r="I368" i="10"/>
  <c r="M377" i="10"/>
  <c r="O377" i="10" s="1"/>
  <c r="F377" i="10" s="1"/>
  <c r="O376" i="10"/>
  <c r="F376" i="10" s="1"/>
  <c r="H485" i="10"/>
  <c r="G485" i="10"/>
  <c r="M282" i="10"/>
  <c r="O281" i="10"/>
  <c r="F281" i="10" s="1"/>
  <c r="I304" i="10"/>
  <c r="M313" i="10"/>
  <c r="O313" i="10" s="1"/>
  <c r="F313" i="10" s="1"/>
  <c r="O312" i="10"/>
  <c r="F312" i="10" s="1"/>
  <c r="G336" i="10"/>
  <c r="M360" i="10"/>
  <c r="O359" i="10"/>
  <c r="F359" i="10" s="1"/>
  <c r="H380" i="10"/>
  <c r="I424" i="10"/>
  <c r="I432" i="10"/>
  <c r="H484" i="10"/>
  <c r="G484" i="10"/>
  <c r="G461" i="10"/>
  <c r="F463" i="10"/>
  <c r="I487" i="10"/>
  <c r="I495" i="10"/>
  <c r="G493" i="10"/>
  <c r="H493" i="10"/>
  <c r="M559" i="10"/>
  <c r="O558" i="10"/>
  <c r="F558" i="10" s="1"/>
  <c r="O329" i="10"/>
  <c r="F329" i="10" s="1"/>
  <c r="M404" i="10"/>
  <c r="O403" i="10"/>
  <c r="F403" i="10" s="1"/>
  <c r="O422" i="10"/>
  <c r="F422" i="10" s="1"/>
  <c r="M432" i="10"/>
  <c r="O431" i="10"/>
  <c r="F431" i="10" s="1"/>
  <c r="O439" i="10"/>
  <c r="F439" i="10" s="1"/>
  <c r="M446" i="10"/>
  <c r="O445" i="10"/>
  <c r="F445" i="10" s="1"/>
  <c r="G453" i="10"/>
  <c r="H462" i="10"/>
  <c r="H463" i="10" s="1"/>
  <c r="G462" i="10"/>
  <c r="M481" i="10"/>
  <c r="O481" i="10" s="1"/>
  <c r="F481" i="10" s="1"/>
  <c r="O480" i="10"/>
  <c r="F480" i="10" s="1"/>
  <c r="I448" i="10"/>
  <c r="H465" i="10"/>
  <c r="G465" i="10"/>
  <c r="G504" i="10"/>
  <c r="H503" i="10"/>
  <c r="G503" i="10"/>
  <c r="M576" i="10"/>
  <c r="O575" i="10"/>
  <c r="F575" i="10" s="1"/>
  <c r="M455" i="10"/>
  <c r="O454" i="10"/>
  <c r="F454" i="10" s="1"/>
  <c r="O466" i="10"/>
  <c r="F466" i="10" s="1"/>
  <c r="F468" i="10" s="1"/>
  <c r="M472" i="10"/>
  <c r="O471" i="10"/>
  <c r="F471" i="10" s="1"/>
  <c r="F478" i="10"/>
  <c r="H477" i="10"/>
  <c r="H478" i="10" s="1"/>
  <c r="M489" i="10"/>
  <c r="O488" i="10"/>
  <c r="F488" i="10" s="1"/>
  <c r="F504" i="10"/>
  <c r="H502" i="10"/>
  <c r="M509" i="10"/>
  <c r="O509" i="10" s="1"/>
  <c r="F509" i="10" s="1"/>
  <c r="O508" i="10"/>
  <c r="F508" i="10" s="1"/>
  <c r="F510" i="10" s="1"/>
  <c r="M513" i="10"/>
  <c r="O512" i="10"/>
  <c r="F512" i="10" s="1"/>
  <c r="H467" i="10"/>
  <c r="G467" i="10"/>
  <c r="H486" i="10"/>
  <c r="G486" i="10"/>
  <c r="M495" i="10"/>
  <c r="O494" i="10"/>
  <c r="F494" i="10" s="1"/>
  <c r="I551" i="10"/>
  <c r="I559" i="10"/>
  <c r="H545" i="10"/>
  <c r="G545" i="10"/>
  <c r="I528" i="10"/>
  <c r="I536" i="10"/>
  <c r="M536" i="10"/>
  <c r="O535" i="10"/>
  <c r="F535" i="10" s="1"/>
  <c r="H544" i="10"/>
  <c r="G544" i="10"/>
  <c r="F546" i="10"/>
  <c r="H548" i="10"/>
  <c r="G548" i="10"/>
  <c r="M550" i="10"/>
  <c r="O549" i="10"/>
  <c r="F549" i="10" s="1"/>
  <c r="H557" i="10"/>
  <c r="M567" i="10"/>
  <c r="O567" i="10" s="1"/>
  <c r="F567" i="10" s="1"/>
  <c r="O566" i="10"/>
  <c r="F566" i="10" s="1"/>
  <c r="M572" i="10"/>
  <c r="O572" i="10" s="1"/>
  <c r="F572" i="10" s="1"/>
  <c r="O571" i="10"/>
  <c r="F571" i="10" s="1"/>
  <c r="M530" i="10"/>
  <c r="O529" i="10"/>
  <c r="F529" i="10" s="1"/>
  <c r="G506" i="10"/>
  <c r="G526" i="10"/>
  <c r="O528" i="10"/>
  <c r="F528" i="10" s="1"/>
  <c r="G570" i="10"/>
  <c r="G585" i="10"/>
  <c r="M586" i="10"/>
  <c r="O586" i="10" s="1"/>
  <c r="F586" i="10" s="1"/>
  <c r="H569" i="10"/>
  <c r="O582" i="10"/>
  <c r="F582" i="10" s="1"/>
  <c r="O570" i="9"/>
  <c r="F570" i="9" s="1"/>
  <c r="O557" i="9"/>
  <c r="F557" i="9" s="1"/>
  <c r="G557" i="9" s="1"/>
  <c r="H527" i="9"/>
  <c r="G527" i="9"/>
  <c r="H545" i="9"/>
  <c r="G545" i="9"/>
  <c r="G546" i="9" s="1"/>
  <c r="O528" i="9"/>
  <c r="F528" i="9" s="1"/>
  <c r="O529" i="9"/>
  <c r="F529" i="9" s="1"/>
  <c r="H529" i="9" s="1"/>
  <c r="H506" i="9"/>
  <c r="G506" i="9"/>
  <c r="H507" i="9"/>
  <c r="O485" i="9"/>
  <c r="F485" i="9" s="1"/>
  <c r="H493" i="9"/>
  <c r="O502" i="9"/>
  <c r="F502" i="9" s="1"/>
  <c r="G502" i="9" s="1"/>
  <c r="G470" i="9"/>
  <c r="H470" i="9"/>
  <c r="O466" i="9"/>
  <c r="F466" i="9" s="1"/>
  <c r="H466" i="9" s="1"/>
  <c r="H443" i="9"/>
  <c r="G443" i="9"/>
  <c r="M445" i="9"/>
  <c r="M446" i="9" s="1"/>
  <c r="O453" i="9"/>
  <c r="F453" i="9" s="1"/>
  <c r="H453" i="9" s="1"/>
  <c r="O422" i="9"/>
  <c r="F422" i="9" s="1"/>
  <c r="O439" i="9"/>
  <c r="F439" i="9" s="1"/>
  <c r="G439" i="9" s="1"/>
  <c r="O381" i="9"/>
  <c r="F381" i="9" s="1"/>
  <c r="O368" i="9"/>
  <c r="F368" i="9" s="1"/>
  <c r="O369" i="9"/>
  <c r="F369" i="9" s="1"/>
  <c r="O317" i="9"/>
  <c r="F317" i="9" s="1"/>
  <c r="M333" i="9"/>
  <c r="O333" i="9" s="1"/>
  <c r="F333" i="9" s="1"/>
  <c r="H333" i="9" s="1"/>
  <c r="H334" i="9" s="1"/>
  <c r="O329" i="9"/>
  <c r="F329" i="9" s="1"/>
  <c r="F330" i="9" s="1"/>
  <c r="O303" i="9"/>
  <c r="F303" i="9" s="1"/>
  <c r="H230" i="9"/>
  <c r="G230" i="9"/>
  <c r="G231" i="9"/>
  <c r="M238" i="9"/>
  <c r="M189" i="9"/>
  <c r="O189" i="9" s="1"/>
  <c r="F189" i="9" s="1"/>
  <c r="G189" i="9" s="1"/>
  <c r="O188" i="9"/>
  <c r="F188" i="9" s="1"/>
  <c r="H188" i="9" s="1"/>
  <c r="O187" i="9"/>
  <c r="F187" i="9" s="1"/>
  <c r="G187" i="9" s="1"/>
  <c r="M205" i="9"/>
  <c r="O205" i="9" s="1"/>
  <c r="F205" i="9" s="1"/>
  <c r="H205" i="9" s="1"/>
  <c r="H206" i="9" s="1"/>
  <c r="H164" i="9"/>
  <c r="G164" i="9"/>
  <c r="O165" i="9"/>
  <c r="F165" i="9" s="1"/>
  <c r="H165" i="9" s="1"/>
  <c r="H173" i="9"/>
  <c r="O182" i="9"/>
  <c r="F182" i="9" s="1"/>
  <c r="G161" i="9"/>
  <c r="H161" i="9"/>
  <c r="G150" i="9"/>
  <c r="H150" i="9"/>
  <c r="M151" i="9"/>
  <c r="H157" i="9"/>
  <c r="H158" i="9" s="1"/>
  <c r="H122" i="9"/>
  <c r="G122" i="9"/>
  <c r="O123" i="9"/>
  <c r="F123" i="9" s="1"/>
  <c r="M104" i="9"/>
  <c r="O104" i="9" s="1"/>
  <c r="F104" i="9" s="1"/>
  <c r="O103" i="9"/>
  <c r="F103" i="9" s="1"/>
  <c r="O102" i="9"/>
  <c r="F102" i="9" s="1"/>
  <c r="H102" i="9" s="1"/>
  <c r="G79" i="9"/>
  <c r="H79" i="9"/>
  <c r="O89" i="9"/>
  <c r="F89" i="9" s="1"/>
  <c r="H89" i="9" s="1"/>
  <c r="M98" i="9"/>
  <c r="O98" i="9" s="1"/>
  <c r="F98" i="9" s="1"/>
  <c r="G98" i="9" s="1"/>
  <c r="O58" i="9"/>
  <c r="F58" i="9" s="1"/>
  <c r="G58" i="9" s="1"/>
  <c r="M67" i="9"/>
  <c r="M68" i="9" s="1"/>
  <c r="M69" i="9" s="1"/>
  <c r="H43" i="9"/>
  <c r="M44" i="9"/>
  <c r="M45" i="9" s="1"/>
  <c r="I19" i="9"/>
  <c r="I27" i="9"/>
  <c r="G50" i="9"/>
  <c r="G51" i="9" s="1"/>
  <c r="F51" i="9"/>
  <c r="H50" i="9"/>
  <c r="H51" i="9" s="1"/>
  <c r="M60" i="9"/>
  <c r="O59" i="9"/>
  <c r="F59" i="9" s="1"/>
  <c r="F77" i="9"/>
  <c r="G75" i="9"/>
  <c r="H75" i="9"/>
  <c r="O82" i="9"/>
  <c r="F82" i="9" s="1"/>
  <c r="M83" i="9"/>
  <c r="H144" i="9"/>
  <c r="G144" i="9"/>
  <c r="H38" i="9"/>
  <c r="G38" i="9"/>
  <c r="G54" i="9"/>
  <c r="H54" i="9"/>
  <c r="H58" i="9"/>
  <c r="O68" i="9"/>
  <c r="F68" i="9" s="1"/>
  <c r="M91" i="9"/>
  <c r="O90" i="9"/>
  <c r="F90" i="9" s="1"/>
  <c r="G66" i="9"/>
  <c r="H66" i="9"/>
  <c r="G97" i="9"/>
  <c r="H97" i="9"/>
  <c r="G188" i="9"/>
  <c r="M33" i="9"/>
  <c r="M16" i="9"/>
  <c r="M24" i="9"/>
  <c r="O15" i="9"/>
  <c r="F15" i="9" s="1"/>
  <c r="I26" i="9"/>
  <c r="H37" i="9"/>
  <c r="G37" i="9"/>
  <c r="G57" i="9"/>
  <c r="H57" i="9"/>
  <c r="I69" i="9"/>
  <c r="I61" i="9"/>
  <c r="G80" i="9"/>
  <c r="H80" i="9"/>
  <c r="G89" i="9"/>
  <c r="H101" i="9"/>
  <c r="G101" i="9"/>
  <c r="H183" i="9"/>
  <c r="G183" i="9"/>
  <c r="H208" i="9"/>
  <c r="G208" i="9"/>
  <c r="G40" i="9"/>
  <c r="H76" i="9"/>
  <c r="G76" i="9"/>
  <c r="H88" i="9"/>
  <c r="G88" i="9"/>
  <c r="G103" i="9"/>
  <c r="H103" i="9"/>
  <c r="H215" i="9"/>
  <c r="G215" i="9"/>
  <c r="M196" i="9"/>
  <c r="O195" i="9"/>
  <c r="F195" i="9" s="1"/>
  <c r="G246" i="9"/>
  <c r="H246" i="9"/>
  <c r="I252" i="9"/>
  <c r="I260" i="9"/>
  <c r="H272" i="9"/>
  <c r="G272" i="9"/>
  <c r="M425" i="9"/>
  <c r="O424" i="9"/>
  <c r="F424" i="9" s="1"/>
  <c r="O53" i="9"/>
  <c r="F53" i="9" s="1"/>
  <c r="O67" i="9"/>
  <c r="F67" i="9" s="1"/>
  <c r="I68" i="9"/>
  <c r="O81" i="9"/>
  <c r="F81" i="9" s="1"/>
  <c r="I126" i="9"/>
  <c r="I133" i="9"/>
  <c r="I134" i="9" s="1"/>
  <c r="M140" i="9"/>
  <c r="O137" i="9"/>
  <c r="F137" i="9" s="1"/>
  <c r="O174" i="9"/>
  <c r="F174" i="9" s="1"/>
  <c r="F184" i="9"/>
  <c r="H187" i="9"/>
  <c r="M190" i="9"/>
  <c r="M210" i="9"/>
  <c r="O209" i="9"/>
  <c r="F209" i="9" s="1"/>
  <c r="H216" i="9"/>
  <c r="M217" i="9"/>
  <c r="G223" i="9"/>
  <c r="G224" i="9" s="1"/>
  <c r="F224" i="9"/>
  <c r="O226" i="9"/>
  <c r="F226" i="9" s="1"/>
  <c r="M233" i="9"/>
  <c r="O233" i="9" s="1"/>
  <c r="F233" i="9" s="1"/>
  <c r="O232" i="9"/>
  <c r="F232" i="9" s="1"/>
  <c r="M253" i="9"/>
  <c r="O252" i="9"/>
  <c r="F252" i="9" s="1"/>
  <c r="H303" i="9"/>
  <c r="G303" i="9"/>
  <c r="H316" i="9"/>
  <c r="G316" i="9"/>
  <c r="M125" i="9"/>
  <c r="O125" i="9" s="1"/>
  <c r="F125" i="9" s="1"/>
  <c r="O124" i="9"/>
  <c r="F124" i="9" s="1"/>
  <c r="G186" i="9"/>
  <c r="M126" i="9"/>
  <c r="O126" i="9" s="1"/>
  <c r="F126" i="9" s="1"/>
  <c r="M132" i="9"/>
  <c r="O132" i="9" s="1"/>
  <c r="F132" i="9" s="1"/>
  <c r="H175" i="9"/>
  <c r="M176" i="9"/>
  <c r="I188" i="9"/>
  <c r="I196" i="9"/>
  <c r="I211" i="9"/>
  <c r="H227" i="9"/>
  <c r="H236" i="9"/>
  <c r="M247" i="9"/>
  <c r="O247" i="9" s="1"/>
  <c r="F247" i="9" s="1"/>
  <c r="F248" i="9" s="1"/>
  <c r="H269" i="9"/>
  <c r="G269" i="9"/>
  <c r="I297" i="9"/>
  <c r="I305" i="9"/>
  <c r="M339" i="9"/>
  <c r="O338" i="9"/>
  <c r="F338" i="9" s="1"/>
  <c r="H367" i="9"/>
  <c r="G367" i="9"/>
  <c r="M146" i="9"/>
  <c r="O145" i="9"/>
  <c r="F145" i="9" s="1"/>
  <c r="G157" i="9"/>
  <c r="G158" i="9" s="1"/>
  <c r="O160" i="9"/>
  <c r="F160" i="9" s="1"/>
  <c r="M167" i="9"/>
  <c r="O166" i="9"/>
  <c r="F166" i="9" s="1"/>
  <c r="H186" i="9"/>
  <c r="G204" i="9"/>
  <c r="M260" i="9"/>
  <c r="O259" i="9"/>
  <c r="F259" i="9" s="1"/>
  <c r="H268" i="9"/>
  <c r="G268" i="9"/>
  <c r="F270" i="9"/>
  <c r="M274" i="9"/>
  <c r="O273" i="9"/>
  <c r="F273" i="9" s="1"/>
  <c r="H281" i="9"/>
  <c r="M313" i="9"/>
  <c r="O313" i="9" s="1"/>
  <c r="F313" i="9" s="1"/>
  <c r="O312" i="9"/>
  <c r="F312" i="9" s="1"/>
  <c r="G333" i="9"/>
  <c r="M346" i="9"/>
  <c r="O345" i="9"/>
  <c r="F345" i="9" s="1"/>
  <c r="H355" i="9"/>
  <c r="G355" i="9"/>
  <c r="M296" i="9"/>
  <c r="O295" i="9"/>
  <c r="F295" i="9" s="1"/>
  <c r="M323" i="9"/>
  <c r="O322" i="9"/>
  <c r="F322" i="9" s="1"/>
  <c r="H337" i="9"/>
  <c r="G337" i="9"/>
  <c r="M377" i="9"/>
  <c r="O377" i="9" s="1"/>
  <c r="F377" i="9" s="1"/>
  <c r="O376" i="9"/>
  <c r="F376" i="9" s="1"/>
  <c r="H250" i="9"/>
  <c r="G250" i="9"/>
  <c r="I275" i="9"/>
  <c r="I283" i="9"/>
  <c r="M283" i="9"/>
  <c r="O282" i="9"/>
  <c r="F282" i="9" s="1"/>
  <c r="M291" i="9"/>
  <c r="O291" i="9" s="1"/>
  <c r="F291" i="9" s="1"/>
  <c r="O290" i="9"/>
  <c r="F290" i="9" s="1"/>
  <c r="M305" i="9"/>
  <c r="O304" i="9"/>
  <c r="F304" i="9" s="1"/>
  <c r="M319" i="9"/>
  <c r="O319" i="9" s="1"/>
  <c r="F319" i="9" s="1"/>
  <c r="O318" i="9"/>
  <c r="F318" i="9" s="1"/>
  <c r="F320" i="9" s="1"/>
  <c r="H336" i="9"/>
  <c r="G336" i="9"/>
  <c r="M371" i="9"/>
  <c r="O370" i="9"/>
  <c r="F370" i="9" s="1"/>
  <c r="G512" i="9"/>
  <c r="H512" i="9"/>
  <c r="G522" i="9"/>
  <c r="H522" i="9"/>
  <c r="G548" i="9"/>
  <c r="H548" i="9"/>
  <c r="G332" i="9"/>
  <c r="I338" i="9"/>
  <c r="I346" i="9"/>
  <c r="H358" i="9"/>
  <c r="G358" i="9"/>
  <c r="M360" i="9"/>
  <c r="O359" i="9"/>
  <c r="F359" i="9" s="1"/>
  <c r="H368" i="9"/>
  <c r="G368" i="9"/>
  <c r="M383" i="9"/>
  <c r="O382" i="9"/>
  <c r="F382" i="9" s="1"/>
  <c r="O445" i="9"/>
  <c r="F445" i="9" s="1"/>
  <c r="H380" i="9"/>
  <c r="H401" i="9"/>
  <c r="G401" i="9"/>
  <c r="M403" i="9"/>
  <c r="O402" i="9"/>
  <c r="F402" i="9" s="1"/>
  <c r="H421" i="9"/>
  <c r="G421" i="9"/>
  <c r="H467" i="9"/>
  <c r="G467" i="9"/>
  <c r="O243" i="9"/>
  <c r="F243" i="9" s="1"/>
  <c r="O251" i="9"/>
  <c r="F251" i="9" s="1"/>
  <c r="O354" i="9"/>
  <c r="F354" i="9" s="1"/>
  <c r="H422" i="9"/>
  <c r="G422" i="9"/>
  <c r="O431" i="9"/>
  <c r="F431" i="9" s="1"/>
  <c r="M432" i="9"/>
  <c r="H452" i="9"/>
  <c r="G452" i="9"/>
  <c r="I487" i="9"/>
  <c r="I495" i="9"/>
  <c r="H503" i="9"/>
  <c r="G503" i="9"/>
  <c r="G504" i="9" s="1"/>
  <c r="O294" i="9"/>
  <c r="F294" i="9" s="1"/>
  <c r="H423" i="9"/>
  <c r="G423" i="9"/>
  <c r="H440" i="9"/>
  <c r="G440" i="9"/>
  <c r="G444" i="9"/>
  <c r="H462" i="9"/>
  <c r="H463" i="9" s="1"/>
  <c r="G462" i="9"/>
  <c r="M572" i="9"/>
  <c r="O572" i="9" s="1"/>
  <c r="F572" i="9" s="1"/>
  <c r="O571" i="9"/>
  <c r="F571" i="9" s="1"/>
  <c r="I454" i="9"/>
  <c r="M495" i="9"/>
  <c r="O494" i="9"/>
  <c r="F494" i="9" s="1"/>
  <c r="F504" i="9"/>
  <c r="O430" i="9"/>
  <c r="F430" i="9" s="1"/>
  <c r="H465" i="9"/>
  <c r="G465" i="9"/>
  <c r="M472" i="9"/>
  <c r="O471" i="9"/>
  <c r="F471" i="9" s="1"/>
  <c r="M481" i="9"/>
  <c r="O481" i="9" s="1"/>
  <c r="F481" i="9" s="1"/>
  <c r="O480" i="9"/>
  <c r="F480" i="9" s="1"/>
  <c r="M487" i="9"/>
  <c r="O486" i="9"/>
  <c r="F486" i="9" s="1"/>
  <c r="M509" i="9"/>
  <c r="O509" i="9" s="1"/>
  <c r="F509" i="9" s="1"/>
  <c r="O508" i="9"/>
  <c r="F508" i="9" s="1"/>
  <c r="M531" i="9"/>
  <c r="O530" i="9"/>
  <c r="F530" i="9" s="1"/>
  <c r="I424" i="9"/>
  <c r="I447" i="9"/>
  <c r="M455" i="9"/>
  <c r="O454" i="9"/>
  <c r="F454" i="9" s="1"/>
  <c r="G461" i="9"/>
  <c r="F463" i="9"/>
  <c r="H464" i="9"/>
  <c r="G464" i="9"/>
  <c r="G466" i="9"/>
  <c r="F478" i="9"/>
  <c r="H477" i="9"/>
  <c r="H478" i="9" s="1"/>
  <c r="H484" i="9"/>
  <c r="M523" i="9"/>
  <c r="O523" i="9" s="1"/>
  <c r="F523" i="9" s="1"/>
  <c r="F524" i="9" s="1"/>
  <c r="H526" i="9"/>
  <c r="M536" i="9"/>
  <c r="I551" i="9"/>
  <c r="I559" i="9"/>
  <c r="M559" i="9"/>
  <c r="O558" i="9"/>
  <c r="F558" i="9" s="1"/>
  <c r="M567" i="9"/>
  <c r="O567" i="9" s="1"/>
  <c r="F567" i="9" s="1"/>
  <c r="O566" i="9"/>
  <c r="F566" i="9" s="1"/>
  <c r="H569" i="9"/>
  <c r="G585" i="9"/>
  <c r="F520" i="9"/>
  <c r="H519" i="9"/>
  <c r="H520" i="9" s="1"/>
  <c r="H544" i="9"/>
  <c r="H546" i="9" s="1"/>
  <c r="F546" i="9"/>
  <c r="M550" i="9"/>
  <c r="O549" i="9"/>
  <c r="F549" i="9" s="1"/>
  <c r="H557" i="9"/>
  <c r="F583" i="9"/>
  <c r="M513" i="9"/>
  <c r="I528" i="9"/>
  <c r="M576" i="9"/>
  <c r="O575" i="9"/>
  <c r="F575" i="9" s="1"/>
  <c r="H569" i="8"/>
  <c r="G569" i="8"/>
  <c r="O512" i="8"/>
  <c r="F512" i="8" s="1"/>
  <c r="G512" i="8" s="1"/>
  <c r="M295" i="8"/>
  <c r="M296" i="8" s="1"/>
  <c r="O296" i="8" s="1"/>
  <c r="F296" i="8" s="1"/>
  <c r="G296" i="8" s="1"/>
  <c r="M312" i="8"/>
  <c r="M313" i="8" s="1"/>
  <c r="O313" i="8" s="1"/>
  <c r="F313" i="8" s="1"/>
  <c r="O535" i="8"/>
  <c r="F535" i="8" s="1"/>
  <c r="M558" i="8"/>
  <c r="M559" i="8" s="1"/>
  <c r="O559" i="8" s="1"/>
  <c r="F559" i="8" s="1"/>
  <c r="O570" i="8"/>
  <c r="F570" i="8" s="1"/>
  <c r="H570" i="8" s="1"/>
  <c r="I528" i="8"/>
  <c r="I529" i="8" s="1"/>
  <c r="I530" i="8" s="1"/>
  <c r="O304" i="8"/>
  <c r="F304" i="8" s="1"/>
  <c r="G304" i="8" s="1"/>
  <c r="M305" i="8"/>
  <c r="M306" i="8" s="1"/>
  <c r="O306" i="8" s="1"/>
  <c r="F306" i="8" s="1"/>
  <c r="G306" i="8" s="1"/>
  <c r="M368" i="8"/>
  <c r="M369" i="8" s="1"/>
  <c r="M370" i="8" s="1"/>
  <c r="M371" i="8" s="1"/>
  <c r="M372" i="8" s="1"/>
  <c r="O372" i="8" s="1"/>
  <c r="F372" i="8" s="1"/>
  <c r="O566" i="8"/>
  <c r="F566" i="8" s="1"/>
  <c r="F568" i="8" s="1"/>
  <c r="O575" i="8"/>
  <c r="F575" i="8" s="1"/>
  <c r="O294" i="8"/>
  <c r="F294" i="8" s="1"/>
  <c r="H294" i="8" s="1"/>
  <c r="M274" i="8"/>
  <c r="O274" i="8" s="1"/>
  <c r="F274" i="8" s="1"/>
  <c r="G274" i="8" s="1"/>
  <c r="O251" i="8"/>
  <c r="F251" i="8" s="1"/>
  <c r="G251" i="8" s="1"/>
  <c r="O243" i="8"/>
  <c r="F243" i="8" s="1"/>
  <c r="G243" i="8" s="1"/>
  <c r="G244" i="8" s="1"/>
  <c r="I550" i="8"/>
  <c r="I551" i="8" s="1"/>
  <c r="I552" i="8" s="1"/>
  <c r="H567" i="8"/>
  <c r="G567" i="8"/>
  <c r="G549" i="8"/>
  <c r="H549" i="8"/>
  <c r="G557" i="8"/>
  <c r="H557" i="8"/>
  <c r="G572" i="8"/>
  <c r="H572" i="8"/>
  <c r="M577" i="8"/>
  <c r="O576" i="8"/>
  <c r="F576" i="8" s="1"/>
  <c r="M551" i="8"/>
  <c r="O550" i="8"/>
  <c r="F550" i="8" s="1"/>
  <c r="H575" i="8"/>
  <c r="G575" i="8"/>
  <c r="M586" i="8"/>
  <c r="O586" i="8" s="1"/>
  <c r="F586" i="8" s="1"/>
  <c r="O585" i="8"/>
  <c r="F585" i="8" s="1"/>
  <c r="H548" i="8"/>
  <c r="O571" i="8"/>
  <c r="F571" i="8" s="1"/>
  <c r="O582" i="8"/>
  <c r="F582" i="8" s="1"/>
  <c r="M211" i="8"/>
  <c r="O211" i="8" s="1"/>
  <c r="F211" i="8" s="1"/>
  <c r="M212" i="8"/>
  <c r="O212" i="8" s="1"/>
  <c r="F212" i="8" s="1"/>
  <c r="H212" i="8" s="1"/>
  <c r="G268" i="8"/>
  <c r="H268" i="8"/>
  <c r="M514" i="8"/>
  <c r="O513" i="8"/>
  <c r="F513" i="8" s="1"/>
  <c r="H513" i="8" s="1"/>
  <c r="M523" i="8"/>
  <c r="O523" i="8" s="1"/>
  <c r="F523" i="8" s="1"/>
  <c r="G523" i="8" s="1"/>
  <c r="O522" i="8"/>
  <c r="F522" i="8" s="1"/>
  <c r="M537" i="8"/>
  <c r="M538" i="8" s="1"/>
  <c r="O536" i="8"/>
  <c r="F536" i="8" s="1"/>
  <c r="M247" i="8"/>
  <c r="O247" i="8" s="1"/>
  <c r="F247" i="8" s="1"/>
  <c r="H247" i="8" s="1"/>
  <c r="O246" i="8"/>
  <c r="F246" i="8" s="1"/>
  <c r="H367" i="8"/>
  <c r="G367" i="8"/>
  <c r="H526" i="8"/>
  <c r="G526" i="8"/>
  <c r="M445" i="8"/>
  <c r="O465" i="8"/>
  <c r="F465" i="8" s="1"/>
  <c r="H465" i="8" s="1"/>
  <c r="M269" i="8"/>
  <c r="O269" i="8" s="1"/>
  <c r="F269" i="8" s="1"/>
  <c r="H269" i="8" s="1"/>
  <c r="H270" i="8" s="1"/>
  <c r="I297" i="8"/>
  <c r="I298" i="8" s="1"/>
  <c r="I307" i="8" s="1"/>
  <c r="O303" i="8"/>
  <c r="F303" i="8" s="1"/>
  <c r="H303" i="8" s="1"/>
  <c r="O337" i="8"/>
  <c r="F337" i="8" s="1"/>
  <c r="H337" i="8" s="1"/>
  <c r="M377" i="8"/>
  <c r="O377" i="8" s="1"/>
  <c r="F377" i="8" s="1"/>
  <c r="H377" i="8" s="1"/>
  <c r="O519" i="8"/>
  <c r="F519" i="8" s="1"/>
  <c r="G519" i="8" s="1"/>
  <c r="G520" i="8" s="1"/>
  <c r="O544" i="8"/>
  <c r="F544" i="8" s="1"/>
  <c r="H544" i="8" s="1"/>
  <c r="O145" i="8"/>
  <c r="F145" i="8" s="1"/>
  <c r="H145" i="8" s="1"/>
  <c r="O470" i="8"/>
  <c r="F470" i="8" s="1"/>
  <c r="G470" i="8" s="1"/>
  <c r="M237" i="8"/>
  <c r="H236" i="8"/>
  <c r="H209" i="8"/>
  <c r="M332" i="8"/>
  <c r="O359" i="8"/>
  <c r="F359" i="8" s="1"/>
  <c r="G359" i="8" s="1"/>
  <c r="G380" i="8"/>
  <c r="M382" i="8"/>
  <c r="M383" i="8" s="1"/>
  <c r="O383" i="8" s="1"/>
  <c r="F383" i="8" s="1"/>
  <c r="G383" i="8" s="1"/>
  <c r="G527" i="8"/>
  <c r="H527" i="8"/>
  <c r="H512" i="8"/>
  <c r="I538" i="8"/>
  <c r="H535" i="8"/>
  <c r="G535" i="8"/>
  <c r="O508" i="8"/>
  <c r="F508" i="8" s="1"/>
  <c r="M509" i="8"/>
  <c r="O509" i="8" s="1"/>
  <c r="F509" i="8" s="1"/>
  <c r="O529" i="8"/>
  <c r="F529" i="8" s="1"/>
  <c r="M530" i="8"/>
  <c r="G536" i="8"/>
  <c r="H536" i="8"/>
  <c r="M515" i="8"/>
  <c r="O514" i="8"/>
  <c r="F514" i="8" s="1"/>
  <c r="H545" i="8"/>
  <c r="G545" i="8"/>
  <c r="G506" i="8"/>
  <c r="O507" i="8"/>
  <c r="F507" i="8" s="1"/>
  <c r="O528" i="8"/>
  <c r="F528" i="8" s="1"/>
  <c r="H506" i="8"/>
  <c r="H484" i="8"/>
  <c r="G484" i="8"/>
  <c r="I495" i="8"/>
  <c r="I487" i="8"/>
  <c r="M503" i="8"/>
  <c r="O503" i="8" s="1"/>
  <c r="F503" i="8" s="1"/>
  <c r="O502" i="8"/>
  <c r="F502" i="8" s="1"/>
  <c r="O494" i="8"/>
  <c r="F494" i="8" s="1"/>
  <c r="M495" i="8"/>
  <c r="M485" i="8"/>
  <c r="O493" i="8"/>
  <c r="F493" i="8" s="1"/>
  <c r="I494" i="8"/>
  <c r="M472" i="8"/>
  <c r="O471" i="8"/>
  <c r="F471" i="8" s="1"/>
  <c r="G467" i="8"/>
  <c r="H467" i="8"/>
  <c r="G464" i="8"/>
  <c r="H464" i="8"/>
  <c r="M481" i="8"/>
  <c r="O481" i="8" s="1"/>
  <c r="F481" i="8" s="1"/>
  <c r="O480" i="8"/>
  <c r="F480" i="8" s="1"/>
  <c r="O466" i="8"/>
  <c r="F466" i="8" s="1"/>
  <c r="O477" i="8"/>
  <c r="F477" i="8" s="1"/>
  <c r="H443" i="8"/>
  <c r="G443" i="8"/>
  <c r="G462" i="8"/>
  <c r="H462" i="8"/>
  <c r="I454" i="8"/>
  <c r="I446" i="8"/>
  <c r="H444" i="8"/>
  <c r="G444" i="8"/>
  <c r="O453" i="8"/>
  <c r="F453" i="8" s="1"/>
  <c r="M454" i="8"/>
  <c r="O452" i="8"/>
  <c r="F452" i="8" s="1"/>
  <c r="I453" i="8"/>
  <c r="O461" i="8"/>
  <c r="F461" i="8" s="1"/>
  <c r="M423" i="8"/>
  <c r="M424" i="8" s="1"/>
  <c r="M425" i="8" s="1"/>
  <c r="M440" i="8"/>
  <c r="O440" i="8" s="1"/>
  <c r="F440" i="8" s="1"/>
  <c r="F441" i="8" s="1"/>
  <c r="G421" i="8"/>
  <c r="H421" i="8"/>
  <c r="I424" i="8"/>
  <c r="I432" i="8"/>
  <c r="H422" i="8"/>
  <c r="G422" i="8"/>
  <c r="G439" i="8"/>
  <c r="H439" i="8"/>
  <c r="M432" i="8"/>
  <c r="O431" i="8"/>
  <c r="F431" i="8" s="1"/>
  <c r="O423" i="8"/>
  <c r="F423" i="8" s="1"/>
  <c r="O430" i="8"/>
  <c r="F430" i="8" s="1"/>
  <c r="I431" i="8"/>
  <c r="H401" i="8"/>
  <c r="G401" i="8"/>
  <c r="M404" i="8"/>
  <c r="O403" i="8"/>
  <c r="F403" i="8" s="1"/>
  <c r="O402" i="8"/>
  <c r="F402" i="8" s="1"/>
  <c r="G381" i="8"/>
  <c r="H381" i="8"/>
  <c r="O360" i="8"/>
  <c r="F360" i="8" s="1"/>
  <c r="H360" i="8" s="1"/>
  <c r="M361" i="8"/>
  <c r="M362" i="8" s="1"/>
  <c r="O362" i="8" s="1"/>
  <c r="F362" i="8" s="1"/>
  <c r="G358" i="8"/>
  <c r="M341" i="8"/>
  <c r="O341" i="8" s="1"/>
  <c r="F341" i="8" s="1"/>
  <c r="O340" i="8"/>
  <c r="F340" i="8" s="1"/>
  <c r="H340" i="8" s="1"/>
  <c r="O338" i="8"/>
  <c r="F338" i="8" s="1"/>
  <c r="O354" i="8"/>
  <c r="F354" i="8" s="1"/>
  <c r="G355" i="8"/>
  <c r="I360" i="8"/>
  <c r="I346" i="8"/>
  <c r="G294" i="8"/>
  <c r="H317" i="8"/>
  <c r="G317" i="8"/>
  <c r="M373" i="8"/>
  <c r="O373" i="8" s="1"/>
  <c r="F373" i="8" s="1"/>
  <c r="H376" i="8"/>
  <c r="G376" i="8"/>
  <c r="G303" i="8"/>
  <c r="H296" i="8"/>
  <c r="O305" i="8"/>
  <c r="F305" i="8" s="1"/>
  <c r="O312" i="8"/>
  <c r="F312" i="8" s="1"/>
  <c r="I306" i="8"/>
  <c r="M319" i="8"/>
  <c r="O319" i="8" s="1"/>
  <c r="F319" i="8" s="1"/>
  <c r="O318" i="8"/>
  <c r="F318" i="8" s="1"/>
  <c r="F320" i="8" s="1"/>
  <c r="M346" i="8"/>
  <c r="O345" i="8"/>
  <c r="F345" i="8" s="1"/>
  <c r="I299" i="8"/>
  <c r="I304" i="8"/>
  <c r="M323" i="8"/>
  <c r="O322" i="8"/>
  <c r="F322" i="8" s="1"/>
  <c r="O339" i="8"/>
  <c r="F339" i="8" s="1"/>
  <c r="H306" i="8"/>
  <c r="H316" i="8"/>
  <c r="F330" i="8"/>
  <c r="H329" i="8"/>
  <c r="H330" i="8" s="1"/>
  <c r="H336" i="8"/>
  <c r="G336" i="8"/>
  <c r="I347" i="8"/>
  <c r="I339" i="8"/>
  <c r="H282" i="8"/>
  <c r="G282" i="8"/>
  <c r="G272" i="8"/>
  <c r="H272" i="8"/>
  <c r="M253" i="8"/>
  <c r="O252" i="8"/>
  <c r="F252" i="8" s="1"/>
  <c r="H252" i="8" s="1"/>
  <c r="H250" i="8"/>
  <c r="I218" i="8"/>
  <c r="I219" i="8"/>
  <c r="I220" i="8" s="1"/>
  <c r="G291" i="8"/>
  <c r="H291" i="8"/>
  <c r="H292" i="8" s="1"/>
  <c r="H281" i="8"/>
  <c r="O223" i="8"/>
  <c r="F223" i="8" s="1"/>
  <c r="M226" i="8"/>
  <c r="G259" i="8"/>
  <c r="H259" i="8"/>
  <c r="M232" i="8"/>
  <c r="O231" i="8"/>
  <c r="F231" i="8" s="1"/>
  <c r="I274" i="8"/>
  <c r="I282" i="8"/>
  <c r="O260" i="8"/>
  <c r="F260" i="8" s="1"/>
  <c r="G290" i="8"/>
  <c r="G292" i="8" s="1"/>
  <c r="F292" i="8"/>
  <c r="G281" i="8"/>
  <c r="G273" i="8"/>
  <c r="H273" i="8"/>
  <c r="O215" i="8"/>
  <c r="F215" i="8" s="1"/>
  <c r="M216" i="8"/>
  <c r="I252" i="8"/>
  <c r="H230" i="8"/>
  <c r="O210" i="8"/>
  <c r="F210" i="8" s="1"/>
  <c r="G208" i="8"/>
  <c r="H195" i="8"/>
  <c r="G195" i="8"/>
  <c r="H186" i="8"/>
  <c r="G186" i="8"/>
  <c r="M189" i="8"/>
  <c r="O188" i="8"/>
  <c r="F188" i="8" s="1"/>
  <c r="G205" i="8"/>
  <c r="H205" i="8"/>
  <c r="O187" i="8"/>
  <c r="F187" i="8" s="1"/>
  <c r="I188" i="8"/>
  <c r="M196" i="8"/>
  <c r="O204" i="8"/>
  <c r="F204" i="8" s="1"/>
  <c r="O160" i="8"/>
  <c r="F160" i="8" s="1"/>
  <c r="M161" i="8"/>
  <c r="O161" i="8" s="1"/>
  <c r="F161" i="8" s="1"/>
  <c r="H150" i="8"/>
  <c r="G150" i="8"/>
  <c r="H164" i="8"/>
  <c r="G164" i="8"/>
  <c r="O174" i="8"/>
  <c r="F174" i="8" s="1"/>
  <c r="M175" i="8"/>
  <c r="H144" i="8"/>
  <c r="G144" i="8"/>
  <c r="G147" i="8"/>
  <c r="H147" i="8"/>
  <c r="M167" i="8"/>
  <c r="O166" i="8"/>
  <c r="F166" i="8" s="1"/>
  <c r="G183" i="8"/>
  <c r="H183" i="8"/>
  <c r="O173" i="8"/>
  <c r="F173" i="8" s="1"/>
  <c r="O146" i="8"/>
  <c r="F146" i="8" s="1"/>
  <c r="M151" i="8"/>
  <c r="O157" i="8"/>
  <c r="F157" i="8" s="1"/>
  <c r="O165" i="8"/>
  <c r="F165" i="8" s="1"/>
  <c r="I166" i="8"/>
  <c r="O182" i="8"/>
  <c r="F182" i="8" s="1"/>
  <c r="H122" i="8"/>
  <c r="G122" i="8"/>
  <c r="M81" i="8"/>
  <c r="M82" i="8" s="1"/>
  <c r="O82" i="8" s="1"/>
  <c r="F82" i="8" s="1"/>
  <c r="M126" i="8"/>
  <c r="O126" i="8" s="1"/>
  <c r="F126" i="8" s="1"/>
  <c r="G126" i="8" s="1"/>
  <c r="M125" i="8"/>
  <c r="O125" i="8" s="1"/>
  <c r="F125" i="8" s="1"/>
  <c r="G125" i="8" s="1"/>
  <c r="O123" i="8"/>
  <c r="F123" i="8" s="1"/>
  <c r="G123" i="8" s="1"/>
  <c r="O129" i="8"/>
  <c r="F129" i="8" s="1"/>
  <c r="G129" i="8" s="1"/>
  <c r="I126" i="8"/>
  <c r="I125" i="8"/>
  <c r="I132" i="8"/>
  <c r="M131" i="8"/>
  <c r="M132" i="8" s="1"/>
  <c r="O132" i="8" s="1"/>
  <c r="F132" i="8" s="1"/>
  <c r="H132" i="8" s="1"/>
  <c r="O130" i="8"/>
  <c r="F130" i="8" s="1"/>
  <c r="M141" i="8"/>
  <c r="O141" i="8" s="1"/>
  <c r="F141" i="8" s="1"/>
  <c r="O140" i="8"/>
  <c r="F140" i="8" s="1"/>
  <c r="O124" i="8"/>
  <c r="F124" i="8" s="1"/>
  <c r="O137" i="8"/>
  <c r="F137" i="8" s="1"/>
  <c r="I81" i="8"/>
  <c r="I82" i="8" s="1"/>
  <c r="I91" i="8" s="1"/>
  <c r="M89" i="8"/>
  <c r="M90" i="8" s="1"/>
  <c r="O90" i="8" s="1"/>
  <c r="F90" i="8" s="1"/>
  <c r="O102" i="8"/>
  <c r="F102" i="8" s="1"/>
  <c r="M103" i="8"/>
  <c r="O101" i="8"/>
  <c r="F101" i="8" s="1"/>
  <c r="O97" i="8"/>
  <c r="F97" i="8" s="1"/>
  <c r="G97" i="8" s="1"/>
  <c r="H79" i="8"/>
  <c r="G79" i="8"/>
  <c r="I83" i="8"/>
  <c r="M83" i="8"/>
  <c r="H80" i="8"/>
  <c r="G80" i="8"/>
  <c r="H88" i="8"/>
  <c r="G88" i="8"/>
  <c r="H98" i="8"/>
  <c r="G98" i="8"/>
  <c r="M76" i="8"/>
  <c r="O76" i="8" s="1"/>
  <c r="F76" i="8" s="1"/>
  <c r="O75" i="8"/>
  <c r="F75" i="8" s="1"/>
  <c r="H57" i="8"/>
  <c r="G57" i="8"/>
  <c r="I68" i="8"/>
  <c r="I60" i="8"/>
  <c r="M66" i="8"/>
  <c r="M58" i="8"/>
  <c r="I67" i="8"/>
  <c r="I26" i="8"/>
  <c r="I18" i="8"/>
  <c r="I25" i="8"/>
  <c r="H50" i="4"/>
  <c r="G50" i="4"/>
  <c r="H42" i="4"/>
  <c r="G42" i="4"/>
  <c r="I15" i="4"/>
  <c r="I24" i="4" s="1"/>
  <c r="I23" i="4"/>
  <c r="M50" i="8"/>
  <c r="M53" i="8" s="1"/>
  <c r="M54" i="8" s="1"/>
  <c r="M43" i="8"/>
  <c r="M44" i="8" s="1"/>
  <c r="M38" i="8"/>
  <c r="O37" i="8"/>
  <c r="F37" i="8" s="1"/>
  <c r="I43" i="8"/>
  <c r="I50" i="8" s="1"/>
  <c r="I53" i="8" s="1"/>
  <c r="I54" i="8" s="1"/>
  <c r="M33" i="8"/>
  <c r="O33" i="8" s="1"/>
  <c r="F33" i="8" s="1"/>
  <c r="M24" i="8"/>
  <c r="O24" i="8" s="1"/>
  <c r="F24" i="8" s="1"/>
  <c r="M16" i="8"/>
  <c r="M17" i="8" s="1"/>
  <c r="O15" i="8"/>
  <c r="F15" i="8" s="1"/>
  <c r="O188" i="10" l="1"/>
  <c r="F188" i="10" s="1"/>
  <c r="M189" i="10"/>
  <c r="G39" i="9"/>
  <c r="G334" i="9"/>
  <c r="G329" i="9"/>
  <c r="G330" i="9" s="1"/>
  <c r="G162" i="10"/>
  <c r="F64" i="10"/>
  <c r="G41" i="10"/>
  <c r="F41" i="10"/>
  <c r="H90" i="10"/>
  <c r="H209" i="11"/>
  <c r="O226" i="11"/>
  <c r="F226" i="11" s="1"/>
  <c r="G226" i="11" s="1"/>
  <c r="G231" i="10"/>
  <c r="G234" i="10" s="1"/>
  <c r="H231" i="10"/>
  <c r="H234" i="10" s="1"/>
  <c r="M341" i="10"/>
  <c r="O340" i="10"/>
  <c r="F340" i="10" s="1"/>
  <c r="M284" i="8"/>
  <c r="O283" i="8"/>
  <c r="F283" i="8" s="1"/>
  <c r="G519" i="10"/>
  <c r="G520" i="10" s="1"/>
  <c r="H519" i="10"/>
  <c r="H520" i="10" s="1"/>
  <c r="F520" i="10"/>
  <c r="H41" i="10"/>
  <c r="I176" i="9"/>
  <c r="I168" i="9"/>
  <c r="H304" i="8"/>
  <c r="M133" i="9"/>
  <c r="G356" i="10"/>
  <c r="G383" i="10"/>
  <c r="O466" i="11"/>
  <c r="F466" i="11" s="1"/>
  <c r="F468" i="11" s="1"/>
  <c r="G322" i="11"/>
  <c r="I90" i="11"/>
  <c r="M523" i="10"/>
  <c r="O523" i="10" s="1"/>
  <c r="F523" i="10" s="1"/>
  <c r="O522" i="10"/>
  <c r="F522" i="10" s="1"/>
  <c r="G167" i="10"/>
  <c r="H167" i="10"/>
  <c r="O204" i="11"/>
  <c r="F204" i="11" s="1"/>
  <c r="M205" i="11"/>
  <c r="O205" i="11" s="1"/>
  <c r="F205" i="11" s="1"/>
  <c r="H487" i="10"/>
  <c r="G487" i="10"/>
  <c r="I369" i="9"/>
  <c r="I370" i="9"/>
  <c r="H317" i="10"/>
  <c r="G317" i="10"/>
  <c r="H338" i="10"/>
  <c r="G338" i="10"/>
  <c r="M92" i="10"/>
  <c r="O91" i="10"/>
  <c r="F91" i="10" s="1"/>
  <c r="I537" i="8"/>
  <c r="O81" i="8"/>
  <c r="F81" i="8" s="1"/>
  <c r="F244" i="8"/>
  <c r="O537" i="8"/>
  <c r="F537" i="8" s="1"/>
  <c r="I371" i="9"/>
  <c r="F41" i="9"/>
  <c r="F573" i="10"/>
  <c r="H571" i="11"/>
  <c r="G587" i="11"/>
  <c r="H195" i="11"/>
  <c r="F202" i="11"/>
  <c r="G199" i="11"/>
  <c r="G157" i="11"/>
  <c r="G158" i="11" s="1"/>
  <c r="G208" i="11"/>
  <c r="H272" i="11"/>
  <c r="G165" i="10"/>
  <c r="H165" i="10"/>
  <c r="M227" i="10"/>
  <c r="O227" i="10" s="1"/>
  <c r="F227" i="10" s="1"/>
  <c r="O226" i="10"/>
  <c r="F226" i="10" s="1"/>
  <c r="O187" i="11"/>
  <c r="F187" i="11" s="1"/>
  <c r="M188" i="11"/>
  <c r="G529" i="9"/>
  <c r="G129" i="9"/>
  <c r="O44" i="9"/>
  <c r="F44" i="9" s="1"/>
  <c r="G44" i="9" s="1"/>
  <c r="F127" i="10"/>
  <c r="H157" i="11"/>
  <c r="H158" i="11" s="1"/>
  <c r="G527" i="10"/>
  <c r="H527" i="10"/>
  <c r="H320" i="10"/>
  <c r="I82" i="9"/>
  <c r="I90" i="9"/>
  <c r="F148" i="11"/>
  <c r="M342" i="8"/>
  <c r="O342" i="8" s="1"/>
  <c r="F342" i="8" s="1"/>
  <c r="O424" i="8"/>
  <c r="F424" i="8" s="1"/>
  <c r="G465" i="8"/>
  <c r="H519" i="8"/>
  <c r="H520" i="8" s="1"/>
  <c r="H523" i="8"/>
  <c r="G582" i="9"/>
  <c r="G583" i="9" s="1"/>
  <c r="I175" i="9"/>
  <c r="F171" i="10"/>
  <c r="O253" i="11"/>
  <c r="F253" i="11" s="1"/>
  <c r="H444" i="10"/>
  <c r="G444" i="10"/>
  <c r="H35" i="11"/>
  <c r="H243" i="8"/>
  <c r="H244" i="8" s="1"/>
  <c r="H251" i="8"/>
  <c r="H274" i="8"/>
  <c r="G270" i="9"/>
  <c r="H189" i="9"/>
  <c r="O130" i="9"/>
  <c r="F130" i="9" s="1"/>
  <c r="M105" i="9"/>
  <c r="G205" i="9"/>
  <c r="M586" i="9"/>
  <c r="O586" i="9" s="1"/>
  <c r="F586" i="9" s="1"/>
  <c r="G320" i="10"/>
  <c r="F213" i="11"/>
  <c r="O223" i="11"/>
  <c r="F223" i="11" s="1"/>
  <c r="H381" i="10"/>
  <c r="G381" i="10"/>
  <c r="G430" i="10"/>
  <c r="H430" i="10"/>
  <c r="O275" i="10"/>
  <c r="F275" i="10" s="1"/>
  <c r="M276" i="10"/>
  <c r="F441" i="9"/>
  <c r="H439" i="9"/>
  <c r="H441" i="9" s="1"/>
  <c r="G377" i="8"/>
  <c r="H22" i="12"/>
  <c r="G22" i="12"/>
  <c r="G20" i="12"/>
  <c r="H20" i="12"/>
  <c r="G573" i="11"/>
  <c r="F573" i="11"/>
  <c r="G546" i="11"/>
  <c r="H546" i="11"/>
  <c r="F524" i="11"/>
  <c r="G522" i="11"/>
  <c r="G524" i="11" s="1"/>
  <c r="H522" i="11"/>
  <c r="H523" i="11"/>
  <c r="H463" i="11"/>
  <c r="H423" i="11"/>
  <c r="G423" i="11"/>
  <c r="G356" i="11"/>
  <c r="G292" i="11"/>
  <c r="H281" i="11"/>
  <c r="F292" i="11"/>
  <c r="H251" i="11"/>
  <c r="G251" i="11"/>
  <c r="F270" i="11"/>
  <c r="H252" i="11"/>
  <c r="G252" i="11"/>
  <c r="H268" i="11"/>
  <c r="H270" i="11" s="1"/>
  <c r="M255" i="11"/>
  <c r="O254" i="11"/>
  <c r="F254" i="11" s="1"/>
  <c r="H226" i="11"/>
  <c r="G234" i="11"/>
  <c r="H234" i="11"/>
  <c r="G227" i="11"/>
  <c r="G228" i="11" s="1"/>
  <c r="H227" i="11"/>
  <c r="H212" i="11"/>
  <c r="G212" i="11"/>
  <c r="G198" i="11"/>
  <c r="G168" i="11"/>
  <c r="H182" i="11"/>
  <c r="H184" i="11" s="1"/>
  <c r="H167" i="11"/>
  <c r="G167" i="11"/>
  <c r="H145" i="11"/>
  <c r="G145" i="11"/>
  <c r="H99" i="11"/>
  <c r="H80" i="11"/>
  <c r="G80" i="11"/>
  <c r="F41" i="11"/>
  <c r="G567" i="11"/>
  <c r="H567" i="11"/>
  <c r="I537" i="11"/>
  <c r="I529" i="11"/>
  <c r="G535" i="11"/>
  <c r="H535" i="11"/>
  <c r="G549" i="11"/>
  <c r="H549" i="11"/>
  <c r="H508" i="11"/>
  <c r="G508" i="11"/>
  <c r="M473" i="11"/>
  <c r="O472" i="11"/>
  <c r="F472" i="11" s="1"/>
  <c r="M455" i="11"/>
  <c r="O454" i="11"/>
  <c r="F454" i="11" s="1"/>
  <c r="H359" i="11"/>
  <c r="G359" i="11"/>
  <c r="H444" i="11"/>
  <c r="G444" i="11"/>
  <c r="M326" i="11"/>
  <c r="O326" i="11" s="1"/>
  <c r="F326" i="11" s="1"/>
  <c r="O325" i="11"/>
  <c r="F325" i="11" s="1"/>
  <c r="H283" i="11"/>
  <c r="G283" i="11"/>
  <c r="M298" i="11"/>
  <c r="O297" i="11"/>
  <c r="F297" i="11" s="1"/>
  <c r="O174" i="11"/>
  <c r="F174" i="11" s="1"/>
  <c r="M175" i="11"/>
  <c r="I61" i="11"/>
  <c r="I69" i="11"/>
  <c r="O59" i="11"/>
  <c r="F59" i="11" s="1"/>
  <c r="M60" i="11"/>
  <c r="H573" i="11"/>
  <c r="H509" i="11"/>
  <c r="G509" i="11"/>
  <c r="H494" i="11"/>
  <c r="G494" i="11"/>
  <c r="F478" i="11"/>
  <c r="H477" i="11"/>
  <c r="H478" i="11" s="1"/>
  <c r="G477" i="11"/>
  <c r="G478" i="11" s="1"/>
  <c r="H424" i="11"/>
  <c r="G424" i="11"/>
  <c r="O403" i="11"/>
  <c r="F403" i="11" s="1"/>
  <c r="M404" i="11"/>
  <c r="I369" i="11"/>
  <c r="I361" i="11"/>
  <c r="O304" i="11"/>
  <c r="F304" i="11" s="1"/>
  <c r="M305" i="11"/>
  <c r="O445" i="11"/>
  <c r="F445" i="11" s="1"/>
  <c r="M446" i="11"/>
  <c r="O382" i="11"/>
  <c r="F382" i="11" s="1"/>
  <c r="M383" i="11"/>
  <c r="O339" i="11"/>
  <c r="F339" i="11" s="1"/>
  <c r="M340" i="11"/>
  <c r="H430" i="11"/>
  <c r="G430" i="11"/>
  <c r="M285" i="11"/>
  <c r="O284" i="11"/>
  <c r="F284" i="11" s="1"/>
  <c r="H317" i="11"/>
  <c r="G317" i="11"/>
  <c r="H125" i="11"/>
  <c r="G125" i="11"/>
  <c r="H253" i="11"/>
  <c r="G253" i="11"/>
  <c r="H200" i="11"/>
  <c r="G200" i="11"/>
  <c r="H166" i="11"/>
  <c r="G166" i="11"/>
  <c r="H124" i="11"/>
  <c r="H127" i="11" s="1"/>
  <c r="G124" i="11"/>
  <c r="G127" i="11" s="1"/>
  <c r="I261" i="11"/>
  <c r="I253" i="11"/>
  <c r="I175" i="11"/>
  <c r="I167" i="11"/>
  <c r="M261" i="11"/>
  <c r="O260" i="11"/>
  <c r="F260" i="11" s="1"/>
  <c r="H89" i="11"/>
  <c r="G89" i="11"/>
  <c r="H67" i="11"/>
  <c r="G67" i="11"/>
  <c r="F51" i="11"/>
  <c r="H50" i="11"/>
  <c r="H51" i="11" s="1"/>
  <c r="G50" i="11"/>
  <c r="G51" i="11" s="1"/>
  <c r="H81" i="11"/>
  <c r="G81" i="11"/>
  <c r="H44" i="11"/>
  <c r="G44" i="11"/>
  <c r="G246" i="11"/>
  <c r="H246" i="11"/>
  <c r="F248" i="11"/>
  <c r="G40" i="11"/>
  <c r="H40" i="11"/>
  <c r="G503" i="11"/>
  <c r="H503" i="11"/>
  <c r="G402" i="11"/>
  <c r="H402" i="11"/>
  <c r="H303" i="11"/>
  <c r="G303" i="11"/>
  <c r="H338" i="11"/>
  <c r="G338" i="11"/>
  <c r="G247" i="11"/>
  <c r="H247" i="11"/>
  <c r="H39" i="11"/>
  <c r="H41" i="11" s="1"/>
  <c r="G39" i="11"/>
  <c r="G17" i="11"/>
  <c r="H17" i="11"/>
  <c r="I554" i="11"/>
  <c r="I563" i="11" s="1"/>
  <c r="I562" i="11"/>
  <c r="F510" i="11"/>
  <c r="O513" i="11"/>
  <c r="F513" i="11" s="1"/>
  <c r="M514" i="11"/>
  <c r="H559" i="11"/>
  <c r="G559" i="11"/>
  <c r="H558" i="11"/>
  <c r="G558" i="11"/>
  <c r="H485" i="11"/>
  <c r="G485" i="11"/>
  <c r="M496" i="11"/>
  <c r="O495" i="11"/>
  <c r="F495" i="11" s="1"/>
  <c r="M481" i="11"/>
  <c r="O481" i="11" s="1"/>
  <c r="F481" i="11" s="1"/>
  <c r="O480" i="11"/>
  <c r="F480" i="11" s="1"/>
  <c r="I447" i="11"/>
  <c r="I455" i="11"/>
  <c r="M426" i="11"/>
  <c r="O425" i="11"/>
  <c r="F425" i="11" s="1"/>
  <c r="H367" i="11"/>
  <c r="G367" i="11"/>
  <c r="H347" i="11"/>
  <c r="G347" i="11"/>
  <c r="H323" i="11"/>
  <c r="G323" i="11"/>
  <c r="O431" i="11"/>
  <c r="F431" i="11" s="1"/>
  <c r="M432" i="11"/>
  <c r="G334" i="11"/>
  <c r="O318" i="11"/>
  <c r="F318" i="11" s="1"/>
  <c r="M319" i="11"/>
  <c r="O319" i="11" s="1"/>
  <c r="F319" i="11" s="1"/>
  <c r="H274" i="11"/>
  <c r="G274" i="11"/>
  <c r="O216" i="11"/>
  <c r="F216" i="11" s="1"/>
  <c r="M217" i="11"/>
  <c r="F171" i="11"/>
  <c r="F127" i="11"/>
  <c r="H360" i="11"/>
  <c r="G360" i="11"/>
  <c r="G314" i="11"/>
  <c r="O151" i="11"/>
  <c r="F151" i="11" s="1"/>
  <c r="M152" i="11"/>
  <c r="G259" i="11"/>
  <c r="H259" i="11"/>
  <c r="G161" i="11"/>
  <c r="H161" i="11"/>
  <c r="O90" i="11"/>
  <c r="F90" i="11" s="1"/>
  <c r="M91" i="11"/>
  <c r="M69" i="11"/>
  <c r="O68" i="11"/>
  <c r="F68" i="11" s="1"/>
  <c r="M54" i="11"/>
  <c r="O54" i="11" s="1"/>
  <c r="F54" i="11" s="1"/>
  <c r="O53" i="11"/>
  <c r="F53" i="11" s="1"/>
  <c r="M83" i="11"/>
  <c r="O82" i="11"/>
  <c r="F82" i="11" s="1"/>
  <c r="M46" i="11"/>
  <c r="O45" i="11"/>
  <c r="F45" i="11" s="1"/>
  <c r="O237" i="11"/>
  <c r="F237" i="11" s="1"/>
  <c r="M238" i="11"/>
  <c r="H16" i="11"/>
  <c r="G16" i="11"/>
  <c r="H103" i="11"/>
  <c r="G103" i="11"/>
  <c r="H25" i="11"/>
  <c r="G25" i="11"/>
  <c r="O576" i="11"/>
  <c r="F576" i="11" s="1"/>
  <c r="M577" i="11"/>
  <c r="I488" i="11"/>
  <c r="I496" i="11"/>
  <c r="I432" i="11"/>
  <c r="I424" i="11"/>
  <c r="H381" i="11"/>
  <c r="G381" i="11"/>
  <c r="H211" i="11"/>
  <c r="H213" i="11" s="1"/>
  <c r="G211" i="11"/>
  <c r="G141" i="11"/>
  <c r="G142" i="11" s="1"/>
  <c r="H141" i="11"/>
  <c r="H142" i="11" s="1"/>
  <c r="O130" i="11"/>
  <c r="F130" i="11" s="1"/>
  <c r="M131" i="11"/>
  <c r="G76" i="11"/>
  <c r="H76" i="11"/>
  <c r="H575" i="11"/>
  <c r="G575" i="11"/>
  <c r="H566" i="11"/>
  <c r="H568" i="11" s="1"/>
  <c r="G566" i="11"/>
  <c r="G568" i="11" s="1"/>
  <c r="F568" i="11"/>
  <c r="H528" i="11"/>
  <c r="G528" i="11"/>
  <c r="H529" i="11"/>
  <c r="G529" i="11"/>
  <c r="H530" i="11"/>
  <c r="H533" i="11" s="1"/>
  <c r="G530" i="11"/>
  <c r="M561" i="11"/>
  <c r="O560" i="11"/>
  <c r="F560" i="11" s="1"/>
  <c r="G467" i="11"/>
  <c r="H467" i="11"/>
  <c r="O536" i="11"/>
  <c r="F536" i="11" s="1"/>
  <c r="M537" i="11"/>
  <c r="O486" i="11"/>
  <c r="F486" i="11" s="1"/>
  <c r="M487" i="11"/>
  <c r="O550" i="11"/>
  <c r="F550" i="11" s="1"/>
  <c r="M551" i="11"/>
  <c r="H502" i="11"/>
  <c r="G502" i="11"/>
  <c r="F504" i="11"/>
  <c r="H471" i="11"/>
  <c r="G471" i="11"/>
  <c r="H453" i="11"/>
  <c r="G453" i="11"/>
  <c r="G329" i="11"/>
  <c r="G330" i="11" s="1"/>
  <c r="F330" i="11"/>
  <c r="H329" i="11"/>
  <c r="H330" i="11" s="1"/>
  <c r="H376" i="11"/>
  <c r="H378" i="11" s="1"/>
  <c r="G376" i="11"/>
  <c r="G378" i="11" s="1"/>
  <c r="F378" i="11"/>
  <c r="H295" i="11"/>
  <c r="G295" i="11"/>
  <c r="H441" i="11"/>
  <c r="O368" i="11"/>
  <c r="F368" i="11" s="1"/>
  <c r="M369" i="11"/>
  <c r="I341" i="11"/>
  <c r="I349" i="11"/>
  <c r="I305" i="11"/>
  <c r="I297" i="11"/>
  <c r="M349" i="11"/>
  <c r="O348" i="11"/>
  <c r="F348" i="11" s="1"/>
  <c r="H324" i="11"/>
  <c r="G324" i="11"/>
  <c r="I277" i="11"/>
  <c r="I285" i="11"/>
  <c r="H334" i="11"/>
  <c r="H296" i="11"/>
  <c r="G296" i="11"/>
  <c r="O275" i="11"/>
  <c r="F275" i="11" s="1"/>
  <c r="M276" i="11"/>
  <c r="H196" i="11"/>
  <c r="G196" i="11"/>
  <c r="M362" i="11"/>
  <c r="O361" i="11"/>
  <c r="F361" i="11" s="1"/>
  <c r="H197" i="11"/>
  <c r="G197" i="11"/>
  <c r="H146" i="11"/>
  <c r="H148" i="11" s="1"/>
  <c r="G146" i="11"/>
  <c r="G148" i="11" s="1"/>
  <c r="G160" i="11"/>
  <c r="G162" i="11" s="1"/>
  <c r="H160" i="11"/>
  <c r="F162" i="11"/>
  <c r="H75" i="11"/>
  <c r="G75" i="11"/>
  <c r="F77" i="11"/>
  <c r="H58" i="11"/>
  <c r="G58" i="11"/>
  <c r="I91" i="11"/>
  <c r="I83" i="11"/>
  <c r="O104" i="11"/>
  <c r="F104" i="11" s="1"/>
  <c r="M105" i="11"/>
  <c r="M27" i="11"/>
  <c r="O26" i="11"/>
  <c r="F26" i="11" s="1"/>
  <c r="M19" i="11"/>
  <c r="O18" i="11"/>
  <c r="F18" i="11" s="1"/>
  <c r="I27" i="11"/>
  <c r="I19" i="11"/>
  <c r="H586" i="10"/>
  <c r="H587" i="10" s="1"/>
  <c r="G586" i="10"/>
  <c r="G587" i="10" s="1"/>
  <c r="H535" i="10"/>
  <c r="G535" i="10"/>
  <c r="M490" i="10"/>
  <c r="O490" i="10" s="1"/>
  <c r="F490" i="10" s="1"/>
  <c r="O489" i="10"/>
  <c r="F489" i="10" s="1"/>
  <c r="H431" i="10"/>
  <c r="G431" i="10"/>
  <c r="H424" i="10"/>
  <c r="G424" i="10"/>
  <c r="H268" i="10"/>
  <c r="G268" i="10"/>
  <c r="F270" i="10"/>
  <c r="H281" i="10"/>
  <c r="G281" i="10"/>
  <c r="O323" i="10"/>
  <c r="F323" i="10" s="1"/>
  <c r="M324" i="10"/>
  <c r="I262" i="10"/>
  <c r="I254" i="10"/>
  <c r="O425" i="10"/>
  <c r="F425" i="10" s="1"/>
  <c r="M426" i="10"/>
  <c r="H303" i="10"/>
  <c r="G303" i="10"/>
  <c r="M239" i="10"/>
  <c r="O238" i="10"/>
  <c r="F238" i="10" s="1"/>
  <c r="H209" i="10"/>
  <c r="G209" i="10"/>
  <c r="I199" i="10"/>
  <c r="I191" i="10"/>
  <c r="H150" i="10"/>
  <c r="G150" i="10"/>
  <c r="G50" i="10"/>
  <c r="G51" i="10" s="1"/>
  <c r="H50" i="10"/>
  <c r="H51" i="10" s="1"/>
  <c r="F51" i="10"/>
  <c r="H251" i="10"/>
  <c r="G251" i="10"/>
  <c r="H195" i="10"/>
  <c r="G195" i="10"/>
  <c r="H246" i="10"/>
  <c r="G246" i="10"/>
  <c r="F248" i="10"/>
  <c r="O67" i="10"/>
  <c r="F67" i="10" s="1"/>
  <c r="M68" i="10"/>
  <c r="H145" i="10"/>
  <c r="H148" i="10" s="1"/>
  <c r="G145" i="10"/>
  <c r="I175" i="10"/>
  <c r="I167" i="10"/>
  <c r="H16" i="10"/>
  <c r="G16" i="10"/>
  <c r="H168" i="10"/>
  <c r="G168" i="10"/>
  <c r="G146" i="10"/>
  <c r="H146" i="10"/>
  <c r="H102" i="10"/>
  <c r="G102" i="10"/>
  <c r="G269" i="10"/>
  <c r="H269" i="10"/>
  <c r="H528" i="10"/>
  <c r="G528" i="10"/>
  <c r="H566" i="10"/>
  <c r="G566" i="10"/>
  <c r="F568" i="10"/>
  <c r="G509" i="10"/>
  <c r="H509" i="10"/>
  <c r="H575" i="10"/>
  <c r="G575" i="10"/>
  <c r="H480" i="10"/>
  <c r="G480" i="10"/>
  <c r="F482" i="10"/>
  <c r="H322" i="10"/>
  <c r="G322" i="10"/>
  <c r="H166" i="10"/>
  <c r="G166" i="10"/>
  <c r="M262" i="10"/>
  <c r="O261" i="10"/>
  <c r="F261" i="10" s="1"/>
  <c r="G252" i="10"/>
  <c r="H252" i="10"/>
  <c r="H66" i="10"/>
  <c r="G66" i="10"/>
  <c r="M27" i="10"/>
  <c r="O26" i="10"/>
  <c r="F26" i="10" s="1"/>
  <c r="H34" i="10"/>
  <c r="G34" i="10"/>
  <c r="H147" i="10"/>
  <c r="G147" i="10"/>
  <c r="H54" i="10"/>
  <c r="H55" i="10" s="1"/>
  <c r="G54" i="10"/>
  <c r="F55" i="10"/>
  <c r="F587" i="10"/>
  <c r="H571" i="10"/>
  <c r="G571" i="10"/>
  <c r="H549" i="10"/>
  <c r="G549" i="10"/>
  <c r="O536" i="10"/>
  <c r="F536" i="10" s="1"/>
  <c r="M537" i="10"/>
  <c r="H494" i="10"/>
  <c r="G494" i="10"/>
  <c r="H512" i="10"/>
  <c r="G512" i="10"/>
  <c r="O576" i="10"/>
  <c r="F576" i="10" s="1"/>
  <c r="M577" i="10"/>
  <c r="G481" i="10"/>
  <c r="H481" i="10"/>
  <c r="H445" i="10"/>
  <c r="G445" i="10"/>
  <c r="O432" i="10"/>
  <c r="F432" i="10" s="1"/>
  <c r="M433" i="10"/>
  <c r="I496" i="10"/>
  <c r="I488" i="10"/>
  <c r="F583" i="10"/>
  <c r="H582" i="10"/>
  <c r="H583" i="10" s="1"/>
  <c r="G582" i="10"/>
  <c r="G583" i="10" s="1"/>
  <c r="M531" i="10"/>
  <c r="O530" i="10"/>
  <c r="F530" i="10" s="1"/>
  <c r="H572" i="10"/>
  <c r="H573" i="10" s="1"/>
  <c r="G572" i="10"/>
  <c r="O550" i="10"/>
  <c r="F550" i="10" s="1"/>
  <c r="M551" i="10"/>
  <c r="G546" i="10"/>
  <c r="O495" i="10"/>
  <c r="F495" i="10" s="1"/>
  <c r="M496" i="10"/>
  <c r="M514" i="10"/>
  <c r="O513" i="10"/>
  <c r="F513" i="10" s="1"/>
  <c r="H454" i="10"/>
  <c r="G454" i="10"/>
  <c r="O446" i="10"/>
  <c r="F446" i="10" s="1"/>
  <c r="M447" i="10"/>
  <c r="H422" i="10"/>
  <c r="G422" i="10"/>
  <c r="H558" i="10"/>
  <c r="G558" i="10"/>
  <c r="H359" i="10"/>
  <c r="G359" i="10"/>
  <c r="H312" i="10"/>
  <c r="G312" i="10"/>
  <c r="F314" i="10"/>
  <c r="O282" i="10"/>
  <c r="F282" i="10" s="1"/>
  <c r="M283" i="10"/>
  <c r="H345" i="10"/>
  <c r="G345" i="10"/>
  <c r="M388" i="10"/>
  <c r="O385" i="10"/>
  <c r="F385" i="10" s="1"/>
  <c r="I298" i="10"/>
  <c r="I306" i="10"/>
  <c r="M219" i="10"/>
  <c r="O217" i="10"/>
  <c r="F217" i="10" s="1"/>
  <c r="M218" i="10"/>
  <c r="O218" i="10" s="1"/>
  <c r="F218" i="10" s="1"/>
  <c r="O304" i="10"/>
  <c r="F304" i="10" s="1"/>
  <c r="M305" i="10"/>
  <c r="M212" i="10"/>
  <c r="O212" i="10" s="1"/>
  <c r="F212" i="10" s="1"/>
  <c r="M211" i="10"/>
  <c r="O211" i="10" s="1"/>
  <c r="F211" i="10" s="1"/>
  <c r="O210" i="10"/>
  <c r="F210" i="10" s="1"/>
  <c r="H173" i="10"/>
  <c r="G173" i="10"/>
  <c r="O151" i="10"/>
  <c r="F151" i="10" s="1"/>
  <c r="M152" i="10"/>
  <c r="I364" i="10"/>
  <c r="I373" i="10" s="1"/>
  <c r="I372" i="10"/>
  <c r="M197" i="10"/>
  <c r="O196" i="10"/>
  <c r="F196" i="10" s="1"/>
  <c r="H247" i="10"/>
  <c r="G247" i="10"/>
  <c r="H129" i="10"/>
  <c r="G129" i="10"/>
  <c r="I90" i="10"/>
  <c r="I82" i="10"/>
  <c r="H59" i="10"/>
  <c r="G59" i="10"/>
  <c r="H140" i="10"/>
  <c r="G140" i="10"/>
  <c r="F142" i="10"/>
  <c r="H24" i="10"/>
  <c r="G24" i="10"/>
  <c r="H170" i="10"/>
  <c r="G170" i="10"/>
  <c r="H162" i="10"/>
  <c r="M18" i="10"/>
  <c r="O17" i="10"/>
  <c r="F17" i="10" s="1"/>
  <c r="I60" i="10"/>
  <c r="I68" i="10"/>
  <c r="H124" i="10"/>
  <c r="G124" i="10"/>
  <c r="O103" i="10"/>
  <c r="F103" i="10" s="1"/>
  <c r="M104" i="10"/>
  <c r="H80" i="10"/>
  <c r="G80" i="10"/>
  <c r="I552" i="10"/>
  <c r="I560" i="10"/>
  <c r="O472" i="10"/>
  <c r="F472" i="10" s="1"/>
  <c r="M473" i="10"/>
  <c r="O404" i="10"/>
  <c r="F404" i="10" s="1"/>
  <c r="M405" i="10"/>
  <c r="G377" i="10"/>
  <c r="H377" i="10"/>
  <c r="M370" i="10"/>
  <c r="O369" i="10"/>
  <c r="F369" i="10" s="1"/>
  <c r="O44" i="10"/>
  <c r="F44" i="10" s="1"/>
  <c r="M45" i="10"/>
  <c r="O296" i="10"/>
  <c r="F296" i="10" s="1"/>
  <c r="M297" i="10"/>
  <c r="H63" i="10"/>
  <c r="H64" i="10" s="1"/>
  <c r="G63" i="10"/>
  <c r="G125" i="10"/>
  <c r="H125" i="10"/>
  <c r="G529" i="10"/>
  <c r="H529" i="10"/>
  <c r="G567" i="10"/>
  <c r="H567" i="10"/>
  <c r="H504" i="10"/>
  <c r="H466" i="10"/>
  <c r="H468" i="10" s="1"/>
  <c r="G466" i="10"/>
  <c r="G468" i="10" s="1"/>
  <c r="I457" i="10"/>
  <c r="I449" i="10"/>
  <c r="I458" i="10" s="1"/>
  <c r="G329" i="10"/>
  <c r="G330" i="10" s="1"/>
  <c r="H329" i="10"/>
  <c r="H330" i="10" s="1"/>
  <c r="F330" i="10"/>
  <c r="H546" i="10"/>
  <c r="I537" i="10"/>
  <c r="I529" i="10"/>
  <c r="H508" i="10"/>
  <c r="G508" i="10"/>
  <c r="G510" i="10" s="1"/>
  <c r="H488" i="10"/>
  <c r="G488" i="10"/>
  <c r="H471" i="10"/>
  <c r="G471" i="10"/>
  <c r="M456" i="10"/>
  <c r="O455" i="10"/>
  <c r="F455" i="10" s="1"/>
  <c r="H439" i="10"/>
  <c r="H441" i="10" s="1"/>
  <c r="F441" i="10"/>
  <c r="G439" i="10"/>
  <c r="G441" i="10" s="1"/>
  <c r="H403" i="10"/>
  <c r="G403" i="10"/>
  <c r="M560" i="10"/>
  <c r="O559" i="10"/>
  <c r="F559" i="10" s="1"/>
  <c r="G463" i="10"/>
  <c r="F491" i="10"/>
  <c r="I433" i="10"/>
  <c r="I425" i="10"/>
  <c r="O360" i="10"/>
  <c r="F360" i="10" s="1"/>
  <c r="M361" i="10"/>
  <c r="H313" i="10"/>
  <c r="G313" i="10"/>
  <c r="H376" i="10"/>
  <c r="G376" i="10"/>
  <c r="F378" i="10"/>
  <c r="O346" i="10"/>
  <c r="F346" i="10" s="1"/>
  <c r="M347" i="10"/>
  <c r="I275" i="10"/>
  <c r="I283" i="10"/>
  <c r="I347" i="10"/>
  <c r="I339" i="10"/>
  <c r="H205" i="10"/>
  <c r="H206" i="10" s="1"/>
  <c r="G205" i="10"/>
  <c r="G206" i="10" s="1"/>
  <c r="F206" i="10"/>
  <c r="O174" i="10"/>
  <c r="F174" i="10" s="1"/>
  <c r="M175" i="10"/>
  <c r="G148" i="10"/>
  <c r="H260" i="10"/>
  <c r="G260" i="10"/>
  <c r="F213" i="10"/>
  <c r="M254" i="10"/>
  <c r="O253" i="10"/>
  <c r="F253" i="10" s="1"/>
  <c r="M131" i="10"/>
  <c r="O130" i="10"/>
  <c r="F130" i="10" s="1"/>
  <c r="H141" i="10"/>
  <c r="G141" i="10"/>
  <c r="H43" i="10"/>
  <c r="G43" i="10"/>
  <c r="I19" i="10"/>
  <c r="I27" i="10"/>
  <c r="G169" i="10"/>
  <c r="H169" i="10"/>
  <c r="H295" i="10"/>
  <c r="G295" i="10"/>
  <c r="H33" i="10"/>
  <c r="H35" i="10" s="1"/>
  <c r="G33" i="10"/>
  <c r="G35" i="10" s="1"/>
  <c r="F35" i="10"/>
  <c r="G77" i="10"/>
  <c r="H126" i="10"/>
  <c r="G126" i="10"/>
  <c r="H61" i="10"/>
  <c r="G61" i="10"/>
  <c r="O81" i="10"/>
  <c r="F81" i="10" s="1"/>
  <c r="M82" i="10"/>
  <c r="G55" i="10"/>
  <c r="H570" i="9"/>
  <c r="G570" i="9"/>
  <c r="H528" i="9"/>
  <c r="G528" i="9"/>
  <c r="H502" i="9"/>
  <c r="H504" i="9" s="1"/>
  <c r="H485" i="9"/>
  <c r="G485" i="9"/>
  <c r="H468" i="9"/>
  <c r="F468" i="9"/>
  <c r="G453" i="9"/>
  <c r="H381" i="9"/>
  <c r="G381" i="9"/>
  <c r="H369" i="9"/>
  <c r="G369" i="9"/>
  <c r="H329" i="9"/>
  <c r="H330" i="9" s="1"/>
  <c r="F334" i="9"/>
  <c r="H317" i="9"/>
  <c r="G317" i="9"/>
  <c r="M239" i="9"/>
  <c r="O238" i="9"/>
  <c r="F238" i="9" s="1"/>
  <c r="F234" i="9"/>
  <c r="F206" i="9"/>
  <c r="G206" i="9"/>
  <c r="G165" i="9"/>
  <c r="H182" i="9"/>
  <c r="H184" i="9" s="1"/>
  <c r="G182" i="9"/>
  <c r="G184" i="9" s="1"/>
  <c r="M152" i="9"/>
  <c r="O151" i="9"/>
  <c r="F151" i="9" s="1"/>
  <c r="G123" i="9"/>
  <c r="H123" i="9"/>
  <c r="G102" i="9"/>
  <c r="F99" i="9"/>
  <c r="H98" i="9"/>
  <c r="H99" i="9" s="1"/>
  <c r="H454" i="9"/>
  <c r="G454" i="9"/>
  <c r="M532" i="9"/>
  <c r="O532" i="9" s="1"/>
  <c r="F532" i="9" s="1"/>
  <c r="O531" i="9"/>
  <c r="F531" i="9" s="1"/>
  <c r="H430" i="9"/>
  <c r="G430" i="9"/>
  <c r="H304" i="9"/>
  <c r="G304" i="9"/>
  <c r="H295" i="9"/>
  <c r="G295" i="9"/>
  <c r="H166" i="9"/>
  <c r="G166" i="9"/>
  <c r="H132" i="9"/>
  <c r="G132" i="9"/>
  <c r="H252" i="9"/>
  <c r="G252" i="9"/>
  <c r="O196" i="9"/>
  <c r="F196" i="9" s="1"/>
  <c r="M197" i="9"/>
  <c r="O16" i="9"/>
  <c r="F16" i="9" s="1"/>
  <c r="M17" i="9"/>
  <c r="M70" i="9"/>
  <c r="O69" i="9"/>
  <c r="F69" i="9" s="1"/>
  <c r="H44" i="9"/>
  <c r="G549" i="9"/>
  <c r="H549" i="9"/>
  <c r="G567" i="9"/>
  <c r="H567" i="9"/>
  <c r="I552" i="9"/>
  <c r="I560" i="9"/>
  <c r="M456" i="9"/>
  <c r="O455" i="9"/>
  <c r="F455" i="9" s="1"/>
  <c r="H508" i="9"/>
  <c r="G508" i="9"/>
  <c r="M488" i="9"/>
  <c r="O487" i="9"/>
  <c r="F487" i="9" s="1"/>
  <c r="O472" i="9"/>
  <c r="F472" i="9" s="1"/>
  <c r="M473" i="9"/>
  <c r="O495" i="9"/>
  <c r="F495" i="9" s="1"/>
  <c r="M496" i="9"/>
  <c r="H572" i="9"/>
  <c r="G572" i="9"/>
  <c r="H294" i="9"/>
  <c r="G294" i="9"/>
  <c r="I496" i="9"/>
  <c r="I488" i="9"/>
  <c r="G441" i="9"/>
  <c r="G431" i="9"/>
  <c r="H431" i="9"/>
  <c r="H354" i="9"/>
  <c r="H356" i="9" s="1"/>
  <c r="G354" i="9"/>
  <c r="G356" i="9" s="1"/>
  <c r="F356" i="9"/>
  <c r="M384" i="9"/>
  <c r="O383" i="9"/>
  <c r="F383" i="9" s="1"/>
  <c r="H359" i="9"/>
  <c r="G359" i="9"/>
  <c r="H370" i="9"/>
  <c r="G370" i="9"/>
  <c r="M306" i="9"/>
  <c r="O305" i="9"/>
  <c r="F305" i="9" s="1"/>
  <c r="M284" i="9"/>
  <c r="O283" i="9"/>
  <c r="F283" i="9" s="1"/>
  <c r="G377" i="9"/>
  <c r="H377" i="9"/>
  <c r="O296" i="9"/>
  <c r="F296" i="9" s="1"/>
  <c r="M297" i="9"/>
  <c r="O346" i="9"/>
  <c r="F346" i="9" s="1"/>
  <c r="M347" i="9"/>
  <c r="G313" i="9"/>
  <c r="H313" i="9"/>
  <c r="H273" i="9"/>
  <c r="G273" i="9"/>
  <c r="H270" i="9"/>
  <c r="O167" i="9"/>
  <c r="F167" i="9" s="1"/>
  <c r="M168" i="9"/>
  <c r="O146" i="9"/>
  <c r="F146" i="9" s="1"/>
  <c r="M147" i="9"/>
  <c r="O147" i="9" s="1"/>
  <c r="F147" i="9" s="1"/>
  <c r="M340" i="9"/>
  <c r="O339" i="9"/>
  <c r="F339" i="9" s="1"/>
  <c r="H247" i="9"/>
  <c r="G247" i="9"/>
  <c r="G248" i="9" s="1"/>
  <c r="H126" i="9"/>
  <c r="G126" i="9"/>
  <c r="O133" i="9"/>
  <c r="F133" i="9" s="1"/>
  <c r="F135" i="9" s="1"/>
  <c r="M134" i="9"/>
  <c r="O134" i="9" s="1"/>
  <c r="F134" i="9" s="1"/>
  <c r="M254" i="9"/>
  <c r="O253" i="9"/>
  <c r="F253" i="9" s="1"/>
  <c r="H226" i="9"/>
  <c r="H228" i="9" s="1"/>
  <c r="G226" i="9"/>
  <c r="G228" i="9" s="1"/>
  <c r="F228" i="9"/>
  <c r="H174" i="9"/>
  <c r="G174" i="9"/>
  <c r="H130" i="9"/>
  <c r="G130" i="9"/>
  <c r="M426" i="9"/>
  <c r="O425" i="9"/>
  <c r="F425" i="9" s="1"/>
  <c r="O33" i="9"/>
  <c r="F33" i="9" s="1"/>
  <c r="M34" i="9"/>
  <c r="O34" i="9" s="1"/>
  <c r="F34" i="9" s="1"/>
  <c r="G68" i="9"/>
  <c r="H68" i="9"/>
  <c r="G77" i="9"/>
  <c r="O45" i="9"/>
  <c r="F45" i="9" s="1"/>
  <c r="M46" i="9"/>
  <c r="H486" i="9"/>
  <c r="G486" i="9"/>
  <c r="H494" i="9"/>
  <c r="G494" i="9"/>
  <c r="F378" i="9"/>
  <c r="H376" i="9"/>
  <c r="G376" i="9"/>
  <c r="H312" i="9"/>
  <c r="G312" i="9"/>
  <c r="F314" i="9"/>
  <c r="H145" i="9"/>
  <c r="G145" i="9"/>
  <c r="M177" i="9"/>
  <c r="O176" i="9"/>
  <c r="F176" i="9" s="1"/>
  <c r="H125" i="9"/>
  <c r="G125" i="9"/>
  <c r="M218" i="9"/>
  <c r="O218" i="9" s="1"/>
  <c r="F218" i="9" s="1"/>
  <c r="M219" i="9"/>
  <c r="O217" i="9"/>
  <c r="F217" i="9" s="1"/>
  <c r="H81" i="9"/>
  <c r="G81" i="9"/>
  <c r="H77" i="9"/>
  <c r="H575" i="9"/>
  <c r="G575" i="9"/>
  <c r="I537" i="9"/>
  <c r="I529" i="9"/>
  <c r="O550" i="9"/>
  <c r="F550" i="9" s="1"/>
  <c r="M551" i="9"/>
  <c r="H558" i="9"/>
  <c r="G558" i="9"/>
  <c r="G523" i="9"/>
  <c r="G524" i="9" s="1"/>
  <c r="H523" i="9"/>
  <c r="I448" i="9"/>
  <c r="I456" i="9"/>
  <c r="G509" i="9"/>
  <c r="H509" i="9"/>
  <c r="H480" i="9"/>
  <c r="G480" i="9"/>
  <c r="F482" i="9"/>
  <c r="H251" i="9"/>
  <c r="G251" i="9"/>
  <c r="H402" i="9"/>
  <c r="G402" i="9"/>
  <c r="O446" i="9"/>
  <c r="F446" i="9" s="1"/>
  <c r="M447" i="9"/>
  <c r="O360" i="9"/>
  <c r="F360" i="9" s="1"/>
  <c r="M361" i="9"/>
  <c r="I347" i="9"/>
  <c r="I339" i="9"/>
  <c r="M372" i="9"/>
  <c r="O371" i="9"/>
  <c r="F371" i="9" s="1"/>
  <c r="H318" i="9"/>
  <c r="G318" i="9"/>
  <c r="H290" i="9"/>
  <c r="H292" i="9" s="1"/>
  <c r="G290" i="9"/>
  <c r="F292" i="9"/>
  <c r="H322" i="9"/>
  <c r="G322" i="9"/>
  <c r="O274" i="9"/>
  <c r="F274" i="9" s="1"/>
  <c r="M275" i="9"/>
  <c r="H259" i="9"/>
  <c r="G259" i="9"/>
  <c r="H160" i="9"/>
  <c r="H162" i="9" s="1"/>
  <c r="F162" i="9"/>
  <c r="G160" i="9"/>
  <c r="G162" i="9" s="1"/>
  <c r="I298" i="9"/>
  <c r="I306" i="9"/>
  <c r="G131" i="9"/>
  <c r="H131" i="9"/>
  <c r="H209" i="9"/>
  <c r="G209" i="9"/>
  <c r="F138" i="9"/>
  <c r="H137" i="9"/>
  <c r="H138" i="9" s="1"/>
  <c r="G137" i="9"/>
  <c r="G138" i="9" s="1"/>
  <c r="H67" i="9"/>
  <c r="G67" i="9"/>
  <c r="I261" i="9"/>
  <c r="I253" i="9"/>
  <c r="H104" i="9"/>
  <c r="G104" i="9"/>
  <c r="G41" i="9"/>
  <c r="H15" i="9"/>
  <c r="G15" i="9"/>
  <c r="H90" i="9"/>
  <c r="G90" i="9"/>
  <c r="M84" i="9"/>
  <c r="O83" i="9"/>
  <c r="F83" i="9" s="1"/>
  <c r="H566" i="9"/>
  <c r="G566" i="9"/>
  <c r="F568" i="9"/>
  <c r="I433" i="9"/>
  <c r="I425" i="9"/>
  <c r="H471" i="9"/>
  <c r="G471" i="9"/>
  <c r="H571" i="9"/>
  <c r="H573" i="9" s="1"/>
  <c r="G571" i="9"/>
  <c r="G573" i="9" s="1"/>
  <c r="M433" i="9"/>
  <c r="O432" i="9"/>
  <c r="F432" i="9" s="1"/>
  <c r="H382" i="9"/>
  <c r="G382" i="9"/>
  <c r="H524" i="9"/>
  <c r="H282" i="9"/>
  <c r="G282" i="9"/>
  <c r="H345" i="9"/>
  <c r="G345" i="9"/>
  <c r="H338" i="9"/>
  <c r="G338" i="9"/>
  <c r="H233" i="9"/>
  <c r="G233" i="9"/>
  <c r="M191" i="9"/>
  <c r="O190" i="9"/>
  <c r="F190" i="9" s="1"/>
  <c r="H424" i="9"/>
  <c r="G424" i="9"/>
  <c r="I62" i="9"/>
  <c r="I70" i="9"/>
  <c r="O60" i="9"/>
  <c r="F60" i="9" s="1"/>
  <c r="M61" i="9"/>
  <c r="O576" i="9"/>
  <c r="F576" i="9" s="1"/>
  <c r="M577" i="9"/>
  <c r="O513" i="9"/>
  <c r="F513" i="9" s="1"/>
  <c r="M514" i="9"/>
  <c r="F510" i="9"/>
  <c r="F573" i="9"/>
  <c r="M560" i="9"/>
  <c r="O559" i="9"/>
  <c r="F559" i="9" s="1"/>
  <c r="O536" i="9"/>
  <c r="F536" i="9" s="1"/>
  <c r="M537" i="9"/>
  <c r="G468" i="9"/>
  <c r="G463" i="9"/>
  <c r="H530" i="9"/>
  <c r="G530" i="9"/>
  <c r="G481" i="9"/>
  <c r="H481" i="9"/>
  <c r="F244" i="9"/>
  <c r="H243" i="9"/>
  <c r="H244" i="9" s="1"/>
  <c r="G243" i="9"/>
  <c r="G244" i="9" s="1"/>
  <c r="O403" i="9"/>
  <c r="F403" i="9" s="1"/>
  <c r="M404" i="9"/>
  <c r="G445" i="9"/>
  <c r="H445" i="9"/>
  <c r="H319" i="9"/>
  <c r="G319" i="9"/>
  <c r="G291" i="9"/>
  <c r="H291" i="9"/>
  <c r="I276" i="9"/>
  <c r="I284" i="9"/>
  <c r="I364" i="9"/>
  <c r="I373" i="9" s="1"/>
  <c r="I372" i="9"/>
  <c r="O323" i="9"/>
  <c r="F323" i="9" s="1"/>
  <c r="M324" i="9"/>
  <c r="O260" i="9"/>
  <c r="F260" i="9" s="1"/>
  <c r="M261" i="9"/>
  <c r="I189" i="9"/>
  <c r="I197" i="9"/>
  <c r="H124" i="9"/>
  <c r="H127" i="9" s="1"/>
  <c r="G124" i="9"/>
  <c r="H232" i="9"/>
  <c r="G232" i="9"/>
  <c r="M212" i="9"/>
  <c r="O212" i="9" s="1"/>
  <c r="F212" i="9" s="1"/>
  <c r="M211" i="9"/>
  <c r="O211" i="9" s="1"/>
  <c r="F211" i="9" s="1"/>
  <c r="O210" i="9"/>
  <c r="F210" i="9" s="1"/>
  <c r="O140" i="9"/>
  <c r="F140" i="9" s="1"/>
  <c r="M141" i="9"/>
  <c r="O141" i="9" s="1"/>
  <c r="F141" i="9" s="1"/>
  <c r="F127" i="9"/>
  <c r="H53" i="9"/>
  <c r="H55" i="9" s="1"/>
  <c r="G53" i="9"/>
  <c r="G55" i="9" s="1"/>
  <c r="F55" i="9"/>
  <c r="H248" i="9"/>
  <c r="H195" i="9"/>
  <c r="G195" i="9"/>
  <c r="M106" i="9"/>
  <c r="O105" i="9"/>
  <c r="F105" i="9" s="1"/>
  <c r="H41" i="9"/>
  <c r="M25" i="9"/>
  <c r="O24" i="9"/>
  <c r="F24" i="9" s="1"/>
  <c r="G99" i="9"/>
  <c r="O91" i="9"/>
  <c r="F91" i="9" s="1"/>
  <c r="M92" i="9"/>
  <c r="G82" i="9"/>
  <c r="H82" i="9"/>
  <c r="H59" i="9"/>
  <c r="G59" i="9"/>
  <c r="I20" i="9"/>
  <c r="I28" i="9"/>
  <c r="I559" i="8"/>
  <c r="I560" i="8"/>
  <c r="O295" i="8"/>
  <c r="F295" i="8" s="1"/>
  <c r="G295" i="8" s="1"/>
  <c r="H126" i="8"/>
  <c r="G145" i="8"/>
  <c r="F213" i="8"/>
  <c r="G212" i="8"/>
  <c r="O368" i="8"/>
  <c r="F368" i="8" s="1"/>
  <c r="G337" i="8"/>
  <c r="H383" i="8"/>
  <c r="G544" i="8"/>
  <c r="G546" i="8" s="1"/>
  <c r="G513" i="8"/>
  <c r="F510" i="8"/>
  <c r="M297" i="8"/>
  <c r="O558" i="8"/>
  <c r="F558" i="8" s="1"/>
  <c r="M560" i="8"/>
  <c r="G570" i="8"/>
  <c r="G247" i="8"/>
  <c r="O369" i="8"/>
  <c r="F369" i="8" s="1"/>
  <c r="H369" i="8" s="1"/>
  <c r="M275" i="8"/>
  <c r="O275" i="8" s="1"/>
  <c r="F275" i="8" s="1"/>
  <c r="O370" i="8"/>
  <c r="F370" i="8" s="1"/>
  <c r="H370" i="8" s="1"/>
  <c r="M307" i="8"/>
  <c r="M308" i="8" s="1"/>
  <c r="O371" i="8"/>
  <c r="F371" i="8" s="1"/>
  <c r="O382" i="8"/>
  <c r="F382" i="8" s="1"/>
  <c r="H382" i="8" s="1"/>
  <c r="F248" i="8"/>
  <c r="F524" i="8"/>
  <c r="G246" i="8"/>
  <c r="M363" i="8"/>
  <c r="O363" i="8" s="1"/>
  <c r="F363" i="8" s="1"/>
  <c r="F520" i="8"/>
  <c r="F468" i="8"/>
  <c r="H566" i="8"/>
  <c r="H568" i="8" s="1"/>
  <c r="G360" i="8"/>
  <c r="G566" i="8"/>
  <c r="G568" i="8" s="1"/>
  <c r="H470" i="8"/>
  <c r="H585" i="8"/>
  <c r="G585" i="8"/>
  <c r="F587" i="8"/>
  <c r="M578" i="8"/>
  <c r="O577" i="8"/>
  <c r="F577" i="8" s="1"/>
  <c r="I553" i="8"/>
  <c r="I561" i="8"/>
  <c r="H550" i="8"/>
  <c r="G550" i="8"/>
  <c r="H558" i="8"/>
  <c r="G558" i="8"/>
  <c r="O551" i="8"/>
  <c r="F551" i="8" s="1"/>
  <c r="M552" i="8"/>
  <c r="H571" i="8"/>
  <c r="H573" i="8" s="1"/>
  <c r="G571" i="8"/>
  <c r="G573" i="8" s="1"/>
  <c r="G559" i="8"/>
  <c r="H559" i="8"/>
  <c r="G586" i="8"/>
  <c r="H586" i="8"/>
  <c r="F583" i="8"/>
  <c r="H582" i="8"/>
  <c r="H583" i="8" s="1"/>
  <c r="G582" i="8"/>
  <c r="G583" i="8" s="1"/>
  <c r="M561" i="8"/>
  <c r="O560" i="8"/>
  <c r="F560" i="8" s="1"/>
  <c r="H576" i="8"/>
  <c r="G576" i="8"/>
  <c r="F573" i="8"/>
  <c r="F546" i="8"/>
  <c r="G132" i="8"/>
  <c r="H129" i="8"/>
  <c r="F270" i="8"/>
  <c r="G269" i="8"/>
  <c r="G270" i="8" s="1"/>
  <c r="G252" i="8"/>
  <c r="H440" i="8"/>
  <c r="H441" i="8" s="1"/>
  <c r="G522" i="8"/>
  <c r="G524" i="8" s="1"/>
  <c r="O332" i="8"/>
  <c r="F332" i="8" s="1"/>
  <c r="M333" i="8"/>
  <c r="O333" i="8" s="1"/>
  <c r="F333" i="8" s="1"/>
  <c r="H123" i="8"/>
  <c r="H246" i="8"/>
  <c r="H248" i="8" s="1"/>
  <c r="G340" i="8"/>
  <c r="O361" i="8"/>
  <c r="F361" i="8" s="1"/>
  <c r="H361" i="8" s="1"/>
  <c r="F378" i="8"/>
  <c r="G382" i="8"/>
  <c r="G440" i="8"/>
  <c r="G441" i="8" s="1"/>
  <c r="H522" i="8"/>
  <c r="H524" i="8" s="1"/>
  <c r="O237" i="8"/>
  <c r="F237" i="8" s="1"/>
  <c r="M238" i="8"/>
  <c r="M446" i="8"/>
  <c r="O445" i="8"/>
  <c r="F445" i="8" s="1"/>
  <c r="H359" i="8"/>
  <c r="M384" i="8"/>
  <c r="G211" i="8"/>
  <c r="H211" i="8"/>
  <c r="M531" i="8"/>
  <c r="O530" i="8"/>
  <c r="F530" i="8" s="1"/>
  <c r="M516" i="8"/>
  <c r="O516" i="8" s="1"/>
  <c r="F516" i="8" s="1"/>
  <c r="O515" i="8"/>
  <c r="F515" i="8" s="1"/>
  <c r="F517" i="8" s="1"/>
  <c r="G529" i="8"/>
  <c r="H529" i="8"/>
  <c r="I531" i="8"/>
  <c r="I539" i="8"/>
  <c r="H528" i="8"/>
  <c r="G528" i="8"/>
  <c r="H537" i="8"/>
  <c r="G537" i="8"/>
  <c r="H514" i="8"/>
  <c r="G514" i="8"/>
  <c r="G508" i="8"/>
  <c r="H508" i="8"/>
  <c r="H507" i="8"/>
  <c r="H510" i="8" s="1"/>
  <c r="G507" i="8"/>
  <c r="H546" i="8"/>
  <c r="O538" i="8"/>
  <c r="F538" i="8" s="1"/>
  <c r="M539" i="8"/>
  <c r="H509" i="8"/>
  <c r="G509" i="8"/>
  <c r="H493" i="8"/>
  <c r="G493" i="8"/>
  <c r="H502" i="8"/>
  <c r="G502" i="8"/>
  <c r="F504" i="8"/>
  <c r="G494" i="8"/>
  <c r="H494" i="8"/>
  <c r="M486" i="8"/>
  <c r="O485" i="8"/>
  <c r="F485" i="8" s="1"/>
  <c r="G503" i="8"/>
  <c r="H503" i="8"/>
  <c r="M496" i="8"/>
  <c r="O495" i="8"/>
  <c r="F495" i="8" s="1"/>
  <c r="I488" i="8"/>
  <c r="I496" i="8"/>
  <c r="F478" i="8"/>
  <c r="H477" i="8"/>
  <c r="H478" i="8" s="1"/>
  <c r="G477" i="8"/>
  <c r="G478" i="8" s="1"/>
  <c r="H466" i="8"/>
  <c r="H468" i="8" s="1"/>
  <c r="G466" i="8"/>
  <c r="G468" i="8" s="1"/>
  <c r="H480" i="8"/>
  <c r="G480" i="8"/>
  <c r="F482" i="8"/>
  <c r="H471" i="8"/>
  <c r="G471" i="8"/>
  <c r="G481" i="8"/>
  <c r="H481" i="8"/>
  <c r="O472" i="8"/>
  <c r="F472" i="8" s="1"/>
  <c r="M473" i="8"/>
  <c r="H452" i="8"/>
  <c r="G452" i="8"/>
  <c r="M455" i="8"/>
  <c r="O454" i="8"/>
  <c r="F454" i="8" s="1"/>
  <c r="I447" i="8"/>
  <c r="I455" i="8"/>
  <c r="H461" i="8"/>
  <c r="H463" i="8" s="1"/>
  <c r="G461" i="8"/>
  <c r="G463" i="8" s="1"/>
  <c r="F463" i="8"/>
  <c r="G453" i="8"/>
  <c r="H453" i="8"/>
  <c r="I425" i="8"/>
  <c r="I433" i="8"/>
  <c r="M433" i="8"/>
  <c r="O432" i="8"/>
  <c r="F432" i="8" s="1"/>
  <c r="H430" i="8"/>
  <c r="G430" i="8"/>
  <c r="O425" i="8"/>
  <c r="F425" i="8" s="1"/>
  <c r="M426" i="8"/>
  <c r="G431" i="8"/>
  <c r="H431" i="8"/>
  <c r="G423" i="8"/>
  <c r="H423" i="8"/>
  <c r="H424" i="8"/>
  <c r="G424" i="8"/>
  <c r="H402" i="8"/>
  <c r="G402" i="8"/>
  <c r="H403" i="8"/>
  <c r="G403" i="8"/>
  <c r="M405" i="8"/>
  <c r="O404" i="8"/>
  <c r="F404" i="8" s="1"/>
  <c r="H354" i="8"/>
  <c r="H356" i="8" s="1"/>
  <c r="G354" i="8"/>
  <c r="G356" i="8" s="1"/>
  <c r="H338" i="8"/>
  <c r="G338" i="8"/>
  <c r="F356" i="8"/>
  <c r="I361" i="8"/>
  <c r="I369" i="8"/>
  <c r="H322" i="8"/>
  <c r="G322" i="8"/>
  <c r="H345" i="8"/>
  <c r="G345" i="8"/>
  <c r="H312" i="8"/>
  <c r="G312" i="8"/>
  <c r="F314" i="8"/>
  <c r="H341" i="8"/>
  <c r="G341" i="8"/>
  <c r="H368" i="8"/>
  <c r="G368" i="8"/>
  <c r="H371" i="8"/>
  <c r="G371" i="8"/>
  <c r="O346" i="8"/>
  <c r="F346" i="8" s="1"/>
  <c r="M347" i="8"/>
  <c r="G313" i="8"/>
  <c r="H313" i="8"/>
  <c r="G342" i="8"/>
  <c r="H342" i="8"/>
  <c r="F343" i="8"/>
  <c r="H305" i="8"/>
  <c r="G305" i="8"/>
  <c r="M364" i="8"/>
  <c r="O364" i="8" s="1"/>
  <c r="F364" i="8" s="1"/>
  <c r="H372" i="8"/>
  <c r="G372" i="8"/>
  <c r="H318" i="8"/>
  <c r="G318" i="8"/>
  <c r="H295" i="8"/>
  <c r="O323" i="8"/>
  <c r="F323" i="8" s="1"/>
  <c r="M324" i="8"/>
  <c r="G319" i="8"/>
  <c r="H319" i="8"/>
  <c r="H378" i="8"/>
  <c r="I348" i="8"/>
  <c r="I340" i="8"/>
  <c r="H339" i="8"/>
  <c r="G339" i="8"/>
  <c r="I300" i="8"/>
  <c r="I309" i="8" s="1"/>
  <c r="I308" i="8"/>
  <c r="G362" i="8"/>
  <c r="H362" i="8"/>
  <c r="G378" i="8"/>
  <c r="H373" i="8"/>
  <c r="G373" i="8"/>
  <c r="M254" i="8"/>
  <c r="O253" i="8"/>
  <c r="F253" i="8" s="1"/>
  <c r="H231" i="8"/>
  <c r="G231" i="8"/>
  <c r="O261" i="8"/>
  <c r="F261" i="8" s="1"/>
  <c r="M262" i="8"/>
  <c r="I253" i="8"/>
  <c r="I261" i="8"/>
  <c r="G260" i="8"/>
  <c r="H260" i="8"/>
  <c r="H223" i="8"/>
  <c r="H224" i="8" s="1"/>
  <c r="F224" i="8"/>
  <c r="G223" i="8"/>
  <c r="G224" i="8" s="1"/>
  <c r="I275" i="8"/>
  <c r="I283" i="8"/>
  <c r="M217" i="8"/>
  <c r="O216" i="8"/>
  <c r="F216" i="8" s="1"/>
  <c r="O232" i="8"/>
  <c r="F232" i="8" s="1"/>
  <c r="M233" i="8"/>
  <c r="O233" i="8" s="1"/>
  <c r="F233" i="8" s="1"/>
  <c r="O226" i="8"/>
  <c r="F226" i="8" s="1"/>
  <c r="M227" i="8"/>
  <c r="O227" i="8" s="1"/>
  <c r="F227" i="8" s="1"/>
  <c r="G215" i="8"/>
  <c r="H215" i="8"/>
  <c r="H210" i="8"/>
  <c r="H213" i="8" s="1"/>
  <c r="G210" i="8"/>
  <c r="M276" i="8"/>
  <c r="H204" i="8"/>
  <c r="H206" i="8" s="1"/>
  <c r="G204" i="8"/>
  <c r="G206" i="8" s="1"/>
  <c r="F206" i="8"/>
  <c r="I197" i="8"/>
  <c r="I189" i="8"/>
  <c r="H188" i="8"/>
  <c r="G188" i="8"/>
  <c r="H187" i="8"/>
  <c r="G187" i="8"/>
  <c r="M190" i="8"/>
  <c r="O189" i="8"/>
  <c r="F189" i="8" s="1"/>
  <c r="O196" i="8"/>
  <c r="F196" i="8" s="1"/>
  <c r="M197" i="8"/>
  <c r="H146" i="8"/>
  <c r="H148" i="8" s="1"/>
  <c r="G146" i="8"/>
  <c r="G174" i="8"/>
  <c r="H174" i="8"/>
  <c r="H173" i="8"/>
  <c r="G173" i="8"/>
  <c r="H161" i="8"/>
  <c r="G161" i="8"/>
  <c r="F158" i="8"/>
  <c r="H157" i="8"/>
  <c r="H158" i="8" s="1"/>
  <c r="G157" i="8"/>
  <c r="G158" i="8" s="1"/>
  <c r="F148" i="8"/>
  <c r="H182" i="8"/>
  <c r="H184" i="8" s="1"/>
  <c r="G182" i="8"/>
  <c r="G184" i="8" s="1"/>
  <c r="F184" i="8"/>
  <c r="O151" i="8"/>
  <c r="F151" i="8" s="1"/>
  <c r="M152" i="8"/>
  <c r="O175" i="8"/>
  <c r="F175" i="8" s="1"/>
  <c r="M176" i="8"/>
  <c r="I175" i="8"/>
  <c r="I167" i="8"/>
  <c r="G166" i="8"/>
  <c r="H166" i="8"/>
  <c r="H165" i="8"/>
  <c r="G165" i="8"/>
  <c r="M168" i="8"/>
  <c r="O167" i="8"/>
  <c r="F167" i="8" s="1"/>
  <c r="G160" i="8"/>
  <c r="H160" i="8"/>
  <c r="F162" i="8"/>
  <c r="H125" i="8"/>
  <c r="H97" i="8"/>
  <c r="H99" i="8" s="1"/>
  <c r="H101" i="8"/>
  <c r="G101" i="8"/>
  <c r="F99" i="8"/>
  <c r="H102" i="8"/>
  <c r="G102" i="8"/>
  <c r="H124" i="8"/>
  <c r="G124" i="8"/>
  <c r="G127" i="8" s="1"/>
  <c r="F127" i="8"/>
  <c r="H130" i="8"/>
  <c r="G130" i="8"/>
  <c r="F138" i="8"/>
  <c r="H137" i="8"/>
  <c r="H138" i="8" s="1"/>
  <c r="G137" i="8"/>
  <c r="G138" i="8" s="1"/>
  <c r="G141" i="8"/>
  <c r="H141" i="8"/>
  <c r="M133" i="8"/>
  <c r="O131" i="8"/>
  <c r="F131" i="8" s="1"/>
  <c r="H140" i="8"/>
  <c r="G140" i="8"/>
  <c r="F142" i="8"/>
  <c r="M91" i="8"/>
  <c r="O91" i="8" s="1"/>
  <c r="F91" i="8" s="1"/>
  <c r="I90" i="8"/>
  <c r="O53" i="8"/>
  <c r="F53" i="8" s="1"/>
  <c r="G53" i="8" s="1"/>
  <c r="O89" i="8"/>
  <c r="F89" i="8" s="1"/>
  <c r="H89" i="8" s="1"/>
  <c r="G99" i="8"/>
  <c r="M104" i="8"/>
  <c r="O103" i="8"/>
  <c r="F103" i="8" s="1"/>
  <c r="I84" i="8"/>
  <c r="I92" i="8"/>
  <c r="M84" i="8"/>
  <c r="O83" i="8"/>
  <c r="F83" i="8" s="1"/>
  <c r="H81" i="8"/>
  <c r="G81" i="8"/>
  <c r="G90" i="8"/>
  <c r="H90" i="8"/>
  <c r="G82" i="8"/>
  <c r="H82" i="8"/>
  <c r="H75" i="8"/>
  <c r="G75" i="8"/>
  <c r="F77" i="8"/>
  <c r="M67" i="8"/>
  <c r="O66" i="8"/>
  <c r="F66" i="8" s="1"/>
  <c r="I61" i="8"/>
  <c r="I69" i="8"/>
  <c r="M59" i="8"/>
  <c r="O58" i="8"/>
  <c r="F58" i="8" s="1"/>
  <c r="H76" i="8"/>
  <c r="G76" i="8"/>
  <c r="O43" i="8"/>
  <c r="F43" i="8" s="1"/>
  <c r="G43" i="8" s="1"/>
  <c r="I38" i="8"/>
  <c r="I39" i="8" s="1"/>
  <c r="I40" i="8" s="1"/>
  <c r="O54" i="8"/>
  <c r="H33" i="8"/>
  <c r="G33" i="8"/>
  <c r="M34" i="8"/>
  <c r="O34" i="8" s="1"/>
  <c r="F34" i="8" s="1"/>
  <c r="F35" i="8" s="1"/>
  <c r="M39" i="8"/>
  <c r="O38" i="8"/>
  <c r="F38" i="8" s="1"/>
  <c r="G38" i="8" s="1"/>
  <c r="H24" i="8"/>
  <c r="G24" i="8"/>
  <c r="H15" i="8"/>
  <c r="G15" i="8"/>
  <c r="I19" i="8"/>
  <c r="I27" i="8"/>
  <c r="I16" i="4"/>
  <c r="H37" i="8"/>
  <c r="G37" i="8"/>
  <c r="M18" i="8"/>
  <c r="O17" i="8"/>
  <c r="F17" i="8" s="1"/>
  <c r="M45" i="8"/>
  <c r="O44" i="8"/>
  <c r="F44" i="8" s="1"/>
  <c r="O16" i="8"/>
  <c r="F16" i="8" s="1"/>
  <c r="M25" i="8"/>
  <c r="O50" i="8"/>
  <c r="F50" i="8" s="1"/>
  <c r="I44" i="8"/>
  <c r="I45" i="8" s="1"/>
  <c r="I46" i="8" s="1"/>
  <c r="I47" i="8" s="1"/>
  <c r="E34" i="6"/>
  <c r="E26" i="6"/>
  <c r="D26" i="6"/>
  <c r="I15" i="6"/>
  <c r="H15" i="6"/>
  <c r="G15" i="6"/>
  <c r="F15" i="6"/>
  <c r="E15" i="6"/>
  <c r="E17" i="6" s="1"/>
  <c r="D15" i="6"/>
  <c r="D17" i="6" s="1"/>
  <c r="C15" i="6"/>
  <c r="C17" i="6" s="1"/>
  <c r="B15" i="6"/>
  <c r="B17" i="6" s="1"/>
  <c r="B18" i="6" s="1"/>
  <c r="I24" i="6"/>
  <c r="G24" i="6"/>
  <c r="F24" i="6"/>
  <c r="E24" i="6"/>
  <c r="D24" i="6"/>
  <c r="C24" i="6"/>
  <c r="C26" i="6" s="1"/>
  <c r="B24" i="6"/>
  <c r="B26" i="6" s="1"/>
  <c r="B27" i="6" s="1"/>
  <c r="H21" i="6"/>
  <c r="H24" i="6" s="1"/>
  <c r="J24" i="6" s="1"/>
  <c r="B2" i="6"/>
  <c r="B29" i="6" l="1"/>
  <c r="O92" i="10"/>
  <c r="F92" i="10" s="1"/>
  <c r="M93" i="10"/>
  <c r="H205" i="11"/>
  <c r="G205" i="11"/>
  <c r="G275" i="10"/>
  <c r="H275" i="10"/>
  <c r="H586" i="9"/>
  <c r="H587" i="9" s="1"/>
  <c r="F587" i="9"/>
  <c r="G586" i="9"/>
  <c r="G587" i="9" s="1"/>
  <c r="O188" i="11"/>
  <c r="F188" i="11" s="1"/>
  <c r="M189" i="11"/>
  <c r="G204" i="11"/>
  <c r="H204" i="11"/>
  <c r="H206" i="11" s="1"/>
  <c r="F206" i="11"/>
  <c r="G248" i="8"/>
  <c r="G369" i="8"/>
  <c r="C31" i="6"/>
  <c r="D31" i="6" s="1"/>
  <c r="G596" i="9"/>
  <c r="G64" i="10"/>
  <c r="G573" i="10"/>
  <c r="H202" i="11"/>
  <c r="G466" i="11"/>
  <c r="G468" i="11" s="1"/>
  <c r="G213" i="11"/>
  <c r="G187" i="11"/>
  <c r="H187" i="11"/>
  <c r="G361" i="8"/>
  <c r="M277" i="10"/>
  <c r="O276" i="10"/>
  <c r="F276" i="10" s="1"/>
  <c r="G162" i="8"/>
  <c r="H596" i="8"/>
  <c r="F596" i="9"/>
  <c r="G510" i="9"/>
  <c r="G378" i="10"/>
  <c r="G127" i="10"/>
  <c r="H504" i="11"/>
  <c r="G533" i="11"/>
  <c r="H466" i="11"/>
  <c r="H468" i="11" s="1"/>
  <c r="G171" i="11"/>
  <c r="H226" i="10"/>
  <c r="F228" i="10"/>
  <c r="G226" i="10"/>
  <c r="G283" i="8"/>
  <c r="H283" i="8"/>
  <c r="O189" i="10"/>
  <c r="F189" i="10" s="1"/>
  <c r="M190" i="10"/>
  <c r="F596" i="8"/>
  <c r="G320" i="9"/>
  <c r="H378" i="10"/>
  <c r="H510" i="10"/>
  <c r="H127" i="10"/>
  <c r="H171" i="11"/>
  <c r="F228" i="11"/>
  <c r="G227" i="10"/>
  <c r="H227" i="10"/>
  <c r="G522" i="10"/>
  <c r="F524" i="10"/>
  <c r="H522" i="10"/>
  <c r="M285" i="8"/>
  <c r="O284" i="8"/>
  <c r="F284" i="8" s="1"/>
  <c r="G188" i="10"/>
  <c r="H188" i="10"/>
  <c r="I83" i="9"/>
  <c r="I91" i="9"/>
  <c r="G31" i="6"/>
  <c r="H31" i="6" s="1"/>
  <c r="G171" i="10"/>
  <c r="G248" i="11"/>
  <c r="G510" i="11"/>
  <c r="H228" i="11"/>
  <c r="H523" i="10"/>
  <c r="G523" i="10"/>
  <c r="I169" i="9"/>
  <c r="I177" i="9"/>
  <c r="H340" i="10"/>
  <c r="G340" i="10"/>
  <c r="G223" i="11"/>
  <c r="G224" i="11" s="1"/>
  <c r="F224" i="11"/>
  <c r="F596" i="11" s="1"/>
  <c r="H223" i="11"/>
  <c r="H224" i="11" s="1"/>
  <c r="H596" i="11" s="1"/>
  <c r="H91" i="10"/>
  <c r="G91" i="10"/>
  <c r="O341" i="10"/>
  <c r="F341" i="10" s="1"/>
  <c r="M342" i="10"/>
  <c r="O342" i="10" s="1"/>
  <c r="F342" i="10" s="1"/>
  <c r="H343" i="8"/>
  <c r="O17" i="12"/>
  <c r="F17" i="12" s="1"/>
  <c r="O19" i="12"/>
  <c r="F19" i="12" s="1"/>
  <c r="H524" i="11"/>
  <c r="H510" i="11"/>
  <c r="M256" i="11"/>
  <c r="O256" i="11" s="1"/>
  <c r="F256" i="11" s="1"/>
  <c r="O255" i="11"/>
  <c r="F255" i="11" s="1"/>
  <c r="H254" i="11"/>
  <c r="G254" i="11"/>
  <c r="G41" i="11"/>
  <c r="G596" i="11"/>
  <c r="M28" i="11"/>
  <c r="O27" i="11"/>
  <c r="F27" i="11" s="1"/>
  <c r="G77" i="11"/>
  <c r="H162" i="11"/>
  <c r="H361" i="11"/>
  <c r="G361" i="11"/>
  <c r="H348" i="11"/>
  <c r="G348" i="11"/>
  <c r="I298" i="11"/>
  <c r="I306" i="11"/>
  <c r="M370" i="11"/>
  <c r="O369" i="11"/>
  <c r="F369" i="11" s="1"/>
  <c r="M488" i="11"/>
  <c r="O487" i="11"/>
  <c r="F487" i="11" s="1"/>
  <c r="G536" i="11"/>
  <c r="H536" i="11"/>
  <c r="M562" i="11"/>
  <c r="O561" i="11"/>
  <c r="F561" i="11" s="1"/>
  <c r="O131" i="11"/>
  <c r="F131" i="11" s="1"/>
  <c r="M132" i="11"/>
  <c r="O132" i="11" s="1"/>
  <c r="F132" i="11" s="1"/>
  <c r="M133" i="11"/>
  <c r="I425" i="11"/>
  <c r="I433" i="11"/>
  <c r="H82" i="11"/>
  <c r="G82" i="11"/>
  <c r="H68" i="11"/>
  <c r="G68" i="11"/>
  <c r="G151" i="11"/>
  <c r="H151" i="11"/>
  <c r="O217" i="11"/>
  <c r="F217" i="11" s="1"/>
  <c r="M218" i="11"/>
  <c r="O218" i="11" s="1"/>
  <c r="F218" i="11" s="1"/>
  <c r="M219" i="11"/>
  <c r="H319" i="11"/>
  <c r="G319" i="11"/>
  <c r="G431" i="11"/>
  <c r="H431" i="11"/>
  <c r="I448" i="11"/>
  <c r="I456" i="11"/>
  <c r="M497" i="11"/>
  <c r="O496" i="11"/>
  <c r="F496" i="11" s="1"/>
  <c r="H248" i="11"/>
  <c r="O261" i="11"/>
  <c r="F261" i="11" s="1"/>
  <c r="M262" i="11"/>
  <c r="G445" i="11"/>
  <c r="H445" i="11"/>
  <c r="I362" i="11"/>
  <c r="I370" i="11"/>
  <c r="O175" i="11"/>
  <c r="F175" i="11" s="1"/>
  <c r="M176" i="11"/>
  <c r="M474" i="11"/>
  <c r="O474" i="11" s="1"/>
  <c r="F474" i="11" s="1"/>
  <c r="O473" i="11"/>
  <c r="F473" i="11" s="1"/>
  <c r="H77" i="11"/>
  <c r="M363" i="11"/>
  <c r="O362" i="11"/>
  <c r="F362" i="11" s="1"/>
  <c r="M277" i="11"/>
  <c r="O276" i="11"/>
  <c r="F276" i="11" s="1"/>
  <c r="M350" i="11"/>
  <c r="O349" i="11"/>
  <c r="F349" i="11" s="1"/>
  <c r="G368" i="11"/>
  <c r="H368" i="11"/>
  <c r="G486" i="11"/>
  <c r="H486" i="11"/>
  <c r="G130" i="11"/>
  <c r="H130" i="11"/>
  <c r="M578" i="11"/>
  <c r="O577" i="11"/>
  <c r="F577" i="11" s="1"/>
  <c r="M70" i="11"/>
  <c r="O69" i="11"/>
  <c r="F69" i="11" s="1"/>
  <c r="G216" i="11"/>
  <c r="H216" i="11"/>
  <c r="G318" i="11"/>
  <c r="G320" i="11" s="1"/>
  <c r="H318" i="11"/>
  <c r="F320" i="11"/>
  <c r="H425" i="11"/>
  <c r="G425" i="11"/>
  <c r="H480" i="11"/>
  <c r="G480" i="11"/>
  <c r="F482" i="11"/>
  <c r="O514" i="11"/>
  <c r="F514" i="11" s="1"/>
  <c r="M515" i="11"/>
  <c r="I176" i="11"/>
  <c r="I168" i="11"/>
  <c r="H284" i="11"/>
  <c r="G284" i="11"/>
  <c r="M384" i="11"/>
  <c r="O383" i="11"/>
  <c r="F383" i="11" s="1"/>
  <c r="M306" i="11"/>
  <c r="O305" i="11"/>
  <c r="F305" i="11" s="1"/>
  <c r="I62" i="11"/>
  <c r="I70" i="11"/>
  <c r="G174" i="11"/>
  <c r="H174" i="11"/>
  <c r="H454" i="11"/>
  <c r="G454" i="11"/>
  <c r="I538" i="11"/>
  <c r="I530" i="11"/>
  <c r="I28" i="11"/>
  <c r="I20" i="11"/>
  <c r="O19" i="11"/>
  <c r="F19" i="11" s="1"/>
  <c r="M20" i="11"/>
  <c r="M106" i="11"/>
  <c r="O105" i="11"/>
  <c r="F105" i="11" s="1"/>
  <c r="G202" i="11"/>
  <c r="G275" i="11"/>
  <c r="H275" i="11"/>
  <c r="O551" i="11"/>
  <c r="F551" i="11" s="1"/>
  <c r="M552" i="11"/>
  <c r="G576" i="11"/>
  <c r="H576" i="11"/>
  <c r="O238" i="11"/>
  <c r="F238" i="11" s="1"/>
  <c r="M239" i="11"/>
  <c r="H45" i="11"/>
  <c r="G45" i="11"/>
  <c r="H53" i="11"/>
  <c r="G53" i="11"/>
  <c r="F55" i="11"/>
  <c r="M92" i="11"/>
  <c r="O91" i="11"/>
  <c r="F91" i="11" s="1"/>
  <c r="M427" i="11"/>
  <c r="O427" i="11" s="1"/>
  <c r="F427" i="11" s="1"/>
  <c r="O426" i="11"/>
  <c r="F426" i="11" s="1"/>
  <c r="H481" i="11"/>
  <c r="G481" i="11"/>
  <c r="G513" i="11"/>
  <c r="H513" i="11"/>
  <c r="M286" i="11"/>
  <c r="O285" i="11"/>
  <c r="F285" i="11" s="1"/>
  <c r="M341" i="11"/>
  <c r="O340" i="11"/>
  <c r="F340" i="11" s="1"/>
  <c r="G382" i="11"/>
  <c r="H382" i="11"/>
  <c r="G304" i="11"/>
  <c r="H304" i="11"/>
  <c r="M405" i="11"/>
  <c r="O404" i="11"/>
  <c r="F404" i="11" s="1"/>
  <c r="M61" i="11"/>
  <c r="O60" i="11"/>
  <c r="F60" i="11" s="1"/>
  <c r="H297" i="11"/>
  <c r="G297" i="11"/>
  <c r="H325" i="11"/>
  <c r="G325" i="11"/>
  <c r="G327" i="11" s="1"/>
  <c r="F327" i="11"/>
  <c r="M456" i="11"/>
  <c r="O455" i="11"/>
  <c r="F455" i="11" s="1"/>
  <c r="H18" i="11"/>
  <c r="G18" i="11"/>
  <c r="I84" i="11"/>
  <c r="I92" i="11"/>
  <c r="M84" i="11"/>
  <c r="O83" i="11"/>
  <c r="F83" i="11" s="1"/>
  <c r="G26" i="11"/>
  <c r="H26" i="11"/>
  <c r="G104" i="11"/>
  <c r="H104" i="11"/>
  <c r="I278" i="11"/>
  <c r="I287" i="11" s="1"/>
  <c r="I286" i="11"/>
  <c r="I342" i="11"/>
  <c r="I351" i="11" s="1"/>
  <c r="I350" i="11"/>
  <c r="G504" i="11"/>
  <c r="G550" i="11"/>
  <c r="H550" i="11"/>
  <c r="O537" i="11"/>
  <c r="F537" i="11" s="1"/>
  <c r="M538" i="11"/>
  <c r="H560" i="11"/>
  <c r="G560" i="11"/>
  <c r="I489" i="11"/>
  <c r="I497" i="11"/>
  <c r="G237" i="11"/>
  <c r="H237" i="11"/>
  <c r="M47" i="11"/>
  <c r="O47" i="11" s="1"/>
  <c r="F47" i="11" s="1"/>
  <c r="O46" i="11"/>
  <c r="F46" i="11" s="1"/>
  <c r="H54" i="11"/>
  <c r="G54" i="11"/>
  <c r="G90" i="11"/>
  <c r="H90" i="11"/>
  <c r="O152" i="11"/>
  <c r="F152" i="11" s="1"/>
  <c r="M153" i="11"/>
  <c r="M433" i="11"/>
  <c r="O432" i="11"/>
  <c r="F432" i="11" s="1"/>
  <c r="H495" i="11"/>
  <c r="G495" i="11"/>
  <c r="H260" i="11"/>
  <c r="G260" i="11"/>
  <c r="I262" i="11"/>
  <c r="I254" i="11"/>
  <c r="G339" i="11"/>
  <c r="H339" i="11"/>
  <c r="M447" i="11"/>
  <c r="O446" i="11"/>
  <c r="F446" i="11" s="1"/>
  <c r="G403" i="11"/>
  <c r="H403" i="11"/>
  <c r="G59" i="11"/>
  <c r="H59" i="11"/>
  <c r="M299" i="11"/>
  <c r="O298" i="11"/>
  <c r="F298" i="11" s="1"/>
  <c r="H326" i="11"/>
  <c r="G326" i="11"/>
  <c r="H472" i="11"/>
  <c r="G472" i="11"/>
  <c r="G81" i="10"/>
  <c r="H81" i="10"/>
  <c r="I28" i="10"/>
  <c r="I20" i="10"/>
  <c r="M132" i="10"/>
  <c r="O132" i="10" s="1"/>
  <c r="F132" i="10" s="1"/>
  <c r="O131" i="10"/>
  <c r="F131" i="10" s="1"/>
  <c r="M133" i="10"/>
  <c r="G346" i="10"/>
  <c r="H346" i="10"/>
  <c r="I426" i="10"/>
  <c r="I434" i="10"/>
  <c r="M457" i="10"/>
  <c r="O456" i="10"/>
  <c r="F456" i="10" s="1"/>
  <c r="H296" i="10"/>
  <c r="G296" i="10"/>
  <c r="O370" i="10"/>
  <c r="F370" i="10" s="1"/>
  <c r="M371" i="10"/>
  <c r="M406" i="10"/>
  <c r="O405" i="10"/>
  <c r="F405" i="10" s="1"/>
  <c r="H103" i="10"/>
  <c r="G103" i="10"/>
  <c r="I61" i="10"/>
  <c r="I69" i="10"/>
  <c r="M19" i="10"/>
  <c r="O18" i="10"/>
  <c r="F18" i="10" s="1"/>
  <c r="G196" i="10"/>
  <c r="H196" i="10"/>
  <c r="H211" i="10"/>
  <c r="G211" i="10"/>
  <c r="H217" i="10"/>
  <c r="G217" i="10"/>
  <c r="H385" i="10"/>
  <c r="H386" i="10" s="1"/>
  <c r="G385" i="10"/>
  <c r="G386" i="10" s="1"/>
  <c r="F386" i="10"/>
  <c r="G314" i="10"/>
  <c r="M515" i="10"/>
  <c r="O514" i="10"/>
  <c r="F514" i="10" s="1"/>
  <c r="M552" i="10"/>
  <c r="O551" i="10"/>
  <c r="F551" i="10" s="1"/>
  <c r="I489" i="10"/>
  <c r="I497" i="10"/>
  <c r="G432" i="10"/>
  <c r="H432" i="10"/>
  <c r="M538" i="10"/>
  <c r="O537" i="10"/>
  <c r="F537" i="10" s="1"/>
  <c r="O27" i="10"/>
  <c r="F27" i="10" s="1"/>
  <c r="M28" i="10"/>
  <c r="M263" i="10"/>
  <c r="O262" i="10"/>
  <c r="F262" i="10" s="1"/>
  <c r="H482" i="10"/>
  <c r="G568" i="10"/>
  <c r="I176" i="10"/>
  <c r="I168" i="10"/>
  <c r="M69" i="10"/>
  <c r="O68" i="10"/>
  <c r="F68" i="10" s="1"/>
  <c r="H248" i="10"/>
  <c r="M427" i="10"/>
  <c r="O427" i="10" s="1"/>
  <c r="F427" i="10" s="1"/>
  <c r="O426" i="10"/>
  <c r="F426" i="10" s="1"/>
  <c r="M325" i="10"/>
  <c r="O324" i="10"/>
  <c r="F324" i="10" s="1"/>
  <c r="G270" i="10"/>
  <c r="H253" i="10"/>
  <c r="G253" i="10"/>
  <c r="H559" i="10"/>
  <c r="G559" i="10"/>
  <c r="M46" i="10"/>
  <c r="O45" i="10"/>
  <c r="F45" i="10" s="1"/>
  <c r="G404" i="10"/>
  <c r="H404" i="10"/>
  <c r="I553" i="10"/>
  <c r="I561" i="10"/>
  <c r="G142" i="10"/>
  <c r="M198" i="10"/>
  <c r="O197" i="10"/>
  <c r="F197" i="10" s="1"/>
  <c r="M153" i="10"/>
  <c r="O152" i="10"/>
  <c r="F152" i="10" s="1"/>
  <c r="H212" i="10"/>
  <c r="G212" i="10"/>
  <c r="M306" i="10"/>
  <c r="O305" i="10"/>
  <c r="F305" i="10" s="1"/>
  <c r="M220" i="10"/>
  <c r="O220" i="10" s="1"/>
  <c r="F220" i="10" s="1"/>
  <c r="O219" i="10"/>
  <c r="F219" i="10" s="1"/>
  <c r="M389" i="10"/>
  <c r="O388" i="10"/>
  <c r="F388" i="10" s="1"/>
  <c r="M284" i="10"/>
  <c r="O283" i="10"/>
  <c r="F283" i="10" s="1"/>
  <c r="H314" i="10"/>
  <c r="M497" i="10"/>
  <c r="O496" i="10"/>
  <c r="F496" i="10" s="1"/>
  <c r="G550" i="10"/>
  <c r="H550" i="10"/>
  <c r="H530" i="10"/>
  <c r="G530" i="10"/>
  <c r="G596" i="10"/>
  <c r="M578" i="10"/>
  <c r="O577" i="10"/>
  <c r="F577" i="10" s="1"/>
  <c r="G536" i="10"/>
  <c r="H536" i="10"/>
  <c r="H568" i="10"/>
  <c r="H67" i="10"/>
  <c r="G67" i="10"/>
  <c r="I192" i="10"/>
  <c r="I201" i="10" s="1"/>
  <c r="I200" i="10"/>
  <c r="H238" i="10"/>
  <c r="G238" i="10"/>
  <c r="G425" i="10"/>
  <c r="H425" i="10"/>
  <c r="H323" i="10"/>
  <c r="G323" i="10"/>
  <c r="H270" i="10"/>
  <c r="O254" i="10"/>
  <c r="F254" i="10" s="1"/>
  <c r="M255" i="10"/>
  <c r="O175" i="10"/>
  <c r="F175" i="10" s="1"/>
  <c r="M176" i="10"/>
  <c r="I340" i="10"/>
  <c r="I348" i="10"/>
  <c r="I276" i="10"/>
  <c r="I284" i="10"/>
  <c r="M362" i="10"/>
  <c r="O361" i="10"/>
  <c r="F361" i="10" s="1"/>
  <c r="M561" i="10"/>
  <c r="O560" i="10"/>
  <c r="F560" i="10" s="1"/>
  <c r="G44" i="10"/>
  <c r="H44" i="10"/>
  <c r="M474" i="10"/>
  <c r="O474" i="10" s="1"/>
  <c r="F474" i="10" s="1"/>
  <c r="O473" i="10"/>
  <c r="F473" i="10" s="1"/>
  <c r="H142" i="10"/>
  <c r="I83" i="10"/>
  <c r="I91" i="10"/>
  <c r="H151" i="10"/>
  <c r="G151" i="10"/>
  <c r="G304" i="10"/>
  <c r="H304" i="10"/>
  <c r="H282" i="10"/>
  <c r="G282" i="10"/>
  <c r="M448" i="10"/>
  <c r="O447" i="10"/>
  <c r="F447" i="10" s="1"/>
  <c r="G495" i="10"/>
  <c r="H495" i="10"/>
  <c r="M532" i="10"/>
  <c r="O532" i="10" s="1"/>
  <c r="F532" i="10" s="1"/>
  <c r="O531" i="10"/>
  <c r="F531" i="10" s="1"/>
  <c r="F533" i="10" s="1"/>
  <c r="H596" i="10"/>
  <c r="G576" i="10"/>
  <c r="H576" i="10"/>
  <c r="H171" i="10"/>
  <c r="M240" i="10"/>
  <c r="O240" i="10" s="1"/>
  <c r="F240" i="10" s="1"/>
  <c r="F241" i="10" s="1"/>
  <c r="O239" i="10"/>
  <c r="F239" i="10" s="1"/>
  <c r="I255" i="10"/>
  <c r="I263" i="10"/>
  <c r="H489" i="10"/>
  <c r="G489" i="10"/>
  <c r="M83" i="10"/>
  <c r="O82" i="10"/>
  <c r="F82" i="10" s="1"/>
  <c r="H130" i="10"/>
  <c r="G130" i="10"/>
  <c r="H174" i="10"/>
  <c r="G174" i="10"/>
  <c r="M348" i="10"/>
  <c r="O347" i="10"/>
  <c r="F347" i="10" s="1"/>
  <c r="H360" i="10"/>
  <c r="G360" i="10"/>
  <c r="H455" i="10"/>
  <c r="G455" i="10"/>
  <c r="I530" i="10"/>
  <c r="I538" i="10"/>
  <c r="M298" i="10"/>
  <c r="O297" i="10"/>
  <c r="F297" i="10" s="1"/>
  <c r="H369" i="10"/>
  <c r="G369" i="10"/>
  <c r="G472" i="10"/>
  <c r="H472" i="10"/>
  <c r="F475" i="10"/>
  <c r="M105" i="10"/>
  <c r="O104" i="10"/>
  <c r="F104" i="10" s="1"/>
  <c r="H17" i="10"/>
  <c r="G17" i="10"/>
  <c r="G210" i="10"/>
  <c r="H210" i="10"/>
  <c r="H213" i="10" s="1"/>
  <c r="G218" i="10"/>
  <c r="H218" i="10"/>
  <c r="I307" i="10"/>
  <c r="I299" i="10"/>
  <c r="G446" i="10"/>
  <c r="H446" i="10"/>
  <c r="H513" i="10"/>
  <c r="G513" i="10"/>
  <c r="F596" i="10"/>
  <c r="M434" i="10"/>
  <c r="O433" i="10"/>
  <c r="F433" i="10" s="1"/>
  <c r="H26" i="10"/>
  <c r="G26" i="10"/>
  <c r="H261" i="10"/>
  <c r="G261" i="10"/>
  <c r="G482" i="10"/>
  <c r="G248" i="10"/>
  <c r="G213" i="10"/>
  <c r="H490" i="10"/>
  <c r="G490" i="10"/>
  <c r="H568" i="9"/>
  <c r="H482" i="9"/>
  <c r="G378" i="9"/>
  <c r="H320" i="9"/>
  <c r="G314" i="9"/>
  <c r="H234" i="9"/>
  <c r="G238" i="9"/>
  <c r="H238" i="9"/>
  <c r="O239" i="9"/>
  <c r="F239" i="9" s="1"/>
  <c r="M240" i="9"/>
  <c r="O240" i="9" s="1"/>
  <c r="F240" i="9" s="1"/>
  <c r="H151" i="9"/>
  <c r="G151" i="9"/>
  <c r="O152" i="9"/>
  <c r="F152" i="9" s="1"/>
  <c r="M153" i="9"/>
  <c r="H596" i="9"/>
  <c r="G105" i="9"/>
  <c r="H105" i="9"/>
  <c r="O514" i="9"/>
  <c r="F514" i="9" s="1"/>
  <c r="M515" i="9"/>
  <c r="H83" i="9"/>
  <c r="G83" i="9"/>
  <c r="G360" i="9"/>
  <c r="H360" i="9"/>
  <c r="I449" i="9"/>
  <c r="I458" i="9" s="1"/>
  <c r="I457" i="9"/>
  <c r="G218" i="9"/>
  <c r="H218" i="9"/>
  <c r="O177" i="9"/>
  <c r="F177" i="9" s="1"/>
  <c r="M178" i="9"/>
  <c r="G45" i="9"/>
  <c r="H45" i="9"/>
  <c r="H34" i="9"/>
  <c r="G34" i="9"/>
  <c r="H425" i="9"/>
  <c r="G425" i="9"/>
  <c r="M255" i="9"/>
  <c r="O254" i="9"/>
  <c r="F254" i="9" s="1"/>
  <c r="H339" i="9"/>
  <c r="G339" i="9"/>
  <c r="G146" i="9"/>
  <c r="H146" i="9"/>
  <c r="M298" i="9"/>
  <c r="O297" i="9"/>
  <c r="F297" i="9" s="1"/>
  <c r="M307" i="9"/>
  <c r="O306" i="9"/>
  <c r="F306" i="9" s="1"/>
  <c r="M474" i="9"/>
  <c r="O474" i="9" s="1"/>
  <c r="F474" i="9" s="1"/>
  <c r="F475" i="9" s="1"/>
  <c r="O473" i="9"/>
  <c r="F473" i="9" s="1"/>
  <c r="H69" i="9"/>
  <c r="G69" i="9"/>
  <c r="G16" i="9"/>
  <c r="H16" i="9"/>
  <c r="M93" i="9"/>
  <c r="O92" i="9"/>
  <c r="F92" i="9" s="1"/>
  <c r="M26" i="9"/>
  <c r="O25" i="9"/>
  <c r="F25" i="9" s="1"/>
  <c r="M109" i="9"/>
  <c r="O106" i="9"/>
  <c r="F106" i="9" s="1"/>
  <c r="F107" i="9" s="1"/>
  <c r="G140" i="9"/>
  <c r="F142" i="9"/>
  <c r="H140" i="9"/>
  <c r="H211" i="9"/>
  <c r="G211" i="9"/>
  <c r="M325" i="9"/>
  <c r="O324" i="9"/>
  <c r="F324" i="9" s="1"/>
  <c r="O537" i="9"/>
  <c r="F537" i="9" s="1"/>
  <c r="M538" i="9"/>
  <c r="G513" i="9"/>
  <c r="H513" i="9"/>
  <c r="H60" i="9"/>
  <c r="G60" i="9"/>
  <c r="O191" i="9"/>
  <c r="F191" i="9" s="1"/>
  <c r="M192" i="9"/>
  <c r="O192" i="9" s="1"/>
  <c r="F192" i="9" s="1"/>
  <c r="O433" i="9"/>
  <c r="F433" i="9" s="1"/>
  <c r="M434" i="9"/>
  <c r="G568" i="9"/>
  <c r="O84" i="9"/>
  <c r="F84" i="9" s="1"/>
  <c r="M85" i="9"/>
  <c r="O85" i="9" s="1"/>
  <c r="F85" i="9" s="1"/>
  <c r="M276" i="9"/>
  <c r="O275" i="9"/>
  <c r="F275" i="9" s="1"/>
  <c r="G292" i="9"/>
  <c r="H371" i="9"/>
  <c r="G371" i="9"/>
  <c r="I340" i="9"/>
  <c r="I348" i="9"/>
  <c r="M448" i="9"/>
  <c r="O447" i="9"/>
  <c r="F447" i="9" s="1"/>
  <c r="I538" i="9"/>
  <c r="I530" i="9"/>
  <c r="H378" i="9"/>
  <c r="G33" i="9"/>
  <c r="F35" i="9"/>
  <c r="H33" i="9"/>
  <c r="H35" i="9" s="1"/>
  <c r="M427" i="9"/>
  <c r="O427" i="9" s="1"/>
  <c r="F427" i="9" s="1"/>
  <c r="O426" i="9"/>
  <c r="F426" i="9" s="1"/>
  <c r="M341" i="9"/>
  <c r="O340" i="9"/>
  <c r="F340" i="9" s="1"/>
  <c r="M169" i="9"/>
  <c r="O168" i="9"/>
  <c r="F168" i="9" s="1"/>
  <c r="G296" i="9"/>
  <c r="H296" i="9"/>
  <c r="H283" i="9"/>
  <c r="G283" i="9"/>
  <c r="H383" i="9"/>
  <c r="G383" i="9"/>
  <c r="G472" i="9"/>
  <c r="H472" i="9"/>
  <c r="H510" i="9"/>
  <c r="O70" i="9"/>
  <c r="F70" i="9" s="1"/>
  <c r="M71" i="9"/>
  <c r="M198" i="9"/>
  <c r="O197" i="9"/>
  <c r="F197" i="9" s="1"/>
  <c r="H210" i="9"/>
  <c r="G210" i="9"/>
  <c r="H91" i="9"/>
  <c r="G91" i="9"/>
  <c r="G323" i="9"/>
  <c r="H323" i="9"/>
  <c r="G536" i="9"/>
  <c r="H536" i="9"/>
  <c r="I434" i="9"/>
  <c r="I426" i="9"/>
  <c r="F213" i="9"/>
  <c r="H217" i="9"/>
  <c r="G217" i="9"/>
  <c r="H134" i="9"/>
  <c r="G134" i="9"/>
  <c r="H167" i="9"/>
  <c r="G167" i="9"/>
  <c r="M348" i="9"/>
  <c r="O347" i="9"/>
  <c r="F347" i="9" s="1"/>
  <c r="M285" i="9"/>
  <c r="O284" i="9"/>
  <c r="F284" i="9" s="1"/>
  <c r="M385" i="9"/>
  <c r="O384" i="9"/>
  <c r="F384" i="9" s="1"/>
  <c r="M497" i="9"/>
  <c r="O496" i="9"/>
  <c r="F496" i="9" s="1"/>
  <c r="H487" i="9"/>
  <c r="G487" i="9"/>
  <c r="H455" i="9"/>
  <c r="G455" i="9"/>
  <c r="I553" i="9"/>
  <c r="I561" i="9"/>
  <c r="H196" i="9"/>
  <c r="G196" i="9"/>
  <c r="H531" i="9"/>
  <c r="G531" i="9"/>
  <c r="F533" i="9"/>
  <c r="F148" i="9"/>
  <c r="H24" i="9"/>
  <c r="G24" i="9"/>
  <c r="H141" i="9"/>
  <c r="G141" i="9"/>
  <c r="M561" i="9"/>
  <c r="O560" i="9"/>
  <c r="F560" i="9" s="1"/>
  <c r="M62" i="9"/>
  <c r="O61" i="9"/>
  <c r="F61" i="9" s="1"/>
  <c r="H190" i="9"/>
  <c r="G190" i="9"/>
  <c r="F193" i="9"/>
  <c r="H432" i="9"/>
  <c r="G432" i="9"/>
  <c r="G212" i="9"/>
  <c r="H212" i="9"/>
  <c r="I190" i="9"/>
  <c r="I198" i="9"/>
  <c r="M262" i="9"/>
  <c r="O261" i="9"/>
  <c r="F261" i="9" s="1"/>
  <c r="I277" i="9"/>
  <c r="I285" i="9"/>
  <c r="M405" i="9"/>
  <c r="O404" i="9"/>
  <c r="F404" i="9" s="1"/>
  <c r="M578" i="9"/>
  <c r="O577" i="9"/>
  <c r="F577" i="9" s="1"/>
  <c r="I254" i="9"/>
  <c r="I262" i="9"/>
  <c r="I299" i="9"/>
  <c r="I307" i="9"/>
  <c r="G274" i="9"/>
  <c r="H274" i="9"/>
  <c r="M373" i="9"/>
  <c r="O373" i="9" s="1"/>
  <c r="F373" i="9" s="1"/>
  <c r="O372" i="9"/>
  <c r="F372" i="9" s="1"/>
  <c r="H446" i="9"/>
  <c r="G446" i="9"/>
  <c r="M552" i="9"/>
  <c r="O551" i="9"/>
  <c r="F551" i="9" s="1"/>
  <c r="I21" i="9"/>
  <c r="I30" i="9" s="1"/>
  <c r="I29" i="9"/>
  <c r="G234" i="9"/>
  <c r="G127" i="9"/>
  <c r="G260" i="9"/>
  <c r="H260" i="9"/>
  <c r="G403" i="9"/>
  <c r="H403" i="9"/>
  <c r="H559" i="9"/>
  <c r="G559" i="9"/>
  <c r="G576" i="9"/>
  <c r="H576" i="9"/>
  <c r="I71" i="9"/>
  <c r="I63" i="9"/>
  <c r="I72" i="9" s="1"/>
  <c r="M362" i="9"/>
  <c r="O361" i="9"/>
  <c r="F361" i="9" s="1"/>
  <c r="G482" i="9"/>
  <c r="G550" i="9"/>
  <c r="H550" i="9"/>
  <c r="M220" i="9"/>
  <c r="O220" i="9" s="1"/>
  <c r="F220" i="9" s="1"/>
  <c r="F221" i="9" s="1"/>
  <c r="O219" i="9"/>
  <c r="F219" i="9" s="1"/>
  <c r="H176" i="9"/>
  <c r="G176" i="9"/>
  <c r="H314" i="9"/>
  <c r="M47" i="9"/>
  <c r="O47" i="9" s="1"/>
  <c r="F47" i="9" s="1"/>
  <c r="O46" i="9"/>
  <c r="F46" i="9" s="1"/>
  <c r="H253" i="9"/>
  <c r="G253" i="9"/>
  <c r="G133" i="9"/>
  <c r="G135" i="9" s="1"/>
  <c r="H133" i="9"/>
  <c r="H147" i="9"/>
  <c r="G147" i="9"/>
  <c r="G346" i="9"/>
  <c r="H346" i="9"/>
  <c r="H305" i="9"/>
  <c r="G305" i="9"/>
  <c r="I489" i="9"/>
  <c r="I497" i="9"/>
  <c r="G495" i="9"/>
  <c r="H495" i="9"/>
  <c r="M489" i="9"/>
  <c r="O488" i="9"/>
  <c r="F488" i="9" s="1"/>
  <c r="M457" i="9"/>
  <c r="O456" i="9"/>
  <c r="F456" i="9" s="1"/>
  <c r="M18" i="9"/>
  <c r="O17" i="9"/>
  <c r="F17" i="9" s="1"/>
  <c r="H532" i="9"/>
  <c r="G532" i="9"/>
  <c r="M298" i="8"/>
  <c r="O297" i="8"/>
  <c r="F297" i="8" s="1"/>
  <c r="G148" i="8"/>
  <c r="O307" i="8"/>
  <c r="F307" i="8" s="1"/>
  <c r="H307" i="8" s="1"/>
  <c r="F374" i="8"/>
  <c r="G370" i="8"/>
  <c r="H53" i="8"/>
  <c r="G504" i="8"/>
  <c r="H320" i="8"/>
  <c r="H587" i="8"/>
  <c r="H560" i="8"/>
  <c r="G560" i="8"/>
  <c r="H551" i="8"/>
  <c r="G551" i="8"/>
  <c r="I562" i="8"/>
  <c r="I554" i="8"/>
  <c r="I563" i="8" s="1"/>
  <c r="M579" i="8"/>
  <c r="O579" i="8" s="1"/>
  <c r="F579" i="8" s="1"/>
  <c r="O578" i="8"/>
  <c r="F578" i="8" s="1"/>
  <c r="M553" i="8"/>
  <c r="O552" i="8"/>
  <c r="F552" i="8" s="1"/>
  <c r="O561" i="8"/>
  <c r="F561" i="8" s="1"/>
  <c r="M562" i="8"/>
  <c r="G577" i="8"/>
  <c r="H577" i="8"/>
  <c r="G587" i="8"/>
  <c r="M447" i="8"/>
  <c r="O446" i="8"/>
  <c r="F446" i="8" s="1"/>
  <c r="F334" i="8"/>
  <c r="H332" i="8"/>
  <c r="G332" i="8"/>
  <c r="G89" i="8"/>
  <c r="G213" i="8"/>
  <c r="M385" i="8"/>
  <c r="O384" i="8"/>
  <c r="F384" i="8" s="1"/>
  <c r="O238" i="8"/>
  <c r="F238" i="8" s="1"/>
  <c r="M239" i="8"/>
  <c r="H127" i="8"/>
  <c r="G510" i="8"/>
  <c r="H237" i="8"/>
  <c r="G237" i="8"/>
  <c r="H162" i="8"/>
  <c r="G320" i="8"/>
  <c r="H445" i="8"/>
  <c r="G445" i="8"/>
  <c r="G333" i="8"/>
  <c r="H333" i="8"/>
  <c r="I532" i="8"/>
  <c r="I541" i="8" s="1"/>
  <c r="I540" i="8"/>
  <c r="G515" i="8"/>
  <c r="H515" i="8"/>
  <c r="H530" i="8"/>
  <c r="G530" i="8"/>
  <c r="M540" i="8"/>
  <c r="O539" i="8"/>
  <c r="F539" i="8" s="1"/>
  <c r="H516" i="8"/>
  <c r="G516" i="8"/>
  <c r="O531" i="8"/>
  <c r="F531" i="8" s="1"/>
  <c r="M532" i="8"/>
  <c r="O532" i="8" s="1"/>
  <c r="F532" i="8" s="1"/>
  <c r="H538" i="8"/>
  <c r="G538" i="8"/>
  <c r="H495" i="8"/>
  <c r="G495" i="8"/>
  <c r="H485" i="8"/>
  <c r="G485" i="8"/>
  <c r="I497" i="8"/>
  <c r="I489" i="8"/>
  <c r="H504" i="8"/>
  <c r="O496" i="8"/>
  <c r="F496" i="8" s="1"/>
  <c r="M497" i="8"/>
  <c r="M487" i="8"/>
  <c r="O486" i="8"/>
  <c r="F486" i="8" s="1"/>
  <c r="M474" i="8"/>
  <c r="O474" i="8" s="1"/>
  <c r="F474" i="8" s="1"/>
  <c r="O473" i="8"/>
  <c r="F473" i="8" s="1"/>
  <c r="G482" i="8"/>
  <c r="H472" i="8"/>
  <c r="G472" i="8"/>
  <c r="H482" i="8"/>
  <c r="H454" i="8"/>
  <c r="G454" i="8"/>
  <c r="O455" i="8"/>
  <c r="F455" i="8" s="1"/>
  <c r="M456" i="8"/>
  <c r="I456" i="8"/>
  <c r="I448" i="8"/>
  <c r="O426" i="8"/>
  <c r="F426" i="8" s="1"/>
  <c r="M427" i="8"/>
  <c r="O427" i="8" s="1"/>
  <c r="F427" i="8" s="1"/>
  <c r="I434" i="8"/>
  <c r="I426" i="8"/>
  <c r="M434" i="8"/>
  <c r="O433" i="8"/>
  <c r="F433" i="8" s="1"/>
  <c r="H425" i="8"/>
  <c r="G425" i="8"/>
  <c r="H432" i="8"/>
  <c r="G432" i="8"/>
  <c r="O405" i="8"/>
  <c r="F405" i="8" s="1"/>
  <c r="M406" i="8"/>
  <c r="H404" i="8"/>
  <c r="G404" i="8"/>
  <c r="G374" i="8"/>
  <c r="G343" i="8"/>
  <c r="I370" i="8"/>
  <c r="I362" i="8"/>
  <c r="G364" i="8"/>
  <c r="H364" i="8"/>
  <c r="I349" i="8"/>
  <c r="I341" i="8"/>
  <c r="M325" i="8"/>
  <c r="O324" i="8"/>
  <c r="F324" i="8" s="1"/>
  <c r="G346" i="8"/>
  <c r="H346" i="8"/>
  <c r="G314" i="8"/>
  <c r="M348" i="8"/>
  <c r="O347" i="8"/>
  <c r="F347" i="8" s="1"/>
  <c r="H374" i="8"/>
  <c r="O308" i="8"/>
  <c r="F308" i="8" s="1"/>
  <c r="M309" i="8"/>
  <c r="O309" i="8" s="1"/>
  <c r="F309" i="8" s="1"/>
  <c r="G323" i="8"/>
  <c r="H323" i="8"/>
  <c r="G363" i="8"/>
  <c r="H363" i="8"/>
  <c r="F365" i="8"/>
  <c r="H314" i="8"/>
  <c r="G253" i="8"/>
  <c r="H253" i="8"/>
  <c r="O254" i="8"/>
  <c r="F254" i="8" s="1"/>
  <c r="M255" i="8"/>
  <c r="G216" i="8"/>
  <c r="H216" i="8"/>
  <c r="M277" i="8"/>
  <c r="O276" i="8"/>
  <c r="F276" i="8" s="1"/>
  <c r="O217" i="8"/>
  <c r="F217" i="8" s="1"/>
  <c r="M218" i="8"/>
  <c r="O218" i="8" s="1"/>
  <c r="F218" i="8" s="1"/>
  <c r="M219" i="8"/>
  <c r="O262" i="8"/>
  <c r="F262" i="8" s="1"/>
  <c r="M263" i="8"/>
  <c r="G226" i="8"/>
  <c r="H226" i="8"/>
  <c r="F228" i="8"/>
  <c r="I262" i="8"/>
  <c r="I254" i="8"/>
  <c r="G275" i="8"/>
  <c r="H275" i="8"/>
  <c r="H233" i="8"/>
  <c r="G233" i="8"/>
  <c r="I276" i="8"/>
  <c r="I284" i="8"/>
  <c r="G261" i="8"/>
  <c r="H261" i="8"/>
  <c r="G227" i="8"/>
  <c r="H227" i="8"/>
  <c r="G232" i="8"/>
  <c r="H232" i="8"/>
  <c r="F234" i="8"/>
  <c r="H189" i="8"/>
  <c r="G189" i="8"/>
  <c r="G196" i="8"/>
  <c r="H196" i="8"/>
  <c r="M191" i="8"/>
  <c r="O190" i="8"/>
  <c r="F190" i="8" s="1"/>
  <c r="O197" i="8"/>
  <c r="F197" i="8" s="1"/>
  <c r="M198" i="8"/>
  <c r="I190" i="8"/>
  <c r="I198" i="8"/>
  <c r="H167" i="8"/>
  <c r="G167" i="8"/>
  <c r="G151" i="8"/>
  <c r="H151" i="8"/>
  <c r="O168" i="8"/>
  <c r="F168" i="8" s="1"/>
  <c r="M169" i="8"/>
  <c r="O176" i="8"/>
  <c r="F176" i="8" s="1"/>
  <c r="M177" i="8"/>
  <c r="O152" i="8"/>
  <c r="F152" i="8" s="1"/>
  <c r="M153" i="8"/>
  <c r="I168" i="8"/>
  <c r="I176" i="8"/>
  <c r="H175" i="8"/>
  <c r="G175" i="8"/>
  <c r="G142" i="8"/>
  <c r="H142" i="8"/>
  <c r="M92" i="8"/>
  <c r="M93" i="8" s="1"/>
  <c r="H103" i="8"/>
  <c r="G103" i="8"/>
  <c r="G131" i="8"/>
  <c r="H131" i="8"/>
  <c r="M134" i="8"/>
  <c r="O134" i="8" s="1"/>
  <c r="F134" i="8" s="1"/>
  <c r="O133" i="8"/>
  <c r="F133" i="8" s="1"/>
  <c r="H43" i="8"/>
  <c r="H38" i="8"/>
  <c r="F54" i="8"/>
  <c r="H54" i="8" s="1"/>
  <c r="O104" i="8"/>
  <c r="F104" i="8" s="1"/>
  <c r="M105" i="8"/>
  <c r="O105" i="8" s="1"/>
  <c r="F105" i="8" s="1"/>
  <c r="H83" i="8"/>
  <c r="G83" i="8"/>
  <c r="M85" i="8"/>
  <c r="O85" i="8" s="1"/>
  <c r="F85" i="8" s="1"/>
  <c r="O84" i="8"/>
  <c r="F84" i="8" s="1"/>
  <c r="H91" i="8"/>
  <c r="G91" i="8"/>
  <c r="I93" i="8"/>
  <c r="I85" i="8"/>
  <c r="I94" i="8" s="1"/>
  <c r="G77" i="8"/>
  <c r="I70" i="8"/>
  <c r="I62" i="8"/>
  <c r="H58" i="8"/>
  <c r="G58" i="8"/>
  <c r="H66" i="8"/>
  <c r="G66" i="8"/>
  <c r="H77" i="8"/>
  <c r="M60" i="8"/>
  <c r="O59" i="8"/>
  <c r="F59" i="8" s="1"/>
  <c r="O67" i="8"/>
  <c r="F67" i="8" s="1"/>
  <c r="M68" i="8"/>
  <c r="H34" i="8"/>
  <c r="H35" i="8" s="1"/>
  <c r="G34" i="8"/>
  <c r="G35" i="8" s="1"/>
  <c r="M40" i="8"/>
  <c r="O39" i="8"/>
  <c r="F39" i="8" s="1"/>
  <c r="H16" i="8"/>
  <c r="G16" i="8"/>
  <c r="H17" i="8"/>
  <c r="G17" i="8"/>
  <c r="I28" i="8"/>
  <c r="I20" i="8"/>
  <c r="I25" i="4"/>
  <c r="I17" i="4"/>
  <c r="F51" i="8"/>
  <c r="H50" i="8"/>
  <c r="H51" i="8" s="1"/>
  <c r="G50" i="8"/>
  <c r="G51" i="8" s="1"/>
  <c r="G596" i="8" s="1"/>
  <c r="M26" i="8"/>
  <c r="O25" i="8"/>
  <c r="F25" i="8" s="1"/>
  <c r="H44" i="8"/>
  <c r="G44" i="8"/>
  <c r="O18" i="8"/>
  <c r="F18" i="8" s="1"/>
  <c r="M19" i="8"/>
  <c r="M46" i="8"/>
  <c r="O45" i="8"/>
  <c r="F45" i="8" s="1"/>
  <c r="E32" i="6"/>
  <c r="E36" i="6" s="1"/>
  <c r="G533" i="9" l="1"/>
  <c r="F48" i="9"/>
  <c r="F48" i="11"/>
  <c r="H189" i="10"/>
  <c r="G189" i="10"/>
  <c r="H276" i="10"/>
  <c r="G276" i="10"/>
  <c r="H284" i="8"/>
  <c r="G284" i="8"/>
  <c r="O277" i="10"/>
  <c r="F277" i="10" s="1"/>
  <c r="M278" i="10"/>
  <c r="O278" i="10" s="1"/>
  <c r="F278" i="10" s="1"/>
  <c r="G206" i="11"/>
  <c r="O190" i="10"/>
  <c r="F190" i="10" s="1"/>
  <c r="M191" i="10"/>
  <c r="G213" i="9"/>
  <c r="G35" i="9"/>
  <c r="F475" i="11"/>
  <c r="H342" i="10"/>
  <c r="G342" i="10"/>
  <c r="O285" i="8"/>
  <c r="F285" i="8" s="1"/>
  <c r="M286" i="8"/>
  <c r="M190" i="11"/>
  <c r="O189" i="11"/>
  <c r="F189" i="11" s="1"/>
  <c r="I92" i="9"/>
  <c r="I84" i="9"/>
  <c r="H148" i="9"/>
  <c r="G341" i="10"/>
  <c r="H341" i="10"/>
  <c r="F343" i="10"/>
  <c r="H524" i="10"/>
  <c r="G228" i="10"/>
  <c r="G188" i="11"/>
  <c r="H188" i="11"/>
  <c r="O93" i="10"/>
  <c r="F93" i="10" s="1"/>
  <c r="M94" i="10"/>
  <c r="O94" i="10" s="1"/>
  <c r="F94" i="10" s="1"/>
  <c r="H92" i="10"/>
  <c r="G92" i="10"/>
  <c r="G234" i="8"/>
  <c r="H491" i="10"/>
  <c r="I178" i="9"/>
  <c r="I170" i="9"/>
  <c r="I179" i="9" s="1"/>
  <c r="G524" i="10"/>
  <c r="H228" i="10"/>
  <c r="G17" i="12"/>
  <c r="H17" i="12"/>
  <c r="H19" i="12"/>
  <c r="G19" i="12"/>
  <c r="H255" i="11"/>
  <c r="G255" i="11"/>
  <c r="F257" i="11"/>
  <c r="H256" i="11"/>
  <c r="G256" i="11"/>
  <c r="M300" i="11"/>
  <c r="O300" i="11" s="1"/>
  <c r="F300" i="11" s="1"/>
  <c r="O299" i="11"/>
  <c r="F299" i="11" s="1"/>
  <c r="H446" i="11"/>
  <c r="G446" i="11"/>
  <c r="H432" i="11"/>
  <c r="G432" i="11"/>
  <c r="G152" i="11"/>
  <c r="H152" i="11"/>
  <c r="H47" i="11"/>
  <c r="G47" i="11"/>
  <c r="H83" i="11"/>
  <c r="G83" i="11"/>
  <c r="M457" i="11"/>
  <c r="O456" i="11"/>
  <c r="F456" i="11" s="1"/>
  <c r="H60" i="11"/>
  <c r="G60" i="11"/>
  <c r="O405" i="11"/>
  <c r="F405" i="11" s="1"/>
  <c r="M406" i="11"/>
  <c r="M287" i="11"/>
  <c r="O287" i="11" s="1"/>
  <c r="F287" i="11" s="1"/>
  <c r="F288" i="11" s="1"/>
  <c r="O286" i="11"/>
  <c r="F286" i="11" s="1"/>
  <c r="H427" i="11"/>
  <c r="G427" i="11"/>
  <c r="O92" i="11"/>
  <c r="F92" i="11" s="1"/>
  <c r="M93" i="11"/>
  <c r="G238" i="11"/>
  <c r="H238" i="11"/>
  <c r="O552" i="11"/>
  <c r="F552" i="11" s="1"/>
  <c r="M553" i="11"/>
  <c r="M21" i="11"/>
  <c r="O21" i="11" s="1"/>
  <c r="F21" i="11" s="1"/>
  <c r="O20" i="11"/>
  <c r="F20" i="11" s="1"/>
  <c r="I539" i="11"/>
  <c r="I531" i="11"/>
  <c r="O306" i="11"/>
  <c r="F306" i="11" s="1"/>
  <c r="M307" i="11"/>
  <c r="H69" i="11"/>
  <c r="G69" i="11"/>
  <c r="O578" i="11"/>
  <c r="F578" i="11" s="1"/>
  <c r="M579" i="11"/>
  <c r="O579" i="11" s="1"/>
  <c r="F579" i="11" s="1"/>
  <c r="F580" i="11" s="1"/>
  <c r="H276" i="11"/>
  <c r="G276" i="11"/>
  <c r="H474" i="11"/>
  <c r="G474" i="11"/>
  <c r="G217" i="11"/>
  <c r="H217" i="11"/>
  <c r="I434" i="11"/>
  <c r="I426" i="11"/>
  <c r="O370" i="11"/>
  <c r="F370" i="11" s="1"/>
  <c r="M371" i="11"/>
  <c r="I490" i="11"/>
  <c r="I499" i="11" s="1"/>
  <c r="I498" i="11"/>
  <c r="O538" i="11"/>
  <c r="F538" i="11" s="1"/>
  <c r="M539" i="11"/>
  <c r="M85" i="11"/>
  <c r="O85" i="11" s="1"/>
  <c r="F85" i="11" s="1"/>
  <c r="O84" i="11"/>
  <c r="F84" i="11" s="1"/>
  <c r="F86" i="11" s="1"/>
  <c r="O61" i="11"/>
  <c r="F61" i="11" s="1"/>
  <c r="M62" i="11"/>
  <c r="H340" i="11"/>
  <c r="G340" i="11"/>
  <c r="G551" i="11"/>
  <c r="H551" i="11"/>
  <c r="G19" i="11"/>
  <c r="H19" i="11"/>
  <c r="H383" i="11"/>
  <c r="G383" i="11"/>
  <c r="G482" i="11"/>
  <c r="M71" i="11"/>
  <c r="O70" i="11"/>
  <c r="F70" i="11" s="1"/>
  <c r="O277" i="11"/>
  <c r="F277" i="11" s="1"/>
  <c r="M278" i="11"/>
  <c r="O278" i="11" s="1"/>
  <c r="F278" i="11" s="1"/>
  <c r="I371" i="11"/>
  <c r="I363" i="11"/>
  <c r="I449" i="11"/>
  <c r="I458" i="11" s="1"/>
  <c r="I457" i="11"/>
  <c r="O133" i="11"/>
  <c r="F133" i="11" s="1"/>
  <c r="M134" i="11"/>
  <c r="O134" i="11" s="1"/>
  <c r="F134" i="11" s="1"/>
  <c r="H561" i="11"/>
  <c r="G561" i="11"/>
  <c r="H487" i="11"/>
  <c r="G487" i="11"/>
  <c r="G27" i="11"/>
  <c r="H27" i="11"/>
  <c r="O447" i="11"/>
  <c r="F447" i="11" s="1"/>
  <c r="M448" i="11"/>
  <c r="O433" i="11"/>
  <c r="F433" i="11" s="1"/>
  <c r="M434" i="11"/>
  <c r="G537" i="11"/>
  <c r="H537" i="11"/>
  <c r="O341" i="11"/>
  <c r="F341" i="11" s="1"/>
  <c r="M342" i="11"/>
  <c r="O342" i="11" s="1"/>
  <c r="F342" i="11" s="1"/>
  <c r="G55" i="11"/>
  <c r="H105" i="11"/>
  <c r="G105" i="11"/>
  <c r="I29" i="11"/>
  <c r="I21" i="11"/>
  <c r="I30" i="11" s="1"/>
  <c r="I63" i="11"/>
  <c r="I72" i="11" s="1"/>
  <c r="I71" i="11"/>
  <c r="O384" i="11"/>
  <c r="F384" i="11" s="1"/>
  <c r="M385" i="11"/>
  <c r="I177" i="11"/>
  <c r="I169" i="11"/>
  <c r="O515" i="11"/>
  <c r="F515" i="11" s="1"/>
  <c r="M516" i="11"/>
  <c r="O516" i="11" s="1"/>
  <c r="F516" i="11" s="1"/>
  <c r="H482" i="11"/>
  <c r="H349" i="11"/>
  <c r="G349" i="11"/>
  <c r="H362" i="11"/>
  <c r="G362" i="11"/>
  <c r="O176" i="11"/>
  <c r="F176" i="11" s="1"/>
  <c r="M177" i="11"/>
  <c r="M263" i="11"/>
  <c r="O262" i="11"/>
  <c r="F262" i="11" s="1"/>
  <c r="H496" i="11"/>
  <c r="G496" i="11"/>
  <c r="O219" i="11"/>
  <c r="F219" i="11" s="1"/>
  <c r="M220" i="11"/>
  <c r="O220" i="11" s="1"/>
  <c r="F220" i="11" s="1"/>
  <c r="G132" i="11"/>
  <c r="H132" i="11"/>
  <c r="M563" i="11"/>
  <c r="O563" i="11" s="1"/>
  <c r="F563" i="11" s="1"/>
  <c r="O562" i="11"/>
  <c r="F562" i="11" s="1"/>
  <c r="F564" i="11" s="1"/>
  <c r="O488" i="11"/>
  <c r="F488" i="11" s="1"/>
  <c r="M489" i="11"/>
  <c r="I307" i="11"/>
  <c r="I299" i="11"/>
  <c r="O28" i="11"/>
  <c r="F28" i="11" s="1"/>
  <c r="M29" i="11"/>
  <c r="I263" i="11"/>
  <c r="I255" i="11"/>
  <c r="H298" i="11"/>
  <c r="G298" i="11"/>
  <c r="O153" i="11"/>
  <c r="F153" i="11" s="1"/>
  <c r="M154" i="11"/>
  <c r="O154" i="11" s="1"/>
  <c r="F154" i="11" s="1"/>
  <c r="H46" i="11"/>
  <c r="G46" i="11"/>
  <c r="I93" i="11"/>
  <c r="I85" i="11"/>
  <c r="I94" i="11" s="1"/>
  <c r="H455" i="11"/>
  <c r="G455" i="11"/>
  <c r="H327" i="11"/>
  <c r="H404" i="11"/>
  <c r="G404" i="11"/>
  <c r="H285" i="11"/>
  <c r="G285" i="11"/>
  <c r="H426" i="11"/>
  <c r="H428" i="11" s="1"/>
  <c r="G426" i="11"/>
  <c r="H91" i="11"/>
  <c r="G91" i="11"/>
  <c r="H55" i="11"/>
  <c r="O239" i="11"/>
  <c r="F239" i="11" s="1"/>
  <c r="M240" i="11"/>
  <c r="O240" i="11" s="1"/>
  <c r="F240" i="11" s="1"/>
  <c r="M109" i="11"/>
  <c r="O106" i="11"/>
  <c r="F106" i="11" s="1"/>
  <c r="H305" i="11"/>
  <c r="G305" i="11"/>
  <c r="G514" i="11"/>
  <c r="H514" i="11"/>
  <c r="F428" i="11"/>
  <c r="H320" i="11"/>
  <c r="H577" i="11"/>
  <c r="G577" i="11"/>
  <c r="M351" i="11"/>
  <c r="O351" i="11" s="1"/>
  <c r="F351" i="11" s="1"/>
  <c r="O350" i="11"/>
  <c r="F350" i="11" s="1"/>
  <c r="M364" i="11"/>
  <c r="O364" i="11" s="1"/>
  <c r="F364" i="11" s="1"/>
  <c r="O363" i="11"/>
  <c r="F363" i="11" s="1"/>
  <c r="H473" i="11"/>
  <c r="H475" i="11" s="1"/>
  <c r="G473" i="11"/>
  <c r="G175" i="11"/>
  <c r="H175" i="11"/>
  <c r="G261" i="11"/>
  <c r="H261" i="11"/>
  <c r="M498" i="11"/>
  <c r="O497" i="11"/>
  <c r="F497" i="11" s="1"/>
  <c r="G218" i="11"/>
  <c r="H218" i="11"/>
  <c r="G131" i="11"/>
  <c r="H131" i="11"/>
  <c r="H369" i="11"/>
  <c r="G369" i="11"/>
  <c r="I300" i="10"/>
  <c r="I309" i="10" s="1"/>
  <c r="I308" i="10"/>
  <c r="I285" i="10"/>
  <c r="I277" i="10"/>
  <c r="G220" i="10"/>
  <c r="G221" i="10" s="1"/>
  <c r="H220" i="10"/>
  <c r="M106" i="10"/>
  <c r="O105" i="10"/>
  <c r="F105" i="10" s="1"/>
  <c r="O298" i="10"/>
  <c r="F298" i="10" s="1"/>
  <c r="M299" i="10"/>
  <c r="H347" i="10"/>
  <c r="G347" i="10"/>
  <c r="M84" i="10"/>
  <c r="O83" i="10"/>
  <c r="F83" i="10" s="1"/>
  <c r="H532" i="10"/>
  <c r="G532" i="10"/>
  <c r="O448" i="10"/>
  <c r="F448" i="10" s="1"/>
  <c r="M449" i="10"/>
  <c r="O449" i="10" s="1"/>
  <c r="F449" i="10" s="1"/>
  <c r="H473" i="10"/>
  <c r="G473" i="10"/>
  <c r="M363" i="10"/>
  <c r="O362" i="10"/>
  <c r="F362" i="10" s="1"/>
  <c r="I341" i="10"/>
  <c r="I349" i="10"/>
  <c r="G254" i="10"/>
  <c r="H254" i="10"/>
  <c r="M390" i="10"/>
  <c r="O389" i="10"/>
  <c r="F389" i="10" s="1"/>
  <c r="O306" i="10"/>
  <c r="F306" i="10" s="1"/>
  <c r="M307" i="10"/>
  <c r="H152" i="10"/>
  <c r="G152" i="10"/>
  <c r="H324" i="10"/>
  <c r="G324" i="10"/>
  <c r="H68" i="10"/>
  <c r="G68" i="10"/>
  <c r="G27" i="10"/>
  <c r="H27" i="10"/>
  <c r="O515" i="10"/>
  <c r="F515" i="10" s="1"/>
  <c r="M516" i="10"/>
  <c r="O516" i="10" s="1"/>
  <c r="F516" i="10" s="1"/>
  <c r="M20" i="10"/>
  <c r="O19" i="10"/>
  <c r="F19" i="10" s="1"/>
  <c r="M372" i="10"/>
  <c r="O371" i="10"/>
  <c r="F371" i="10" s="1"/>
  <c r="H132" i="10"/>
  <c r="G132" i="10"/>
  <c r="H433" i="10"/>
  <c r="G433" i="10"/>
  <c r="I539" i="10"/>
  <c r="I531" i="10"/>
  <c r="H240" i="10"/>
  <c r="G240" i="10"/>
  <c r="M562" i="10"/>
  <c r="O561" i="10"/>
  <c r="F561" i="10" s="1"/>
  <c r="O578" i="10"/>
  <c r="F578" i="10" s="1"/>
  <c r="M579" i="10"/>
  <c r="O579" i="10" s="1"/>
  <c r="F579" i="10" s="1"/>
  <c r="H496" i="10"/>
  <c r="G496" i="10"/>
  <c r="O348" i="10"/>
  <c r="F348" i="10" s="1"/>
  <c r="M349" i="10"/>
  <c r="H239" i="10"/>
  <c r="G239" i="10"/>
  <c r="G241" i="10" s="1"/>
  <c r="G474" i="10"/>
  <c r="H474" i="10"/>
  <c r="H475" i="10" s="1"/>
  <c r="H560" i="10"/>
  <c r="G560" i="10"/>
  <c r="O176" i="10"/>
  <c r="F176" i="10" s="1"/>
  <c r="M177" i="10"/>
  <c r="H577" i="10"/>
  <c r="G577" i="10"/>
  <c r="H283" i="10"/>
  <c r="G283" i="10"/>
  <c r="H219" i="10"/>
  <c r="H221" i="10" s="1"/>
  <c r="G219" i="10"/>
  <c r="M154" i="10"/>
  <c r="O154" i="10" s="1"/>
  <c r="F154" i="10" s="1"/>
  <c r="O153" i="10"/>
  <c r="F153" i="10" s="1"/>
  <c r="H45" i="10"/>
  <c r="G45" i="10"/>
  <c r="O325" i="10"/>
  <c r="F325" i="10" s="1"/>
  <c r="M326" i="10"/>
  <c r="O326" i="10" s="1"/>
  <c r="F326" i="10" s="1"/>
  <c r="M70" i="10"/>
  <c r="O69" i="10"/>
  <c r="F69" i="10" s="1"/>
  <c r="H262" i="10"/>
  <c r="G262" i="10"/>
  <c r="H537" i="10"/>
  <c r="G537" i="10"/>
  <c r="H551" i="10"/>
  <c r="G551" i="10"/>
  <c r="G370" i="10"/>
  <c r="H370" i="10"/>
  <c r="I21" i="10"/>
  <c r="I30" i="10" s="1"/>
  <c r="I29" i="10"/>
  <c r="H197" i="10"/>
  <c r="G197" i="10"/>
  <c r="I554" i="10"/>
  <c r="I563" i="10" s="1"/>
  <c r="I562" i="10"/>
  <c r="M47" i="10"/>
  <c r="O47" i="10" s="1"/>
  <c r="F47" i="10" s="1"/>
  <c r="O46" i="10"/>
  <c r="F46" i="10" s="1"/>
  <c r="H426" i="10"/>
  <c r="G426" i="10"/>
  <c r="F428" i="10"/>
  <c r="I169" i="10"/>
  <c r="I177" i="10"/>
  <c r="O263" i="10"/>
  <c r="F263" i="10" s="1"/>
  <c r="M264" i="10"/>
  <c r="O538" i="10"/>
  <c r="F538" i="10" s="1"/>
  <c r="M539" i="10"/>
  <c r="O552" i="10"/>
  <c r="F552" i="10" s="1"/>
  <c r="M553" i="10"/>
  <c r="F221" i="10"/>
  <c r="I62" i="10"/>
  <c r="I70" i="10"/>
  <c r="H405" i="10"/>
  <c r="G405" i="10"/>
  <c r="H456" i="10"/>
  <c r="G456" i="10"/>
  <c r="I435" i="10"/>
  <c r="I427" i="10"/>
  <c r="I436" i="10" s="1"/>
  <c r="M134" i="10"/>
  <c r="O134" i="10" s="1"/>
  <c r="F134" i="10" s="1"/>
  <c r="O133" i="10"/>
  <c r="F133" i="10" s="1"/>
  <c r="I84" i="10"/>
  <c r="I92" i="10"/>
  <c r="G175" i="10"/>
  <c r="H175" i="10"/>
  <c r="M285" i="10"/>
  <c r="O284" i="10"/>
  <c r="F284" i="10" s="1"/>
  <c r="O434" i="10"/>
  <c r="F434" i="10" s="1"/>
  <c r="M435" i="10"/>
  <c r="H104" i="10"/>
  <c r="G104" i="10"/>
  <c r="H297" i="10"/>
  <c r="G297" i="10"/>
  <c r="H82" i="10"/>
  <c r="G82" i="10"/>
  <c r="G491" i="10"/>
  <c r="I256" i="10"/>
  <c r="I265" i="10" s="1"/>
  <c r="I264" i="10"/>
  <c r="H531" i="10"/>
  <c r="G531" i="10"/>
  <c r="H447" i="10"/>
  <c r="G447" i="10"/>
  <c r="F450" i="10"/>
  <c r="H361" i="10"/>
  <c r="G361" i="10"/>
  <c r="M256" i="10"/>
  <c r="O256" i="10" s="1"/>
  <c r="F256" i="10" s="1"/>
  <c r="O255" i="10"/>
  <c r="F255" i="10" s="1"/>
  <c r="O497" i="10"/>
  <c r="F497" i="10" s="1"/>
  <c r="M498" i="10"/>
  <c r="H388" i="10"/>
  <c r="G388" i="10"/>
  <c r="H305" i="10"/>
  <c r="G305" i="10"/>
  <c r="M199" i="10"/>
  <c r="O198" i="10"/>
  <c r="F198" i="10" s="1"/>
  <c r="G427" i="10"/>
  <c r="G428" i="10" s="1"/>
  <c r="H427" i="10"/>
  <c r="H428" i="10" s="1"/>
  <c r="M29" i="10"/>
  <c r="O28" i="10"/>
  <c r="F28" i="10" s="1"/>
  <c r="I498" i="10"/>
  <c r="I490" i="10"/>
  <c r="I499" i="10" s="1"/>
  <c r="H514" i="10"/>
  <c r="G514" i="10"/>
  <c r="F517" i="10"/>
  <c r="H18" i="10"/>
  <c r="G18" i="10"/>
  <c r="O406" i="10"/>
  <c r="F406" i="10" s="1"/>
  <c r="M409" i="10"/>
  <c r="M458" i="10"/>
  <c r="O458" i="10" s="1"/>
  <c r="F458" i="10" s="1"/>
  <c r="O457" i="10"/>
  <c r="F457" i="10" s="1"/>
  <c r="H131" i="10"/>
  <c r="G131" i="10"/>
  <c r="F155" i="10"/>
  <c r="F428" i="9"/>
  <c r="G239" i="9"/>
  <c r="F241" i="9"/>
  <c r="H239" i="9"/>
  <c r="H241" i="9" s="1"/>
  <c r="H240" i="9"/>
  <c r="G240" i="9"/>
  <c r="G152" i="9"/>
  <c r="H152" i="9"/>
  <c r="O153" i="9"/>
  <c r="F153" i="9" s="1"/>
  <c r="M154" i="9"/>
  <c r="O154" i="9" s="1"/>
  <c r="F154" i="9" s="1"/>
  <c r="H135" i="9"/>
  <c r="M490" i="9"/>
  <c r="O490" i="9" s="1"/>
  <c r="F490" i="9" s="1"/>
  <c r="O489" i="9"/>
  <c r="F489" i="9" s="1"/>
  <c r="O362" i="9"/>
  <c r="F362" i="9" s="1"/>
  <c r="M363" i="9"/>
  <c r="H373" i="9"/>
  <c r="G373" i="9"/>
  <c r="H404" i="9"/>
  <c r="G404" i="9"/>
  <c r="H496" i="9"/>
  <c r="G496" i="9"/>
  <c r="M72" i="9"/>
  <c r="O72" i="9" s="1"/>
  <c r="F72" i="9" s="1"/>
  <c r="O71" i="9"/>
  <c r="F71" i="9" s="1"/>
  <c r="M170" i="9"/>
  <c r="O170" i="9" s="1"/>
  <c r="F170" i="9" s="1"/>
  <c r="O169" i="9"/>
  <c r="F169" i="9" s="1"/>
  <c r="G84" i="9"/>
  <c r="H84" i="9"/>
  <c r="M458" i="9"/>
  <c r="O458" i="9" s="1"/>
  <c r="F458" i="9" s="1"/>
  <c r="O457" i="9"/>
  <c r="F457" i="9" s="1"/>
  <c r="G47" i="9"/>
  <c r="H47" i="9"/>
  <c r="F86" i="9"/>
  <c r="H551" i="9"/>
  <c r="G551" i="9"/>
  <c r="H577" i="9"/>
  <c r="G577" i="9"/>
  <c r="H560" i="9"/>
  <c r="G560" i="9"/>
  <c r="H384" i="9"/>
  <c r="G384" i="9"/>
  <c r="M286" i="9"/>
  <c r="O285" i="9"/>
  <c r="F285" i="9" s="1"/>
  <c r="H197" i="9"/>
  <c r="G197" i="9"/>
  <c r="M342" i="9"/>
  <c r="O342" i="9" s="1"/>
  <c r="F342" i="9" s="1"/>
  <c r="O341" i="9"/>
  <c r="F341" i="9" s="1"/>
  <c r="O448" i="9"/>
  <c r="F448" i="9" s="1"/>
  <c r="M449" i="9"/>
  <c r="O449" i="9" s="1"/>
  <c r="F449" i="9" s="1"/>
  <c r="O276" i="9"/>
  <c r="F276" i="9" s="1"/>
  <c r="M277" i="9"/>
  <c r="H192" i="9"/>
  <c r="G192" i="9"/>
  <c r="O325" i="9"/>
  <c r="F325" i="9" s="1"/>
  <c r="M326" i="9"/>
  <c r="O326" i="9" s="1"/>
  <c r="F326" i="9" s="1"/>
  <c r="H25" i="9"/>
  <c r="G25" i="9"/>
  <c r="H473" i="9"/>
  <c r="G473" i="9"/>
  <c r="H297" i="9"/>
  <c r="G297" i="9"/>
  <c r="M179" i="9"/>
  <c r="O179" i="9" s="1"/>
  <c r="F179" i="9" s="1"/>
  <c r="O178" i="9"/>
  <c r="F178" i="9" s="1"/>
  <c r="F180" i="9" s="1"/>
  <c r="O18" i="9"/>
  <c r="F18" i="9" s="1"/>
  <c r="M19" i="9"/>
  <c r="G220" i="9"/>
  <c r="H220" i="9"/>
  <c r="H61" i="9"/>
  <c r="G61" i="9"/>
  <c r="H17" i="9"/>
  <c r="G17" i="9"/>
  <c r="H488" i="9"/>
  <c r="G488" i="9"/>
  <c r="H219" i="9"/>
  <c r="G219" i="9"/>
  <c r="H361" i="9"/>
  <c r="G361" i="9"/>
  <c r="O552" i="9"/>
  <c r="F552" i="9" s="1"/>
  <c r="M553" i="9"/>
  <c r="H372" i="9"/>
  <c r="G372" i="9"/>
  <c r="G374" i="9" s="1"/>
  <c r="F374" i="9"/>
  <c r="I263" i="9"/>
  <c r="I255" i="9"/>
  <c r="O578" i="9"/>
  <c r="F578" i="9" s="1"/>
  <c r="M579" i="9"/>
  <c r="O579" i="9" s="1"/>
  <c r="F579" i="9" s="1"/>
  <c r="I278" i="9"/>
  <c r="I287" i="9" s="1"/>
  <c r="I286" i="9"/>
  <c r="I199" i="9"/>
  <c r="I191" i="9"/>
  <c r="M562" i="9"/>
  <c r="O561" i="9"/>
  <c r="F561" i="9" s="1"/>
  <c r="I554" i="9"/>
  <c r="I563" i="9" s="1"/>
  <c r="I562" i="9"/>
  <c r="O385" i="9"/>
  <c r="F385" i="9" s="1"/>
  <c r="M388" i="9"/>
  <c r="H347" i="9"/>
  <c r="G347" i="9"/>
  <c r="M199" i="9"/>
  <c r="O198" i="9"/>
  <c r="F198" i="9" s="1"/>
  <c r="H168" i="9"/>
  <c r="G168" i="9"/>
  <c r="H426" i="9"/>
  <c r="G426" i="9"/>
  <c r="I539" i="9"/>
  <c r="I531" i="9"/>
  <c r="H85" i="9"/>
  <c r="G85" i="9"/>
  <c r="G86" i="9" s="1"/>
  <c r="O434" i="9"/>
  <c r="F434" i="9" s="1"/>
  <c r="M435" i="9"/>
  <c r="G191" i="9"/>
  <c r="G193" i="9" s="1"/>
  <c r="H191" i="9"/>
  <c r="O538" i="9"/>
  <c r="F538" i="9" s="1"/>
  <c r="M539" i="9"/>
  <c r="G142" i="9"/>
  <c r="M27" i="9"/>
  <c r="O26" i="9"/>
  <c r="F26" i="9" s="1"/>
  <c r="G474" i="9"/>
  <c r="H474" i="9"/>
  <c r="O298" i="9"/>
  <c r="F298" i="9" s="1"/>
  <c r="M299" i="9"/>
  <c r="G177" i="9"/>
  <c r="H177" i="9"/>
  <c r="O515" i="9"/>
  <c r="F515" i="9" s="1"/>
  <c r="M516" i="9"/>
  <c r="O516" i="9" s="1"/>
  <c r="F516" i="9" s="1"/>
  <c r="H261" i="9"/>
  <c r="G261" i="9"/>
  <c r="I349" i="9"/>
  <c r="I341" i="9"/>
  <c r="G433" i="9"/>
  <c r="H433" i="9"/>
  <c r="G537" i="9"/>
  <c r="H537" i="9"/>
  <c r="H106" i="9"/>
  <c r="G106" i="9"/>
  <c r="G107" i="9" s="1"/>
  <c r="H306" i="9"/>
  <c r="G306" i="9"/>
  <c r="H254" i="9"/>
  <c r="G254" i="9"/>
  <c r="G514" i="9"/>
  <c r="H514" i="9"/>
  <c r="O348" i="9"/>
  <c r="F348" i="9" s="1"/>
  <c r="M349" i="9"/>
  <c r="G427" i="9"/>
  <c r="H427" i="9"/>
  <c r="H92" i="9"/>
  <c r="G92" i="9"/>
  <c r="H456" i="9"/>
  <c r="G456" i="9"/>
  <c r="I498" i="9"/>
  <c r="I490" i="9"/>
  <c r="I499" i="9" s="1"/>
  <c r="H46" i="9"/>
  <c r="G46" i="9"/>
  <c r="I300" i="9"/>
  <c r="I309" i="9" s="1"/>
  <c r="I308" i="9"/>
  <c r="O405" i="9"/>
  <c r="F405" i="9" s="1"/>
  <c r="M406" i="9"/>
  <c r="O262" i="9"/>
  <c r="F262" i="9" s="1"/>
  <c r="M263" i="9"/>
  <c r="O62" i="9"/>
  <c r="F62" i="9" s="1"/>
  <c r="M63" i="9"/>
  <c r="O63" i="9" s="1"/>
  <c r="F63" i="9" s="1"/>
  <c r="H533" i="9"/>
  <c r="O497" i="9"/>
  <c r="F497" i="9" s="1"/>
  <c r="M498" i="9"/>
  <c r="H284" i="9"/>
  <c r="G284" i="9"/>
  <c r="I435" i="9"/>
  <c r="I427" i="9"/>
  <c r="I436" i="9" s="1"/>
  <c r="H213" i="9"/>
  <c r="G70" i="9"/>
  <c r="H70" i="9"/>
  <c r="H340" i="9"/>
  <c r="G340" i="9"/>
  <c r="H447" i="9"/>
  <c r="G447" i="9"/>
  <c r="H275" i="9"/>
  <c r="G275" i="9"/>
  <c r="H324" i="9"/>
  <c r="G324" i="9"/>
  <c r="H142" i="9"/>
  <c r="O109" i="9"/>
  <c r="F109" i="9" s="1"/>
  <c r="M110" i="9"/>
  <c r="O93" i="9"/>
  <c r="F93" i="9" s="1"/>
  <c r="M94" i="9"/>
  <c r="O94" i="9" s="1"/>
  <c r="F94" i="9" s="1"/>
  <c r="M308" i="9"/>
  <c r="O307" i="9"/>
  <c r="F307" i="9" s="1"/>
  <c r="G148" i="9"/>
  <c r="M256" i="9"/>
  <c r="O256" i="9" s="1"/>
  <c r="F256" i="9" s="1"/>
  <c r="O255" i="9"/>
  <c r="F255" i="9" s="1"/>
  <c r="H107" i="9"/>
  <c r="G307" i="8"/>
  <c r="F580" i="8"/>
  <c r="H297" i="8"/>
  <c r="G297" i="8"/>
  <c r="G517" i="8"/>
  <c r="O298" i="8"/>
  <c r="F298" i="8" s="1"/>
  <c r="M299" i="8"/>
  <c r="O92" i="8"/>
  <c r="F92" i="8" s="1"/>
  <c r="G92" i="8" s="1"/>
  <c r="F310" i="8"/>
  <c r="H334" i="8"/>
  <c r="G579" i="8"/>
  <c r="H579" i="8"/>
  <c r="H552" i="8"/>
  <c r="G552" i="8"/>
  <c r="M554" i="8"/>
  <c r="O554" i="8" s="1"/>
  <c r="F554" i="8" s="1"/>
  <c r="F555" i="8" s="1"/>
  <c r="O553" i="8"/>
  <c r="F553" i="8" s="1"/>
  <c r="G561" i="8"/>
  <c r="H561" i="8"/>
  <c r="M563" i="8"/>
  <c r="O563" i="8" s="1"/>
  <c r="F563" i="8" s="1"/>
  <c r="O562" i="8"/>
  <c r="F562" i="8" s="1"/>
  <c r="H578" i="8"/>
  <c r="G578" i="8"/>
  <c r="O385" i="8"/>
  <c r="F385" i="8" s="1"/>
  <c r="F386" i="8" s="1"/>
  <c r="M388" i="8"/>
  <c r="O239" i="8"/>
  <c r="F239" i="8" s="1"/>
  <c r="M240" i="8"/>
  <c r="O240" i="8" s="1"/>
  <c r="F240" i="8" s="1"/>
  <c r="G238" i="8"/>
  <c r="H238" i="8"/>
  <c r="G446" i="8"/>
  <c r="H446" i="8"/>
  <c r="H234" i="8"/>
  <c r="H517" i="8"/>
  <c r="G384" i="8"/>
  <c r="H384" i="8"/>
  <c r="G334" i="8"/>
  <c r="O447" i="8"/>
  <c r="F447" i="8" s="1"/>
  <c r="M448" i="8"/>
  <c r="G531" i="8"/>
  <c r="H531" i="8"/>
  <c r="F533" i="8"/>
  <c r="M541" i="8"/>
  <c r="O541" i="8" s="1"/>
  <c r="F541" i="8" s="1"/>
  <c r="O540" i="8"/>
  <c r="F540" i="8" s="1"/>
  <c r="H532" i="8"/>
  <c r="H533" i="8" s="1"/>
  <c r="G532" i="8"/>
  <c r="H539" i="8"/>
  <c r="G539" i="8"/>
  <c r="I490" i="8"/>
  <c r="I499" i="8" s="1"/>
  <c r="I498" i="8"/>
  <c r="M498" i="8"/>
  <c r="O497" i="8"/>
  <c r="F497" i="8" s="1"/>
  <c r="G486" i="8"/>
  <c r="H486" i="8"/>
  <c r="M488" i="8"/>
  <c r="O487" i="8"/>
  <c r="F487" i="8" s="1"/>
  <c r="G496" i="8"/>
  <c r="H496" i="8"/>
  <c r="H473" i="8"/>
  <c r="H475" i="8" s="1"/>
  <c r="G473" i="8"/>
  <c r="G474" i="8"/>
  <c r="H474" i="8"/>
  <c r="F475" i="8"/>
  <c r="I449" i="8"/>
  <c r="I458" i="8" s="1"/>
  <c r="I457" i="8"/>
  <c r="M457" i="8"/>
  <c r="O456" i="8"/>
  <c r="F456" i="8" s="1"/>
  <c r="G455" i="8"/>
  <c r="H455" i="8"/>
  <c r="M435" i="8"/>
  <c r="O434" i="8"/>
  <c r="F434" i="8" s="1"/>
  <c r="H426" i="8"/>
  <c r="G426" i="8"/>
  <c r="F428" i="8"/>
  <c r="I427" i="8"/>
  <c r="I436" i="8" s="1"/>
  <c r="I435" i="8"/>
  <c r="G433" i="8"/>
  <c r="H433" i="8"/>
  <c r="G427" i="8"/>
  <c r="H427" i="8"/>
  <c r="H428" i="8" s="1"/>
  <c r="M409" i="8"/>
  <c r="O406" i="8"/>
  <c r="F406" i="8" s="1"/>
  <c r="H405" i="8"/>
  <c r="G405" i="8"/>
  <c r="H365" i="8"/>
  <c r="G365" i="8"/>
  <c r="I363" i="8"/>
  <c r="I371" i="8"/>
  <c r="G347" i="8"/>
  <c r="H347" i="8"/>
  <c r="G308" i="8"/>
  <c r="H308" i="8"/>
  <c r="O348" i="8"/>
  <c r="F348" i="8" s="1"/>
  <c r="M349" i="8"/>
  <c r="H324" i="8"/>
  <c r="G324" i="8"/>
  <c r="I350" i="8"/>
  <c r="I342" i="8"/>
  <c r="I351" i="8" s="1"/>
  <c r="H309" i="8"/>
  <c r="G309" i="8"/>
  <c r="O325" i="8"/>
  <c r="F325" i="8" s="1"/>
  <c r="M326" i="8"/>
  <c r="O326" i="8" s="1"/>
  <c r="F326" i="8" s="1"/>
  <c r="G254" i="8"/>
  <c r="H254" i="8"/>
  <c r="M256" i="8"/>
  <c r="O256" i="8" s="1"/>
  <c r="F256" i="8" s="1"/>
  <c r="O255" i="8"/>
  <c r="F255" i="8" s="1"/>
  <c r="I263" i="8"/>
  <c r="I255" i="8"/>
  <c r="G228" i="8"/>
  <c r="G262" i="8"/>
  <c r="H262" i="8"/>
  <c r="O219" i="8"/>
  <c r="F219" i="8" s="1"/>
  <c r="M220" i="8"/>
  <c r="O220" i="8" s="1"/>
  <c r="F220" i="8" s="1"/>
  <c r="H276" i="8"/>
  <c r="G276" i="8"/>
  <c r="H218" i="8"/>
  <c r="G218" i="8"/>
  <c r="O277" i="8"/>
  <c r="F277" i="8" s="1"/>
  <c r="M278" i="8"/>
  <c r="O278" i="8" s="1"/>
  <c r="F278" i="8" s="1"/>
  <c r="I285" i="8"/>
  <c r="I277" i="8"/>
  <c r="H228" i="8"/>
  <c r="O263" i="8"/>
  <c r="F263" i="8" s="1"/>
  <c r="M264" i="8"/>
  <c r="G217" i="8"/>
  <c r="H217" i="8"/>
  <c r="I199" i="8"/>
  <c r="I191" i="8"/>
  <c r="M192" i="8"/>
  <c r="O192" i="8" s="1"/>
  <c r="F192" i="8" s="1"/>
  <c r="O191" i="8"/>
  <c r="F191" i="8" s="1"/>
  <c r="H197" i="8"/>
  <c r="G197" i="8"/>
  <c r="O198" i="8"/>
  <c r="F198" i="8" s="1"/>
  <c r="M199" i="8"/>
  <c r="G190" i="8"/>
  <c r="H190" i="8"/>
  <c r="H168" i="8"/>
  <c r="G168" i="8"/>
  <c r="H152" i="8"/>
  <c r="G152" i="8"/>
  <c r="M170" i="8"/>
  <c r="O170" i="8" s="1"/>
  <c r="F170" i="8" s="1"/>
  <c r="O169" i="8"/>
  <c r="F169" i="8" s="1"/>
  <c r="I177" i="8"/>
  <c r="I169" i="8"/>
  <c r="M178" i="8"/>
  <c r="O177" i="8"/>
  <c r="F177" i="8" s="1"/>
  <c r="O153" i="8"/>
  <c r="F153" i="8" s="1"/>
  <c r="M154" i="8"/>
  <c r="O154" i="8" s="1"/>
  <c r="F154" i="8" s="1"/>
  <c r="G176" i="8"/>
  <c r="H176" i="8"/>
  <c r="H105" i="8"/>
  <c r="G105" i="8"/>
  <c r="G104" i="8"/>
  <c r="H104" i="8"/>
  <c r="H133" i="8"/>
  <c r="G133" i="8"/>
  <c r="H134" i="8"/>
  <c r="G134" i="8"/>
  <c r="F135" i="8"/>
  <c r="G54" i="8"/>
  <c r="F86" i="8"/>
  <c r="M94" i="8"/>
  <c r="O93" i="8"/>
  <c r="F93" i="8" s="1"/>
  <c r="H84" i="8"/>
  <c r="G84" i="8"/>
  <c r="H85" i="8"/>
  <c r="G85" i="8"/>
  <c r="G67" i="8"/>
  <c r="H67" i="8"/>
  <c r="H59" i="8"/>
  <c r="G59" i="8"/>
  <c r="M61" i="8"/>
  <c r="O60" i="8"/>
  <c r="F60" i="8" s="1"/>
  <c r="I63" i="8"/>
  <c r="I72" i="8" s="1"/>
  <c r="I71" i="8"/>
  <c r="M69" i="8"/>
  <c r="O68" i="8"/>
  <c r="F68" i="8" s="1"/>
  <c r="H25" i="8"/>
  <c r="G25" i="8"/>
  <c r="G39" i="8"/>
  <c r="H39" i="8"/>
  <c r="O40" i="8"/>
  <c r="F40" i="8" s="1"/>
  <c r="H18" i="8"/>
  <c r="G18" i="8"/>
  <c r="I21" i="8"/>
  <c r="I30" i="8" s="1"/>
  <c r="I29" i="8"/>
  <c r="I18" i="4"/>
  <c r="I26" i="4"/>
  <c r="H45" i="8"/>
  <c r="G45" i="8"/>
  <c r="M47" i="8"/>
  <c r="O47" i="8" s="1"/>
  <c r="F47" i="8" s="1"/>
  <c r="O46" i="8"/>
  <c r="F46" i="8" s="1"/>
  <c r="O26" i="8"/>
  <c r="F26" i="8" s="1"/>
  <c r="M27" i="8"/>
  <c r="M20" i="8"/>
  <c r="O19" i="8"/>
  <c r="F19" i="8" s="1"/>
  <c r="H221" i="9" l="1"/>
  <c r="G221" i="9"/>
  <c r="F135" i="10"/>
  <c r="G475" i="10"/>
  <c r="M287" i="8"/>
  <c r="O287" i="8" s="1"/>
  <c r="F287" i="8" s="1"/>
  <c r="O286" i="8"/>
  <c r="F286" i="8" s="1"/>
  <c r="F288" i="8" s="1"/>
  <c r="G190" i="10"/>
  <c r="H190" i="10"/>
  <c r="H285" i="8"/>
  <c r="G285" i="8"/>
  <c r="O190" i="11"/>
  <c r="F190" i="11" s="1"/>
  <c r="M191" i="11"/>
  <c r="H310" i="8"/>
  <c r="G475" i="8"/>
  <c r="H193" i="9"/>
  <c r="G533" i="10"/>
  <c r="H257" i="11"/>
  <c r="H94" i="10"/>
  <c r="G94" i="10"/>
  <c r="G95" i="10" s="1"/>
  <c r="G343" i="10"/>
  <c r="G278" i="10"/>
  <c r="H278" i="10"/>
  <c r="G48" i="9"/>
  <c r="H533" i="10"/>
  <c r="G93" i="10"/>
  <c r="H93" i="10"/>
  <c r="H95" i="10" s="1"/>
  <c r="F95" i="10"/>
  <c r="H343" i="10"/>
  <c r="F279" i="10"/>
  <c r="H277" i="10"/>
  <c r="H279" i="10" s="1"/>
  <c r="G277" i="10"/>
  <c r="O191" i="10"/>
  <c r="F191" i="10" s="1"/>
  <c r="M192" i="10"/>
  <c r="O192" i="10" s="1"/>
  <c r="F192" i="10" s="1"/>
  <c r="H241" i="10"/>
  <c r="G257" i="11"/>
  <c r="I93" i="9"/>
  <c r="I85" i="9"/>
  <c r="I94" i="9" s="1"/>
  <c r="G189" i="11"/>
  <c r="H189" i="11"/>
  <c r="G475" i="11"/>
  <c r="G428" i="11"/>
  <c r="F343" i="11"/>
  <c r="H48" i="11"/>
  <c r="G48" i="11"/>
  <c r="H497" i="11"/>
  <c r="G497" i="11"/>
  <c r="H350" i="11"/>
  <c r="G350" i="11"/>
  <c r="G239" i="11"/>
  <c r="H239" i="11"/>
  <c r="F241" i="11"/>
  <c r="G153" i="11"/>
  <c r="H153" i="11"/>
  <c r="F155" i="11"/>
  <c r="M30" i="11"/>
  <c r="O30" i="11" s="1"/>
  <c r="F30" i="11" s="1"/>
  <c r="O29" i="11"/>
  <c r="F29" i="11" s="1"/>
  <c r="H563" i="11"/>
  <c r="G563" i="11"/>
  <c r="O177" i="11"/>
  <c r="F177" i="11" s="1"/>
  <c r="M178" i="11"/>
  <c r="F352" i="11"/>
  <c r="G515" i="11"/>
  <c r="H515" i="11"/>
  <c r="F517" i="11"/>
  <c r="G384" i="11"/>
  <c r="H384" i="11"/>
  <c r="G433" i="11"/>
  <c r="H433" i="11"/>
  <c r="G277" i="11"/>
  <c r="H277" i="11"/>
  <c r="F279" i="11"/>
  <c r="G61" i="11"/>
  <c r="H61" i="11"/>
  <c r="H85" i="11"/>
  <c r="G85" i="11"/>
  <c r="I427" i="11"/>
  <c r="I436" i="11" s="1"/>
  <c r="I435" i="11"/>
  <c r="G306" i="11"/>
  <c r="H306" i="11"/>
  <c r="H20" i="11"/>
  <c r="G20" i="11"/>
  <c r="M409" i="11"/>
  <c r="O406" i="11"/>
  <c r="F406" i="11" s="1"/>
  <c r="H300" i="11"/>
  <c r="G300" i="11"/>
  <c r="M499" i="11"/>
  <c r="O499" i="11" s="1"/>
  <c r="F499" i="11" s="1"/>
  <c r="O498" i="11"/>
  <c r="F498" i="11" s="1"/>
  <c r="H351" i="11"/>
  <c r="H352" i="11" s="1"/>
  <c r="G351" i="11"/>
  <c r="G106" i="11"/>
  <c r="G107" i="11" s="1"/>
  <c r="H106" i="11"/>
  <c r="F107" i="11"/>
  <c r="G28" i="11"/>
  <c r="H28" i="11"/>
  <c r="M490" i="11"/>
  <c r="O490" i="11" s="1"/>
  <c r="F490" i="11" s="1"/>
  <c r="O489" i="11"/>
  <c r="F489" i="11" s="1"/>
  <c r="F491" i="11" s="1"/>
  <c r="G220" i="11"/>
  <c r="G221" i="11" s="1"/>
  <c r="H220" i="11"/>
  <c r="H262" i="11"/>
  <c r="G262" i="11"/>
  <c r="G176" i="11"/>
  <c r="H176" i="11"/>
  <c r="I178" i="11"/>
  <c r="I170" i="11"/>
  <c r="I179" i="11" s="1"/>
  <c r="H342" i="11"/>
  <c r="G342" i="11"/>
  <c r="M449" i="11"/>
  <c r="O449" i="11" s="1"/>
  <c r="F449" i="11" s="1"/>
  <c r="O448" i="11"/>
  <c r="F448" i="11" s="1"/>
  <c r="F450" i="11" s="1"/>
  <c r="G134" i="11"/>
  <c r="H134" i="11"/>
  <c r="I364" i="11"/>
  <c r="I373" i="11" s="1"/>
  <c r="I372" i="11"/>
  <c r="H70" i="11"/>
  <c r="G70" i="11"/>
  <c r="O539" i="11"/>
  <c r="F539" i="11" s="1"/>
  <c r="M540" i="11"/>
  <c r="H579" i="11"/>
  <c r="G579" i="11"/>
  <c r="G21" i="11"/>
  <c r="H21" i="11"/>
  <c r="H22" i="11" s="1"/>
  <c r="F22" i="11"/>
  <c r="G405" i="11"/>
  <c r="H405" i="11"/>
  <c r="H456" i="11"/>
  <c r="G456" i="11"/>
  <c r="H363" i="11"/>
  <c r="G363" i="11"/>
  <c r="M110" i="11"/>
  <c r="O109" i="11"/>
  <c r="F109" i="11" s="1"/>
  <c r="I264" i="11"/>
  <c r="I256" i="11"/>
  <c r="I265" i="11" s="1"/>
  <c r="G488" i="11"/>
  <c r="H488" i="11"/>
  <c r="G219" i="11"/>
  <c r="H219" i="11"/>
  <c r="F221" i="11"/>
  <c r="O263" i="11"/>
  <c r="F263" i="11" s="1"/>
  <c r="M264" i="11"/>
  <c r="H107" i="11"/>
  <c r="G341" i="11"/>
  <c r="H341" i="11"/>
  <c r="G447" i="11"/>
  <c r="H447" i="11"/>
  <c r="G133" i="11"/>
  <c r="H133" i="11"/>
  <c r="F135" i="11"/>
  <c r="M72" i="11"/>
  <c r="O72" i="11" s="1"/>
  <c r="F72" i="11" s="1"/>
  <c r="O71" i="11"/>
  <c r="F71" i="11" s="1"/>
  <c r="G538" i="11"/>
  <c r="H538" i="11"/>
  <c r="M372" i="11"/>
  <c r="O371" i="11"/>
  <c r="F371" i="11" s="1"/>
  <c r="G578" i="11"/>
  <c r="H578" i="11"/>
  <c r="I540" i="11"/>
  <c r="I532" i="11"/>
  <c r="I541" i="11" s="1"/>
  <c r="O553" i="11"/>
  <c r="F553" i="11" s="1"/>
  <c r="M554" i="11"/>
  <c r="O554" i="11" s="1"/>
  <c r="F554" i="11" s="1"/>
  <c r="F555" i="11" s="1"/>
  <c r="M94" i="11"/>
  <c r="O94" i="11" s="1"/>
  <c r="F94" i="11" s="1"/>
  <c r="O93" i="11"/>
  <c r="F93" i="11" s="1"/>
  <c r="F95" i="11" s="1"/>
  <c r="H286" i="11"/>
  <c r="G286" i="11"/>
  <c r="M458" i="11"/>
  <c r="O458" i="11" s="1"/>
  <c r="F458" i="11" s="1"/>
  <c r="O457" i="11"/>
  <c r="F457" i="11" s="1"/>
  <c r="H364" i="11"/>
  <c r="G364" i="11"/>
  <c r="G365" i="11" s="1"/>
  <c r="G240" i="11"/>
  <c r="H240" i="11"/>
  <c r="G154" i="11"/>
  <c r="H154" i="11"/>
  <c r="I300" i="11"/>
  <c r="I309" i="11" s="1"/>
  <c r="I308" i="11"/>
  <c r="H562" i="11"/>
  <c r="G562" i="11"/>
  <c r="G516" i="11"/>
  <c r="H516" i="11"/>
  <c r="H517" i="11" s="1"/>
  <c r="M388" i="11"/>
  <c r="O385" i="11"/>
  <c r="F385" i="11" s="1"/>
  <c r="M435" i="11"/>
  <c r="O434" i="11"/>
  <c r="F434" i="11" s="1"/>
  <c r="H278" i="11"/>
  <c r="G278" i="11"/>
  <c r="M63" i="11"/>
  <c r="O63" i="11" s="1"/>
  <c r="F63" i="11" s="1"/>
  <c r="O62" i="11"/>
  <c r="F62" i="11" s="1"/>
  <c r="H84" i="11"/>
  <c r="G84" i="11"/>
  <c r="G370" i="11"/>
  <c r="H370" i="11"/>
  <c r="M308" i="11"/>
  <c r="O307" i="11"/>
  <c r="F307" i="11" s="1"/>
  <c r="G552" i="11"/>
  <c r="H552" i="11"/>
  <c r="G92" i="11"/>
  <c r="H92" i="11"/>
  <c r="H287" i="11"/>
  <c r="H288" i="11" s="1"/>
  <c r="G287" i="11"/>
  <c r="G288" i="11" s="1"/>
  <c r="H299" i="11"/>
  <c r="G299" i="11"/>
  <c r="F301" i="11"/>
  <c r="F365" i="11"/>
  <c r="H406" i="10"/>
  <c r="G406" i="10"/>
  <c r="G407" i="10" s="1"/>
  <c r="M286" i="10"/>
  <c r="O285" i="10"/>
  <c r="F285" i="10" s="1"/>
  <c r="I85" i="10"/>
  <c r="I94" i="10" s="1"/>
  <c r="I93" i="10"/>
  <c r="F407" i="10"/>
  <c r="I63" i="10"/>
  <c r="I72" i="10" s="1"/>
  <c r="I71" i="10"/>
  <c r="G552" i="10"/>
  <c r="H552" i="10"/>
  <c r="H263" i="10"/>
  <c r="G263" i="10"/>
  <c r="H325" i="10"/>
  <c r="G325" i="10"/>
  <c r="H561" i="10"/>
  <c r="G561" i="10"/>
  <c r="O372" i="10"/>
  <c r="F372" i="10" s="1"/>
  <c r="M373" i="10"/>
  <c r="O373" i="10" s="1"/>
  <c r="F373" i="10" s="1"/>
  <c r="H516" i="10"/>
  <c r="H517" i="10" s="1"/>
  <c r="G516" i="10"/>
  <c r="G517" i="10" s="1"/>
  <c r="F327" i="10"/>
  <c r="O390" i="10"/>
  <c r="F390" i="10" s="1"/>
  <c r="M391" i="10"/>
  <c r="M364" i="10"/>
  <c r="O364" i="10" s="1"/>
  <c r="F364" i="10" s="1"/>
  <c r="O363" i="10"/>
  <c r="F363" i="10" s="1"/>
  <c r="H448" i="10"/>
  <c r="G448" i="10"/>
  <c r="G105" i="10"/>
  <c r="H105" i="10"/>
  <c r="I278" i="10"/>
  <c r="I287" i="10" s="1"/>
  <c r="I286" i="10"/>
  <c r="H457" i="10"/>
  <c r="G457" i="10"/>
  <c r="M499" i="10"/>
  <c r="O499" i="10" s="1"/>
  <c r="F499" i="10" s="1"/>
  <c r="O498" i="10"/>
  <c r="F498" i="10" s="1"/>
  <c r="F500" i="10" s="1"/>
  <c r="H255" i="10"/>
  <c r="H257" i="10" s="1"/>
  <c r="G255" i="10"/>
  <c r="G257" i="10" s="1"/>
  <c r="F257" i="10"/>
  <c r="M436" i="10"/>
  <c r="O436" i="10" s="1"/>
  <c r="F436" i="10" s="1"/>
  <c r="O435" i="10"/>
  <c r="F435" i="10" s="1"/>
  <c r="M540" i="10"/>
  <c r="O539" i="10"/>
  <c r="F539" i="10" s="1"/>
  <c r="H69" i="10"/>
  <c r="G69" i="10"/>
  <c r="G153" i="10"/>
  <c r="G155" i="10" s="1"/>
  <c r="H153" i="10"/>
  <c r="H155" i="10" s="1"/>
  <c r="H579" i="10"/>
  <c r="G579" i="10"/>
  <c r="M563" i="10"/>
  <c r="O563" i="10" s="1"/>
  <c r="F563" i="10" s="1"/>
  <c r="O562" i="10"/>
  <c r="F562" i="10" s="1"/>
  <c r="I532" i="10"/>
  <c r="I541" i="10" s="1"/>
  <c r="I540" i="10"/>
  <c r="H19" i="10"/>
  <c r="G19" i="10"/>
  <c r="H515" i="10"/>
  <c r="G515" i="10"/>
  <c r="M308" i="10"/>
  <c r="O307" i="10"/>
  <c r="F307" i="10" s="1"/>
  <c r="G83" i="10"/>
  <c r="H83" i="10"/>
  <c r="M109" i="10"/>
  <c r="O106" i="10"/>
  <c r="F106" i="10" s="1"/>
  <c r="H458" i="10"/>
  <c r="H459" i="10" s="1"/>
  <c r="G458" i="10"/>
  <c r="F459" i="10"/>
  <c r="H28" i="10"/>
  <c r="G28" i="10"/>
  <c r="G198" i="10"/>
  <c r="H198" i="10"/>
  <c r="G497" i="10"/>
  <c r="H497" i="10"/>
  <c r="G256" i="10"/>
  <c r="H256" i="10"/>
  <c r="H434" i="10"/>
  <c r="G434" i="10"/>
  <c r="H133" i="10"/>
  <c r="G133" i="10"/>
  <c r="H407" i="10"/>
  <c r="G538" i="10"/>
  <c r="H538" i="10"/>
  <c r="I178" i="10"/>
  <c r="I170" i="10"/>
  <c r="I179" i="10" s="1"/>
  <c r="H46" i="10"/>
  <c r="G46" i="10"/>
  <c r="M71" i="10"/>
  <c r="O70" i="10"/>
  <c r="F70" i="10" s="1"/>
  <c r="F48" i="10"/>
  <c r="H154" i="10"/>
  <c r="G154" i="10"/>
  <c r="O177" i="10"/>
  <c r="F177" i="10" s="1"/>
  <c r="M178" i="10"/>
  <c r="M350" i="10"/>
  <c r="O349" i="10"/>
  <c r="F349" i="10" s="1"/>
  <c r="G578" i="10"/>
  <c r="G580" i="10" s="1"/>
  <c r="H578" i="10"/>
  <c r="F580" i="10"/>
  <c r="M21" i="10"/>
  <c r="O21" i="10" s="1"/>
  <c r="F21" i="10" s="1"/>
  <c r="O20" i="10"/>
  <c r="F20" i="10" s="1"/>
  <c r="G306" i="10"/>
  <c r="H306" i="10"/>
  <c r="I342" i="10"/>
  <c r="I351" i="10" s="1"/>
  <c r="I350" i="10"/>
  <c r="O84" i="10"/>
  <c r="F84" i="10" s="1"/>
  <c r="M85" i="10"/>
  <c r="O85" i="10" s="1"/>
  <c r="F85" i="10" s="1"/>
  <c r="M300" i="10"/>
  <c r="O300" i="10" s="1"/>
  <c r="F300" i="10" s="1"/>
  <c r="O299" i="10"/>
  <c r="F299" i="10" s="1"/>
  <c r="M410" i="10"/>
  <c r="O409" i="10"/>
  <c r="F409" i="10" s="1"/>
  <c r="O29" i="10"/>
  <c r="F29" i="10" s="1"/>
  <c r="M30" i="10"/>
  <c r="O30" i="10" s="1"/>
  <c r="F30" i="10" s="1"/>
  <c r="M200" i="10"/>
  <c r="O199" i="10"/>
  <c r="F199" i="10" s="1"/>
  <c r="H284" i="10"/>
  <c r="G284" i="10"/>
  <c r="H134" i="10"/>
  <c r="H135" i="10" s="1"/>
  <c r="G134" i="10"/>
  <c r="G135" i="10" s="1"/>
  <c r="M554" i="10"/>
  <c r="O554" i="10" s="1"/>
  <c r="F554" i="10" s="1"/>
  <c r="O553" i="10"/>
  <c r="F553" i="10" s="1"/>
  <c r="M265" i="10"/>
  <c r="O265" i="10" s="1"/>
  <c r="F265" i="10" s="1"/>
  <c r="O264" i="10"/>
  <c r="F264" i="10" s="1"/>
  <c r="H47" i="10"/>
  <c r="G47" i="10"/>
  <c r="H326" i="10"/>
  <c r="H327" i="10" s="1"/>
  <c r="G326" i="10"/>
  <c r="G327" i="10" s="1"/>
  <c r="H176" i="10"/>
  <c r="G176" i="10"/>
  <c r="H348" i="10"/>
  <c r="G348" i="10"/>
  <c r="H371" i="10"/>
  <c r="G371" i="10"/>
  <c r="F374" i="10"/>
  <c r="G389" i="10"/>
  <c r="H389" i="10"/>
  <c r="H362" i="10"/>
  <c r="G362" i="10"/>
  <c r="F365" i="10"/>
  <c r="H449" i="10"/>
  <c r="H450" i="10" s="1"/>
  <c r="G449" i="10"/>
  <c r="G450" i="10" s="1"/>
  <c r="G298" i="10"/>
  <c r="H298" i="10"/>
  <c r="G475" i="9"/>
  <c r="F459" i="9"/>
  <c r="G428" i="9"/>
  <c r="H428" i="9"/>
  <c r="H374" i="9"/>
  <c r="G241" i="9"/>
  <c r="H153" i="9"/>
  <c r="G153" i="9"/>
  <c r="G154" i="9"/>
  <c r="H154" i="9"/>
  <c r="F155" i="9"/>
  <c r="H86" i="9"/>
  <c r="H48" i="9"/>
  <c r="H307" i="9"/>
  <c r="G307" i="9"/>
  <c r="M111" i="9"/>
  <c r="O110" i="9"/>
  <c r="F110" i="9" s="1"/>
  <c r="G497" i="9"/>
  <c r="H497" i="9"/>
  <c r="G62" i="9"/>
  <c r="H62" i="9"/>
  <c r="G405" i="9"/>
  <c r="H405" i="9"/>
  <c r="G298" i="9"/>
  <c r="H298" i="9"/>
  <c r="M28" i="9"/>
  <c r="O27" i="9"/>
  <c r="F27" i="9" s="1"/>
  <c r="G198" i="9"/>
  <c r="H198" i="9"/>
  <c r="H385" i="9"/>
  <c r="H386" i="9" s="1"/>
  <c r="G385" i="9"/>
  <c r="G386" i="9" s="1"/>
  <c r="F386" i="9"/>
  <c r="I192" i="9"/>
  <c r="I201" i="9" s="1"/>
  <c r="I200" i="9"/>
  <c r="H579" i="9"/>
  <c r="H580" i="9" s="1"/>
  <c r="G579" i="9"/>
  <c r="G552" i="9"/>
  <c r="H552" i="9"/>
  <c r="G276" i="9"/>
  <c r="H276" i="9"/>
  <c r="H341" i="9"/>
  <c r="G341" i="9"/>
  <c r="F343" i="9"/>
  <c r="H71" i="9"/>
  <c r="G71" i="9"/>
  <c r="H489" i="9"/>
  <c r="G489" i="9"/>
  <c r="H255" i="9"/>
  <c r="G255" i="9"/>
  <c r="M309" i="9"/>
  <c r="O309" i="9" s="1"/>
  <c r="F309" i="9" s="1"/>
  <c r="O308" i="9"/>
  <c r="F308" i="9" s="1"/>
  <c r="F310" i="9" s="1"/>
  <c r="G109" i="9"/>
  <c r="H109" i="9"/>
  <c r="M264" i="9"/>
  <c r="O263" i="9"/>
  <c r="F263" i="9" s="1"/>
  <c r="M200" i="9"/>
  <c r="O199" i="9"/>
  <c r="F199" i="9" s="1"/>
  <c r="H561" i="9"/>
  <c r="G561" i="9"/>
  <c r="G578" i="9"/>
  <c r="G580" i="9" s="1"/>
  <c r="H578" i="9"/>
  <c r="F580" i="9"/>
  <c r="H178" i="9"/>
  <c r="G178" i="9"/>
  <c r="H342" i="9"/>
  <c r="G342" i="9"/>
  <c r="G343" i="9" s="1"/>
  <c r="G72" i="9"/>
  <c r="H72" i="9"/>
  <c r="H490" i="9"/>
  <c r="G490" i="9"/>
  <c r="F491" i="9"/>
  <c r="F64" i="9"/>
  <c r="F73" i="9"/>
  <c r="H256" i="9"/>
  <c r="H257" i="9" s="1"/>
  <c r="G256" i="9"/>
  <c r="G257" i="9" s="1"/>
  <c r="H94" i="9"/>
  <c r="G94" i="9"/>
  <c r="G262" i="9"/>
  <c r="H262" i="9"/>
  <c r="M350" i="9"/>
  <c r="O349" i="9"/>
  <c r="F349" i="9" s="1"/>
  <c r="I342" i="9"/>
  <c r="I351" i="9" s="1"/>
  <c r="I350" i="9"/>
  <c r="G516" i="9"/>
  <c r="H516" i="9"/>
  <c r="O539" i="9"/>
  <c r="F539" i="9" s="1"/>
  <c r="M540" i="9"/>
  <c r="O435" i="9"/>
  <c r="F435" i="9" s="1"/>
  <c r="M436" i="9"/>
  <c r="O436" i="9" s="1"/>
  <c r="F436" i="9" s="1"/>
  <c r="I540" i="9"/>
  <c r="I532" i="9"/>
  <c r="I541" i="9" s="1"/>
  <c r="M563" i="9"/>
  <c r="O563" i="9" s="1"/>
  <c r="F563" i="9" s="1"/>
  <c r="O562" i="9"/>
  <c r="F562" i="9" s="1"/>
  <c r="I256" i="9"/>
  <c r="I265" i="9" s="1"/>
  <c r="I264" i="9"/>
  <c r="M20" i="9"/>
  <c r="O19" i="9"/>
  <c r="F19" i="9" s="1"/>
  <c r="G179" i="9"/>
  <c r="H179" i="9"/>
  <c r="H180" i="9" s="1"/>
  <c r="H326" i="9"/>
  <c r="G326" i="9"/>
  <c r="H449" i="9"/>
  <c r="G449" i="9"/>
  <c r="H285" i="9"/>
  <c r="G285" i="9"/>
  <c r="H457" i="9"/>
  <c r="G457" i="9"/>
  <c r="H169" i="9"/>
  <c r="G169" i="9"/>
  <c r="M364" i="9"/>
  <c r="O364" i="9" s="1"/>
  <c r="F364" i="9" s="1"/>
  <c r="O363" i="9"/>
  <c r="F363" i="9" s="1"/>
  <c r="F257" i="9"/>
  <c r="H93" i="9"/>
  <c r="G93" i="9"/>
  <c r="F95" i="9"/>
  <c r="M499" i="9"/>
  <c r="O499" i="9" s="1"/>
  <c r="F499" i="9" s="1"/>
  <c r="O498" i="9"/>
  <c r="F498" i="9" s="1"/>
  <c r="H63" i="9"/>
  <c r="G63" i="9"/>
  <c r="M409" i="9"/>
  <c r="O406" i="9"/>
  <c r="F406" i="9" s="1"/>
  <c r="G348" i="9"/>
  <c r="H348" i="9"/>
  <c r="G515" i="9"/>
  <c r="G517" i="9" s="1"/>
  <c r="H515" i="9"/>
  <c r="M300" i="9"/>
  <c r="O300" i="9" s="1"/>
  <c r="F300" i="9" s="1"/>
  <c r="F301" i="9" s="1"/>
  <c r="O299" i="9"/>
  <c r="F299" i="9" s="1"/>
  <c r="H26" i="9"/>
  <c r="G26" i="9"/>
  <c r="G538" i="9"/>
  <c r="H538" i="9"/>
  <c r="H434" i="9"/>
  <c r="G434" i="9"/>
  <c r="M389" i="9"/>
  <c r="O388" i="9"/>
  <c r="F388" i="9" s="1"/>
  <c r="M554" i="9"/>
  <c r="O554" i="9" s="1"/>
  <c r="F554" i="9" s="1"/>
  <c r="O553" i="9"/>
  <c r="F553" i="9" s="1"/>
  <c r="F555" i="9" s="1"/>
  <c r="G18" i="9"/>
  <c r="H18" i="9"/>
  <c r="H475" i="9"/>
  <c r="G325" i="9"/>
  <c r="H325" i="9"/>
  <c r="H327" i="9" s="1"/>
  <c r="F327" i="9"/>
  <c r="M278" i="9"/>
  <c r="O278" i="9" s="1"/>
  <c r="F278" i="9" s="1"/>
  <c r="O277" i="9"/>
  <c r="F277" i="9" s="1"/>
  <c r="H448" i="9"/>
  <c r="G448" i="9"/>
  <c r="F450" i="9"/>
  <c r="M287" i="9"/>
  <c r="O287" i="9" s="1"/>
  <c r="F287" i="9" s="1"/>
  <c r="O286" i="9"/>
  <c r="F286" i="9" s="1"/>
  <c r="H458" i="9"/>
  <c r="G458" i="9"/>
  <c r="H170" i="9"/>
  <c r="H171" i="9" s="1"/>
  <c r="G170" i="9"/>
  <c r="G171" i="9" s="1"/>
  <c r="F171" i="9"/>
  <c r="G362" i="9"/>
  <c r="H362" i="9"/>
  <c r="F365" i="9"/>
  <c r="F517" i="9"/>
  <c r="H92" i="8"/>
  <c r="G580" i="8"/>
  <c r="M300" i="8"/>
  <c r="O300" i="8" s="1"/>
  <c r="F300" i="8" s="1"/>
  <c r="O299" i="8"/>
  <c r="F299" i="8" s="1"/>
  <c r="G298" i="8"/>
  <c r="H298" i="8"/>
  <c r="H580" i="8"/>
  <c r="H562" i="8"/>
  <c r="G562" i="8"/>
  <c r="G563" i="8"/>
  <c r="H563" i="8"/>
  <c r="H554" i="8"/>
  <c r="G554" i="8"/>
  <c r="G553" i="8"/>
  <c r="H553" i="8"/>
  <c r="F564" i="8"/>
  <c r="F542" i="8"/>
  <c r="G533" i="8"/>
  <c r="M449" i="8"/>
  <c r="O449" i="8" s="1"/>
  <c r="F449" i="8" s="1"/>
  <c r="O448" i="8"/>
  <c r="F448" i="8" s="1"/>
  <c r="H240" i="8"/>
  <c r="G240" i="8"/>
  <c r="H447" i="8"/>
  <c r="G447" i="8"/>
  <c r="G239" i="8"/>
  <c r="H239" i="8"/>
  <c r="F241" i="8"/>
  <c r="F155" i="8"/>
  <c r="G428" i="8"/>
  <c r="M389" i="8"/>
  <c r="O388" i="8"/>
  <c r="F388" i="8" s="1"/>
  <c r="G135" i="8"/>
  <c r="F193" i="8"/>
  <c r="G310" i="8"/>
  <c r="G385" i="8"/>
  <c r="G386" i="8" s="1"/>
  <c r="H385" i="8"/>
  <c r="H386" i="8" s="1"/>
  <c r="G540" i="8"/>
  <c r="H540" i="8"/>
  <c r="H541" i="8"/>
  <c r="G541" i="8"/>
  <c r="H497" i="8"/>
  <c r="G497" i="8"/>
  <c r="O498" i="8"/>
  <c r="F498" i="8" s="1"/>
  <c r="M499" i="8"/>
  <c r="O499" i="8" s="1"/>
  <c r="F499" i="8" s="1"/>
  <c r="H487" i="8"/>
  <c r="G487" i="8"/>
  <c r="O488" i="8"/>
  <c r="F488" i="8" s="1"/>
  <c r="M489" i="8"/>
  <c r="H456" i="8"/>
  <c r="G456" i="8"/>
  <c r="O457" i="8"/>
  <c r="F457" i="8" s="1"/>
  <c r="M458" i="8"/>
  <c r="O458" i="8" s="1"/>
  <c r="F458" i="8" s="1"/>
  <c r="H434" i="8"/>
  <c r="G434" i="8"/>
  <c r="O435" i="8"/>
  <c r="F435" i="8" s="1"/>
  <c r="M436" i="8"/>
  <c r="O436" i="8" s="1"/>
  <c r="F436" i="8" s="1"/>
  <c r="H406" i="8"/>
  <c r="H407" i="8" s="1"/>
  <c r="G406" i="8"/>
  <c r="G407" i="8" s="1"/>
  <c r="F407" i="8"/>
  <c r="O409" i="8"/>
  <c r="F409" i="8" s="1"/>
  <c r="M410" i="8"/>
  <c r="I364" i="8"/>
  <c r="I373" i="8" s="1"/>
  <c r="I372" i="8"/>
  <c r="H326" i="8"/>
  <c r="G326" i="8"/>
  <c r="M350" i="8"/>
  <c r="O349" i="8"/>
  <c r="F349" i="8" s="1"/>
  <c r="G325" i="8"/>
  <c r="H325" i="8"/>
  <c r="F327" i="8"/>
  <c r="G348" i="8"/>
  <c r="H348" i="8"/>
  <c r="H256" i="8"/>
  <c r="G256" i="8"/>
  <c r="G255" i="8"/>
  <c r="H255" i="8"/>
  <c r="F257" i="8"/>
  <c r="G278" i="8"/>
  <c r="H278" i="8"/>
  <c r="G219" i="8"/>
  <c r="H219" i="8"/>
  <c r="F221" i="8"/>
  <c r="G277" i="8"/>
  <c r="H277" i="8"/>
  <c r="F279" i="8"/>
  <c r="M265" i="8"/>
  <c r="O265" i="8" s="1"/>
  <c r="F265" i="8" s="1"/>
  <c r="O264" i="8"/>
  <c r="F264" i="8" s="1"/>
  <c r="I278" i="8"/>
  <c r="I287" i="8" s="1"/>
  <c r="I286" i="8"/>
  <c r="I264" i="8"/>
  <c r="I256" i="8"/>
  <c r="I265" i="8" s="1"/>
  <c r="G263" i="8"/>
  <c r="H263" i="8"/>
  <c r="G220" i="8"/>
  <c r="G221" i="8" s="1"/>
  <c r="H220" i="8"/>
  <c r="I200" i="8"/>
  <c r="I192" i="8"/>
  <c r="I201" i="8" s="1"/>
  <c r="G198" i="8"/>
  <c r="H198" i="8"/>
  <c r="H191" i="8"/>
  <c r="G191" i="8"/>
  <c r="M200" i="8"/>
  <c r="O199" i="8"/>
  <c r="F199" i="8" s="1"/>
  <c r="H192" i="8"/>
  <c r="G192" i="8"/>
  <c r="G193" i="8" s="1"/>
  <c r="I178" i="8"/>
  <c r="I170" i="8"/>
  <c r="I179" i="8" s="1"/>
  <c r="G177" i="8"/>
  <c r="H177" i="8"/>
  <c r="H169" i="8"/>
  <c r="G169" i="8"/>
  <c r="F171" i="8"/>
  <c r="G153" i="8"/>
  <c r="H153" i="8"/>
  <c r="H154" i="8"/>
  <c r="G154" i="8"/>
  <c r="O178" i="8"/>
  <c r="F178" i="8" s="1"/>
  <c r="M179" i="8"/>
  <c r="O179" i="8" s="1"/>
  <c r="F179" i="8" s="1"/>
  <c r="H170" i="8"/>
  <c r="G170" i="8"/>
  <c r="H135" i="8"/>
  <c r="H86" i="8"/>
  <c r="G86" i="8"/>
  <c r="O94" i="8"/>
  <c r="F94" i="8" s="1"/>
  <c r="H93" i="8"/>
  <c r="G93" i="8"/>
  <c r="H68" i="8"/>
  <c r="G68" i="8"/>
  <c r="O69" i="8"/>
  <c r="F69" i="8" s="1"/>
  <c r="M70" i="8"/>
  <c r="H60" i="8"/>
  <c r="G60" i="8"/>
  <c r="M62" i="8"/>
  <c r="O61" i="8"/>
  <c r="F61" i="8" s="1"/>
  <c r="F48" i="8"/>
  <c r="G19" i="8"/>
  <c r="H19" i="8"/>
  <c r="O20" i="8"/>
  <c r="F20" i="8" s="1"/>
  <c r="M21" i="8"/>
  <c r="O21" i="8" s="1"/>
  <c r="F21" i="8" s="1"/>
  <c r="H26" i="8"/>
  <c r="G26" i="8"/>
  <c r="H40" i="8"/>
  <c r="H41" i="8" s="1"/>
  <c r="G40" i="8"/>
  <c r="G41" i="8" s="1"/>
  <c r="F41" i="8"/>
  <c r="I19" i="4"/>
  <c r="I27" i="4"/>
  <c r="H46" i="8"/>
  <c r="G46" i="8"/>
  <c r="G47" i="8"/>
  <c r="H47" i="8"/>
  <c r="M28" i="8"/>
  <c r="O27" i="8"/>
  <c r="F27" i="8" s="1"/>
  <c r="F55" i="8"/>
  <c r="H55" i="8"/>
  <c r="O191" i="11" l="1"/>
  <c r="F191" i="11" s="1"/>
  <c r="M192" i="11"/>
  <c r="O192" i="11" s="1"/>
  <c r="F192" i="11" s="1"/>
  <c r="G190" i="11"/>
  <c r="H190" i="11"/>
  <c r="H73" i="9"/>
  <c r="H48" i="10"/>
  <c r="G22" i="11"/>
  <c r="H564" i="11"/>
  <c r="H135" i="11"/>
  <c r="H192" i="10"/>
  <c r="G192" i="10"/>
  <c r="G288" i="8"/>
  <c r="H193" i="8"/>
  <c r="H459" i="9"/>
  <c r="G343" i="11"/>
  <c r="H580" i="11"/>
  <c r="F193" i="11"/>
  <c r="F193" i="10"/>
  <c r="G191" i="10"/>
  <c r="G193" i="10" s="1"/>
  <c r="H191" i="10"/>
  <c r="G48" i="10"/>
  <c r="H287" i="8"/>
  <c r="G287" i="8"/>
  <c r="G279" i="10"/>
  <c r="G286" i="8"/>
  <c r="H286" i="8"/>
  <c r="F564" i="9"/>
  <c r="G491" i="9"/>
  <c r="G580" i="11"/>
  <c r="G517" i="11"/>
  <c r="G352" i="11"/>
  <c r="H301" i="11"/>
  <c r="H279" i="11"/>
  <c r="G279" i="11"/>
  <c r="H221" i="11"/>
  <c r="G135" i="11"/>
  <c r="H86" i="11"/>
  <c r="H62" i="11"/>
  <c r="G62" i="11"/>
  <c r="H434" i="11"/>
  <c r="G434" i="11"/>
  <c r="M389" i="11"/>
  <c r="O388" i="11"/>
  <c r="F388" i="11" s="1"/>
  <c r="G554" i="11"/>
  <c r="H554" i="11"/>
  <c r="H72" i="11"/>
  <c r="G72" i="11"/>
  <c r="M265" i="11"/>
  <c r="O265" i="11" s="1"/>
  <c r="F265" i="11" s="1"/>
  <c r="O264" i="11"/>
  <c r="F264" i="11" s="1"/>
  <c r="O540" i="11"/>
  <c r="F540" i="11" s="1"/>
  <c r="M541" i="11"/>
  <c r="O541" i="11" s="1"/>
  <c r="F541" i="11" s="1"/>
  <c r="G449" i="11"/>
  <c r="H449" i="11"/>
  <c r="H489" i="11"/>
  <c r="H491" i="11" s="1"/>
  <c r="G489" i="11"/>
  <c r="H406" i="11"/>
  <c r="H407" i="11" s="1"/>
  <c r="G406" i="11"/>
  <c r="G407" i="11" s="1"/>
  <c r="F407" i="11"/>
  <c r="H155" i="11"/>
  <c r="G241" i="11"/>
  <c r="H307" i="11"/>
  <c r="G307" i="11"/>
  <c r="G63" i="11"/>
  <c r="G64" i="11" s="1"/>
  <c r="H63" i="11"/>
  <c r="O435" i="11"/>
  <c r="F435" i="11" s="1"/>
  <c r="M436" i="11"/>
  <c r="O436" i="11" s="1"/>
  <c r="F436" i="11" s="1"/>
  <c r="H457" i="11"/>
  <c r="G457" i="11"/>
  <c r="F459" i="11"/>
  <c r="G553" i="11"/>
  <c r="H553" i="11"/>
  <c r="G263" i="11"/>
  <c r="H263" i="11"/>
  <c r="F266" i="11"/>
  <c r="H365" i="11"/>
  <c r="G539" i="11"/>
  <c r="H539" i="11"/>
  <c r="G490" i="11"/>
  <c r="G491" i="11" s="1"/>
  <c r="H490" i="11"/>
  <c r="G301" i="11"/>
  <c r="M410" i="11"/>
  <c r="O409" i="11"/>
  <c r="F409" i="11" s="1"/>
  <c r="G86" i="11"/>
  <c r="O178" i="11"/>
  <c r="F178" i="11" s="1"/>
  <c r="M179" i="11"/>
  <c r="O179" i="11" s="1"/>
  <c r="F179" i="11" s="1"/>
  <c r="H29" i="11"/>
  <c r="G29" i="11"/>
  <c r="G155" i="11"/>
  <c r="O308" i="11"/>
  <c r="F308" i="11" s="1"/>
  <c r="M309" i="11"/>
  <c r="O309" i="11" s="1"/>
  <c r="F309" i="11" s="1"/>
  <c r="H458" i="11"/>
  <c r="H459" i="11" s="1"/>
  <c r="G458" i="11"/>
  <c r="G459" i="11" s="1"/>
  <c r="H93" i="11"/>
  <c r="G93" i="11"/>
  <c r="H371" i="11"/>
  <c r="G371" i="11"/>
  <c r="H109" i="11"/>
  <c r="G109" i="11"/>
  <c r="H343" i="11"/>
  <c r="H498" i="11"/>
  <c r="G498" i="11"/>
  <c r="G177" i="11"/>
  <c r="H177" i="11"/>
  <c r="G30" i="11"/>
  <c r="G31" i="11" s="1"/>
  <c r="H30" i="11"/>
  <c r="F31" i="11"/>
  <c r="H385" i="11"/>
  <c r="G385" i="11"/>
  <c r="G386" i="11" s="1"/>
  <c r="F386" i="11"/>
  <c r="F64" i="11"/>
  <c r="G94" i="11"/>
  <c r="H94" i="11"/>
  <c r="O372" i="11"/>
  <c r="F372" i="11" s="1"/>
  <c r="M373" i="11"/>
  <c r="O373" i="11" s="1"/>
  <c r="F373" i="11" s="1"/>
  <c r="H71" i="11"/>
  <c r="G71" i="11"/>
  <c r="M111" i="11"/>
  <c r="O110" i="11"/>
  <c r="F110" i="11" s="1"/>
  <c r="F73" i="11"/>
  <c r="H448" i="11"/>
  <c r="G448" i="11"/>
  <c r="G450" i="11" s="1"/>
  <c r="H499" i="11"/>
  <c r="G499" i="11"/>
  <c r="H386" i="11"/>
  <c r="G564" i="11"/>
  <c r="H241" i="11"/>
  <c r="F500" i="11"/>
  <c r="H580" i="10"/>
  <c r="F555" i="10"/>
  <c r="G554" i="10"/>
  <c r="H554" i="10"/>
  <c r="H30" i="10"/>
  <c r="G30" i="10"/>
  <c r="H299" i="10"/>
  <c r="G299" i="10"/>
  <c r="H349" i="10"/>
  <c r="G349" i="10"/>
  <c r="O71" i="10"/>
  <c r="F71" i="10" s="1"/>
  <c r="M72" i="10"/>
  <c r="O72" i="10" s="1"/>
  <c r="F72" i="10" s="1"/>
  <c r="H563" i="10"/>
  <c r="G563" i="10"/>
  <c r="H435" i="10"/>
  <c r="G435" i="10"/>
  <c r="G459" i="10"/>
  <c r="M392" i="10"/>
  <c r="O391" i="10"/>
  <c r="F391" i="10" s="1"/>
  <c r="H264" i="10"/>
  <c r="G264" i="10"/>
  <c r="G29" i="10"/>
  <c r="H29" i="10"/>
  <c r="H300" i="10"/>
  <c r="G300" i="10"/>
  <c r="G301" i="10" s="1"/>
  <c r="F31" i="10"/>
  <c r="O350" i="10"/>
  <c r="F350" i="10" s="1"/>
  <c r="F352" i="10" s="1"/>
  <c r="M351" i="10"/>
  <c r="O351" i="10" s="1"/>
  <c r="F351" i="10" s="1"/>
  <c r="F266" i="10"/>
  <c r="H106" i="10"/>
  <c r="H107" i="10" s="1"/>
  <c r="G106" i="10"/>
  <c r="G107" i="10" s="1"/>
  <c r="F107" i="10"/>
  <c r="H307" i="10"/>
  <c r="G307" i="10"/>
  <c r="G436" i="10"/>
  <c r="G437" i="10" s="1"/>
  <c r="H436" i="10"/>
  <c r="F437" i="10"/>
  <c r="H498" i="10"/>
  <c r="G498" i="10"/>
  <c r="H363" i="10"/>
  <c r="G363" i="10"/>
  <c r="H390" i="10"/>
  <c r="G390" i="10"/>
  <c r="H285" i="10"/>
  <c r="G285" i="10"/>
  <c r="F301" i="10"/>
  <c r="H265" i="10"/>
  <c r="H266" i="10" s="1"/>
  <c r="G265" i="10"/>
  <c r="H199" i="10"/>
  <c r="G199" i="10"/>
  <c r="H409" i="10"/>
  <c r="G409" i="10"/>
  <c r="H85" i="10"/>
  <c r="G85" i="10"/>
  <c r="H20" i="10"/>
  <c r="G20" i="10"/>
  <c r="M179" i="10"/>
  <c r="O179" i="10" s="1"/>
  <c r="F179" i="10" s="1"/>
  <c r="O178" i="10"/>
  <c r="F178" i="10" s="1"/>
  <c r="O109" i="10"/>
  <c r="F109" i="10" s="1"/>
  <c r="M110" i="10"/>
  <c r="O308" i="10"/>
  <c r="F308" i="10" s="1"/>
  <c r="M309" i="10"/>
  <c r="O309" i="10" s="1"/>
  <c r="F309" i="10" s="1"/>
  <c r="F22" i="10"/>
  <c r="H539" i="10"/>
  <c r="G539" i="10"/>
  <c r="G499" i="10"/>
  <c r="H499" i="10"/>
  <c r="H364" i="10"/>
  <c r="G364" i="10"/>
  <c r="G365" i="10" s="1"/>
  <c r="H373" i="10"/>
  <c r="G373" i="10"/>
  <c r="O286" i="10"/>
  <c r="F286" i="10" s="1"/>
  <c r="M287" i="10"/>
  <c r="O287" i="10" s="1"/>
  <c r="F287" i="10" s="1"/>
  <c r="H365" i="10"/>
  <c r="H553" i="10"/>
  <c r="G553" i="10"/>
  <c r="M201" i="10"/>
  <c r="O201" i="10" s="1"/>
  <c r="F201" i="10" s="1"/>
  <c r="O200" i="10"/>
  <c r="F200" i="10" s="1"/>
  <c r="O410" i="10"/>
  <c r="F410" i="10" s="1"/>
  <c r="M411" i="10"/>
  <c r="G84" i="10"/>
  <c r="H84" i="10"/>
  <c r="F86" i="10"/>
  <c r="H21" i="10"/>
  <c r="G21" i="10"/>
  <c r="G22" i="10" s="1"/>
  <c r="G177" i="10"/>
  <c r="H177" i="10"/>
  <c r="H70" i="10"/>
  <c r="G70" i="10"/>
  <c r="H562" i="10"/>
  <c r="G562" i="10"/>
  <c r="F564" i="10"/>
  <c r="O540" i="10"/>
  <c r="F540" i="10" s="1"/>
  <c r="M541" i="10"/>
  <c r="O541" i="10" s="1"/>
  <c r="F541" i="10" s="1"/>
  <c r="G372" i="10"/>
  <c r="H372" i="10"/>
  <c r="H517" i="9"/>
  <c r="G459" i="9"/>
  <c r="H343" i="9"/>
  <c r="G327" i="9"/>
  <c r="G180" i="9"/>
  <c r="G155" i="9"/>
  <c r="H155" i="9"/>
  <c r="G95" i="9"/>
  <c r="G64" i="9"/>
  <c r="H277" i="9"/>
  <c r="G277" i="9"/>
  <c r="H498" i="9"/>
  <c r="G498" i="9"/>
  <c r="H286" i="9"/>
  <c r="G286" i="9"/>
  <c r="F288" i="9"/>
  <c r="G554" i="9"/>
  <c r="H554" i="9"/>
  <c r="G300" i="9"/>
  <c r="H300" i="9"/>
  <c r="G364" i="9"/>
  <c r="H364" i="9"/>
  <c r="H450" i="9"/>
  <c r="O540" i="9"/>
  <c r="F540" i="9" s="1"/>
  <c r="M541" i="9"/>
  <c r="O541" i="9" s="1"/>
  <c r="F541" i="9" s="1"/>
  <c r="H349" i="9"/>
  <c r="G349" i="9"/>
  <c r="O200" i="9"/>
  <c r="F200" i="9" s="1"/>
  <c r="M201" i="9"/>
  <c r="O201" i="9" s="1"/>
  <c r="F201" i="9" s="1"/>
  <c r="H309" i="9"/>
  <c r="G309" i="9"/>
  <c r="H491" i="9"/>
  <c r="H110" i="9"/>
  <c r="G110" i="9"/>
  <c r="H388" i="9"/>
  <c r="G388" i="9"/>
  <c r="H406" i="9"/>
  <c r="H407" i="9" s="1"/>
  <c r="G406" i="9"/>
  <c r="G407" i="9" s="1"/>
  <c r="G539" i="9"/>
  <c r="H539" i="9"/>
  <c r="O350" i="9"/>
  <c r="F350" i="9" s="1"/>
  <c r="M351" i="9"/>
  <c r="O351" i="9" s="1"/>
  <c r="F351" i="9" s="1"/>
  <c r="H95" i="9"/>
  <c r="H263" i="9"/>
  <c r="G263" i="9"/>
  <c r="H27" i="9"/>
  <c r="G27" i="9"/>
  <c r="O111" i="9"/>
  <c r="F111" i="9" s="1"/>
  <c r="M112" i="9"/>
  <c r="H287" i="9"/>
  <c r="G287" i="9"/>
  <c r="F407" i="9"/>
  <c r="G278" i="9"/>
  <c r="G279" i="9" s="1"/>
  <c r="H278" i="9"/>
  <c r="O389" i="9"/>
  <c r="F389" i="9" s="1"/>
  <c r="M390" i="9"/>
  <c r="M410" i="9"/>
  <c r="O409" i="9"/>
  <c r="F409" i="9" s="1"/>
  <c r="G499" i="9"/>
  <c r="H499" i="9"/>
  <c r="H500" i="9" s="1"/>
  <c r="F500" i="9"/>
  <c r="O20" i="9"/>
  <c r="F20" i="9" s="1"/>
  <c r="M21" i="9"/>
  <c r="O21" i="9" s="1"/>
  <c r="F21" i="9" s="1"/>
  <c r="H562" i="9"/>
  <c r="G562" i="9"/>
  <c r="H436" i="9"/>
  <c r="G436" i="9"/>
  <c r="G73" i="9"/>
  <c r="O264" i="9"/>
  <c r="F264" i="9" s="1"/>
  <c r="M265" i="9"/>
  <c r="O265" i="9" s="1"/>
  <c r="F265" i="9" s="1"/>
  <c r="F279" i="9"/>
  <c r="M29" i="9"/>
  <c r="O28" i="9"/>
  <c r="F28" i="9" s="1"/>
  <c r="H19" i="9"/>
  <c r="G19" i="9"/>
  <c r="H553" i="9"/>
  <c r="G553" i="9"/>
  <c r="G555" i="9" s="1"/>
  <c r="H299" i="9"/>
  <c r="G299" i="9"/>
  <c r="H363" i="9"/>
  <c r="G363" i="9"/>
  <c r="G450" i="9"/>
  <c r="H563" i="9"/>
  <c r="G563" i="9"/>
  <c r="G564" i="9" s="1"/>
  <c r="G435" i="9"/>
  <c r="H435" i="9"/>
  <c r="F437" i="9"/>
  <c r="H199" i="9"/>
  <c r="G199" i="9"/>
  <c r="H308" i="9"/>
  <c r="G308" i="9"/>
  <c r="H64" i="9"/>
  <c r="F352" i="9"/>
  <c r="H300" i="8"/>
  <c r="G300" i="8"/>
  <c r="G241" i="8"/>
  <c r="G564" i="8"/>
  <c r="H299" i="8"/>
  <c r="F301" i="8"/>
  <c r="G299" i="8"/>
  <c r="G301" i="8" s="1"/>
  <c r="H555" i="8"/>
  <c r="G327" i="8"/>
  <c r="H564" i="8"/>
  <c r="G555" i="8"/>
  <c r="H542" i="8"/>
  <c r="H388" i="8"/>
  <c r="G388" i="8"/>
  <c r="G155" i="8"/>
  <c r="H327" i="8"/>
  <c r="M390" i="8"/>
  <c r="O389" i="8"/>
  <c r="F389" i="8" s="1"/>
  <c r="G448" i="8"/>
  <c r="G450" i="8" s="1"/>
  <c r="H448" i="8"/>
  <c r="H171" i="8"/>
  <c r="H155" i="8"/>
  <c r="H221" i="8"/>
  <c r="F266" i="8"/>
  <c r="G279" i="8"/>
  <c r="G257" i="8"/>
  <c r="G542" i="8"/>
  <c r="F450" i="8"/>
  <c r="H241" i="8"/>
  <c r="G449" i="8"/>
  <c r="H449" i="8"/>
  <c r="M490" i="8"/>
  <c r="O490" i="8" s="1"/>
  <c r="F490" i="8" s="1"/>
  <c r="O489" i="8"/>
  <c r="F489" i="8" s="1"/>
  <c r="H499" i="8"/>
  <c r="G499" i="8"/>
  <c r="H488" i="8"/>
  <c r="G488" i="8"/>
  <c r="G498" i="8"/>
  <c r="H498" i="8"/>
  <c r="F500" i="8"/>
  <c r="G457" i="8"/>
  <c r="H457" i="8"/>
  <c r="H458" i="8"/>
  <c r="H459" i="8" s="1"/>
  <c r="G458" i="8"/>
  <c r="F459" i="8"/>
  <c r="H435" i="8"/>
  <c r="G435" i="8"/>
  <c r="F437" i="8"/>
  <c r="H436" i="8"/>
  <c r="G436" i="8"/>
  <c r="O410" i="8"/>
  <c r="F410" i="8" s="1"/>
  <c r="M411" i="8"/>
  <c r="G409" i="8"/>
  <c r="H409" i="8"/>
  <c r="H349" i="8"/>
  <c r="G349" i="8"/>
  <c r="O350" i="8"/>
  <c r="F350" i="8" s="1"/>
  <c r="M351" i="8"/>
  <c r="O351" i="8" s="1"/>
  <c r="F351" i="8" s="1"/>
  <c r="H279" i="8"/>
  <c r="H257" i="8"/>
  <c r="G265" i="8"/>
  <c r="H265" i="8"/>
  <c r="H264" i="8"/>
  <c r="G264" i="8"/>
  <c r="G199" i="8"/>
  <c r="H199" i="8"/>
  <c r="O200" i="8"/>
  <c r="F200" i="8" s="1"/>
  <c r="M201" i="8"/>
  <c r="O201" i="8" s="1"/>
  <c r="F201" i="8" s="1"/>
  <c r="G171" i="8"/>
  <c r="H179" i="8"/>
  <c r="G179" i="8"/>
  <c r="G178" i="8"/>
  <c r="H178" i="8"/>
  <c r="F180" i="8"/>
  <c r="G94" i="8"/>
  <c r="G95" i="8" s="1"/>
  <c r="H94" i="8"/>
  <c r="H95" i="8" s="1"/>
  <c r="F95" i="8"/>
  <c r="M63" i="8"/>
  <c r="O63" i="8" s="1"/>
  <c r="F63" i="8" s="1"/>
  <c r="O62" i="8"/>
  <c r="F62" i="8" s="1"/>
  <c r="M71" i="8"/>
  <c r="O70" i="8"/>
  <c r="F70" i="8" s="1"/>
  <c r="G69" i="8"/>
  <c r="H69" i="8"/>
  <c r="H61" i="8"/>
  <c r="G61" i="8"/>
  <c r="H48" i="8"/>
  <c r="H20" i="8"/>
  <c r="G20" i="8"/>
  <c r="G55" i="8"/>
  <c r="H27" i="8"/>
  <c r="G27" i="8"/>
  <c r="F22" i="8"/>
  <c r="G21" i="8"/>
  <c r="H21" i="8"/>
  <c r="I28" i="4"/>
  <c r="I20" i="4"/>
  <c r="I29" i="4" s="1"/>
  <c r="M29" i="8"/>
  <c r="O28" i="8"/>
  <c r="F28" i="8" s="1"/>
  <c r="G48" i="8"/>
  <c r="F594" i="10" l="1"/>
  <c r="F202" i="10"/>
  <c r="H180" i="8"/>
  <c r="H437" i="8"/>
  <c r="H22" i="10"/>
  <c r="H437" i="10"/>
  <c r="H73" i="11"/>
  <c r="H301" i="8"/>
  <c r="G288" i="9"/>
  <c r="H500" i="10"/>
  <c r="H288" i="8"/>
  <c r="H193" i="10"/>
  <c r="H288" i="9"/>
  <c r="G500" i="10"/>
  <c r="H31" i="11"/>
  <c r="G192" i="11"/>
  <c r="H192" i="11"/>
  <c r="H450" i="11"/>
  <c r="H95" i="11"/>
  <c r="H64" i="11"/>
  <c r="G191" i="11"/>
  <c r="G193" i="11" s="1"/>
  <c r="H191" i="11"/>
  <c r="H193" i="11" s="1"/>
  <c r="G266" i="10"/>
  <c r="H301" i="10"/>
  <c r="G95" i="11"/>
  <c r="O16" i="12"/>
  <c r="F16" i="12" s="1"/>
  <c r="F26" i="12" s="1"/>
  <c r="F35" i="12" s="1"/>
  <c r="F594" i="11"/>
  <c r="G73" i="11"/>
  <c r="H500" i="11"/>
  <c r="H110" i="11"/>
  <c r="G110" i="11"/>
  <c r="H373" i="11"/>
  <c r="G373" i="11"/>
  <c r="F374" i="11"/>
  <c r="H309" i="11"/>
  <c r="G309" i="11"/>
  <c r="G435" i="11"/>
  <c r="H435" i="11"/>
  <c r="G541" i="11"/>
  <c r="H541" i="11"/>
  <c r="F437" i="11"/>
  <c r="M112" i="11"/>
  <c r="O111" i="11"/>
  <c r="F111" i="11" s="1"/>
  <c r="G372" i="11"/>
  <c r="H372" i="11"/>
  <c r="G308" i="11"/>
  <c r="H308" i="11"/>
  <c r="H409" i="11"/>
  <c r="G409" i="11"/>
  <c r="G540" i="11"/>
  <c r="H540" i="11"/>
  <c r="F542" i="11"/>
  <c r="H388" i="11"/>
  <c r="G388" i="11"/>
  <c r="G179" i="11"/>
  <c r="H179" i="11"/>
  <c r="M411" i="11"/>
  <c r="O410" i="11"/>
  <c r="F410" i="11" s="1"/>
  <c r="H264" i="11"/>
  <c r="G264" i="11"/>
  <c r="H555" i="11"/>
  <c r="M390" i="11"/>
  <c r="O389" i="11"/>
  <c r="F389" i="11" s="1"/>
  <c r="G500" i="11"/>
  <c r="G178" i="11"/>
  <c r="H178" i="11"/>
  <c r="F180" i="11"/>
  <c r="H436" i="11"/>
  <c r="G436" i="11"/>
  <c r="G437" i="11" s="1"/>
  <c r="F310" i="11"/>
  <c r="G265" i="11"/>
  <c r="H265" i="11"/>
  <c r="G555" i="11"/>
  <c r="G410" i="10"/>
  <c r="H410" i="10"/>
  <c r="G374" i="10"/>
  <c r="G109" i="10"/>
  <c r="H109" i="10"/>
  <c r="O392" i="10"/>
  <c r="F392" i="10" s="1"/>
  <c r="M393" i="10"/>
  <c r="G564" i="10"/>
  <c r="H555" i="10"/>
  <c r="H541" i="10"/>
  <c r="G541" i="10"/>
  <c r="H200" i="10"/>
  <c r="G200" i="10"/>
  <c r="H374" i="10"/>
  <c r="H309" i="10"/>
  <c r="G309" i="10"/>
  <c r="G178" i="10"/>
  <c r="H178" i="10"/>
  <c r="G86" i="10"/>
  <c r="H564" i="10"/>
  <c r="G555" i="10"/>
  <c r="G594" i="10" s="1"/>
  <c r="G540" i="10"/>
  <c r="H540" i="10"/>
  <c r="F542" i="10"/>
  <c r="H201" i="10"/>
  <c r="G201" i="10"/>
  <c r="H287" i="10"/>
  <c r="G287" i="10"/>
  <c r="F288" i="10"/>
  <c r="G308" i="10"/>
  <c r="H308" i="10"/>
  <c r="F310" i="10"/>
  <c r="G179" i="10"/>
  <c r="G180" i="10" s="1"/>
  <c r="H179" i="10"/>
  <c r="H180" i="10" s="1"/>
  <c r="F180" i="10"/>
  <c r="H86" i="10"/>
  <c r="G202" i="10"/>
  <c r="H351" i="10"/>
  <c r="G351" i="10"/>
  <c r="G352" i="10" s="1"/>
  <c r="H72" i="10"/>
  <c r="G72" i="10"/>
  <c r="G31" i="10"/>
  <c r="F73" i="10"/>
  <c r="M412" i="10"/>
  <c r="O411" i="10"/>
  <c r="F411" i="10" s="1"/>
  <c r="H286" i="10"/>
  <c r="G286" i="10"/>
  <c r="M111" i="10"/>
  <c r="O110" i="10"/>
  <c r="F110" i="10" s="1"/>
  <c r="H202" i="10"/>
  <c r="G350" i="10"/>
  <c r="H350" i="10"/>
  <c r="H391" i="10"/>
  <c r="G391" i="10"/>
  <c r="H71" i="10"/>
  <c r="G71" i="10"/>
  <c r="H31" i="10"/>
  <c r="H564" i="9"/>
  <c r="G500" i="9"/>
  <c r="G437" i="9"/>
  <c r="H365" i="9"/>
  <c r="H301" i="9"/>
  <c r="M30" i="9"/>
  <c r="O30" i="9" s="1"/>
  <c r="F30" i="9" s="1"/>
  <c r="O29" i="9"/>
  <c r="F29" i="9" s="1"/>
  <c r="H555" i="9"/>
  <c r="H21" i="9"/>
  <c r="H22" i="9" s="1"/>
  <c r="G21" i="9"/>
  <c r="H201" i="9"/>
  <c r="G201" i="9"/>
  <c r="G202" i="9" s="1"/>
  <c r="F202" i="9"/>
  <c r="G541" i="9"/>
  <c r="H541" i="9"/>
  <c r="G365" i="9"/>
  <c r="O112" i="9"/>
  <c r="F112" i="9" s="1"/>
  <c r="M113" i="9"/>
  <c r="H265" i="9"/>
  <c r="G265" i="9"/>
  <c r="G266" i="9" s="1"/>
  <c r="H437" i="9"/>
  <c r="G20" i="9"/>
  <c r="H20" i="9"/>
  <c r="H409" i="9"/>
  <c r="G409" i="9"/>
  <c r="G389" i="9"/>
  <c r="H389" i="9"/>
  <c r="G111" i="9"/>
  <c r="H111" i="9"/>
  <c r="H351" i="9"/>
  <c r="H352" i="9" s="1"/>
  <c r="G351" i="9"/>
  <c r="G310" i="9"/>
  <c r="H200" i="9"/>
  <c r="G200" i="9"/>
  <c r="G540" i="9"/>
  <c r="H540" i="9"/>
  <c r="F542" i="9"/>
  <c r="M391" i="9"/>
  <c r="O390" i="9"/>
  <c r="F390" i="9" s="1"/>
  <c r="F266" i="9"/>
  <c r="H28" i="9"/>
  <c r="G28" i="9"/>
  <c r="G264" i="9"/>
  <c r="H264" i="9"/>
  <c r="M411" i="9"/>
  <c r="O410" i="9"/>
  <c r="F410" i="9" s="1"/>
  <c r="H279" i="9"/>
  <c r="G350" i="9"/>
  <c r="H350" i="9"/>
  <c r="H310" i="9"/>
  <c r="G301" i="9"/>
  <c r="F22" i="9"/>
  <c r="F594" i="9" s="1"/>
  <c r="G437" i="8"/>
  <c r="F491" i="8"/>
  <c r="F352" i="8"/>
  <c r="G500" i="8"/>
  <c r="H450" i="8"/>
  <c r="H500" i="8"/>
  <c r="H389" i="8"/>
  <c r="G389" i="8"/>
  <c r="M391" i="8"/>
  <c r="O390" i="8"/>
  <c r="F390" i="8" s="1"/>
  <c r="H489" i="8"/>
  <c r="G489" i="8"/>
  <c r="H490" i="8"/>
  <c r="G490" i="8"/>
  <c r="G459" i="8"/>
  <c r="O411" i="8"/>
  <c r="F411" i="8" s="1"/>
  <c r="M412" i="8"/>
  <c r="H410" i="8"/>
  <c r="G410" i="8"/>
  <c r="H351" i="8"/>
  <c r="G351" i="8"/>
  <c r="G350" i="8"/>
  <c r="H350" i="8"/>
  <c r="H266" i="8"/>
  <c r="G266" i="8"/>
  <c r="G200" i="8"/>
  <c r="H200" i="8"/>
  <c r="F202" i="8"/>
  <c r="H201" i="8"/>
  <c r="H202" i="8" s="1"/>
  <c r="G201" i="8"/>
  <c r="G180" i="8"/>
  <c r="F64" i="8"/>
  <c r="H62" i="8"/>
  <c r="G62" i="8"/>
  <c r="H63" i="8"/>
  <c r="G63" i="8"/>
  <c r="O71" i="8"/>
  <c r="F71" i="8" s="1"/>
  <c r="M72" i="8"/>
  <c r="O72" i="8" s="1"/>
  <c r="F72" i="8" s="1"/>
  <c r="H70" i="8"/>
  <c r="G70" i="8"/>
  <c r="G22" i="8"/>
  <c r="O29" i="8"/>
  <c r="F29" i="8" s="1"/>
  <c r="M30" i="8"/>
  <c r="O30" i="8" s="1"/>
  <c r="F30" i="8" s="1"/>
  <c r="H22" i="8"/>
  <c r="H28" i="8"/>
  <c r="G28" i="8"/>
  <c r="G310" i="11" l="1"/>
  <c r="H594" i="11"/>
  <c r="G202" i="8"/>
  <c r="G594" i="11"/>
  <c r="G374" i="11"/>
  <c r="G266" i="11"/>
  <c r="H16" i="12"/>
  <c r="H26" i="12" s="1"/>
  <c r="H35" i="12" s="1"/>
  <c r="G16" i="12"/>
  <c r="G26" i="12" s="1"/>
  <c r="G35" i="12" s="1"/>
  <c r="H542" i="11"/>
  <c r="G542" i="11"/>
  <c r="H437" i="11"/>
  <c r="H266" i="11"/>
  <c r="G180" i="11"/>
  <c r="H389" i="11"/>
  <c r="G389" i="11"/>
  <c r="H111" i="11"/>
  <c r="G111" i="11"/>
  <c r="M391" i="11"/>
  <c r="O390" i="11"/>
  <c r="F390" i="11" s="1"/>
  <c r="M412" i="11"/>
  <c r="O411" i="11"/>
  <c r="F411" i="11" s="1"/>
  <c r="H374" i="11"/>
  <c r="H410" i="11"/>
  <c r="G410" i="11"/>
  <c r="M113" i="11"/>
  <c r="O112" i="11"/>
  <c r="F112" i="11" s="1"/>
  <c r="H180" i="11"/>
  <c r="H310" i="11"/>
  <c r="O111" i="10"/>
  <c r="F111" i="10" s="1"/>
  <c r="M112" i="10"/>
  <c r="O412" i="10"/>
  <c r="F412" i="10" s="1"/>
  <c r="M413" i="10"/>
  <c r="H73" i="10"/>
  <c r="G288" i="10"/>
  <c r="H542" i="10"/>
  <c r="G392" i="10"/>
  <c r="H392" i="10"/>
  <c r="H288" i="10"/>
  <c r="H594" i="10"/>
  <c r="H352" i="10"/>
  <c r="G310" i="10"/>
  <c r="H110" i="10"/>
  <c r="G110" i="10"/>
  <c r="H411" i="10"/>
  <c r="G411" i="10"/>
  <c r="G73" i="10"/>
  <c r="H310" i="10"/>
  <c r="G542" i="10"/>
  <c r="M396" i="10"/>
  <c r="O393" i="10"/>
  <c r="F393" i="10" s="1"/>
  <c r="F394" i="10" s="1"/>
  <c r="H410" i="9"/>
  <c r="G410" i="9"/>
  <c r="M412" i="9"/>
  <c r="O411" i="9"/>
  <c r="F411" i="9" s="1"/>
  <c r="O391" i="9"/>
  <c r="F391" i="9" s="1"/>
  <c r="M392" i="9"/>
  <c r="G352" i="9"/>
  <c r="H112" i="9"/>
  <c r="G112" i="9"/>
  <c r="G22" i="9"/>
  <c r="G594" i="9" s="1"/>
  <c r="H29" i="9"/>
  <c r="G29" i="9"/>
  <c r="H30" i="9"/>
  <c r="G30" i="9"/>
  <c r="H266" i="9"/>
  <c r="H542" i="9"/>
  <c r="H202" i="9"/>
  <c r="F31" i="9"/>
  <c r="H390" i="9"/>
  <c r="G390" i="9"/>
  <c r="M114" i="9"/>
  <c r="O113" i="9"/>
  <c r="F113" i="9" s="1"/>
  <c r="G542" i="9"/>
  <c r="H594" i="9"/>
  <c r="G491" i="8"/>
  <c r="G390" i="8"/>
  <c r="H390" i="8"/>
  <c r="M392" i="8"/>
  <c r="O391" i="8"/>
  <c r="F391" i="8" s="1"/>
  <c r="H491" i="8"/>
  <c r="G411" i="8"/>
  <c r="H411" i="8"/>
  <c r="M413" i="8"/>
  <c r="O412" i="8"/>
  <c r="F412" i="8" s="1"/>
  <c r="H352" i="8"/>
  <c r="G352" i="8"/>
  <c r="G64" i="8"/>
  <c r="M106" i="8"/>
  <c r="M109" i="8" s="1"/>
  <c r="H64" i="8"/>
  <c r="H72" i="8"/>
  <c r="G72" i="8"/>
  <c r="G71" i="8"/>
  <c r="H71" i="8"/>
  <c r="F73" i="8"/>
  <c r="H30" i="8"/>
  <c r="G30" i="8"/>
  <c r="G29" i="8"/>
  <c r="H29" i="8"/>
  <c r="F31" i="8"/>
  <c r="H112" i="11" l="1"/>
  <c r="G112" i="11"/>
  <c r="H390" i="11"/>
  <c r="G390" i="11"/>
  <c r="M413" i="11"/>
  <c r="O412" i="11"/>
  <c r="F412" i="11" s="1"/>
  <c r="M392" i="11"/>
  <c r="O391" i="11"/>
  <c r="F391" i="11" s="1"/>
  <c r="M114" i="11"/>
  <c r="O113" i="11"/>
  <c r="F113" i="11" s="1"/>
  <c r="H411" i="11"/>
  <c r="G411" i="11"/>
  <c r="O396" i="10"/>
  <c r="F396" i="10" s="1"/>
  <c r="M397" i="10"/>
  <c r="O397" i="10" s="1"/>
  <c r="F397" i="10" s="1"/>
  <c r="G412" i="10"/>
  <c r="H412" i="10"/>
  <c r="M113" i="10"/>
  <c r="O112" i="10"/>
  <c r="F112" i="10" s="1"/>
  <c r="G111" i="10"/>
  <c r="H111" i="10"/>
  <c r="H393" i="10"/>
  <c r="H394" i="10" s="1"/>
  <c r="G393" i="10"/>
  <c r="G394" i="10" s="1"/>
  <c r="M414" i="10"/>
  <c r="O413" i="10"/>
  <c r="F413" i="10" s="1"/>
  <c r="M393" i="9"/>
  <c r="O392" i="9"/>
  <c r="F392" i="9" s="1"/>
  <c r="H113" i="9"/>
  <c r="G113" i="9"/>
  <c r="H31" i="9"/>
  <c r="M413" i="9"/>
  <c r="O412" i="9"/>
  <c r="F412" i="9" s="1"/>
  <c r="G391" i="9"/>
  <c r="H391" i="9"/>
  <c r="M117" i="9"/>
  <c r="O114" i="9"/>
  <c r="F114" i="9" s="1"/>
  <c r="G31" i="9"/>
  <c r="H411" i="9"/>
  <c r="G411" i="9"/>
  <c r="H391" i="8"/>
  <c r="G391" i="8"/>
  <c r="M393" i="8"/>
  <c r="O392" i="8"/>
  <c r="F392" i="8" s="1"/>
  <c r="H412" i="8"/>
  <c r="G412" i="8"/>
  <c r="O413" i="8"/>
  <c r="F413" i="8" s="1"/>
  <c r="M414" i="8"/>
  <c r="O106" i="8"/>
  <c r="F106" i="8" s="1"/>
  <c r="H73" i="8"/>
  <c r="G73" i="8"/>
  <c r="H31" i="8"/>
  <c r="G31" i="8"/>
  <c r="M414" i="11" l="1"/>
  <c r="O413" i="11"/>
  <c r="F413" i="11" s="1"/>
  <c r="H391" i="11"/>
  <c r="G391" i="11"/>
  <c r="H113" i="11"/>
  <c r="G113" i="11"/>
  <c r="M393" i="11"/>
  <c r="O392" i="11"/>
  <c r="F392" i="11" s="1"/>
  <c r="M117" i="11"/>
  <c r="O114" i="11"/>
  <c r="F114" i="11" s="1"/>
  <c r="H412" i="11"/>
  <c r="G412" i="11"/>
  <c r="M417" i="10"/>
  <c r="O414" i="10"/>
  <c r="F414" i="10" s="1"/>
  <c r="O113" i="10"/>
  <c r="F113" i="10" s="1"/>
  <c r="M114" i="10"/>
  <c r="H397" i="10"/>
  <c r="G397" i="10"/>
  <c r="G396" i="10"/>
  <c r="F399" i="10"/>
  <c r="H396" i="10"/>
  <c r="H399" i="10" s="1"/>
  <c r="H413" i="10"/>
  <c r="G413" i="10"/>
  <c r="H112" i="10"/>
  <c r="G112" i="10"/>
  <c r="M414" i="9"/>
  <c r="O413" i="9"/>
  <c r="F413" i="9" s="1"/>
  <c r="H412" i="9"/>
  <c r="G412" i="9"/>
  <c r="H114" i="9"/>
  <c r="H115" i="9" s="1"/>
  <c r="G114" i="9"/>
  <c r="G115" i="9" s="1"/>
  <c r="H392" i="9"/>
  <c r="G392" i="9"/>
  <c r="O117" i="9"/>
  <c r="F117" i="9" s="1"/>
  <c r="M118" i="9"/>
  <c r="O118" i="9" s="1"/>
  <c r="F118" i="9" s="1"/>
  <c r="F115" i="9"/>
  <c r="M396" i="9"/>
  <c r="O393" i="9"/>
  <c r="F393" i="9" s="1"/>
  <c r="G392" i="8"/>
  <c r="H392" i="8"/>
  <c r="O393" i="8"/>
  <c r="F393" i="8" s="1"/>
  <c r="M396" i="8"/>
  <c r="G413" i="8"/>
  <c r="H413" i="8"/>
  <c r="M417" i="8"/>
  <c r="O414" i="8"/>
  <c r="F414" i="8" s="1"/>
  <c r="F415" i="8" s="1"/>
  <c r="H106" i="8"/>
  <c r="H107" i="8" s="1"/>
  <c r="H594" i="8" s="1"/>
  <c r="G106" i="8"/>
  <c r="G107" i="8" s="1"/>
  <c r="G594" i="8" s="1"/>
  <c r="F107" i="8"/>
  <c r="F594" i="8" s="1"/>
  <c r="H114" i="11" l="1"/>
  <c r="H115" i="11" s="1"/>
  <c r="G114" i="11"/>
  <c r="G115" i="11" s="1"/>
  <c r="F115" i="11"/>
  <c r="O117" i="11"/>
  <c r="F117" i="11" s="1"/>
  <c r="M118" i="11"/>
  <c r="O118" i="11" s="1"/>
  <c r="F118" i="11" s="1"/>
  <c r="H413" i="11"/>
  <c r="G413" i="11"/>
  <c r="H392" i="11"/>
  <c r="G392" i="11"/>
  <c r="O414" i="11"/>
  <c r="F414" i="11" s="1"/>
  <c r="M417" i="11"/>
  <c r="M396" i="11"/>
  <c r="O393" i="11"/>
  <c r="F393" i="11" s="1"/>
  <c r="G414" i="10"/>
  <c r="G415" i="10" s="1"/>
  <c r="H414" i="10"/>
  <c r="H415" i="10" s="1"/>
  <c r="G399" i="10"/>
  <c r="M117" i="10"/>
  <c r="O114" i="10"/>
  <c r="F114" i="10" s="1"/>
  <c r="M418" i="10"/>
  <c r="O418" i="10" s="1"/>
  <c r="F418" i="10" s="1"/>
  <c r="O417" i="10"/>
  <c r="F417" i="10" s="1"/>
  <c r="G113" i="10"/>
  <c r="H113" i="10"/>
  <c r="F415" i="10"/>
  <c r="M397" i="9"/>
  <c r="O397" i="9" s="1"/>
  <c r="F397" i="9" s="1"/>
  <c r="O396" i="9"/>
  <c r="F396" i="9" s="1"/>
  <c r="H413" i="9"/>
  <c r="G413" i="9"/>
  <c r="H118" i="9"/>
  <c r="G118" i="9"/>
  <c r="O414" i="9"/>
  <c r="F414" i="9" s="1"/>
  <c r="F415" i="9" s="1"/>
  <c r="M417" i="9"/>
  <c r="G393" i="9"/>
  <c r="G394" i="9" s="1"/>
  <c r="H393" i="9"/>
  <c r="H394" i="9" s="1"/>
  <c r="G117" i="9"/>
  <c r="F120" i="9"/>
  <c r="H117" i="9"/>
  <c r="H120" i="9" s="1"/>
  <c r="F394" i="9"/>
  <c r="G393" i="8"/>
  <c r="G394" i="8" s="1"/>
  <c r="H393" i="8"/>
  <c r="H394" i="8" s="1"/>
  <c r="F394" i="8"/>
  <c r="O396" i="8"/>
  <c r="F396" i="8" s="1"/>
  <c r="M397" i="8"/>
  <c r="O397" i="8" s="1"/>
  <c r="F397" i="8" s="1"/>
  <c r="M418" i="8"/>
  <c r="O418" i="8" s="1"/>
  <c r="F418" i="8" s="1"/>
  <c r="O417" i="8"/>
  <c r="F417" i="8" s="1"/>
  <c r="H414" i="8"/>
  <c r="H415" i="8" s="1"/>
  <c r="G414" i="8"/>
  <c r="G415" i="8" s="1"/>
  <c r="O109" i="8"/>
  <c r="F109" i="8" s="1"/>
  <c r="M110" i="8"/>
  <c r="H393" i="11" l="1"/>
  <c r="H394" i="11" s="1"/>
  <c r="G393" i="11"/>
  <c r="G394" i="11" s="1"/>
  <c r="F394" i="11"/>
  <c r="M397" i="11"/>
  <c r="O397" i="11" s="1"/>
  <c r="F397" i="11" s="1"/>
  <c r="O396" i="11"/>
  <c r="F396" i="11" s="1"/>
  <c r="H118" i="11"/>
  <c r="G118" i="11"/>
  <c r="M418" i="11"/>
  <c r="O418" i="11" s="1"/>
  <c r="F418" i="11" s="1"/>
  <c r="O417" i="11"/>
  <c r="F417" i="11" s="1"/>
  <c r="G117" i="11"/>
  <c r="F120" i="11"/>
  <c r="H117" i="11"/>
  <c r="H414" i="11"/>
  <c r="H415" i="11" s="1"/>
  <c r="H595" i="11" s="1"/>
  <c r="G414" i="11"/>
  <c r="G415" i="11" s="1"/>
  <c r="F415" i="11"/>
  <c r="H418" i="10"/>
  <c r="G418" i="10"/>
  <c r="F420" i="10"/>
  <c r="G417" i="10"/>
  <c r="H417" i="10"/>
  <c r="H420" i="10" s="1"/>
  <c r="G115" i="10"/>
  <c r="G595" i="10" s="1"/>
  <c r="H114" i="10"/>
  <c r="H115" i="10" s="1"/>
  <c r="H595" i="10" s="1"/>
  <c r="G114" i="10"/>
  <c r="F115" i="10"/>
  <c r="F595" i="10" s="1"/>
  <c r="M118" i="10"/>
  <c r="O118" i="10" s="1"/>
  <c r="F118" i="10" s="1"/>
  <c r="O117" i="10"/>
  <c r="F117" i="10" s="1"/>
  <c r="F595" i="9"/>
  <c r="G120" i="9"/>
  <c r="H414" i="9"/>
  <c r="H415" i="9" s="1"/>
  <c r="H595" i="9" s="1"/>
  <c r="G414" i="9"/>
  <c r="G415" i="9" s="1"/>
  <c r="G595" i="9" s="1"/>
  <c r="F399" i="9"/>
  <c r="H396" i="9"/>
  <c r="G396" i="9"/>
  <c r="M418" i="9"/>
  <c r="O418" i="9" s="1"/>
  <c r="F418" i="9" s="1"/>
  <c r="O417" i="9"/>
  <c r="F417" i="9" s="1"/>
  <c r="H397" i="9"/>
  <c r="G397" i="9"/>
  <c r="H396" i="8"/>
  <c r="G396" i="8"/>
  <c r="F399" i="8"/>
  <c r="H397" i="8"/>
  <c r="G397" i="8"/>
  <c r="F420" i="8"/>
  <c r="H417" i="8"/>
  <c r="G417" i="8"/>
  <c r="H418" i="8"/>
  <c r="G418" i="8"/>
  <c r="H109" i="8"/>
  <c r="G109" i="8"/>
  <c r="M111" i="8"/>
  <c r="O110" i="8"/>
  <c r="F110" i="8" s="1"/>
  <c r="G399" i="8" l="1"/>
  <c r="F595" i="11"/>
  <c r="G595" i="11"/>
  <c r="G120" i="11"/>
  <c r="H120" i="11"/>
  <c r="G418" i="11"/>
  <c r="H418" i="11"/>
  <c r="H397" i="11"/>
  <c r="G397" i="11"/>
  <c r="F420" i="11"/>
  <c r="H417" i="11"/>
  <c r="G417" i="11"/>
  <c r="F399" i="11"/>
  <c r="H396" i="11"/>
  <c r="G396" i="11"/>
  <c r="G399" i="11" s="1"/>
  <c r="F120" i="10"/>
  <c r="F597" i="10" s="1"/>
  <c r="F599" i="10" s="1"/>
  <c r="H117" i="10"/>
  <c r="G117" i="10"/>
  <c r="G420" i="10"/>
  <c r="H118" i="10"/>
  <c r="G118" i="10"/>
  <c r="G399" i="9"/>
  <c r="H399" i="9"/>
  <c r="F420" i="9"/>
  <c r="F597" i="9" s="1"/>
  <c r="F599" i="9" s="1"/>
  <c r="H417" i="9"/>
  <c r="G417" i="9"/>
  <c r="G418" i="9"/>
  <c r="H418" i="9"/>
  <c r="H399" i="8"/>
  <c r="G420" i="8"/>
  <c r="H420" i="8"/>
  <c r="H110" i="8"/>
  <c r="G110" i="8"/>
  <c r="O111" i="8"/>
  <c r="F111" i="8" s="1"/>
  <c r="M112" i="8"/>
  <c r="H399" i="11" l="1"/>
  <c r="H420" i="11"/>
  <c r="G420" i="11"/>
  <c r="G597" i="11"/>
  <c r="G599" i="11" s="1"/>
  <c r="H597" i="11"/>
  <c r="H599" i="11" s="1"/>
  <c r="F597" i="11"/>
  <c r="F599" i="11" s="1"/>
  <c r="G120" i="10"/>
  <c r="G597" i="10" s="1"/>
  <c r="G599" i="10" s="1"/>
  <c r="H120" i="10"/>
  <c r="H597" i="10" s="1"/>
  <c r="H599" i="10" s="1"/>
  <c r="G420" i="9"/>
  <c r="H420" i="9"/>
  <c r="H597" i="9" s="1"/>
  <c r="H599" i="9" s="1"/>
  <c r="G597" i="9"/>
  <c r="G599" i="9" s="1"/>
  <c r="H111" i="8"/>
  <c r="G111" i="8"/>
  <c r="O112" i="8"/>
  <c r="F112" i="8" s="1"/>
  <c r="M113" i="8"/>
  <c r="G112" i="8" l="1"/>
  <c r="H112" i="8"/>
  <c r="O113" i="8"/>
  <c r="F113" i="8" s="1"/>
  <c r="M114" i="8"/>
  <c r="O114" i="8" l="1"/>
  <c r="F114" i="8" s="1"/>
  <c r="M117" i="8"/>
  <c r="H113" i="8"/>
  <c r="G113" i="8"/>
  <c r="O117" i="8" l="1"/>
  <c r="F117" i="8" s="1"/>
  <c r="M118" i="8"/>
  <c r="O118" i="8" s="1"/>
  <c r="F118" i="8" s="1"/>
  <c r="H114" i="8"/>
  <c r="H115" i="8" s="1"/>
  <c r="H595" i="8" s="1"/>
  <c r="G114" i="8"/>
  <c r="G115" i="8" s="1"/>
  <c r="G595" i="8" s="1"/>
  <c r="F115" i="8"/>
  <c r="F595" i="8" s="1"/>
  <c r="H118" i="8" l="1"/>
  <c r="G118" i="8"/>
  <c r="H117" i="8"/>
  <c r="G117" i="8"/>
  <c r="F120" i="8"/>
  <c r="F597" i="8" s="1"/>
  <c r="F599" i="8" s="1"/>
  <c r="G120" i="8" l="1"/>
  <c r="G597" i="8" s="1"/>
  <c r="G599" i="8" s="1"/>
  <c r="H120" i="8"/>
  <c r="H597" i="8" s="1"/>
  <c r="H599" i="8" s="1"/>
  <c r="L124" i="2" l="1"/>
  <c r="L122" i="2"/>
  <c r="L119" i="2"/>
  <c r="L121" i="2"/>
  <c r="L120" i="2"/>
  <c r="L123" i="2"/>
  <c r="N105" i="2"/>
  <c r="F105" i="2"/>
  <c r="P103" i="2"/>
  <c r="P105" i="2" s="1"/>
  <c r="O103" i="2"/>
  <c r="O105" i="2" s="1"/>
  <c r="H103" i="2"/>
  <c r="G103" i="2"/>
  <c r="G105" i="2" s="1"/>
  <c r="N115" i="2"/>
  <c r="F115" i="2"/>
  <c r="P113" i="2"/>
  <c r="P115" i="2" s="1"/>
  <c r="O113" i="2"/>
  <c r="O115" i="2" s="1"/>
  <c r="H113" i="2"/>
  <c r="H115" i="2" s="1"/>
  <c r="G113" i="2"/>
  <c r="G115" i="2" s="1"/>
  <c r="N112" i="2"/>
  <c r="F112" i="2"/>
  <c r="P111" i="2"/>
  <c r="R111" i="2" s="1"/>
  <c r="O111" i="2"/>
  <c r="Q111" i="2" s="1"/>
  <c r="H111" i="2"/>
  <c r="K111" i="2" s="1"/>
  <c r="G111" i="2"/>
  <c r="J111" i="2" s="1"/>
  <c r="P110" i="2"/>
  <c r="O110" i="2"/>
  <c r="H110" i="2"/>
  <c r="G110" i="2"/>
  <c r="N109" i="2"/>
  <c r="F109" i="2"/>
  <c r="P107" i="2"/>
  <c r="O107" i="2"/>
  <c r="H107" i="2"/>
  <c r="G107" i="2"/>
  <c r="P106" i="2"/>
  <c r="O106" i="2"/>
  <c r="H106" i="2"/>
  <c r="H109" i="2" s="1"/>
  <c r="G106" i="2"/>
  <c r="G109" i="2" s="1"/>
  <c r="N102" i="2"/>
  <c r="F102" i="2"/>
  <c r="P101" i="2"/>
  <c r="R101" i="2" s="1"/>
  <c r="O101" i="2"/>
  <c r="Q101" i="2" s="1"/>
  <c r="K101" i="2"/>
  <c r="J101" i="2"/>
  <c r="P100" i="2"/>
  <c r="O100" i="2"/>
  <c r="H100" i="2"/>
  <c r="G100" i="2"/>
  <c r="P99" i="2"/>
  <c r="O99" i="2"/>
  <c r="H99" i="2"/>
  <c r="G99" i="2"/>
  <c r="P98" i="2"/>
  <c r="O98" i="2"/>
  <c r="H98" i="2"/>
  <c r="G98" i="2"/>
  <c r="P97" i="2"/>
  <c r="O97" i="2"/>
  <c r="H97" i="2"/>
  <c r="G97" i="2"/>
  <c r="P96" i="2"/>
  <c r="O96" i="2"/>
  <c r="H96" i="2"/>
  <c r="G96" i="2"/>
  <c r="N95" i="2"/>
  <c r="F95" i="2"/>
  <c r="P94" i="2"/>
  <c r="R94" i="2" s="1"/>
  <c r="O94" i="2"/>
  <c r="Q94" i="2" s="1"/>
  <c r="K94" i="2"/>
  <c r="J94" i="2"/>
  <c r="P93" i="2"/>
  <c r="O93" i="2"/>
  <c r="H93" i="2"/>
  <c r="G93" i="2"/>
  <c r="P92" i="2"/>
  <c r="O92" i="2"/>
  <c r="H92" i="2"/>
  <c r="G92" i="2"/>
  <c r="P91" i="2"/>
  <c r="O91" i="2"/>
  <c r="H91" i="2"/>
  <c r="G91" i="2"/>
  <c r="P90" i="2"/>
  <c r="O90" i="2"/>
  <c r="H90" i="2"/>
  <c r="G90" i="2"/>
  <c r="P73" i="2"/>
  <c r="O73" i="2"/>
  <c r="H73" i="2"/>
  <c r="G73" i="2"/>
  <c r="P65" i="2"/>
  <c r="O65" i="2"/>
  <c r="H65" i="2"/>
  <c r="G65" i="2"/>
  <c r="P76" i="2"/>
  <c r="R76" i="2" s="1"/>
  <c r="O76" i="2"/>
  <c r="J76" i="2"/>
  <c r="K76" i="2"/>
  <c r="N87" i="2"/>
  <c r="F87" i="2"/>
  <c r="P85" i="2"/>
  <c r="P87" i="2" s="1"/>
  <c r="O85" i="2"/>
  <c r="O87" i="2" s="1"/>
  <c r="H85" i="2"/>
  <c r="H87" i="2" s="1"/>
  <c r="G85" i="2"/>
  <c r="G87" i="2" s="1"/>
  <c r="N84" i="2"/>
  <c r="F84" i="2"/>
  <c r="P83" i="2"/>
  <c r="O83" i="2"/>
  <c r="Q83" i="2" s="1"/>
  <c r="H83" i="2"/>
  <c r="G83" i="2"/>
  <c r="P82" i="2"/>
  <c r="O82" i="2"/>
  <c r="O84" i="2" s="1"/>
  <c r="H82" i="2"/>
  <c r="G82" i="2"/>
  <c r="N81" i="2"/>
  <c r="F81" i="2"/>
  <c r="P79" i="2"/>
  <c r="O79" i="2"/>
  <c r="H79" i="2"/>
  <c r="G79" i="2"/>
  <c r="P78" i="2"/>
  <c r="O78" i="2"/>
  <c r="H78" i="2"/>
  <c r="G78" i="2"/>
  <c r="N77" i="2"/>
  <c r="F77" i="2"/>
  <c r="P75" i="2"/>
  <c r="O75" i="2"/>
  <c r="H75" i="2"/>
  <c r="G75" i="2"/>
  <c r="P74" i="2"/>
  <c r="O74" i="2"/>
  <c r="H74" i="2"/>
  <c r="G74" i="2"/>
  <c r="P72" i="2"/>
  <c r="O72" i="2"/>
  <c r="H72" i="2"/>
  <c r="G72" i="2"/>
  <c r="P71" i="2"/>
  <c r="O71" i="2"/>
  <c r="H71" i="2"/>
  <c r="G71" i="2"/>
  <c r="P70" i="2"/>
  <c r="O70" i="2"/>
  <c r="H70" i="2"/>
  <c r="G70" i="2"/>
  <c r="N69" i="2"/>
  <c r="F69" i="2"/>
  <c r="P68" i="2"/>
  <c r="O68" i="2"/>
  <c r="P67" i="2"/>
  <c r="O67" i="2"/>
  <c r="H67" i="2"/>
  <c r="G67" i="2"/>
  <c r="P66" i="2"/>
  <c r="O66" i="2"/>
  <c r="H66" i="2"/>
  <c r="G66" i="2"/>
  <c r="P64" i="2"/>
  <c r="O64" i="2"/>
  <c r="H64" i="2"/>
  <c r="G64" i="2"/>
  <c r="P63" i="2"/>
  <c r="O63" i="2"/>
  <c r="H63" i="2"/>
  <c r="G63" i="2"/>
  <c r="P62" i="2"/>
  <c r="O62" i="2"/>
  <c r="H62" i="2"/>
  <c r="G62" i="2"/>
  <c r="H48" i="2"/>
  <c r="G48" i="2"/>
  <c r="N59" i="2"/>
  <c r="F59" i="2"/>
  <c r="P57" i="2"/>
  <c r="P59" i="2" s="1"/>
  <c r="O57" i="2"/>
  <c r="O59" i="2" s="1"/>
  <c r="H57" i="2"/>
  <c r="N56" i="2"/>
  <c r="F56" i="2"/>
  <c r="P55" i="2"/>
  <c r="R55" i="2" s="1"/>
  <c r="O55" i="2"/>
  <c r="H55" i="2"/>
  <c r="G55" i="2"/>
  <c r="J55" i="2" s="1"/>
  <c r="P54" i="2"/>
  <c r="P56" i="2" s="1"/>
  <c r="O54" i="2"/>
  <c r="H54" i="2"/>
  <c r="N53" i="2"/>
  <c r="F53" i="2"/>
  <c r="P51" i="2"/>
  <c r="O51" i="2"/>
  <c r="H51" i="2"/>
  <c r="G51" i="2"/>
  <c r="P50" i="2"/>
  <c r="O50" i="2"/>
  <c r="H50" i="2"/>
  <c r="G50" i="2"/>
  <c r="P35" i="2"/>
  <c r="O35" i="2"/>
  <c r="H35" i="2"/>
  <c r="G35" i="2"/>
  <c r="N49" i="2"/>
  <c r="F49" i="2"/>
  <c r="P48" i="2"/>
  <c r="O48" i="2"/>
  <c r="P47" i="2"/>
  <c r="O47" i="2"/>
  <c r="H47" i="2"/>
  <c r="G47" i="2"/>
  <c r="P46" i="2"/>
  <c r="O46" i="2"/>
  <c r="H46" i="2"/>
  <c r="G46" i="2"/>
  <c r="P45" i="2"/>
  <c r="O45" i="2"/>
  <c r="H45" i="2"/>
  <c r="G45" i="2"/>
  <c r="P44" i="2"/>
  <c r="O44" i="2"/>
  <c r="H44" i="2"/>
  <c r="G44" i="2"/>
  <c r="P43" i="2"/>
  <c r="O43" i="2"/>
  <c r="H43" i="2"/>
  <c r="G43" i="2"/>
  <c r="P42" i="2"/>
  <c r="O42" i="2"/>
  <c r="H42" i="2"/>
  <c r="G42" i="2"/>
  <c r="N41" i="2"/>
  <c r="F41" i="2"/>
  <c r="P40" i="2"/>
  <c r="O40" i="2"/>
  <c r="H40" i="2"/>
  <c r="G40" i="2"/>
  <c r="P39" i="2"/>
  <c r="O39" i="2"/>
  <c r="H39" i="2"/>
  <c r="G39" i="2"/>
  <c r="P38" i="2"/>
  <c r="O38" i="2"/>
  <c r="H38" i="2"/>
  <c r="G38" i="2"/>
  <c r="P37" i="2"/>
  <c r="O37" i="2"/>
  <c r="H37" i="2"/>
  <c r="G37" i="2"/>
  <c r="P36" i="2"/>
  <c r="O36" i="2"/>
  <c r="H36" i="2"/>
  <c r="G36" i="2"/>
  <c r="P34" i="2"/>
  <c r="O34" i="2"/>
  <c r="H34" i="2"/>
  <c r="G34" i="2"/>
  <c r="N21" i="2"/>
  <c r="F21" i="2"/>
  <c r="P19" i="2"/>
  <c r="P21" i="2" s="1"/>
  <c r="O19" i="2"/>
  <c r="O21" i="2" s="1"/>
  <c r="H19" i="2"/>
  <c r="H21" i="2" s="1"/>
  <c r="G19" i="2"/>
  <c r="G21" i="2" s="1"/>
  <c r="P29" i="2"/>
  <c r="O29" i="2"/>
  <c r="D29" i="2"/>
  <c r="G29" i="2" s="1"/>
  <c r="D26" i="2"/>
  <c r="C88" i="2"/>
  <c r="I106" i="2" s="1"/>
  <c r="C60" i="2"/>
  <c r="I74" i="2" s="1"/>
  <c r="C32" i="2"/>
  <c r="I48" i="2" s="1"/>
  <c r="C2" i="2"/>
  <c r="G53" i="2" l="1"/>
  <c r="G81" i="2"/>
  <c r="O109" i="2"/>
  <c r="H53" i="2"/>
  <c r="O53" i="2"/>
  <c r="O81" i="2"/>
  <c r="G84" i="2"/>
  <c r="P53" i="2"/>
  <c r="O56" i="2"/>
  <c r="P81" i="2"/>
  <c r="P112" i="2"/>
  <c r="P109" i="2"/>
  <c r="I103" i="2"/>
  <c r="J103" i="2" s="1"/>
  <c r="J105" i="2" s="1"/>
  <c r="I82" i="2"/>
  <c r="Q82" i="2" s="1"/>
  <c r="Q84" i="2" s="1"/>
  <c r="I107" i="2"/>
  <c r="R107" i="2" s="1"/>
  <c r="I110" i="2"/>
  <c r="J110" i="2" s="1"/>
  <c r="J112" i="2" s="1"/>
  <c r="I93" i="2"/>
  <c r="K93" i="2" s="1"/>
  <c r="I96" i="2"/>
  <c r="Q96" i="2" s="1"/>
  <c r="I91" i="2"/>
  <c r="I99" i="2"/>
  <c r="R99" i="2" s="1"/>
  <c r="K103" i="2"/>
  <c r="K105" i="2" s="1"/>
  <c r="I62" i="2"/>
  <c r="R62" i="2" s="1"/>
  <c r="I97" i="2"/>
  <c r="Q97" i="2" s="1"/>
  <c r="I100" i="2"/>
  <c r="Q100" i="2" s="1"/>
  <c r="I113" i="2"/>
  <c r="K113" i="2" s="1"/>
  <c r="K115" i="2" s="1"/>
  <c r="I67" i="2"/>
  <c r="R67" i="2" s="1"/>
  <c r="I90" i="2"/>
  <c r="R90" i="2" s="1"/>
  <c r="I92" i="2"/>
  <c r="R92" i="2" s="1"/>
  <c r="I98" i="2"/>
  <c r="Q98" i="2" s="1"/>
  <c r="H105" i="2"/>
  <c r="J96" i="2"/>
  <c r="I63" i="2"/>
  <c r="K63" i="2" s="1"/>
  <c r="I70" i="2"/>
  <c r="J70" i="2" s="1"/>
  <c r="I75" i="2"/>
  <c r="J75" i="2" s="1"/>
  <c r="I65" i="2"/>
  <c r="J65" i="2" s="1"/>
  <c r="G95" i="2"/>
  <c r="P102" i="2"/>
  <c r="I64" i="2"/>
  <c r="Q64" i="2" s="1"/>
  <c r="I71" i="2"/>
  <c r="J71" i="2" s="1"/>
  <c r="I78" i="2"/>
  <c r="J78" i="2" s="1"/>
  <c r="I73" i="2"/>
  <c r="Q91" i="2"/>
  <c r="O112" i="2"/>
  <c r="I85" i="2"/>
  <c r="K85" i="2" s="1"/>
  <c r="K87" i="2" s="1"/>
  <c r="H102" i="2"/>
  <c r="Q107" i="2"/>
  <c r="I66" i="2"/>
  <c r="R66" i="2" s="1"/>
  <c r="I72" i="2"/>
  <c r="K72" i="2" s="1"/>
  <c r="I79" i="2"/>
  <c r="K79" i="2" s="1"/>
  <c r="K96" i="2"/>
  <c r="J106" i="2"/>
  <c r="G112" i="2"/>
  <c r="O95" i="2"/>
  <c r="P95" i="2"/>
  <c r="G102" i="2"/>
  <c r="Q106" i="2"/>
  <c r="H112" i="2"/>
  <c r="H95" i="2"/>
  <c r="O102" i="2"/>
  <c r="K106" i="2"/>
  <c r="R106" i="2"/>
  <c r="Q76" i="2"/>
  <c r="O77" i="2"/>
  <c r="H77" i="2"/>
  <c r="R83" i="2"/>
  <c r="J83" i="2"/>
  <c r="K83" i="2"/>
  <c r="K74" i="2"/>
  <c r="R74" i="2"/>
  <c r="Q67" i="2"/>
  <c r="P77" i="2"/>
  <c r="K82" i="2"/>
  <c r="J62" i="2"/>
  <c r="J68" i="2"/>
  <c r="H69" i="2"/>
  <c r="P69" i="2"/>
  <c r="G77" i="2"/>
  <c r="H81" i="2"/>
  <c r="P84" i="2"/>
  <c r="G69" i="2"/>
  <c r="Q68" i="2"/>
  <c r="H84" i="2"/>
  <c r="R82" i="2"/>
  <c r="O69" i="2"/>
  <c r="I51" i="2"/>
  <c r="J51" i="2" s="1"/>
  <c r="I36" i="2"/>
  <c r="Q36" i="2" s="1"/>
  <c r="I40" i="2"/>
  <c r="R40" i="2" s="1"/>
  <c r="P41" i="2"/>
  <c r="H49" i="2"/>
  <c r="I42" i="2"/>
  <c r="Q42" i="2" s="1"/>
  <c r="I46" i="2"/>
  <c r="Q46" i="2" s="1"/>
  <c r="O49" i="2"/>
  <c r="R48" i="2"/>
  <c r="I37" i="2"/>
  <c r="K37" i="2" s="1"/>
  <c r="I43" i="2"/>
  <c r="J43" i="2" s="1"/>
  <c r="I47" i="2"/>
  <c r="Q47" i="2" s="1"/>
  <c r="I54" i="2"/>
  <c r="Q54" i="2" s="1"/>
  <c r="J48" i="2"/>
  <c r="Q48" i="2"/>
  <c r="P49" i="2"/>
  <c r="I38" i="2"/>
  <c r="Q38" i="2" s="1"/>
  <c r="I44" i="2"/>
  <c r="J44" i="2" s="1"/>
  <c r="I35" i="2"/>
  <c r="Q35" i="2" s="1"/>
  <c r="K48" i="2"/>
  <c r="O41" i="2"/>
  <c r="I34" i="2"/>
  <c r="J34" i="2" s="1"/>
  <c r="I39" i="2"/>
  <c r="R39" i="2" s="1"/>
  <c r="I45" i="2"/>
  <c r="K45" i="2" s="1"/>
  <c r="I50" i="2"/>
  <c r="R50" i="2" s="1"/>
  <c r="I57" i="2"/>
  <c r="Q57" i="2" s="1"/>
  <c r="Q59" i="2" s="1"/>
  <c r="J40" i="2"/>
  <c r="K55" i="2"/>
  <c r="Q55" i="2"/>
  <c r="H56" i="2"/>
  <c r="H59" i="2"/>
  <c r="G49" i="2"/>
  <c r="H41" i="2"/>
  <c r="G54" i="2"/>
  <c r="G57" i="2"/>
  <c r="G41" i="2"/>
  <c r="H29" i="2"/>
  <c r="I29" i="2"/>
  <c r="I19" i="2"/>
  <c r="R19" i="2" s="1"/>
  <c r="R21" i="2" s="1"/>
  <c r="K107" i="2" l="1"/>
  <c r="J107" i="2"/>
  <c r="R98" i="2"/>
  <c r="J98" i="2"/>
  <c r="K50" i="2"/>
  <c r="J82" i="2"/>
  <c r="J84" i="2" s="1"/>
  <c r="R85" i="2"/>
  <c r="R87" i="2" s="1"/>
  <c r="J85" i="2"/>
  <c r="J87" i="2" s="1"/>
  <c r="K98" i="2"/>
  <c r="K62" i="2"/>
  <c r="R103" i="2"/>
  <c r="R105" i="2" s="1"/>
  <c r="R109" i="2"/>
  <c r="R121" i="2"/>
  <c r="Q103" i="2"/>
  <c r="Q105" i="2" s="1"/>
  <c r="K38" i="2"/>
  <c r="K92" i="2"/>
  <c r="R110" i="2"/>
  <c r="R112" i="2" s="1"/>
  <c r="J46" i="2"/>
  <c r="R46" i="2"/>
  <c r="R78" i="2"/>
  <c r="R70" i="2"/>
  <c r="Q93" i="2"/>
  <c r="R96" i="2"/>
  <c r="Q44" i="2"/>
  <c r="K40" i="2"/>
  <c r="Q40" i="2"/>
  <c r="K78" i="2"/>
  <c r="J37" i="2"/>
  <c r="Q99" i="2"/>
  <c r="Q102" i="2" s="1"/>
  <c r="K99" i="2"/>
  <c r="J99" i="2"/>
  <c r="K100" i="2"/>
  <c r="K54" i="2"/>
  <c r="R38" i="2"/>
  <c r="K97" i="2"/>
  <c r="J97" i="2"/>
  <c r="J50" i="2"/>
  <c r="J53" i="2" s="1"/>
  <c r="J109" i="2"/>
  <c r="J113" i="2"/>
  <c r="J115" i="2" s="1"/>
  <c r="Q39" i="2"/>
  <c r="Q78" i="2"/>
  <c r="Q62" i="2"/>
  <c r="R113" i="2"/>
  <c r="R115" i="2" s="1"/>
  <c r="Q113" i="2"/>
  <c r="Q115" i="2" s="1"/>
  <c r="Q79" i="2"/>
  <c r="R75" i="2"/>
  <c r="J79" i="2"/>
  <c r="J81" i="2" s="1"/>
  <c r="K70" i="2"/>
  <c r="Q70" i="2"/>
  <c r="J64" i="2"/>
  <c r="K75" i="2"/>
  <c r="K65" i="2"/>
  <c r="Q75" i="2"/>
  <c r="Q65" i="2"/>
  <c r="K109" i="2"/>
  <c r="K110" i="2"/>
  <c r="K112" i="2" s="1"/>
  <c r="Q92" i="2"/>
  <c r="R43" i="2"/>
  <c r="K81" i="2"/>
  <c r="Q71" i="2"/>
  <c r="K84" i="2"/>
  <c r="Q110" i="2"/>
  <c r="Q112" i="2" s="1"/>
  <c r="J92" i="2"/>
  <c r="R100" i="2"/>
  <c r="J93" i="2"/>
  <c r="R73" i="2"/>
  <c r="K73" i="2"/>
  <c r="R93" i="2"/>
  <c r="K91" i="2"/>
  <c r="R91" i="2"/>
  <c r="J100" i="2"/>
  <c r="J73" i="2"/>
  <c r="Q90" i="2"/>
  <c r="J36" i="2"/>
  <c r="R36" i="2"/>
  <c r="K90" i="2"/>
  <c r="R65" i="2"/>
  <c r="K36" i="2"/>
  <c r="K47" i="2"/>
  <c r="K51" i="2"/>
  <c r="R51" i="2"/>
  <c r="R53" i="2" s="1"/>
  <c r="Q51" i="2"/>
  <c r="R79" i="2"/>
  <c r="K64" i="2"/>
  <c r="R64" i="2"/>
  <c r="Q85" i="2"/>
  <c r="Q87" i="2" s="1"/>
  <c r="Q109" i="2"/>
  <c r="J90" i="2"/>
  <c r="R97" i="2"/>
  <c r="J91" i="2"/>
  <c r="Q73" i="2"/>
  <c r="R84" i="2"/>
  <c r="Q45" i="2"/>
  <c r="J42" i="2"/>
  <c r="R37" i="2"/>
  <c r="K46" i="2"/>
  <c r="R72" i="2"/>
  <c r="K67" i="2"/>
  <c r="J67" i="2"/>
  <c r="R42" i="2"/>
  <c r="R68" i="2"/>
  <c r="J72" i="2"/>
  <c r="K68" i="2"/>
  <c r="Q72" i="2"/>
  <c r="K66" i="2"/>
  <c r="K42" i="2"/>
  <c r="R45" i="2"/>
  <c r="J74" i="2"/>
  <c r="Q74" i="2"/>
  <c r="J63" i="2"/>
  <c r="Q63" i="2"/>
  <c r="R71" i="2"/>
  <c r="J66" i="2"/>
  <c r="K71" i="2"/>
  <c r="Q66" i="2"/>
  <c r="R63" i="2"/>
  <c r="R54" i="2"/>
  <c r="R56" i="2" s="1"/>
  <c r="K35" i="2"/>
  <c r="K57" i="2"/>
  <c r="K59" i="2" s="1"/>
  <c r="Q50" i="2"/>
  <c r="R47" i="2"/>
  <c r="J45" i="2"/>
  <c r="R34" i="2"/>
  <c r="R57" i="2"/>
  <c r="R59" i="2" s="1"/>
  <c r="R35" i="2"/>
  <c r="Q34" i="2"/>
  <c r="Q56" i="2"/>
  <c r="K39" i="2"/>
  <c r="J39" i="2"/>
  <c r="J47" i="2"/>
  <c r="Q43" i="2"/>
  <c r="K34" i="2"/>
  <c r="J38" i="2"/>
  <c r="K29" i="2"/>
  <c r="K43" i="2"/>
  <c r="K44" i="2"/>
  <c r="Q37" i="2"/>
  <c r="J35" i="2"/>
  <c r="R44" i="2"/>
  <c r="K56" i="2"/>
  <c r="G56" i="2"/>
  <c r="J54" i="2"/>
  <c r="J56" i="2" s="1"/>
  <c r="G59" i="2"/>
  <c r="J57" i="2"/>
  <c r="J59" i="2" s="1"/>
  <c r="J19" i="2"/>
  <c r="J21" i="2" s="1"/>
  <c r="J121" i="2" s="1"/>
  <c r="M121" i="2" s="1"/>
  <c r="K19" i="2"/>
  <c r="K21" i="2" s="1"/>
  <c r="K121" i="2" s="1"/>
  <c r="R29" i="2"/>
  <c r="Q29" i="2"/>
  <c r="J29" i="2"/>
  <c r="Q19" i="2"/>
  <c r="Q21" i="2" s="1"/>
  <c r="Q121" i="2" s="1"/>
  <c r="P121" i="2" s="1"/>
  <c r="K53" i="2" l="1"/>
  <c r="K95" i="2"/>
  <c r="R81" i="2"/>
  <c r="Q81" i="2"/>
  <c r="K102" i="2"/>
  <c r="J102" i="2"/>
  <c r="R41" i="2"/>
  <c r="Q49" i="2"/>
  <c r="Q77" i="2"/>
  <c r="R95" i="2"/>
  <c r="R102" i="2"/>
  <c r="Q95" i="2"/>
  <c r="R49" i="2"/>
  <c r="K49" i="2"/>
  <c r="Q53" i="2"/>
  <c r="R77" i="2"/>
  <c r="J77" i="2"/>
  <c r="J95" i="2"/>
  <c r="K77" i="2"/>
  <c r="Q69" i="2"/>
  <c r="K69" i="2"/>
  <c r="J69" i="2"/>
  <c r="Q41" i="2"/>
  <c r="R69" i="2"/>
  <c r="J41" i="2"/>
  <c r="K41" i="2"/>
  <c r="J49" i="2"/>
  <c r="O56" i="4" l="1"/>
  <c r="H56" i="4"/>
  <c r="G56" i="4"/>
  <c r="M54" i="4"/>
  <c r="M55" i="4" s="1"/>
  <c r="O55" i="4" s="1"/>
  <c r="O51" i="4"/>
  <c r="F51" i="4" s="1"/>
  <c r="M45" i="4"/>
  <c r="O45" i="4" s="1"/>
  <c r="M38" i="4"/>
  <c r="M39" i="4" s="1"/>
  <c r="O37" i="4"/>
  <c r="I46" i="4"/>
  <c r="I47" i="4" s="1"/>
  <c r="I48" i="4" s="1"/>
  <c r="I49" i="4" s="1"/>
  <c r="I50" i="4" s="1"/>
  <c r="M32" i="4"/>
  <c r="M33" i="4" s="1"/>
  <c r="M23" i="4"/>
  <c r="M24" i="4" s="1"/>
  <c r="M25" i="4" s="1"/>
  <c r="M26" i="4" s="1"/>
  <c r="M27" i="4" s="1"/>
  <c r="M28" i="4" s="1"/>
  <c r="M15" i="4"/>
  <c r="M16" i="4" s="1"/>
  <c r="M17" i="4" s="1"/>
  <c r="M18" i="4" s="1"/>
  <c r="M19" i="4" s="1"/>
  <c r="I45" i="4" l="1"/>
  <c r="I54" i="4" s="1"/>
  <c r="I55" i="4" s="1"/>
  <c r="M46" i="4"/>
  <c r="M47" i="4" s="1"/>
  <c r="M48" i="4" s="1"/>
  <c r="I38" i="4"/>
  <c r="I39" i="4" s="1"/>
  <c r="I40" i="4" s="1"/>
  <c r="I41" i="4" s="1"/>
  <c r="I42" i="4" s="1"/>
  <c r="G45" i="4"/>
  <c r="H45" i="4"/>
  <c r="H55" i="4"/>
  <c r="G55" i="4"/>
  <c r="G51" i="4"/>
  <c r="H51" i="4"/>
  <c r="M40" i="4"/>
  <c r="O39" i="4"/>
  <c r="G37" i="4"/>
  <c r="O54" i="4"/>
  <c r="H37" i="4"/>
  <c r="O38" i="4"/>
  <c r="O46" i="4" l="1"/>
  <c r="O47" i="4"/>
  <c r="H38" i="4"/>
  <c r="G38" i="4"/>
  <c r="H54" i="4"/>
  <c r="H57" i="4" s="1"/>
  <c r="F57" i="4"/>
  <c r="G54" i="4"/>
  <c r="G57" i="4" s="1"/>
  <c r="M41" i="4"/>
  <c r="O40" i="4"/>
  <c r="O48" i="4"/>
  <c r="M49" i="4"/>
  <c r="H39" i="4"/>
  <c r="G39" i="4"/>
  <c r="G46" i="4"/>
  <c r="H46" i="4"/>
  <c r="G47" i="4"/>
  <c r="H47" i="4"/>
  <c r="O49" i="4" l="1"/>
  <c r="H48" i="4"/>
  <c r="G48" i="4"/>
  <c r="H40" i="4"/>
  <c r="G40" i="4"/>
  <c r="O41" i="4"/>
  <c r="V380" i="5"/>
  <c r="J380" i="5"/>
  <c r="I380" i="5"/>
  <c r="M380" i="5" s="1"/>
  <c r="V379" i="5"/>
  <c r="J379" i="5"/>
  <c r="I379" i="5"/>
  <c r="M379" i="5" s="1"/>
  <c r="V378" i="5"/>
  <c r="J378" i="5"/>
  <c r="I378" i="5"/>
  <c r="M378" i="5" s="1"/>
  <c r="V377" i="5"/>
  <c r="J377" i="5"/>
  <c r="I377" i="5"/>
  <c r="M377" i="5" s="1"/>
  <c r="V374" i="5"/>
  <c r="J374" i="5"/>
  <c r="I374" i="5"/>
  <c r="M374" i="5" s="1"/>
  <c r="V373" i="5"/>
  <c r="J373" i="5"/>
  <c r="I373" i="5"/>
  <c r="M373" i="5" s="1"/>
  <c r="V372" i="5"/>
  <c r="J372" i="5"/>
  <c r="I372" i="5"/>
  <c r="M372" i="5" s="1"/>
  <c r="V371" i="5"/>
  <c r="J371" i="5"/>
  <c r="I371" i="5"/>
  <c r="M371" i="5" s="1"/>
  <c r="V370" i="5"/>
  <c r="J370" i="5"/>
  <c r="I370" i="5"/>
  <c r="M370" i="5" s="1"/>
  <c r="V369" i="5"/>
  <c r="J369" i="5"/>
  <c r="I369" i="5"/>
  <c r="M369" i="5" s="1"/>
  <c r="V368" i="5"/>
  <c r="J368" i="5"/>
  <c r="I368" i="5"/>
  <c r="M368" i="5" s="1"/>
  <c r="V367" i="5"/>
  <c r="J367" i="5"/>
  <c r="I367" i="5"/>
  <c r="M367" i="5" s="1"/>
  <c r="V366" i="5"/>
  <c r="J366" i="5"/>
  <c r="I366" i="5"/>
  <c r="M366" i="5" s="1"/>
  <c r="V365" i="5"/>
  <c r="J365" i="5"/>
  <c r="I365" i="5"/>
  <c r="M365" i="5" s="1"/>
  <c r="V364" i="5"/>
  <c r="J364" i="5"/>
  <c r="I364" i="5"/>
  <c r="M364" i="5" s="1"/>
  <c r="V363" i="5"/>
  <c r="J363" i="5"/>
  <c r="I363" i="5"/>
  <c r="M363" i="5" s="1"/>
  <c r="J348" i="5"/>
  <c r="I348" i="5"/>
  <c r="M348" i="5" s="1"/>
  <c r="J342" i="5"/>
  <c r="I342" i="5"/>
  <c r="M342" i="5" s="1"/>
  <c r="J337" i="5"/>
  <c r="I337" i="5"/>
  <c r="M337" i="5" s="1"/>
  <c r="J331" i="5"/>
  <c r="I331" i="5"/>
  <c r="K331" i="5" s="1"/>
  <c r="J323" i="5"/>
  <c r="I323" i="5"/>
  <c r="K323" i="5" s="1"/>
  <c r="I324" i="5"/>
  <c r="M324" i="5" s="1"/>
  <c r="J324" i="5"/>
  <c r="I318" i="5"/>
  <c r="M318" i="5" s="1"/>
  <c r="J318" i="5"/>
  <c r="V318" i="5"/>
  <c r="G49" i="4" l="1"/>
  <c r="G52" i="4" s="1"/>
  <c r="H49" i="4"/>
  <c r="H52" i="4" s="1"/>
  <c r="H41" i="4"/>
  <c r="H43" i="4" s="1"/>
  <c r="G41" i="4"/>
  <c r="G43" i="4" s="1"/>
  <c r="F43" i="4"/>
  <c r="F52" i="4"/>
  <c r="V218" i="5"/>
  <c r="J218" i="5"/>
  <c r="I218" i="5"/>
  <c r="R218" i="5" s="1"/>
  <c r="V217" i="5"/>
  <c r="J217" i="5"/>
  <c r="I217" i="5"/>
  <c r="R217" i="5" s="1"/>
  <c r="V216" i="5"/>
  <c r="J216" i="5"/>
  <c r="I216" i="5"/>
  <c r="R216" i="5" s="1"/>
  <c r="V212" i="5"/>
  <c r="J212" i="5"/>
  <c r="I212" i="5"/>
  <c r="R212" i="5" s="1"/>
  <c r="V211" i="5"/>
  <c r="J211" i="5"/>
  <c r="I211" i="5"/>
  <c r="R211" i="5" s="1"/>
  <c r="V210" i="5"/>
  <c r="J210" i="5"/>
  <c r="I210" i="5"/>
  <c r="R210" i="5" s="1"/>
  <c r="V209" i="5"/>
  <c r="J209" i="5"/>
  <c r="I209" i="5"/>
  <c r="R209" i="5" s="1"/>
  <c r="V208" i="5"/>
  <c r="J208" i="5"/>
  <c r="I208" i="5"/>
  <c r="R208" i="5" s="1"/>
  <c r="V207" i="5"/>
  <c r="J207" i="5"/>
  <c r="I207" i="5"/>
  <c r="R207" i="5" s="1"/>
  <c r="V205" i="5"/>
  <c r="J205" i="5"/>
  <c r="I205" i="5"/>
  <c r="R205" i="5" s="1"/>
  <c r="V203" i="5"/>
  <c r="J203" i="5"/>
  <c r="I203" i="5"/>
  <c r="R203" i="5" s="1"/>
  <c r="V201" i="5"/>
  <c r="J201" i="5"/>
  <c r="I201" i="5"/>
  <c r="R201" i="5" s="1"/>
  <c r="V198" i="5"/>
  <c r="J198" i="5"/>
  <c r="I198" i="5"/>
  <c r="R198" i="5" s="1"/>
  <c r="V197" i="5"/>
  <c r="J197" i="5"/>
  <c r="I197" i="5"/>
  <c r="R197" i="5" s="1"/>
  <c r="V196" i="5"/>
  <c r="J196" i="5"/>
  <c r="I196" i="5"/>
  <c r="R196" i="5" s="1"/>
  <c r="V195" i="5"/>
  <c r="J195" i="5"/>
  <c r="I195" i="5"/>
  <c r="S195" i="5" s="1"/>
  <c r="V193" i="5"/>
  <c r="J193" i="5"/>
  <c r="I193" i="5"/>
  <c r="R193" i="5" s="1"/>
  <c r="V192" i="5"/>
  <c r="J192" i="5"/>
  <c r="I192" i="5"/>
  <c r="O192" i="5" s="1"/>
  <c r="V191" i="5"/>
  <c r="J191" i="5"/>
  <c r="I191" i="5"/>
  <c r="N191" i="5" s="1"/>
  <c r="J190" i="5"/>
  <c r="I190" i="5"/>
  <c r="O190" i="5" s="1"/>
  <c r="J189" i="5"/>
  <c r="I189" i="5"/>
  <c r="O189" i="5" s="1"/>
  <c r="J188" i="5"/>
  <c r="I188" i="5"/>
  <c r="N188" i="5" s="1"/>
  <c r="J187" i="5"/>
  <c r="I187" i="5"/>
  <c r="N187" i="5" s="1"/>
  <c r="V182" i="5"/>
  <c r="J182" i="5"/>
  <c r="I182" i="5"/>
  <c r="S182" i="5" s="1"/>
  <c r="V170" i="5"/>
  <c r="J170" i="5"/>
  <c r="I170" i="5"/>
  <c r="S170" i="5" s="1"/>
  <c r="V152" i="5"/>
  <c r="J152" i="5"/>
  <c r="I152" i="5"/>
  <c r="O152" i="5" s="1"/>
  <c r="V151" i="5"/>
  <c r="J151" i="5"/>
  <c r="I151" i="5"/>
  <c r="N151" i="5" s="1"/>
  <c r="J150" i="5"/>
  <c r="I150" i="5"/>
  <c r="O150" i="5" s="1"/>
  <c r="J149" i="5"/>
  <c r="I149" i="5"/>
  <c r="O149" i="5" s="1"/>
  <c r="J148" i="5"/>
  <c r="I148" i="5"/>
  <c r="N148" i="5" s="1"/>
  <c r="J147" i="5"/>
  <c r="I147" i="5"/>
  <c r="N147" i="5" s="1"/>
  <c r="I139" i="5"/>
  <c r="S139" i="5" s="1"/>
  <c r="J139" i="5"/>
  <c r="V139" i="5"/>
  <c r="J134" i="5"/>
  <c r="I134" i="5"/>
  <c r="M134" i="5" s="1"/>
  <c r="J128" i="5"/>
  <c r="V132" i="5"/>
  <c r="J132" i="5"/>
  <c r="I132" i="5"/>
  <c r="L132" i="5" s="1"/>
  <c r="V131" i="5"/>
  <c r="J131" i="5"/>
  <c r="I131" i="5"/>
  <c r="L131" i="5" s="1"/>
  <c r="V130" i="5"/>
  <c r="J130" i="5"/>
  <c r="I130" i="5"/>
  <c r="L130" i="5" s="1"/>
  <c r="V129" i="5"/>
  <c r="J129" i="5"/>
  <c r="I129" i="5"/>
  <c r="L129" i="5" s="1"/>
  <c r="I128" i="5"/>
  <c r="L128" i="5" s="1"/>
  <c r="V128" i="5"/>
  <c r="V127" i="5"/>
  <c r="J127" i="5"/>
  <c r="I127" i="5"/>
  <c r="L127" i="5" s="1"/>
  <c r="V126" i="5"/>
  <c r="J126" i="5"/>
  <c r="I126" i="5"/>
  <c r="L126" i="5" s="1"/>
  <c r="V125" i="5"/>
  <c r="J125" i="5"/>
  <c r="I125" i="5"/>
  <c r="K125" i="5" s="1"/>
  <c r="J124" i="5"/>
  <c r="I124" i="5"/>
  <c r="L124" i="5" s="1"/>
  <c r="J123" i="5"/>
  <c r="I123" i="5"/>
  <c r="L123" i="5" s="1"/>
  <c r="J122" i="5"/>
  <c r="I122" i="5"/>
  <c r="L122" i="5" s="1"/>
  <c r="V121" i="5"/>
  <c r="J121" i="5"/>
  <c r="I121" i="5"/>
  <c r="L121" i="5" s="1"/>
  <c r="V120" i="5"/>
  <c r="J120" i="5"/>
  <c r="I120" i="5"/>
  <c r="K120" i="5" s="1"/>
  <c r="V119" i="5"/>
  <c r="J119" i="5"/>
  <c r="I119" i="5"/>
  <c r="K119" i="5" s="1"/>
  <c r="V114" i="5"/>
  <c r="V118" i="5"/>
  <c r="J118" i="5"/>
  <c r="I118" i="5"/>
  <c r="L118" i="5" s="1"/>
  <c r="V117" i="5"/>
  <c r="J117" i="5"/>
  <c r="I117" i="5"/>
  <c r="L117" i="5" s="1"/>
  <c r="V116" i="5"/>
  <c r="J116" i="5"/>
  <c r="I116" i="5"/>
  <c r="L116" i="5" s="1"/>
  <c r="V115" i="5"/>
  <c r="J115" i="5"/>
  <c r="I115" i="5"/>
  <c r="L115" i="5" s="1"/>
  <c r="I114" i="5"/>
  <c r="L114" i="5" s="1"/>
  <c r="V111" i="5"/>
  <c r="J111" i="5"/>
  <c r="I111" i="5"/>
  <c r="K111" i="5" s="1"/>
  <c r="V110" i="5"/>
  <c r="J110" i="5"/>
  <c r="I110" i="5"/>
  <c r="L110" i="5" s="1"/>
  <c r="V109" i="5"/>
  <c r="J109" i="5"/>
  <c r="I109" i="5"/>
  <c r="L109" i="5" s="1"/>
  <c r="V108" i="5"/>
  <c r="J108" i="5"/>
  <c r="I108" i="5"/>
  <c r="L108" i="5" s="1"/>
  <c r="V107" i="5"/>
  <c r="J107" i="5"/>
  <c r="I107" i="5"/>
  <c r="L107" i="5" s="1"/>
  <c r="V106" i="5"/>
  <c r="J106" i="5"/>
  <c r="I106" i="5"/>
  <c r="K106" i="5" s="1"/>
  <c r="V105" i="5"/>
  <c r="J105" i="5"/>
  <c r="I105" i="5"/>
  <c r="K105" i="5" s="1"/>
  <c r="J100" i="5"/>
  <c r="J96" i="5"/>
  <c r="I96" i="5"/>
  <c r="K96" i="5" s="1"/>
  <c r="J95" i="5"/>
  <c r="I95" i="5"/>
  <c r="K95" i="5" s="1"/>
  <c r="J94" i="5"/>
  <c r="I94" i="5"/>
  <c r="K94" i="5" s="1"/>
  <c r="V104" i="5"/>
  <c r="J104" i="5"/>
  <c r="I104" i="5"/>
  <c r="L104" i="5" s="1"/>
  <c r="V103" i="5"/>
  <c r="J103" i="5"/>
  <c r="I103" i="5"/>
  <c r="L103" i="5" s="1"/>
  <c r="V102" i="5"/>
  <c r="J102" i="5"/>
  <c r="I102" i="5"/>
  <c r="L102" i="5" s="1"/>
  <c r="V101" i="5"/>
  <c r="J101" i="5"/>
  <c r="I101" i="5"/>
  <c r="L101" i="5" s="1"/>
  <c r="V99" i="5"/>
  <c r="J99" i="5"/>
  <c r="I99" i="5"/>
  <c r="L99" i="5" s="1"/>
  <c r="V98" i="5"/>
  <c r="J98" i="5"/>
  <c r="I98" i="5"/>
  <c r="L98" i="5" s="1"/>
  <c r="V97" i="5"/>
  <c r="J97" i="5"/>
  <c r="I97" i="5"/>
  <c r="K97" i="5" s="1"/>
  <c r="J93" i="5"/>
  <c r="I93" i="5"/>
  <c r="L93" i="5" s="1"/>
  <c r="J92" i="5"/>
  <c r="I92" i="5"/>
  <c r="L92" i="5" s="1"/>
  <c r="J91" i="5"/>
  <c r="I91" i="5"/>
  <c r="L91" i="5" s="1"/>
  <c r="V90" i="5"/>
  <c r="J90" i="5"/>
  <c r="I90" i="5"/>
  <c r="L90" i="5" s="1"/>
  <c r="V89" i="5"/>
  <c r="J89" i="5"/>
  <c r="I89" i="5"/>
  <c r="K89" i="5" s="1"/>
  <c r="V88" i="5"/>
  <c r="J88" i="5"/>
  <c r="I88" i="5"/>
  <c r="K88" i="5" s="1"/>
  <c r="V83" i="5"/>
  <c r="I81" i="5"/>
  <c r="L81" i="5" s="1"/>
  <c r="V87" i="5"/>
  <c r="J87" i="5"/>
  <c r="I87" i="5"/>
  <c r="L87" i="5" s="1"/>
  <c r="V86" i="5"/>
  <c r="J86" i="5"/>
  <c r="I86" i="5"/>
  <c r="L86" i="5" s="1"/>
  <c r="V85" i="5"/>
  <c r="J85" i="5"/>
  <c r="I85" i="5"/>
  <c r="L85" i="5" s="1"/>
  <c r="V84" i="5"/>
  <c r="J84" i="5"/>
  <c r="I84" i="5"/>
  <c r="L84" i="5" s="1"/>
  <c r="J81" i="5"/>
  <c r="V80" i="5"/>
  <c r="J80" i="5"/>
  <c r="I80" i="5"/>
  <c r="K80" i="5" s="1"/>
  <c r="V79" i="5"/>
  <c r="J79" i="5"/>
  <c r="I79" i="5"/>
  <c r="L79" i="5" s="1"/>
  <c r="V78" i="5"/>
  <c r="J78" i="5"/>
  <c r="I78" i="5"/>
  <c r="L78" i="5" s="1"/>
  <c r="V77" i="5"/>
  <c r="J77" i="5"/>
  <c r="I77" i="5"/>
  <c r="L77" i="5" s="1"/>
  <c r="V76" i="5"/>
  <c r="J76" i="5"/>
  <c r="I76" i="5"/>
  <c r="L76" i="5" s="1"/>
  <c r="V75" i="5"/>
  <c r="J75" i="5"/>
  <c r="I75" i="5"/>
  <c r="K75" i="5" s="1"/>
  <c r="V74" i="5"/>
  <c r="J74" i="5"/>
  <c r="I74" i="5"/>
  <c r="K74" i="5" s="1"/>
  <c r="V69" i="5"/>
  <c r="V73" i="5"/>
  <c r="J73" i="5"/>
  <c r="I73" i="5"/>
  <c r="L73" i="5" s="1"/>
  <c r="V72" i="5"/>
  <c r="J72" i="5"/>
  <c r="I72" i="5"/>
  <c r="L72" i="5" s="1"/>
  <c r="V71" i="5"/>
  <c r="J71" i="5"/>
  <c r="I71" i="5"/>
  <c r="L71" i="5" s="1"/>
  <c r="V70" i="5"/>
  <c r="J70" i="5"/>
  <c r="I70" i="5"/>
  <c r="L70" i="5" s="1"/>
  <c r="V68" i="5"/>
  <c r="J68" i="5"/>
  <c r="I68" i="5"/>
  <c r="L68" i="5" s="1"/>
  <c r="V67" i="5"/>
  <c r="J67" i="5"/>
  <c r="I67" i="5"/>
  <c r="L67" i="5" s="1"/>
  <c r="V66" i="5"/>
  <c r="J66" i="5"/>
  <c r="I66" i="5"/>
  <c r="K66" i="5" s="1"/>
  <c r="J65" i="5"/>
  <c r="I65" i="5"/>
  <c r="L65" i="5" s="1"/>
  <c r="J64" i="5"/>
  <c r="I64" i="5"/>
  <c r="L64" i="5" s="1"/>
  <c r="J63" i="5"/>
  <c r="I63" i="5"/>
  <c r="L63" i="5" s="1"/>
  <c r="V62" i="5"/>
  <c r="J62" i="5"/>
  <c r="I62" i="5"/>
  <c r="L62" i="5" s="1"/>
  <c r="V61" i="5"/>
  <c r="J61" i="5"/>
  <c r="I61" i="5"/>
  <c r="K61" i="5" s="1"/>
  <c r="V60" i="5"/>
  <c r="J60" i="5"/>
  <c r="I60" i="5"/>
  <c r="K60" i="5" s="1"/>
  <c r="V55" i="5"/>
  <c r="V59" i="5"/>
  <c r="J59" i="5"/>
  <c r="I59" i="5"/>
  <c r="L59" i="5" s="1"/>
  <c r="V58" i="5"/>
  <c r="J58" i="5"/>
  <c r="I58" i="5"/>
  <c r="L58" i="5" s="1"/>
  <c r="V57" i="5"/>
  <c r="J57" i="5"/>
  <c r="I57" i="5"/>
  <c r="L57" i="5" s="1"/>
  <c r="V56" i="5"/>
  <c r="J56" i="5"/>
  <c r="I56" i="5"/>
  <c r="L56" i="5" s="1"/>
  <c r="V54" i="5"/>
  <c r="J54" i="5"/>
  <c r="I54" i="5"/>
  <c r="L54" i="5" s="1"/>
  <c r="V53" i="5"/>
  <c r="J53" i="5"/>
  <c r="I53" i="5"/>
  <c r="L53" i="5" s="1"/>
  <c r="V52" i="5"/>
  <c r="J52" i="5"/>
  <c r="I52" i="5"/>
  <c r="K52" i="5" s="1"/>
  <c r="V51" i="5"/>
  <c r="J51" i="5"/>
  <c r="I51" i="5"/>
  <c r="L51" i="5" s="1"/>
  <c r="V50" i="5"/>
  <c r="J50" i="5"/>
  <c r="I50" i="5"/>
  <c r="L50" i="5" s="1"/>
  <c r="V49" i="5"/>
  <c r="J49" i="5"/>
  <c r="I49" i="5"/>
  <c r="L49" i="5" s="1"/>
  <c r="V48" i="5"/>
  <c r="J48" i="5"/>
  <c r="I48" i="5"/>
  <c r="L48" i="5" s="1"/>
  <c r="V47" i="5"/>
  <c r="J47" i="5"/>
  <c r="I47" i="5"/>
  <c r="K47" i="5" s="1"/>
  <c r="V46" i="5"/>
  <c r="J46" i="5"/>
  <c r="I46" i="5"/>
  <c r="K46" i="5" s="1"/>
  <c r="J37" i="5"/>
  <c r="I37" i="5"/>
  <c r="L37" i="5" s="1"/>
  <c r="J36" i="5"/>
  <c r="I36" i="5"/>
  <c r="L36" i="5" s="1"/>
  <c r="J35" i="5"/>
  <c r="I35" i="5"/>
  <c r="L35" i="5" s="1"/>
  <c r="V45" i="5"/>
  <c r="J45" i="5"/>
  <c r="I45" i="5"/>
  <c r="L45" i="5" s="1"/>
  <c r="V44" i="5"/>
  <c r="J44" i="5"/>
  <c r="I44" i="5"/>
  <c r="L44" i="5" s="1"/>
  <c r="V43" i="5"/>
  <c r="J43" i="5"/>
  <c r="I43" i="5"/>
  <c r="L43" i="5" s="1"/>
  <c r="V42" i="5"/>
  <c r="J42" i="5"/>
  <c r="I42" i="5"/>
  <c r="L42" i="5" s="1"/>
  <c r="V41" i="5"/>
  <c r="J41" i="5"/>
  <c r="I41" i="5"/>
  <c r="L41" i="5" s="1"/>
  <c r="V40" i="5"/>
  <c r="J40" i="5"/>
  <c r="I40" i="5"/>
  <c r="L40" i="5" s="1"/>
  <c r="V39" i="5"/>
  <c r="J39" i="5"/>
  <c r="I39" i="5"/>
  <c r="L39" i="5" s="1"/>
  <c r="V38" i="5"/>
  <c r="J38" i="5"/>
  <c r="I38" i="5"/>
  <c r="K38" i="5" s="1"/>
  <c r="V34" i="5"/>
  <c r="J34" i="5"/>
  <c r="I34" i="5"/>
  <c r="L34" i="5" s="1"/>
  <c r="V33" i="5"/>
  <c r="J33" i="5"/>
  <c r="I33" i="5"/>
  <c r="K33" i="5" s="1"/>
  <c r="V32" i="5"/>
  <c r="J32" i="5"/>
  <c r="I32" i="5"/>
  <c r="K32" i="5" s="1"/>
  <c r="J27" i="5"/>
  <c r="I23" i="5"/>
  <c r="L23" i="5" s="1"/>
  <c r="J23" i="5"/>
  <c r="V23" i="5"/>
  <c r="I22" i="5"/>
  <c r="L22" i="5" s="1"/>
  <c r="J22" i="5"/>
  <c r="V22" i="5"/>
  <c r="I21" i="5"/>
  <c r="L21" i="5" s="1"/>
  <c r="J21" i="5"/>
  <c r="V21" i="5"/>
  <c r="J31" i="5"/>
  <c r="I31" i="5"/>
  <c r="L31" i="5" s="1"/>
  <c r="J30" i="5"/>
  <c r="I30" i="5"/>
  <c r="L30" i="5" s="1"/>
  <c r="J29" i="5"/>
  <c r="I29" i="5"/>
  <c r="L29" i="5" s="1"/>
  <c r="J28" i="5"/>
  <c r="I28" i="5"/>
  <c r="L28" i="5" s="1"/>
  <c r="J26" i="5"/>
  <c r="I26" i="5"/>
  <c r="L26" i="5" s="1"/>
  <c r="J25" i="5"/>
  <c r="I25" i="5"/>
  <c r="L25" i="5" s="1"/>
  <c r="J24" i="5"/>
  <c r="I24" i="5"/>
  <c r="K24" i="5" s="1"/>
  <c r="J20" i="5"/>
  <c r="I20" i="5"/>
  <c r="L20" i="5" s="1"/>
  <c r="J19" i="5"/>
  <c r="I19" i="5"/>
  <c r="K19" i="5" s="1"/>
  <c r="J18" i="5"/>
  <c r="I18" i="5"/>
  <c r="K18" i="5" s="1"/>
  <c r="V100" i="5" l="1"/>
  <c r="V81" i="5"/>
  <c r="J112" i="5"/>
  <c r="I113" i="5"/>
  <c r="L113" i="5" s="1"/>
  <c r="V113" i="5"/>
  <c r="J113" i="5"/>
  <c r="V112" i="5"/>
  <c r="J114" i="5"/>
  <c r="I112" i="5"/>
  <c r="L112" i="5" s="1"/>
  <c r="I100" i="5"/>
  <c r="L100" i="5" s="1"/>
  <c r="I83" i="5"/>
  <c r="L83" i="5" s="1"/>
  <c r="J83" i="5"/>
  <c r="I69" i="5"/>
  <c r="L69" i="5" s="1"/>
  <c r="J69" i="5"/>
  <c r="I55" i="5"/>
  <c r="L55" i="5" s="1"/>
  <c r="J55" i="5"/>
  <c r="I27" i="5"/>
  <c r="L27" i="5" s="1"/>
  <c r="J435" i="5"/>
  <c r="I435" i="5"/>
  <c r="V434" i="5"/>
  <c r="J434" i="5"/>
  <c r="I434" i="5"/>
  <c r="V433" i="5"/>
  <c r="J433" i="5"/>
  <c r="I433" i="5"/>
  <c r="V432" i="5"/>
  <c r="J432" i="5"/>
  <c r="I432" i="5"/>
  <c r="M432" i="5" s="1"/>
  <c r="V431" i="5"/>
  <c r="J431" i="5"/>
  <c r="I431" i="5"/>
  <c r="M431" i="5" s="1"/>
  <c r="V430" i="5"/>
  <c r="J430" i="5"/>
  <c r="I430" i="5"/>
  <c r="M430" i="5" s="1"/>
  <c r="V429" i="5"/>
  <c r="J429" i="5"/>
  <c r="I429" i="5"/>
  <c r="M429" i="5" s="1"/>
  <c r="V428" i="5"/>
  <c r="J428" i="5"/>
  <c r="I428" i="5"/>
  <c r="K428" i="5" s="1"/>
  <c r="V427" i="5"/>
  <c r="J427" i="5"/>
  <c r="I427" i="5"/>
  <c r="K427" i="5" s="1"/>
  <c r="V426" i="5"/>
  <c r="J426" i="5"/>
  <c r="I426" i="5"/>
  <c r="M426" i="5" s="1"/>
  <c r="V425" i="5"/>
  <c r="J425" i="5"/>
  <c r="I425" i="5"/>
  <c r="M425" i="5" s="1"/>
  <c r="V424" i="5"/>
  <c r="J424" i="5"/>
  <c r="I424" i="5"/>
  <c r="K424" i="5" s="1"/>
  <c r="V423" i="5"/>
  <c r="J423" i="5"/>
  <c r="I423" i="5"/>
  <c r="K423" i="5" s="1"/>
  <c r="V422" i="5"/>
  <c r="J422" i="5"/>
  <c r="I422" i="5"/>
  <c r="M422" i="5" s="1"/>
  <c r="V421" i="5"/>
  <c r="J421" i="5"/>
  <c r="I421" i="5"/>
  <c r="M421" i="5" s="1"/>
  <c r="V420" i="5"/>
  <c r="J420" i="5"/>
  <c r="I420" i="5"/>
  <c r="M420" i="5" s="1"/>
  <c r="V419" i="5"/>
  <c r="J419" i="5"/>
  <c r="I419" i="5"/>
  <c r="M419" i="5" s="1"/>
  <c r="V418" i="5"/>
  <c r="J418" i="5"/>
  <c r="I418" i="5"/>
  <c r="K418" i="5" s="1"/>
  <c r="V417" i="5"/>
  <c r="J417" i="5"/>
  <c r="I417" i="5"/>
  <c r="K417" i="5" s="1"/>
  <c r="V416" i="5"/>
  <c r="J416" i="5"/>
  <c r="I416" i="5"/>
  <c r="M416" i="5" s="1"/>
  <c r="V415" i="5"/>
  <c r="J415" i="5"/>
  <c r="I415" i="5"/>
  <c r="M415" i="5" s="1"/>
  <c r="V414" i="5"/>
  <c r="J414" i="5"/>
  <c r="I414" i="5"/>
  <c r="K414" i="5" s="1"/>
  <c r="V413" i="5"/>
  <c r="J413" i="5"/>
  <c r="I413" i="5"/>
  <c r="K413" i="5" s="1"/>
  <c r="V412" i="5"/>
  <c r="J412" i="5"/>
  <c r="I412" i="5"/>
  <c r="M412" i="5" s="1"/>
  <c r="V411" i="5"/>
  <c r="J411" i="5"/>
  <c r="I411" i="5"/>
  <c r="M411" i="5" s="1"/>
  <c r="V410" i="5"/>
  <c r="J410" i="5"/>
  <c r="I410" i="5"/>
  <c r="K410" i="5" s="1"/>
  <c r="V409" i="5"/>
  <c r="J409" i="5"/>
  <c r="I409" i="5"/>
  <c r="K409" i="5" s="1"/>
  <c r="V408" i="5"/>
  <c r="J408" i="5"/>
  <c r="I408" i="5"/>
  <c r="K408" i="5" s="1"/>
  <c r="V407" i="5"/>
  <c r="J407" i="5"/>
  <c r="I407" i="5"/>
  <c r="M407" i="5" s="1"/>
  <c r="V406" i="5"/>
  <c r="J406" i="5"/>
  <c r="I406" i="5"/>
  <c r="M406" i="5" s="1"/>
  <c r="V405" i="5"/>
  <c r="J405" i="5"/>
  <c r="I405" i="5"/>
  <c r="K405" i="5" s="1"/>
  <c r="V404" i="5"/>
  <c r="J404" i="5"/>
  <c r="I404" i="5"/>
  <c r="K404" i="5" s="1"/>
  <c r="V403" i="5"/>
  <c r="J403" i="5"/>
  <c r="I403" i="5"/>
  <c r="K403" i="5" s="1"/>
  <c r="V402" i="5"/>
  <c r="J402" i="5"/>
  <c r="I402" i="5"/>
  <c r="M402" i="5" s="1"/>
  <c r="V401" i="5"/>
  <c r="J401" i="5"/>
  <c r="I401" i="5"/>
  <c r="M401" i="5" s="1"/>
  <c r="V400" i="5"/>
  <c r="J400" i="5"/>
  <c r="I400" i="5"/>
  <c r="M400" i="5" s="1"/>
  <c r="V399" i="5"/>
  <c r="J399" i="5"/>
  <c r="I399" i="5"/>
  <c r="M399" i="5" s="1"/>
  <c r="V398" i="5"/>
  <c r="J398" i="5"/>
  <c r="I398" i="5"/>
  <c r="M398" i="5" s="1"/>
  <c r="V397" i="5"/>
  <c r="J397" i="5"/>
  <c r="I397" i="5"/>
  <c r="M397" i="5" s="1"/>
  <c r="V396" i="5"/>
  <c r="J396" i="5"/>
  <c r="I396" i="5"/>
  <c r="M396" i="5" s="1"/>
  <c r="V395" i="5"/>
  <c r="J395" i="5"/>
  <c r="I395" i="5"/>
  <c r="K395" i="5" s="1"/>
  <c r="V394" i="5"/>
  <c r="J394" i="5"/>
  <c r="I394" i="5"/>
  <c r="K394" i="5" s="1"/>
  <c r="V393" i="5"/>
  <c r="J393" i="5"/>
  <c r="I393" i="5"/>
  <c r="K393" i="5" s="1"/>
  <c r="V392" i="5"/>
  <c r="J392" i="5"/>
  <c r="I392" i="5"/>
  <c r="K392" i="5" s="1"/>
  <c r="V391" i="5"/>
  <c r="J391" i="5"/>
  <c r="I391" i="5"/>
  <c r="K391" i="5" s="1"/>
  <c r="V390" i="5"/>
  <c r="J390" i="5"/>
  <c r="I390" i="5"/>
  <c r="K390" i="5" s="1"/>
  <c r="V389" i="5"/>
  <c r="J389" i="5"/>
  <c r="I389" i="5"/>
  <c r="M389" i="5" s="1"/>
  <c r="V388" i="5"/>
  <c r="J388" i="5"/>
  <c r="I388" i="5"/>
  <c r="M388" i="5" s="1"/>
  <c r="V387" i="5"/>
  <c r="J387" i="5"/>
  <c r="I387" i="5"/>
  <c r="M387" i="5" s="1"/>
  <c r="V386" i="5"/>
  <c r="J386" i="5"/>
  <c r="I386" i="5"/>
  <c r="M386" i="5" s="1"/>
  <c r="V385" i="5"/>
  <c r="J385" i="5"/>
  <c r="I385" i="5"/>
  <c r="M385" i="5" s="1"/>
  <c r="V384" i="5"/>
  <c r="J384" i="5"/>
  <c r="I384" i="5"/>
  <c r="M384" i="5" s="1"/>
  <c r="V383" i="5"/>
  <c r="J383" i="5"/>
  <c r="I383" i="5"/>
  <c r="M383" i="5" s="1"/>
  <c r="V382" i="5"/>
  <c r="J382" i="5"/>
  <c r="I382" i="5"/>
  <c r="M382" i="5" s="1"/>
  <c r="V381" i="5"/>
  <c r="J381" i="5"/>
  <c r="I381" i="5"/>
  <c r="M381" i="5" s="1"/>
  <c r="V376" i="5"/>
  <c r="J376" i="5"/>
  <c r="I376" i="5"/>
  <c r="M376" i="5" s="1"/>
  <c r="V375" i="5"/>
  <c r="J375" i="5"/>
  <c r="I375" i="5"/>
  <c r="M375" i="5" s="1"/>
  <c r="V362" i="5"/>
  <c r="J362" i="5"/>
  <c r="I362" i="5"/>
  <c r="V361" i="5"/>
  <c r="J361" i="5"/>
  <c r="I361" i="5"/>
  <c r="M361" i="5" s="1"/>
  <c r="V360" i="5"/>
  <c r="J360" i="5"/>
  <c r="I360" i="5"/>
  <c r="M360" i="5" s="1"/>
  <c r="V359" i="5"/>
  <c r="J359" i="5"/>
  <c r="I359" i="5"/>
  <c r="M359" i="5" s="1"/>
  <c r="V358" i="5"/>
  <c r="J358" i="5"/>
  <c r="I358" i="5"/>
  <c r="K358" i="5" s="1"/>
  <c r="V357" i="5"/>
  <c r="J357" i="5"/>
  <c r="I357" i="5"/>
  <c r="K357" i="5" s="1"/>
  <c r="V356" i="5"/>
  <c r="J356" i="5"/>
  <c r="I356" i="5"/>
  <c r="M356" i="5" s="1"/>
  <c r="V355" i="5"/>
  <c r="J355" i="5"/>
  <c r="I355" i="5"/>
  <c r="M355" i="5" s="1"/>
  <c r="V354" i="5"/>
  <c r="J354" i="5"/>
  <c r="I354" i="5"/>
  <c r="K354" i="5" s="1"/>
  <c r="V353" i="5"/>
  <c r="J353" i="5"/>
  <c r="I353" i="5"/>
  <c r="K353" i="5" s="1"/>
  <c r="V352" i="5"/>
  <c r="J352" i="5"/>
  <c r="I352" i="5"/>
  <c r="M352" i="5" s="1"/>
  <c r="V351" i="5"/>
  <c r="J351" i="5"/>
  <c r="I351" i="5"/>
  <c r="M351" i="5" s="1"/>
  <c r="V350" i="5"/>
  <c r="J350" i="5"/>
  <c r="I350" i="5"/>
  <c r="K350" i="5" s="1"/>
  <c r="V349" i="5"/>
  <c r="J349" i="5"/>
  <c r="I349" i="5"/>
  <c r="M349" i="5" s="1"/>
  <c r="V347" i="5"/>
  <c r="J347" i="5"/>
  <c r="I347" i="5"/>
  <c r="K347" i="5" s="1"/>
  <c r="V346" i="5"/>
  <c r="J346" i="5"/>
  <c r="I346" i="5"/>
  <c r="M346" i="5" s="1"/>
  <c r="V345" i="5"/>
  <c r="J345" i="5"/>
  <c r="I345" i="5"/>
  <c r="M345" i="5" s="1"/>
  <c r="V344" i="5"/>
  <c r="J344" i="5"/>
  <c r="I344" i="5"/>
  <c r="M344" i="5" s="1"/>
  <c r="V343" i="5"/>
  <c r="J343" i="5"/>
  <c r="I343" i="5"/>
  <c r="M343" i="5" s="1"/>
  <c r="V341" i="5"/>
  <c r="J341" i="5"/>
  <c r="I341" i="5"/>
  <c r="M341" i="5" s="1"/>
  <c r="V340" i="5"/>
  <c r="J340" i="5"/>
  <c r="I340" i="5"/>
  <c r="M340" i="5" s="1"/>
  <c r="V339" i="5"/>
  <c r="J339" i="5"/>
  <c r="I339" i="5"/>
  <c r="M339" i="5" s="1"/>
  <c r="V338" i="5"/>
  <c r="J338" i="5"/>
  <c r="I338" i="5"/>
  <c r="K338" i="5" s="1"/>
  <c r="V336" i="5"/>
  <c r="J336" i="5"/>
  <c r="I336" i="5"/>
  <c r="M336" i="5" s="1"/>
  <c r="V335" i="5"/>
  <c r="J335" i="5"/>
  <c r="I335" i="5"/>
  <c r="K335" i="5" s="1"/>
  <c r="V334" i="5"/>
  <c r="J334" i="5"/>
  <c r="I334" i="5"/>
  <c r="K334" i="5" s="1"/>
  <c r="V333" i="5"/>
  <c r="J333" i="5"/>
  <c r="I333" i="5"/>
  <c r="K333" i="5" s="1"/>
  <c r="V332" i="5"/>
  <c r="J332" i="5"/>
  <c r="I332" i="5"/>
  <c r="M332" i="5" s="1"/>
  <c r="V330" i="5"/>
  <c r="J330" i="5"/>
  <c r="I330" i="5"/>
  <c r="M330" i="5" s="1"/>
  <c r="V329" i="5"/>
  <c r="J329" i="5"/>
  <c r="I329" i="5"/>
  <c r="M329" i="5" s="1"/>
  <c r="V328" i="5"/>
  <c r="J328" i="5"/>
  <c r="I328" i="5"/>
  <c r="M328" i="5" s="1"/>
  <c r="V327" i="5"/>
  <c r="J327" i="5"/>
  <c r="I327" i="5"/>
  <c r="K327" i="5" s="1"/>
  <c r="V326" i="5"/>
  <c r="J326" i="5"/>
  <c r="I326" i="5"/>
  <c r="M326" i="5" s="1"/>
  <c r="V325" i="5"/>
  <c r="J325" i="5"/>
  <c r="I325" i="5"/>
  <c r="K325" i="5" s="1"/>
  <c r="V324" i="5"/>
  <c r="V322" i="5"/>
  <c r="J322" i="5"/>
  <c r="I322" i="5"/>
  <c r="M322" i="5" s="1"/>
  <c r="V321" i="5"/>
  <c r="J321" i="5"/>
  <c r="I321" i="5"/>
  <c r="M321" i="5" s="1"/>
  <c r="V320" i="5"/>
  <c r="J320" i="5"/>
  <c r="I320" i="5"/>
  <c r="M320" i="5" s="1"/>
  <c r="V319" i="5"/>
  <c r="J319" i="5"/>
  <c r="I319" i="5"/>
  <c r="M319" i="5" s="1"/>
  <c r="V317" i="5"/>
  <c r="J317" i="5"/>
  <c r="I317" i="5"/>
  <c r="K317" i="5" s="1"/>
  <c r="V316" i="5"/>
  <c r="J316" i="5"/>
  <c r="I316" i="5"/>
  <c r="K316" i="5" s="1"/>
  <c r="V315" i="5"/>
  <c r="J315" i="5"/>
  <c r="I315" i="5"/>
  <c r="K315" i="5" s="1"/>
  <c r="V314" i="5"/>
  <c r="J314" i="5"/>
  <c r="I314" i="5"/>
  <c r="M314" i="5" s="1"/>
  <c r="V313" i="5"/>
  <c r="J313" i="5"/>
  <c r="I313" i="5"/>
  <c r="M313" i="5" s="1"/>
  <c r="V312" i="5"/>
  <c r="I311" i="5"/>
  <c r="M311" i="5" s="1"/>
  <c r="J311" i="5"/>
  <c r="J310" i="5"/>
  <c r="J306" i="5"/>
  <c r="I306" i="5"/>
  <c r="M306" i="5" s="1"/>
  <c r="J303" i="5"/>
  <c r="I303" i="5"/>
  <c r="M303" i="5" s="1"/>
  <c r="J302" i="5"/>
  <c r="I302" i="5"/>
  <c r="M302" i="5" s="1"/>
  <c r="V301" i="5"/>
  <c r="V300" i="5"/>
  <c r="J300" i="5"/>
  <c r="I300" i="5"/>
  <c r="M300" i="5" s="1"/>
  <c r="J299" i="5"/>
  <c r="I299" i="5"/>
  <c r="M299" i="5" s="1"/>
  <c r="V310" i="5"/>
  <c r="V298" i="5"/>
  <c r="J298" i="5"/>
  <c r="V297" i="5"/>
  <c r="I297" i="5"/>
  <c r="M297" i="5" s="1"/>
  <c r="J297" i="5"/>
  <c r="V296" i="5"/>
  <c r="J296" i="5"/>
  <c r="I296" i="5"/>
  <c r="M296" i="5" s="1"/>
  <c r="J295" i="5"/>
  <c r="I295" i="5"/>
  <c r="M295" i="5" s="1"/>
  <c r="V306" i="5"/>
  <c r="V294" i="5"/>
  <c r="J294" i="5"/>
  <c r="V292" i="5"/>
  <c r="J292" i="5"/>
  <c r="I292" i="5"/>
  <c r="M292" i="5" s="1"/>
  <c r="V303" i="5"/>
  <c r="J291" i="5"/>
  <c r="I291" i="5"/>
  <c r="M291" i="5" s="1"/>
  <c r="V291" i="5"/>
  <c r="V290" i="5"/>
  <c r="J290" i="5"/>
  <c r="I290" i="5"/>
  <c r="M290" i="5" s="1"/>
  <c r="V289" i="5"/>
  <c r="J289" i="5"/>
  <c r="I289" i="5"/>
  <c r="M289" i="5" s="1"/>
  <c r="V288" i="5"/>
  <c r="J288" i="5"/>
  <c r="I288" i="5"/>
  <c r="M288" i="5" s="1"/>
  <c r="V287" i="5"/>
  <c r="J287" i="5"/>
  <c r="I287" i="5"/>
  <c r="M287" i="5" s="1"/>
  <c r="V286" i="5"/>
  <c r="J286" i="5"/>
  <c r="I286" i="5"/>
  <c r="M286" i="5" s="1"/>
  <c r="V285" i="5"/>
  <c r="J285" i="5"/>
  <c r="I285" i="5"/>
  <c r="M285" i="5" s="1"/>
  <c r="V284" i="5"/>
  <c r="J284" i="5"/>
  <c r="I284" i="5"/>
  <c r="M284" i="5" s="1"/>
  <c r="V283" i="5"/>
  <c r="J283" i="5"/>
  <c r="I283" i="5"/>
  <c r="M283" i="5" s="1"/>
  <c r="V282" i="5"/>
  <c r="J282" i="5"/>
  <c r="I282" i="5"/>
  <c r="V281" i="5"/>
  <c r="J281" i="5"/>
  <c r="I281" i="5"/>
  <c r="M281" i="5" s="1"/>
  <c r="V280" i="5"/>
  <c r="J280" i="5"/>
  <c r="I280" i="5"/>
  <c r="M280" i="5" s="1"/>
  <c r="V279" i="5"/>
  <c r="J279" i="5"/>
  <c r="I279" i="5"/>
  <c r="M279" i="5" s="1"/>
  <c r="V278" i="5"/>
  <c r="J278" i="5"/>
  <c r="I278" i="5"/>
  <c r="M278" i="5" s="1"/>
  <c r="V277" i="5"/>
  <c r="J277" i="5"/>
  <c r="I277" i="5"/>
  <c r="M277" i="5" s="1"/>
  <c r="V276" i="5"/>
  <c r="J276" i="5"/>
  <c r="I276" i="5"/>
  <c r="M276" i="5" s="1"/>
  <c r="V275" i="5"/>
  <c r="J275" i="5"/>
  <c r="I275" i="5"/>
  <c r="M275" i="5" s="1"/>
  <c r="V274" i="5"/>
  <c r="J274" i="5"/>
  <c r="I274" i="5"/>
  <c r="M274" i="5" s="1"/>
  <c r="V273" i="5"/>
  <c r="J273" i="5"/>
  <c r="I273" i="5"/>
  <c r="M273" i="5" s="1"/>
  <c r="V272" i="5"/>
  <c r="J272" i="5"/>
  <c r="I272" i="5"/>
  <c r="M272" i="5" s="1"/>
  <c r="V271" i="5"/>
  <c r="I271" i="5"/>
  <c r="M271" i="5" s="1"/>
  <c r="J271" i="5"/>
  <c r="V270" i="5"/>
  <c r="J270" i="5"/>
  <c r="I270" i="5"/>
  <c r="M270" i="5" s="1"/>
  <c r="V269" i="5"/>
  <c r="J269" i="5"/>
  <c r="I269" i="5"/>
  <c r="M269" i="5" s="1"/>
  <c r="V268" i="5"/>
  <c r="J268" i="5"/>
  <c r="I268" i="5"/>
  <c r="M268" i="5" s="1"/>
  <c r="V267" i="5"/>
  <c r="J267" i="5"/>
  <c r="I267" i="5"/>
  <c r="M267" i="5" s="1"/>
  <c r="V266" i="5"/>
  <c r="J266" i="5"/>
  <c r="I266" i="5"/>
  <c r="M266" i="5" s="1"/>
  <c r="V265" i="5"/>
  <c r="J265" i="5"/>
  <c r="I265" i="5"/>
  <c r="M265" i="5" s="1"/>
  <c r="V264" i="5"/>
  <c r="J264" i="5"/>
  <c r="I264" i="5"/>
  <c r="M264" i="5" s="1"/>
  <c r="V263" i="5"/>
  <c r="J263" i="5"/>
  <c r="I263" i="5"/>
  <c r="M263" i="5" s="1"/>
  <c r="V262" i="5"/>
  <c r="J262" i="5"/>
  <c r="I262" i="5"/>
  <c r="M262" i="5" s="1"/>
  <c r="V261" i="5"/>
  <c r="J261" i="5"/>
  <c r="I261" i="5"/>
  <c r="M261" i="5" s="1"/>
  <c r="V260" i="5"/>
  <c r="J260" i="5"/>
  <c r="I260" i="5"/>
  <c r="M260" i="5" s="1"/>
  <c r="V259" i="5"/>
  <c r="J259" i="5"/>
  <c r="I259" i="5"/>
  <c r="M259" i="5" s="1"/>
  <c r="V258" i="5"/>
  <c r="J258" i="5"/>
  <c r="I258" i="5"/>
  <c r="M258" i="5" s="1"/>
  <c r="V257" i="5"/>
  <c r="J257" i="5"/>
  <c r="I257" i="5"/>
  <c r="M257" i="5" s="1"/>
  <c r="V256" i="5"/>
  <c r="J256" i="5"/>
  <c r="I256" i="5"/>
  <c r="M256" i="5" s="1"/>
  <c r="V255" i="5"/>
  <c r="J255" i="5"/>
  <c r="I255" i="5"/>
  <c r="M255" i="5" s="1"/>
  <c r="V254" i="5"/>
  <c r="J254" i="5"/>
  <c r="I254" i="5"/>
  <c r="M254" i="5" s="1"/>
  <c r="V253" i="5"/>
  <c r="J253" i="5"/>
  <c r="I253" i="5"/>
  <c r="M253" i="5" s="1"/>
  <c r="V252" i="5"/>
  <c r="J252" i="5"/>
  <c r="I252" i="5"/>
  <c r="M252" i="5" s="1"/>
  <c r="V251" i="5"/>
  <c r="J251" i="5"/>
  <c r="I251" i="5"/>
  <c r="M251" i="5" s="1"/>
  <c r="V250" i="5"/>
  <c r="J250" i="5"/>
  <c r="I250" i="5"/>
  <c r="V249" i="5"/>
  <c r="J249" i="5"/>
  <c r="I249" i="5"/>
  <c r="M249" i="5" s="1"/>
  <c r="V248" i="5"/>
  <c r="J248" i="5"/>
  <c r="I248" i="5"/>
  <c r="M248" i="5" s="1"/>
  <c r="V247" i="5"/>
  <c r="J247" i="5"/>
  <c r="I247" i="5"/>
  <c r="M247" i="5" s="1"/>
  <c r="V246" i="5"/>
  <c r="V245" i="5"/>
  <c r="J245" i="5"/>
  <c r="I245" i="5"/>
  <c r="M245" i="5" s="1"/>
  <c r="V244" i="5"/>
  <c r="J244" i="5"/>
  <c r="I244" i="5"/>
  <c r="M244" i="5" s="1"/>
  <c r="V243" i="5"/>
  <c r="J243" i="5"/>
  <c r="I243" i="5"/>
  <c r="M243" i="5" s="1"/>
  <c r="V242" i="5"/>
  <c r="J242" i="5"/>
  <c r="I242" i="5"/>
  <c r="M242" i="5" s="1"/>
  <c r="J239" i="5"/>
  <c r="I239" i="5"/>
  <c r="P239" i="5" s="1"/>
  <c r="V239" i="5"/>
  <c r="V237" i="5"/>
  <c r="J237" i="5"/>
  <c r="I237" i="5"/>
  <c r="M237" i="5" s="1"/>
  <c r="V236" i="5"/>
  <c r="J236" i="5"/>
  <c r="I236" i="5"/>
  <c r="M236" i="5" s="1"/>
  <c r="V235" i="5"/>
  <c r="J235" i="5"/>
  <c r="I235" i="5"/>
  <c r="M235" i="5" s="1"/>
  <c r="V234" i="5"/>
  <c r="J234" i="5"/>
  <c r="I234" i="5"/>
  <c r="M234" i="5" s="1"/>
  <c r="V233" i="5"/>
  <c r="J233" i="5"/>
  <c r="I233" i="5"/>
  <c r="M233" i="5" s="1"/>
  <c r="V232" i="5"/>
  <c r="J232" i="5"/>
  <c r="I232" i="5"/>
  <c r="M232" i="5" s="1"/>
  <c r="V231" i="5"/>
  <c r="J231" i="5"/>
  <c r="I231" i="5"/>
  <c r="M231" i="5" s="1"/>
  <c r="V230" i="5"/>
  <c r="J230" i="5"/>
  <c r="I230" i="5"/>
  <c r="M230" i="5" s="1"/>
  <c r="V229" i="5"/>
  <c r="J229" i="5"/>
  <c r="I229" i="5"/>
  <c r="M229" i="5" s="1"/>
  <c r="V228" i="5"/>
  <c r="J228" i="5"/>
  <c r="I228" i="5"/>
  <c r="M228" i="5" s="1"/>
  <c r="V227" i="5"/>
  <c r="J227" i="5"/>
  <c r="I227" i="5"/>
  <c r="M227" i="5" s="1"/>
  <c r="V226" i="5"/>
  <c r="J226" i="5"/>
  <c r="I226" i="5"/>
  <c r="M226" i="5" s="1"/>
  <c r="V225" i="5"/>
  <c r="J225" i="5"/>
  <c r="I225" i="5"/>
  <c r="M225" i="5" s="1"/>
  <c r="V224" i="5"/>
  <c r="J224" i="5"/>
  <c r="I224" i="5"/>
  <c r="M224" i="5" s="1"/>
  <c r="V223" i="5"/>
  <c r="J223" i="5"/>
  <c r="I223" i="5"/>
  <c r="M223" i="5" s="1"/>
  <c r="V222" i="5"/>
  <c r="J222" i="5"/>
  <c r="I222" i="5"/>
  <c r="M222" i="5" s="1"/>
  <c r="V221" i="5"/>
  <c r="J221" i="5"/>
  <c r="I221" i="5"/>
  <c r="M221" i="5" s="1"/>
  <c r="V220" i="5"/>
  <c r="J220" i="5"/>
  <c r="I220" i="5"/>
  <c r="M220" i="5" s="1"/>
  <c r="V219" i="5"/>
  <c r="J219" i="5"/>
  <c r="I219" i="5"/>
  <c r="Q219" i="5" s="1"/>
  <c r="Q436" i="5" s="1"/>
  <c r="V215" i="5"/>
  <c r="J215" i="5"/>
  <c r="I215" i="5"/>
  <c r="R215" i="5" s="1"/>
  <c r="V214" i="5"/>
  <c r="J214" i="5"/>
  <c r="I214" i="5"/>
  <c r="R214" i="5" s="1"/>
  <c r="V213" i="5"/>
  <c r="J213" i="5"/>
  <c r="I213" i="5"/>
  <c r="R213" i="5" s="1"/>
  <c r="V206" i="5"/>
  <c r="J206" i="5"/>
  <c r="I206" i="5"/>
  <c r="R206" i="5" s="1"/>
  <c r="V204" i="5"/>
  <c r="J204" i="5"/>
  <c r="I204" i="5"/>
  <c r="R204" i="5" s="1"/>
  <c r="V202" i="5"/>
  <c r="J202" i="5"/>
  <c r="I202" i="5"/>
  <c r="R202" i="5" s="1"/>
  <c r="V200" i="5"/>
  <c r="J200" i="5"/>
  <c r="I200" i="5"/>
  <c r="R200" i="5" s="1"/>
  <c r="V199" i="5"/>
  <c r="J199" i="5"/>
  <c r="I199" i="5"/>
  <c r="R199" i="5" s="1"/>
  <c r="V194" i="5"/>
  <c r="J194" i="5"/>
  <c r="I194" i="5"/>
  <c r="V190" i="5"/>
  <c r="V189" i="5"/>
  <c r="V188" i="5"/>
  <c r="V187" i="5"/>
  <c r="V186" i="5"/>
  <c r="J186" i="5"/>
  <c r="I186" i="5"/>
  <c r="O186" i="5" s="1"/>
  <c r="V185" i="5"/>
  <c r="J185" i="5"/>
  <c r="I185" i="5"/>
  <c r="N185" i="5" s="1"/>
  <c r="V184" i="5"/>
  <c r="J184" i="5"/>
  <c r="I184" i="5"/>
  <c r="O184" i="5" s="1"/>
  <c r="V183" i="5"/>
  <c r="J183" i="5"/>
  <c r="I183" i="5"/>
  <c r="N183" i="5" s="1"/>
  <c r="V181" i="5"/>
  <c r="J181" i="5"/>
  <c r="I181" i="5"/>
  <c r="M181" i="5" s="1"/>
  <c r="V180" i="5"/>
  <c r="J180" i="5"/>
  <c r="I180" i="5"/>
  <c r="V179" i="5"/>
  <c r="J179" i="5"/>
  <c r="I179" i="5"/>
  <c r="O179" i="5" s="1"/>
  <c r="V178" i="5"/>
  <c r="J178" i="5"/>
  <c r="I178" i="5"/>
  <c r="N178" i="5" s="1"/>
  <c r="V177" i="5"/>
  <c r="J177" i="5"/>
  <c r="I177" i="5"/>
  <c r="V176" i="5"/>
  <c r="J176" i="5"/>
  <c r="I176" i="5"/>
  <c r="M176" i="5" s="1"/>
  <c r="V175" i="5"/>
  <c r="J175" i="5"/>
  <c r="I175" i="5"/>
  <c r="M175" i="5" s="1"/>
  <c r="V174" i="5"/>
  <c r="J174" i="5"/>
  <c r="I174" i="5"/>
  <c r="M174" i="5" s="1"/>
  <c r="V173" i="5"/>
  <c r="J173" i="5"/>
  <c r="I173" i="5"/>
  <c r="M173" i="5" s="1"/>
  <c r="V172" i="5"/>
  <c r="J172" i="5"/>
  <c r="I172" i="5"/>
  <c r="M172" i="5" s="1"/>
  <c r="V171" i="5"/>
  <c r="J171" i="5"/>
  <c r="I171" i="5"/>
  <c r="M171" i="5" s="1"/>
  <c r="V169" i="5"/>
  <c r="J169" i="5"/>
  <c r="I169" i="5"/>
  <c r="R169" i="5" s="1"/>
  <c r="V168" i="5"/>
  <c r="J168" i="5"/>
  <c r="I168" i="5"/>
  <c r="M168" i="5" s="1"/>
  <c r="V167" i="5"/>
  <c r="J167" i="5"/>
  <c r="I167" i="5"/>
  <c r="M167" i="5" s="1"/>
  <c r="V166" i="5"/>
  <c r="J166" i="5"/>
  <c r="I166" i="5"/>
  <c r="M166" i="5" s="1"/>
  <c r="V165" i="5"/>
  <c r="J165" i="5"/>
  <c r="I165" i="5"/>
  <c r="M165" i="5" s="1"/>
  <c r="V164" i="5"/>
  <c r="J164" i="5"/>
  <c r="I164" i="5"/>
  <c r="V163" i="5"/>
  <c r="J163" i="5"/>
  <c r="I163" i="5"/>
  <c r="M163" i="5" s="1"/>
  <c r="V162" i="5"/>
  <c r="J162" i="5"/>
  <c r="I162" i="5"/>
  <c r="M162" i="5" s="1"/>
  <c r="V161" i="5"/>
  <c r="J161" i="5"/>
  <c r="I161" i="5"/>
  <c r="M161" i="5" s="1"/>
  <c r="V160" i="5"/>
  <c r="J160" i="5"/>
  <c r="I160" i="5"/>
  <c r="M160" i="5" s="1"/>
  <c r="V159" i="5"/>
  <c r="J159" i="5"/>
  <c r="I159" i="5"/>
  <c r="M159" i="5" s="1"/>
  <c r="V158" i="5"/>
  <c r="J158" i="5"/>
  <c r="I158" i="5"/>
  <c r="M158" i="5" s="1"/>
  <c r="V157" i="5"/>
  <c r="J157" i="5"/>
  <c r="I157" i="5"/>
  <c r="M157" i="5" s="1"/>
  <c r="V156" i="5"/>
  <c r="J156" i="5"/>
  <c r="I156" i="5"/>
  <c r="M156" i="5" s="1"/>
  <c r="V155" i="5"/>
  <c r="J155" i="5"/>
  <c r="I155" i="5"/>
  <c r="M155" i="5" s="1"/>
  <c r="V154" i="5"/>
  <c r="J154" i="5"/>
  <c r="I154" i="5"/>
  <c r="M154" i="5" s="1"/>
  <c r="V153" i="5"/>
  <c r="J153" i="5"/>
  <c r="I153" i="5"/>
  <c r="M153" i="5" s="1"/>
  <c r="V150" i="5"/>
  <c r="V149" i="5"/>
  <c r="V148" i="5"/>
  <c r="V147" i="5"/>
  <c r="V146" i="5"/>
  <c r="J146" i="5"/>
  <c r="I146" i="5"/>
  <c r="O146" i="5" s="1"/>
  <c r="V145" i="5"/>
  <c r="V144" i="5"/>
  <c r="J144" i="5"/>
  <c r="I144" i="5"/>
  <c r="N144" i="5" s="1"/>
  <c r="V143" i="5"/>
  <c r="J143" i="5"/>
  <c r="I143" i="5"/>
  <c r="N143" i="5" s="1"/>
  <c r="V142" i="5"/>
  <c r="J142" i="5"/>
  <c r="I142" i="5"/>
  <c r="O142" i="5" s="1"/>
  <c r="V141" i="5"/>
  <c r="J141" i="5"/>
  <c r="I141" i="5"/>
  <c r="N141" i="5" s="1"/>
  <c r="V140" i="5"/>
  <c r="J140" i="5"/>
  <c r="I140" i="5"/>
  <c r="M140" i="5" s="1"/>
  <c r="V138" i="5"/>
  <c r="J138" i="5"/>
  <c r="I138" i="5"/>
  <c r="K138" i="5" s="1"/>
  <c r="V137" i="5"/>
  <c r="J137" i="5"/>
  <c r="I137" i="5"/>
  <c r="M137" i="5" s="1"/>
  <c r="V136" i="5"/>
  <c r="J136" i="5"/>
  <c r="I136" i="5"/>
  <c r="M136" i="5" s="1"/>
  <c r="V135" i="5"/>
  <c r="J135" i="5"/>
  <c r="I135" i="5"/>
  <c r="M135" i="5" s="1"/>
  <c r="V133" i="5"/>
  <c r="J133" i="5"/>
  <c r="I133" i="5"/>
  <c r="L133" i="5" s="1"/>
  <c r="V31" i="5"/>
  <c r="V30" i="5"/>
  <c r="V29" i="5"/>
  <c r="V28" i="5"/>
  <c r="V27" i="5"/>
  <c r="V26" i="5"/>
  <c r="V25" i="5"/>
  <c r="V24" i="5"/>
  <c r="V20" i="5"/>
  <c r="V19" i="5"/>
  <c r="V18" i="5"/>
  <c r="V17" i="5"/>
  <c r="J17" i="5"/>
  <c r="I17" i="5"/>
  <c r="L17" i="5" s="1"/>
  <c r="V16" i="5"/>
  <c r="J16" i="5"/>
  <c r="I16" i="5"/>
  <c r="L16" i="5" s="1"/>
  <c r="V15" i="5"/>
  <c r="J15" i="5"/>
  <c r="I15" i="5"/>
  <c r="L15" i="5" s="1"/>
  <c r="V14" i="5"/>
  <c r="J14" i="5"/>
  <c r="I14" i="5"/>
  <c r="L14" i="5" s="1"/>
  <c r="V13" i="5"/>
  <c r="J13" i="5"/>
  <c r="I13" i="5"/>
  <c r="L13" i="5" s="1"/>
  <c r="V12" i="5"/>
  <c r="J12" i="5"/>
  <c r="I12" i="5"/>
  <c r="V11" i="5"/>
  <c r="J11" i="5"/>
  <c r="I11" i="5"/>
  <c r="V10" i="5"/>
  <c r="V9" i="5"/>
  <c r="V8" i="5"/>
  <c r="J8" i="5"/>
  <c r="I8" i="5"/>
  <c r="K8" i="5" s="1"/>
  <c r="V7" i="5"/>
  <c r="J7" i="5"/>
  <c r="I7" i="5"/>
  <c r="K7" i="5" l="1"/>
  <c r="I82" i="5"/>
  <c r="L82" i="5" s="1"/>
  <c r="V82" i="5"/>
  <c r="J82" i="5"/>
  <c r="N436" i="5"/>
  <c r="L12" i="5"/>
  <c r="L11" i="5"/>
  <c r="R436" i="5"/>
  <c r="I240" i="5"/>
  <c r="P240" i="5" s="1"/>
  <c r="P436" i="5" s="1"/>
  <c r="V240" i="5"/>
  <c r="J240" i="5"/>
  <c r="J307" i="5"/>
  <c r="V307" i="5"/>
  <c r="I307" i="5"/>
  <c r="M307" i="5" s="1"/>
  <c r="J308" i="5"/>
  <c r="I308" i="5"/>
  <c r="M308" i="5" s="1"/>
  <c r="V308" i="5"/>
  <c r="I10" i="5"/>
  <c r="K10" i="5" s="1"/>
  <c r="J10" i="5"/>
  <c r="J241" i="5"/>
  <c r="I241" i="5"/>
  <c r="M241" i="5" s="1"/>
  <c r="V241" i="5"/>
  <c r="J9" i="5"/>
  <c r="I9" i="5"/>
  <c r="L9" i="5" s="1"/>
  <c r="I246" i="5"/>
  <c r="M246" i="5" s="1"/>
  <c r="J246" i="5"/>
  <c r="J145" i="5"/>
  <c r="I145" i="5"/>
  <c r="O145" i="5" s="1"/>
  <c r="O436" i="5" s="1"/>
  <c r="I238" i="5"/>
  <c r="M238" i="5" s="1"/>
  <c r="J238" i="5"/>
  <c r="V238" i="5"/>
  <c r="J312" i="5"/>
  <c r="I312" i="5"/>
  <c r="M312" i="5" s="1"/>
  <c r="S436" i="5"/>
  <c r="I294" i="5"/>
  <c r="M294" i="5" s="1"/>
  <c r="I298" i="5"/>
  <c r="M298" i="5" s="1"/>
  <c r="J301" i="5"/>
  <c r="I301" i="5"/>
  <c r="M301" i="5" s="1"/>
  <c r="I310" i="5"/>
  <c r="M310" i="5" s="1"/>
  <c r="V311" i="5"/>
  <c r="V302" i="5"/>
  <c r="V295" i="5"/>
  <c r="V299" i="5"/>
  <c r="K436" i="5" l="1"/>
  <c r="I309" i="5"/>
  <c r="M309" i="5" s="1"/>
  <c r="V309" i="5"/>
  <c r="J309" i="5"/>
  <c r="J293" i="5"/>
  <c r="I293" i="5"/>
  <c r="M293" i="5" s="1"/>
  <c r="V293" i="5"/>
  <c r="I305" i="5"/>
  <c r="M305" i="5" s="1"/>
  <c r="V305" i="5"/>
  <c r="J305" i="5"/>
  <c r="V304" i="5" l="1"/>
  <c r="V436" i="5" s="1"/>
  <c r="J304" i="5"/>
  <c r="J436" i="5" s="1"/>
  <c r="H436" i="5"/>
  <c r="I304" i="5"/>
  <c r="M304" i="5" s="1"/>
  <c r="M436" i="5" s="1"/>
  <c r="I436" i="5" l="1"/>
  <c r="L436" i="5"/>
  <c r="F31" i="2" l="1"/>
  <c r="F28" i="2"/>
  <c r="F25" i="2"/>
  <c r="F18" i="2"/>
  <c r="F10" i="2"/>
  <c r="N25" i="2"/>
  <c r="P23" i="2"/>
  <c r="O23" i="2"/>
  <c r="I23" i="2"/>
  <c r="H23" i="2"/>
  <c r="G23" i="2"/>
  <c r="P22" i="2"/>
  <c r="O22" i="2"/>
  <c r="I22" i="2"/>
  <c r="H22" i="2"/>
  <c r="G22" i="2"/>
  <c r="N18" i="2"/>
  <c r="P17" i="2"/>
  <c r="O17" i="2"/>
  <c r="Q17" i="2" s="1"/>
  <c r="H17" i="2"/>
  <c r="G17" i="2"/>
  <c r="P16" i="2"/>
  <c r="O16" i="2"/>
  <c r="I16" i="2"/>
  <c r="H16" i="2"/>
  <c r="G16" i="2"/>
  <c r="P15" i="2"/>
  <c r="O15" i="2"/>
  <c r="I15" i="2"/>
  <c r="H15" i="2"/>
  <c r="G15" i="2"/>
  <c r="P14" i="2"/>
  <c r="O14" i="2"/>
  <c r="I14" i="2"/>
  <c r="H14" i="2"/>
  <c r="G14" i="2"/>
  <c r="P13" i="2"/>
  <c r="O13" i="2"/>
  <c r="I13" i="2"/>
  <c r="H13" i="2"/>
  <c r="G13" i="2"/>
  <c r="P12" i="2"/>
  <c r="O12" i="2"/>
  <c r="I12" i="2"/>
  <c r="H12" i="2"/>
  <c r="G12" i="2"/>
  <c r="P11" i="2"/>
  <c r="O11" i="2"/>
  <c r="I11" i="2"/>
  <c r="H11" i="2"/>
  <c r="G11" i="2"/>
  <c r="O32" i="4"/>
  <c r="H32" i="4" s="1"/>
  <c r="O29" i="4"/>
  <c r="O15" i="4"/>
  <c r="G15" i="4" s="1"/>
  <c r="O14" i="4"/>
  <c r="N31" i="2"/>
  <c r="N28" i="2"/>
  <c r="P27" i="2"/>
  <c r="O27" i="2"/>
  <c r="P26" i="2"/>
  <c r="O26" i="2"/>
  <c r="I26" i="2"/>
  <c r="G26" i="2"/>
  <c r="N10" i="2"/>
  <c r="P9" i="2"/>
  <c r="O9" i="2"/>
  <c r="H9" i="2"/>
  <c r="G9" i="2"/>
  <c r="P8" i="2"/>
  <c r="O8" i="2"/>
  <c r="I8" i="2"/>
  <c r="H8" i="2"/>
  <c r="G8" i="2"/>
  <c r="P7" i="2"/>
  <c r="O7" i="2"/>
  <c r="I7" i="2"/>
  <c r="H7" i="2"/>
  <c r="G7" i="2"/>
  <c r="P6" i="2"/>
  <c r="O6" i="2"/>
  <c r="I6" i="2"/>
  <c r="H6" i="2"/>
  <c r="G6" i="2"/>
  <c r="P5" i="2"/>
  <c r="O5" i="2"/>
  <c r="I5" i="2"/>
  <c r="H5" i="2"/>
  <c r="G5" i="2"/>
  <c r="P4" i="2"/>
  <c r="O4" i="2"/>
  <c r="I4" i="2"/>
  <c r="H4" i="2"/>
  <c r="G4" i="2"/>
  <c r="I32" i="4" l="1"/>
  <c r="I33" i="4" s="1"/>
  <c r="H29" i="4"/>
  <c r="G29" i="4"/>
  <c r="Q22" i="2"/>
  <c r="J22" i="2"/>
  <c r="P25" i="2"/>
  <c r="K22" i="2"/>
  <c r="Q23" i="2"/>
  <c r="G31" i="2"/>
  <c r="J13" i="2"/>
  <c r="J17" i="2"/>
  <c r="R17" i="2"/>
  <c r="J23" i="2"/>
  <c r="R23" i="2"/>
  <c r="K23" i="2"/>
  <c r="O25" i="2"/>
  <c r="G25" i="2"/>
  <c r="H25" i="2"/>
  <c r="R22" i="2"/>
  <c r="K17" i="2"/>
  <c r="Q11" i="2"/>
  <c r="R11" i="2"/>
  <c r="Q12" i="2"/>
  <c r="R13" i="2"/>
  <c r="R14" i="2"/>
  <c r="Q15" i="2"/>
  <c r="R16" i="2"/>
  <c r="K11" i="2"/>
  <c r="J12" i="2"/>
  <c r="Q13" i="2"/>
  <c r="K13" i="2"/>
  <c r="Q14" i="2"/>
  <c r="K15" i="2"/>
  <c r="K16" i="2"/>
  <c r="K12" i="2"/>
  <c r="K14" i="2"/>
  <c r="J15" i="2"/>
  <c r="R15" i="2"/>
  <c r="R12" i="2"/>
  <c r="J16" i="2"/>
  <c r="Q16" i="2"/>
  <c r="G18" i="2"/>
  <c r="J14" i="2"/>
  <c r="P18" i="2"/>
  <c r="O18" i="2"/>
  <c r="J11" i="2"/>
  <c r="H18" i="2"/>
  <c r="H31" i="2"/>
  <c r="O31" i="2"/>
  <c r="R8" i="2"/>
  <c r="R27" i="2"/>
  <c r="Q6" i="2"/>
  <c r="J6" i="2"/>
  <c r="R6" i="2"/>
  <c r="K6" i="2"/>
  <c r="R26" i="2"/>
  <c r="J26" i="2"/>
  <c r="O10" i="2"/>
  <c r="J4" i="2"/>
  <c r="R4" i="2"/>
  <c r="K4" i="2"/>
  <c r="K8" i="2"/>
  <c r="Q9" i="2"/>
  <c r="G27" i="2"/>
  <c r="J27" i="2" s="1"/>
  <c r="P28" i="2"/>
  <c r="K5" i="2"/>
  <c r="R5" i="2"/>
  <c r="J5" i="2"/>
  <c r="Q5" i="2"/>
  <c r="J7" i="2"/>
  <c r="R7" i="2"/>
  <c r="Q8" i="2"/>
  <c r="R9" i="2"/>
  <c r="H27" i="2"/>
  <c r="K27" i="2" s="1"/>
  <c r="Q27" i="2"/>
  <c r="Q7" i="2"/>
  <c r="K7" i="2"/>
  <c r="J8" i="2"/>
  <c r="K9" i="2"/>
  <c r="Q26" i="2"/>
  <c r="H26" i="2"/>
  <c r="K26" i="2" s="1"/>
  <c r="H14" i="4"/>
  <c r="G14" i="4"/>
  <c r="H15" i="4"/>
  <c r="G32" i="4"/>
  <c r="O33" i="4"/>
  <c r="G10" i="2"/>
  <c r="J9" i="2"/>
  <c r="P31" i="2"/>
  <c r="Q4" i="2"/>
  <c r="P10" i="2"/>
  <c r="O28" i="2"/>
  <c r="H10" i="2"/>
  <c r="K25" i="2" l="1"/>
  <c r="K122" i="2" s="1"/>
  <c r="J25" i="2"/>
  <c r="J122" i="2" s="1"/>
  <c r="M122" i="2" s="1"/>
  <c r="Q25" i="2"/>
  <c r="Q122" i="2" s="1"/>
  <c r="P122" i="2" s="1"/>
  <c r="K31" i="2"/>
  <c r="K123" i="2" s="1"/>
  <c r="R25" i="2"/>
  <c r="R122" i="2" s="1"/>
  <c r="K18" i="2"/>
  <c r="K120" i="2" s="1"/>
  <c r="Q18" i="2"/>
  <c r="Q120" i="2" s="1"/>
  <c r="P120" i="2" s="1"/>
  <c r="R18" i="2"/>
  <c r="R120" i="2" s="1"/>
  <c r="J18" i="2"/>
  <c r="J120" i="2" s="1"/>
  <c r="M120" i="2" s="1"/>
  <c r="Q31" i="2"/>
  <c r="J31" i="2"/>
  <c r="R31" i="2"/>
  <c r="Q10" i="2"/>
  <c r="Q119" i="2" s="1"/>
  <c r="J10" i="2"/>
  <c r="J119" i="2" s="1"/>
  <c r="M119" i="2" s="1"/>
  <c r="Q28" i="2"/>
  <c r="K10" i="2"/>
  <c r="K119" i="2" s="1"/>
  <c r="R28" i="2"/>
  <c r="R10" i="2"/>
  <c r="R119" i="2" s="1"/>
  <c r="K28" i="2"/>
  <c r="J28" i="2"/>
  <c r="H28" i="2"/>
  <c r="G28" i="2"/>
  <c r="O34" i="4"/>
  <c r="O16" i="4"/>
  <c r="H33" i="4"/>
  <c r="G33" i="4"/>
  <c r="T119" i="2" l="1"/>
  <c r="P119" i="2"/>
  <c r="K124" i="2"/>
  <c r="M124" i="2" s="1"/>
  <c r="R123" i="2"/>
  <c r="R124" i="2" s="1"/>
  <c r="J123" i="2"/>
  <c r="M123" i="2" s="1"/>
  <c r="Q123" i="2"/>
  <c r="T123" i="2" s="1"/>
  <c r="T121" i="2"/>
  <c r="T122" i="2"/>
  <c r="T120" i="2"/>
  <c r="H16" i="4"/>
  <c r="G16" i="4"/>
  <c r="O17" i="4"/>
  <c r="G34" i="4"/>
  <c r="H34" i="4"/>
  <c r="Q124" i="2" l="1"/>
  <c r="O18" i="4"/>
  <c r="G17" i="4"/>
  <c r="H17" i="4"/>
  <c r="F35" i="4"/>
  <c r="H18" i="4" l="1"/>
  <c r="G18" i="4"/>
  <c r="O19" i="4"/>
  <c r="G35" i="4" l="1"/>
  <c r="H35" i="4"/>
  <c r="O20" i="4"/>
  <c r="G19" i="4"/>
  <c r="H19" i="4"/>
  <c r="G20" i="4" l="1"/>
  <c r="H20" i="4"/>
  <c r="G21" i="4" l="1"/>
  <c r="H21" i="4"/>
  <c r="F21" i="4"/>
  <c r="O23" i="4"/>
  <c r="O24" i="4" l="1"/>
  <c r="G23" i="4"/>
  <c r="H23" i="4"/>
  <c r="H24" i="4" l="1"/>
  <c r="G24" i="4"/>
  <c r="O25" i="4"/>
  <c r="H25" i="4" l="1"/>
  <c r="G25" i="4"/>
  <c r="O26" i="4"/>
  <c r="O27" i="4" l="1"/>
  <c r="H26" i="4"/>
  <c r="G26" i="4"/>
  <c r="H27" i="4" l="1"/>
  <c r="G27" i="4"/>
  <c r="O28" i="4"/>
  <c r="F30" i="4" s="1"/>
  <c r="H28" i="4" l="1"/>
  <c r="G28" i="4"/>
  <c r="H30" i="4" l="1"/>
  <c r="G30" i="4"/>
</calcChain>
</file>

<file path=xl/sharedStrings.xml><?xml version="1.0" encoding="utf-8"?>
<sst xmlns="http://schemas.openxmlformats.org/spreadsheetml/2006/main" count="10025" uniqueCount="391">
  <si>
    <t>계</t>
    <phoneticPr fontId="4" type="noConversion"/>
  </si>
  <si>
    <t>발   주   집   계</t>
    <phoneticPr fontId="4" type="noConversion"/>
  </si>
  <si>
    <t xml:space="preserve">현장명 : </t>
    <phoneticPr fontId="4" type="noConversion"/>
  </si>
  <si>
    <t>품목</t>
    <phoneticPr fontId="4" type="noConversion"/>
  </si>
  <si>
    <t>두께</t>
    <phoneticPr fontId="4" type="noConversion"/>
  </si>
  <si>
    <t>계약수량</t>
    <phoneticPr fontId="4" type="noConversion"/>
  </si>
  <si>
    <t>계</t>
    <phoneticPr fontId="4" type="noConversion"/>
  </si>
  <si>
    <t>규      격</t>
    <phoneticPr fontId="4" type="noConversion"/>
  </si>
  <si>
    <t>실 물 량</t>
    <phoneticPr fontId="4" type="noConversion"/>
  </si>
  <si>
    <t>부위</t>
    <phoneticPr fontId="4" type="noConversion"/>
  </si>
  <si>
    <t>품목</t>
    <phoneticPr fontId="4" type="noConversion"/>
  </si>
  <si>
    <t>두께</t>
    <phoneticPr fontId="4" type="noConversion"/>
  </si>
  <si>
    <t>가로</t>
    <phoneticPr fontId="4" type="noConversion"/>
  </si>
  <si>
    <t>세로</t>
    <phoneticPr fontId="4" type="noConversion"/>
  </si>
  <si>
    <t>수량</t>
    <phoneticPr fontId="4" type="noConversion"/>
  </si>
  <si>
    <t>M2</t>
    <phoneticPr fontId="4" type="noConversion"/>
  </si>
  <si>
    <t>M</t>
    <phoneticPr fontId="4" type="noConversion"/>
  </si>
  <si>
    <t>세대</t>
    <phoneticPr fontId="4" type="noConversion"/>
  </si>
  <si>
    <t>총M2</t>
    <phoneticPr fontId="4" type="noConversion"/>
  </si>
  <si>
    <t>총M</t>
    <phoneticPr fontId="4" type="noConversion"/>
  </si>
  <si>
    <t>가로</t>
    <phoneticPr fontId="4" type="noConversion"/>
  </si>
  <si>
    <t>세로</t>
    <phoneticPr fontId="4" type="noConversion"/>
  </si>
  <si>
    <t>수량</t>
    <phoneticPr fontId="4" type="noConversion"/>
  </si>
  <si>
    <t>M2</t>
    <phoneticPr fontId="4" type="noConversion"/>
  </si>
  <si>
    <t>소  계</t>
    <phoneticPr fontId="4" type="noConversion"/>
  </si>
  <si>
    <t>소  계</t>
    <phoneticPr fontId="4" type="noConversion"/>
  </si>
  <si>
    <t>계약내역</t>
    <phoneticPr fontId="4" type="noConversion"/>
  </si>
  <si>
    <t>실물량</t>
    <phoneticPr fontId="4" type="noConversion"/>
  </si>
  <si>
    <t>발   주   서</t>
    <phoneticPr fontId="4" type="noConversion"/>
  </si>
  <si>
    <t>발주번호</t>
    <phoneticPr fontId="4" type="noConversion"/>
  </si>
  <si>
    <t>공사명</t>
    <phoneticPr fontId="4" type="noConversion"/>
  </si>
  <si>
    <t>시공자</t>
    <phoneticPr fontId="4" type="noConversion"/>
  </si>
  <si>
    <t>수  신</t>
    <phoneticPr fontId="4" type="noConversion"/>
  </si>
  <si>
    <t>발 신</t>
    <phoneticPr fontId="4" type="noConversion"/>
  </si>
  <si>
    <t>발주일</t>
    <phoneticPr fontId="4" type="noConversion"/>
  </si>
  <si>
    <t>검측자</t>
    <phoneticPr fontId="4" type="noConversion"/>
  </si>
  <si>
    <t>출고일</t>
    <phoneticPr fontId="4" type="noConversion"/>
  </si>
  <si>
    <t>도착장소</t>
    <phoneticPr fontId="4" type="noConversion"/>
  </si>
  <si>
    <t>아래 제품을 출고(주문)요청하오니 위 공사에 차질이 없도록 기한내에 납품하여 주시기 바랍니다.</t>
    <phoneticPr fontId="4" type="noConversion"/>
  </si>
  <si>
    <t>위 치</t>
    <phoneticPr fontId="4" type="noConversion"/>
  </si>
  <si>
    <t>제 품 명</t>
    <phoneticPr fontId="4" type="noConversion"/>
  </si>
  <si>
    <t>수 량</t>
    <phoneticPr fontId="4" type="noConversion"/>
  </si>
  <si>
    <t>평 수</t>
    <phoneticPr fontId="4" type="noConversion"/>
  </si>
  <si>
    <t>실리콘</t>
    <phoneticPr fontId="4" type="noConversion"/>
  </si>
  <si>
    <t>비 고</t>
    <phoneticPr fontId="4" type="noConversion"/>
  </si>
  <si>
    <t>두께(mm)</t>
    <phoneticPr fontId="4" type="noConversion"/>
  </si>
  <si>
    <t>가 로</t>
    <phoneticPr fontId="4" type="noConversion"/>
  </si>
  <si>
    <t>세 로</t>
    <phoneticPr fontId="4" type="noConversion"/>
  </si>
  <si>
    <t>기본</t>
    <phoneticPr fontId="4" type="noConversion"/>
  </si>
  <si>
    <t>발주세대</t>
    <phoneticPr fontId="4" type="noConversion"/>
  </si>
  <si>
    <t>카자리</t>
    <phoneticPr fontId="4" type="noConversion"/>
  </si>
  <si>
    <t>발주수량</t>
    <phoneticPr fontId="4" type="noConversion"/>
  </si>
  <si>
    <t>계</t>
    <phoneticPr fontId="4" type="noConversion"/>
  </si>
  <si>
    <t>기본</t>
    <phoneticPr fontId="4" type="noConversion"/>
  </si>
  <si>
    <t>발주세대</t>
    <phoneticPr fontId="4" type="noConversion"/>
  </si>
  <si>
    <t>발주수량</t>
    <phoneticPr fontId="4" type="noConversion"/>
  </si>
  <si>
    <t>계</t>
    <phoneticPr fontId="4" type="noConversion"/>
  </si>
  <si>
    <t>계</t>
    <phoneticPr fontId="4" type="noConversion"/>
  </si>
  <si>
    <t>84C- TYPE</t>
    <phoneticPr fontId="4" type="noConversion"/>
  </si>
  <si>
    <t>이중창(外) - PW</t>
    <phoneticPr fontId="4" type="noConversion"/>
  </si>
  <si>
    <t>이중창(내) - PW</t>
    <phoneticPr fontId="4" type="noConversion"/>
  </si>
  <si>
    <t xml:space="preserve">물   량   산   출   표   </t>
    <phoneticPr fontId="4" type="noConversion"/>
  </si>
  <si>
    <t>부호</t>
    <phoneticPr fontId="4" type="noConversion"/>
  </si>
  <si>
    <t>구분</t>
    <phoneticPr fontId="4" type="noConversion"/>
  </si>
  <si>
    <t>개소</t>
    <phoneticPr fontId="4" type="noConversion"/>
  </si>
  <si>
    <t>22T</t>
    <phoneticPr fontId="4" type="noConversion"/>
  </si>
  <si>
    <t>비고</t>
    <phoneticPr fontId="4" type="noConversion"/>
  </si>
  <si>
    <t>장수</t>
    <phoneticPr fontId="4" type="noConversion"/>
  </si>
  <si>
    <t>계</t>
    <phoneticPr fontId="4" type="noConversion"/>
  </si>
  <si>
    <t>8.76T</t>
    <phoneticPr fontId="4" type="noConversion"/>
  </si>
  <si>
    <t>4CL+0.76+4CL</t>
    <phoneticPr fontId="4" type="noConversion"/>
  </si>
  <si>
    <t>5T</t>
    <phoneticPr fontId="4" type="noConversion"/>
  </si>
  <si>
    <t>5CL</t>
    <phoneticPr fontId="4" type="noConversion"/>
  </si>
  <si>
    <t>24T</t>
    <phoneticPr fontId="4" type="noConversion"/>
  </si>
  <si>
    <t>5CL+14Ar+5LE</t>
    <phoneticPr fontId="4" type="noConversion"/>
  </si>
  <si>
    <t>8T</t>
    <phoneticPr fontId="4" type="noConversion"/>
  </si>
  <si>
    <t>8CL_F/T_에칭</t>
    <phoneticPr fontId="4" type="noConversion"/>
  </si>
  <si>
    <t>22T</t>
    <phoneticPr fontId="4" type="noConversion"/>
  </si>
  <si>
    <t>5GN+12Ar+5LE</t>
    <phoneticPr fontId="4" type="noConversion"/>
  </si>
  <si>
    <t>5CL+12Ar+5LE</t>
    <phoneticPr fontId="4" type="noConversion"/>
  </si>
  <si>
    <t>8CL_F/T</t>
    <phoneticPr fontId="4" type="noConversion"/>
  </si>
  <si>
    <t>10T</t>
    <phoneticPr fontId="4" type="noConversion"/>
  </si>
  <si>
    <t>10CL_F/T</t>
    <phoneticPr fontId="4" type="noConversion"/>
  </si>
  <si>
    <t>28T</t>
    <phoneticPr fontId="4" type="noConversion"/>
  </si>
  <si>
    <t>6LE+16Ar+6LE</t>
    <phoneticPr fontId="4" type="noConversion"/>
  </si>
  <si>
    <t xml:space="preserve">HLD&amp;I한라-파주선유리 공동주택 </t>
    <phoneticPr fontId="4" type="noConversion"/>
  </si>
  <si>
    <t>74-TYPE</t>
    <phoneticPr fontId="4" type="noConversion"/>
  </si>
  <si>
    <t>84A- TYPE</t>
    <phoneticPr fontId="4" type="noConversion"/>
  </si>
  <si>
    <t>84B- TYPE</t>
    <phoneticPr fontId="4" type="noConversion"/>
  </si>
  <si>
    <t>안방분합(外)</t>
    <phoneticPr fontId="4" type="noConversion"/>
  </si>
  <si>
    <t>5CL+12Air+5CL</t>
    <phoneticPr fontId="4" type="noConversion"/>
  </si>
  <si>
    <t>발코니</t>
    <phoneticPr fontId="4" type="noConversion"/>
  </si>
  <si>
    <t>거실(外)-FIX</t>
    <phoneticPr fontId="4" type="noConversion"/>
  </si>
  <si>
    <t>침실2,3(外)</t>
    <phoneticPr fontId="4" type="noConversion"/>
  </si>
  <si>
    <t>드레스룸(外)</t>
    <phoneticPr fontId="4" type="noConversion"/>
  </si>
  <si>
    <t>침실2,3(內)</t>
    <phoneticPr fontId="4" type="noConversion"/>
  </si>
  <si>
    <t>드레스룸(內)</t>
    <phoneticPr fontId="4" type="noConversion"/>
  </si>
  <si>
    <t>다용도실(外)</t>
    <phoneticPr fontId="4" type="noConversion"/>
  </si>
  <si>
    <t>다용도실(내)</t>
    <phoneticPr fontId="4" type="noConversion"/>
  </si>
  <si>
    <t>주방(外)</t>
    <phoneticPr fontId="4" type="noConversion"/>
  </si>
  <si>
    <t>주방(內)</t>
    <phoneticPr fontId="4" type="noConversion"/>
  </si>
  <si>
    <t>대피공간</t>
    <phoneticPr fontId="4" type="noConversion"/>
  </si>
  <si>
    <t>거실(內)F</t>
    <phoneticPr fontId="4" type="noConversion"/>
  </si>
  <si>
    <t>거실(內)S</t>
    <phoneticPr fontId="4" type="noConversion"/>
  </si>
  <si>
    <t>거실(外)S</t>
    <phoneticPr fontId="4" type="noConversion"/>
  </si>
  <si>
    <t>알파룸(外)</t>
    <phoneticPr fontId="4" type="noConversion"/>
  </si>
  <si>
    <t>알파룸(內)</t>
    <phoneticPr fontId="4" type="noConversion"/>
  </si>
  <si>
    <t>침실3-1(外)</t>
    <phoneticPr fontId="4" type="noConversion"/>
  </si>
  <si>
    <t>침실3-1(內)</t>
    <phoneticPr fontId="4" type="noConversion"/>
  </si>
  <si>
    <t>거실(外)-FIX</t>
    <phoneticPr fontId="4" type="noConversion"/>
  </si>
  <si>
    <t>발코니,대피공간</t>
    <phoneticPr fontId="4" type="noConversion"/>
  </si>
  <si>
    <t>안방분합(外,內)</t>
    <phoneticPr fontId="4" type="noConversion"/>
  </si>
  <si>
    <t>실리콘</t>
    <phoneticPr fontId="4" type="noConversion"/>
  </si>
  <si>
    <t>한라-파주선유리</t>
    <phoneticPr fontId="4" type="noConversion"/>
  </si>
  <si>
    <t>※ 동별,라인별 포장요망 , 현장시공</t>
    <phoneticPr fontId="4" type="noConversion"/>
  </si>
  <si>
    <t>※ 마킹은 로이에 할것!!(현장요청)</t>
    <phoneticPr fontId="4" type="noConversion"/>
  </si>
  <si>
    <t>한라-파주선유리 20260527-001</t>
    <phoneticPr fontId="4" type="noConversion"/>
  </si>
  <si>
    <t xml:space="preserve">  2026년   05월  27일</t>
    <phoneticPr fontId="4" type="noConversion"/>
  </si>
  <si>
    <t xml:space="preserve">  2026년   06월  27일</t>
    <phoneticPr fontId="4" type="noConversion"/>
  </si>
  <si>
    <t>74a</t>
    <phoneticPr fontId="4" type="noConversion"/>
  </si>
  <si>
    <t>84a</t>
    <phoneticPr fontId="4" type="noConversion"/>
  </si>
  <si>
    <t>84b</t>
    <phoneticPr fontId="4" type="noConversion"/>
  </si>
  <si>
    <t>84c</t>
    <phoneticPr fontId="4" type="noConversion"/>
  </si>
  <si>
    <t>기타</t>
    <phoneticPr fontId="4" type="noConversion"/>
  </si>
  <si>
    <t>부대시설</t>
    <phoneticPr fontId="4" type="noConversion"/>
  </si>
  <si>
    <t>근생</t>
    <phoneticPr fontId="4" type="noConversion"/>
  </si>
  <si>
    <t>단가</t>
    <phoneticPr fontId="4" type="noConversion"/>
  </si>
  <si>
    <t>금액</t>
    <phoneticPr fontId="4" type="noConversion"/>
  </si>
  <si>
    <t>계약금액</t>
    <phoneticPr fontId="4" type="noConversion"/>
  </si>
  <si>
    <t>1공구</t>
    <phoneticPr fontId="22" type="noConversion"/>
  </si>
  <si>
    <t>101호</t>
    <phoneticPr fontId="22" type="noConversion"/>
  </si>
  <si>
    <t>102호</t>
    <phoneticPr fontId="22" type="noConversion"/>
  </si>
  <si>
    <t>103호</t>
    <phoneticPr fontId="22" type="noConversion"/>
  </si>
  <si>
    <t>109호</t>
    <phoneticPr fontId="22" type="noConversion"/>
  </si>
  <si>
    <t>110호</t>
    <phoneticPr fontId="22" type="noConversion"/>
  </si>
  <si>
    <t>111호</t>
    <phoneticPr fontId="22" type="noConversion"/>
  </si>
  <si>
    <t>1호</t>
    <phoneticPr fontId="25" type="noConversion"/>
  </si>
  <si>
    <t>2호</t>
  </si>
  <si>
    <t>3호</t>
    <phoneticPr fontId="22" type="noConversion"/>
  </si>
  <si>
    <t>4호</t>
    <phoneticPr fontId="22" type="noConversion"/>
  </si>
  <si>
    <t>5호</t>
    <phoneticPr fontId="22" type="noConversion"/>
  </si>
  <si>
    <t>6호</t>
    <phoneticPr fontId="22" type="noConversion"/>
  </si>
  <si>
    <t>3호</t>
  </si>
  <si>
    <t>4호</t>
  </si>
  <si>
    <t>5호</t>
  </si>
  <si>
    <t>6호</t>
  </si>
  <si>
    <t>84A</t>
    <phoneticPr fontId="22" type="noConversion"/>
  </si>
  <si>
    <t>84C</t>
    <phoneticPr fontId="22" type="noConversion"/>
  </si>
  <si>
    <t>84B</t>
    <phoneticPr fontId="22" type="noConversion"/>
  </si>
  <si>
    <t>안방 발코니</t>
    <phoneticPr fontId="22" type="noConversion"/>
  </si>
  <si>
    <t>30F</t>
    <phoneticPr fontId="22" type="noConversion"/>
  </si>
  <si>
    <t>29F</t>
    <phoneticPr fontId="22" type="noConversion"/>
  </si>
  <si>
    <t>84C</t>
    <phoneticPr fontId="22" type="noConversion"/>
  </si>
  <si>
    <t>84A</t>
    <phoneticPr fontId="22" type="noConversion"/>
  </si>
  <si>
    <t>84B</t>
    <phoneticPr fontId="22" type="noConversion"/>
  </si>
  <si>
    <t>28F</t>
    <phoneticPr fontId="22" type="noConversion"/>
  </si>
  <si>
    <t>27F</t>
    <phoneticPr fontId="22" type="noConversion"/>
  </si>
  <si>
    <t>26F</t>
    <phoneticPr fontId="22" type="noConversion"/>
  </si>
  <si>
    <t>25F</t>
    <phoneticPr fontId="22" type="noConversion"/>
  </si>
  <si>
    <t>24F</t>
    <phoneticPr fontId="22" type="noConversion"/>
  </si>
  <si>
    <t>23F</t>
    <phoneticPr fontId="22" type="noConversion"/>
  </si>
  <si>
    <t>22F</t>
    <phoneticPr fontId="22" type="noConversion"/>
  </si>
  <si>
    <t>21F</t>
  </si>
  <si>
    <t>20F</t>
  </si>
  <si>
    <t>19F</t>
  </si>
  <si>
    <t>18F</t>
  </si>
  <si>
    <t>17F</t>
  </si>
  <si>
    <t>16F</t>
  </si>
  <si>
    <t>15F</t>
  </si>
  <si>
    <t>84A</t>
    <phoneticPr fontId="22" type="noConversion"/>
  </si>
  <si>
    <t>14F</t>
  </si>
  <si>
    <t>13F</t>
  </si>
  <si>
    <t>84C</t>
    <phoneticPr fontId="22" type="noConversion"/>
  </si>
  <si>
    <t>12F</t>
  </si>
  <si>
    <t>11F</t>
  </si>
  <si>
    <t>10F</t>
  </si>
  <si>
    <t>9F</t>
  </si>
  <si>
    <t>8F</t>
  </si>
  <si>
    <t>7F</t>
  </si>
  <si>
    <t>6F</t>
  </si>
  <si>
    <t>5F</t>
  </si>
  <si>
    <t>4F</t>
  </si>
  <si>
    <t>3F</t>
  </si>
  <si>
    <t>2F</t>
  </si>
  <si>
    <t>1F</t>
  </si>
  <si>
    <t>파티룸</t>
    <phoneticPr fontId="22" type="noConversion"/>
  </si>
  <si>
    <t>게스트하우스</t>
    <phoneticPr fontId="22" type="noConversion"/>
  </si>
  <si>
    <t>1호</t>
    <phoneticPr fontId="22" type="noConversion"/>
  </si>
  <si>
    <t>2호</t>
    <phoneticPr fontId="22" type="noConversion"/>
  </si>
  <si>
    <t>1호</t>
    <phoneticPr fontId="22" type="noConversion"/>
  </si>
  <si>
    <t>2호</t>
    <phoneticPr fontId="22" type="noConversion"/>
  </si>
  <si>
    <t>호</t>
    <phoneticPr fontId="4" type="noConversion"/>
  </si>
  <si>
    <t>타입</t>
    <phoneticPr fontId="4" type="noConversion"/>
  </si>
  <si>
    <t>시공</t>
    <phoneticPr fontId="4" type="noConversion"/>
  </si>
  <si>
    <t>카</t>
    <phoneticPr fontId="4" type="noConversion"/>
  </si>
  <si>
    <t>5CL(H/S)+12Ar+5DURA MAX</t>
  </si>
  <si>
    <t>5CL(H/S)+12Ar+5DURA MAX</t>
    <phoneticPr fontId="4" type="noConversion"/>
  </si>
  <si>
    <t>5CL+12Ar+5DURA MAX</t>
  </si>
  <si>
    <t>5CL+12Ar+5DURA MAX</t>
    <phoneticPr fontId="4" type="noConversion"/>
  </si>
  <si>
    <t>5CL(H/S)+12Air+5DURA MAX</t>
  </si>
  <si>
    <t>5CL(H/S)+12Air+5DURA MAX</t>
    <phoneticPr fontId="4" type="noConversion"/>
  </si>
  <si>
    <t>5CL(H/S)+12Ar+5DURA MAX</t>
    <phoneticPr fontId="4" type="noConversion"/>
  </si>
  <si>
    <t>5CL+12Ar+5DURA MAX</t>
    <phoneticPr fontId="4" type="noConversion"/>
  </si>
  <si>
    <t>5CL(H/S)+12Air+5DURA MAX</t>
    <phoneticPr fontId="4" type="noConversion"/>
  </si>
  <si>
    <t>8동204호84A</t>
    <phoneticPr fontId="4" type="noConversion"/>
  </si>
  <si>
    <t>거실(外)S</t>
  </si>
  <si>
    <t>거실(外)-FIX</t>
  </si>
  <si>
    <t>침실2,3(外)</t>
  </si>
  <si>
    <t>드레스룸(外)</t>
  </si>
  <si>
    <t>다용도실(外)</t>
  </si>
  <si>
    <t>주방(外)</t>
  </si>
  <si>
    <t>알파룸(外)</t>
  </si>
  <si>
    <t>거실(內)S</t>
  </si>
  <si>
    <t>거실(內)F</t>
  </si>
  <si>
    <t>침실2,3(內)</t>
  </si>
  <si>
    <t>드레스룸(內)</t>
  </si>
  <si>
    <t>다용도실(내)</t>
  </si>
  <si>
    <t>주방(內)</t>
  </si>
  <si>
    <t>알파룸(內)</t>
  </si>
  <si>
    <t>발코니</t>
  </si>
  <si>
    <t>대피공간</t>
  </si>
  <si>
    <t>목업세대</t>
    <phoneticPr fontId="4" type="noConversion"/>
  </si>
  <si>
    <t>8동206호84B</t>
    <phoneticPr fontId="4" type="noConversion"/>
  </si>
  <si>
    <t>침실3-1(外)</t>
  </si>
  <si>
    <t xml:space="preserve">  2026년   00월    일</t>
    <phoneticPr fontId="4" type="noConversion"/>
  </si>
  <si>
    <t>침실3-1(內)</t>
  </si>
  <si>
    <t>경기도 파주시 문산읍 선유리 821-5</t>
    <phoneticPr fontId="4" type="noConversion"/>
  </si>
  <si>
    <t>방혜량소장(010-7979-0944)</t>
    <phoneticPr fontId="4" type="noConversion"/>
  </si>
  <si>
    <t>방혜량소장</t>
    <phoneticPr fontId="4" type="noConversion"/>
  </si>
  <si>
    <t>골     구     도</t>
    <phoneticPr fontId="4" type="noConversion"/>
  </si>
  <si>
    <t>방혜량소장</t>
    <phoneticPr fontId="4" type="noConversion"/>
  </si>
  <si>
    <t>경기도 파주시 문산읍 선유리 821-5</t>
    <phoneticPr fontId="4" type="noConversion"/>
  </si>
  <si>
    <t>※ 발주서별포장요망 동별(1,2),(3,4),(5,6)포장 11동만 (1,2)(3~5)포장</t>
    <phoneticPr fontId="4" type="noConversion"/>
  </si>
  <si>
    <t>1동1,2라인</t>
    <phoneticPr fontId="4" type="noConversion"/>
  </si>
  <si>
    <t>84A</t>
    <phoneticPr fontId="4" type="noConversion"/>
  </si>
  <si>
    <t>84C</t>
    <phoneticPr fontId="4" type="noConversion"/>
  </si>
  <si>
    <t>5CL(H/S)+12Ar+5DURA MAX(H/S)</t>
  </si>
  <si>
    <t>5CL(H/S)+12Ar+5DURA MAX(H/S)</t>
    <phoneticPr fontId="4" type="noConversion"/>
  </si>
  <si>
    <t>5CL(H/S)+12Ar+5DURA MAX(H/S)</t>
    <phoneticPr fontId="4" type="noConversion"/>
  </si>
  <si>
    <t>1동3라인</t>
    <phoneticPr fontId="4" type="noConversion"/>
  </si>
  <si>
    <t>1동4라인</t>
    <phoneticPr fontId="4" type="noConversion"/>
  </si>
  <si>
    <t>1동5라인</t>
    <phoneticPr fontId="4" type="noConversion"/>
  </si>
  <si>
    <t>84B</t>
    <phoneticPr fontId="4" type="noConversion"/>
  </si>
  <si>
    <t>1동6라인</t>
    <phoneticPr fontId="4" type="noConversion"/>
  </si>
  <si>
    <t>1호 카자리</t>
    <phoneticPr fontId="4" type="noConversion"/>
  </si>
  <si>
    <t>6호 카자리</t>
    <phoneticPr fontId="4" type="noConversion"/>
  </si>
  <si>
    <t>2동1,2라인</t>
    <phoneticPr fontId="4" type="noConversion"/>
  </si>
  <si>
    <t>2호 카자리</t>
    <phoneticPr fontId="4" type="noConversion"/>
  </si>
  <si>
    <t>2동3라인</t>
    <phoneticPr fontId="4" type="noConversion"/>
  </si>
  <si>
    <t>2동4라인</t>
    <phoneticPr fontId="4" type="noConversion"/>
  </si>
  <si>
    <t>2동5,6라인</t>
    <phoneticPr fontId="4" type="noConversion"/>
  </si>
  <si>
    <t>3동1,2라인</t>
    <phoneticPr fontId="4" type="noConversion"/>
  </si>
  <si>
    <t>3동3라인</t>
    <phoneticPr fontId="4" type="noConversion"/>
  </si>
  <si>
    <t>3동4라인</t>
    <phoneticPr fontId="4" type="noConversion"/>
  </si>
  <si>
    <t>3동5,6라인</t>
    <phoneticPr fontId="4" type="noConversion"/>
  </si>
  <si>
    <t>9동1,2라인</t>
    <phoneticPr fontId="4" type="noConversion"/>
  </si>
  <si>
    <t>9동3라인</t>
    <phoneticPr fontId="4" type="noConversion"/>
  </si>
  <si>
    <t>9동4라인</t>
    <phoneticPr fontId="4" type="noConversion"/>
  </si>
  <si>
    <t>9동5라인</t>
    <phoneticPr fontId="4" type="noConversion"/>
  </si>
  <si>
    <t>9동6라인</t>
    <phoneticPr fontId="4" type="noConversion"/>
  </si>
  <si>
    <t>10동1라인</t>
    <phoneticPr fontId="4" type="noConversion"/>
  </si>
  <si>
    <t>10동2라인</t>
    <phoneticPr fontId="4" type="noConversion"/>
  </si>
  <si>
    <t>10동3라인</t>
    <phoneticPr fontId="4" type="noConversion"/>
  </si>
  <si>
    <t>10동4라인</t>
    <phoneticPr fontId="4" type="noConversion"/>
  </si>
  <si>
    <t>6호 카자리</t>
    <phoneticPr fontId="4" type="noConversion"/>
  </si>
  <si>
    <t>10동5,6라인</t>
    <phoneticPr fontId="4" type="noConversion"/>
  </si>
  <si>
    <t>11동1라인</t>
    <phoneticPr fontId="4" type="noConversion"/>
  </si>
  <si>
    <t>11동2라인</t>
    <phoneticPr fontId="4" type="noConversion"/>
  </si>
  <si>
    <t>11동3,5라인</t>
    <phoneticPr fontId="4" type="noConversion"/>
  </si>
  <si>
    <t>11동4라인</t>
    <phoneticPr fontId="4" type="noConversion"/>
  </si>
  <si>
    <t xml:space="preserve">※ 카자리 : 눞혀서 철통포장요망!! , 동순서 : </t>
    <phoneticPr fontId="4" type="noConversion"/>
  </si>
  <si>
    <t>1동1호</t>
    <phoneticPr fontId="4" type="noConversion"/>
  </si>
  <si>
    <t>1동6호</t>
    <phoneticPr fontId="4" type="noConversion"/>
  </si>
  <si>
    <t>2동2호</t>
    <phoneticPr fontId="4" type="noConversion"/>
  </si>
  <si>
    <t>3동2호</t>
    <phoneticPr fontId="4" type="noConversion"/>
  </si>
  <si>
    <t>9동1호</t>
    <phoneticPr fontId="4" type="noConversion"/>
  </si>
  <si>
    <t>이중창(外) - PW</t>
  </si>
  <si>
    <t>이중창(내) - PW</t>
  </si>
  <si>
    <t>발코니,대피공간</t>
  </si>
  <si>
    <t>3호 카자리</t>
    <phoneticPr fontId="4" type="noConversion"/>
  </si>
  <si>
    <t>3호 카자리</t>
    <phoneticPr fontId="4" type="noConversion"/>
  </si>
  <si>
    <t>3호 카자리</t>
    <phoneticPr fontId="4" type="noConversion"/>
  </si>
  <si>
    <t>3호 카자리</t>
    <phoneticPr fontId="4" type="noConversion"/>
  </si>
  <si>
    <t>2호 카자리</t>
    <phoneticPr fontId="4" type="noConversion"/>
  </si>
  <si>
    <t>4호 카자리</t>
    <phoneticPr fontId="4" type="noConversion"/>
  </si>
  <si>
    <t>2호 카자리</t>
    <phoneticPr fontId="4" type="noConversion"/>
  </si>
  <si>
    <t>4호 카자리</t>
    <phoneticPr fontId="4" type="noConversion"/>
  </si>
  <si>
    <t>2호 카자리</t>
    <phoneticPr fontId="4" type="noConversion"/>
  </si>
  <si>
    <t>4호 카자리</t>
    <phoneticPr fontId="4" type="noConversion"/>
  </si>
  <si>
    <t>4호 카자리</t>
    <phoneticPr fontId="4" type="noConversion"/>
  </si>
  <si>
    <t>1호 카자리</t>
    <phoneticPr fontId="4" type="noConversion"/>
  </si>
  <si>
    <t>4호 카자리</t>
    <phoneticPr fontId="4" type="noConversion"/>
  </si>
  <si>
    <t>1호 카자리</t>
    <phoneticPr fontId="4" type="noConversion"/>
  </si>
  <si>
    <t>1호 카자리</t>
    <phoneticPr fontId="4" type="noConversion"/>
  </si>
  <si>
    <t>2동3호</t>
    <phoneticPr fontId="4" type="noConversion"/>
  </si>
  <si>
    <t>10동2호</t>
    <phoneticPr fontId="4" type="noConversion"/>
  </si>
  <si>
    <t>10동4호</t>
    <phoneticPr fontId="4" type="noConversion"/>
  </si>
  <si>
    <t>5CL(H/S)+12Air+5DURA MAX</t>
    <phoneticPr fontId="4" type="noConversion"/>
  </si>
  <si>
    <t>한라-파주선유리 20260609-001</t>
    <phoneticPr fontId="4" type="noConversion"/>
  </si>
  <si>
    <t xml:space="preserve">  2026년   06월  09일</t>
    <phoneticPr fontId="4" type="noConversion"/>
  </si>
  <si>
    <t xml:space="preserve">  2026년   07월  10일</t>
    <phoneticPr fontId="4" type="noConversion"/>
  </si>
  <si>
    <t>※ 1차발주 1~10F , 동순서 : 1-&gt;2-&gt;3-&gt;9&gt;10-&gt;11</t>
    <phoneticPr fontId="4" type="noConversion"/>
  </si>
  <si>
    <t xml:space="preserve">  2026년   07월  14일</t>
    <phoneticPr fontId="4" type="noConversion"/>
  </si>
  <si>
    <t xml:space="preserve">  2026년   06월  09일</t>
    <phoneticPr fontId="4" type="noConversion"/>
  </si>
  <si>
    <t>한라-파주선유리 20260809-003</t>
    <phoneticPr fontId="4" type="noConversion"/>
  </si>
  <si>
    <t>※ 1차발주 1~5F , 동순서 : 1-&gt;2-&gt;3-&gt;9&gt;10-&gt;11</t>
    <phoneticPr fontId="4" type="noConversion"/>
  </si>
  <si>
    <t>※ 2차발주 6~10F , 동순서 : 1-&gt;2-&gt;3-&gt;9&gt;10-&gt;11</t>
    <phoneticPr fontId="4" type="noConversion"/>
  </si>
  <si>
    <t>※ 3차발주 11~15F , 동순서 : 1-&gt;2-&gt;3-&gt;9&gt;10-&gt;11</t>
    <phoneticPr fontId="4" type="noConversion"/>
  </si>
  <si>
    <t>※ 5차발주 21~25F , 동순서 : 1-&gt;2-&gt;3-&gt;9&gt;10-&gt;11</t>
    <phoneticPr fontId="4" type="noConversion"/>
  </si>
  <si>
    <t>스티커는 내창에만 내부(로이)쪽에 붙여주세요..</t>
    <phoneticPr fontId="4" type="noConversion"/>
  </si>
  <si>
    <t>1차</t>
    <phoneticPr fontId="4" type="noConversion"/>
  </si>
  <si>
    <t>원래 카자리</t>
    <phoneticPr fontId="4" type="noConversion"/>
  </si>
  <si>
    <t>카자리변경</t>
    <phoneticPr fontId="4" type="noConversion"/>
  </si>
  <si>
    <t>1차분 5개층으로쪼갬</t>
    <phoneticPr fontId="4" type="noConversion"/>
  </si>
  <si>
    <t>2차</t>
    <phoneticPr fontId="4" type="noConversion"/>
  </si>
  <si>
    <t>2치</t>
    <phoneticPr fontId="4" type="noConversion"/>
  </si>
  <si>
    <t>3차</t>
    <phoneticPr fontId="4" type="noConversion"/>
  </si>
  <si>
    <t>4차</t>
    <phoneticPr fontId="4" type="noConversion"/>
  </si>
  <si>
    <t>4차</t>
    <phoneticPr fontId="4" type="noConversion"/>
  </si>
  <si>
    <t>카자리</t>
    <phoneticPr fontId="4" type="noConversion"/>
  </si>
  <si>
    <t>OK</t>
    <phoneticPr fontId="4" type="noConversion"/>
  </si>
  <si>
    <t>5차</t>
    <phoneticPr fontId="4" type="noConversion"/>
  </si>
  <si>
    <t>OK</t>
    <phoneticPr fontId="4" type="noConversion"/>
  </si>
  <si>
    <t>OK</t>
    <phoneticPr fontId="4" type="noConversion"/>
  </si>
  <si>
    <t>OK</t>
    <phoneticPr fontId="4" type="noConversion"/>
  </si>
  <si>
    <t>발코니</t>
    <phoneticPr fontId="4" type="noConversion"/>
  </si>
  <si>
    <t>2026.06.25. 공사팀장 2차 8/11-&gt;8/03로 요청</t>
    <phoneticPr fontId="4" type="noConversion"/>
  </si>
  <si>
    <t>2026.06.25. 공사팀장 2차 9/15-&gt;8/28로 요청</t>
    <phoneticPr fontId="4" type="noConversion"/>
  </si>
  <si>
    <t>-&gt;7/15</t>
    <phoneticPr fontId="4" type="noConversion"/>
  </si>
  <si>
    <t>-&gt;8/03</t>
    <phoneticPr fontId="4" type="noConversion"/>
  </si>
  <si>
    <t>-&gt;8/28</t>
    <phoneticPr fontId="4" type="noConversion"/>
  </si>
  <si>
    <t>-&gt;9/18</t>
    <phoneticPr fontId="4" type="noConversion"/>
  </si>
  <si>
    <t>파주1동</t>
    <phoneticPr fontId="4" type="noConversion"/>
  </si>
  <si>
    <t>파주11동</t>
    <phoneticPr fontId="4" type="noConversion"/>
  </si>
  <si>
    <t>파주2동</t>
    <phoneticPr fontId="4" type="noConversion"/>
  </si>
  <si>
    <t>파주10동</t>
    <phoneticPr fontId="4" type="noConversion"/>
  </si>
  <si>
    <t>파주3동</t>
    <phoneticPr fontId="4" type="noConversion"/>
  </si>
  <si>
    <t>수량</t>
    <phoneticPr fontId="4" type="noConversion"/>
  </si>
  <si>
    <t>납품일</t>
    <phoneticPr fontId="4" type="noConversion"/>
  </si>
  <si>
    <t>태한</t>
    <phoneticPr fontId="4" type="noConversion"/>
  </si>
  <si>
    <t>태한</t>
    <phoneticPr fontId="4" type="noConversion"/>
  </si>
  <si>
    <t>동일</t>
    <phoneticPr fontId="4" type="noConversion"/>
  </si>
  <si>
    <t>태한</t>
    <phoneticPr fontId="4" type="noConversion"/>
  </si>
  <si>
    <t>태한</t>
    <phoneticPr fontId="4" type="noConversion"/>
  </si>
  <si>
    <t>태한</t>
    <phoneticPr fontId="4" type="noConversion"/>
  </si>
  <si>
    <t>생산</t>
    <phoneticPr fontId="4" type="noConversion"/>
  </si>
  <si>
    <t>경기 이천시 설성면 진상미로 697-82</t>
    <phoneticPr fontId="4" type="noConversion"/>
  </si>
  <si>
    <t>태한 010-8990-9531 , 031-642-6279</t>
    <phoneticPr fontId="4" type="noConversion"/>
  </si>
  <si>
    <t>동일유리 이동재차장 010-4859-4825</t>
    <phoneticPr fontId="4" type="noConversion"/>
  </si>
  <si>
    <t>1차물량</t>
    <phoneticPr fontId="4" type="noConversion"/>
  </si>
  <si>
    <t>파주9동</t>
    <phoneticPr fontId="4" type="noConversion"/>
  </si>
  <si>
    <t>1-2-3-9-11-10</t>
    <phoneticPr fontId="4" type="noConversion"/>
  </si>
  <si>
    <t>1-2-3-9-11-10</t>
    <phoneticPr fontId="4" type="noConversion"/>
  </si>
  <si>
    <t>금호-대방</t>
    <phoneticPr fontId="4" type="noConversion"/>
  </si>
  <si>
    <t>태한</t>
    <phoneticPr fontId="4" type="noConversion"/>
  </si>
  <si>
    <t>1-2-11-3-9-10</t>
    <phoneticPr fontId="4" type="noConversion"/>
  </si>
  <si>
    <t xml:space="preserve">  2026년   08월  11일-8/3(6/25요청)</t>
    <phoneticPr fontId="4" type="noConversion"/>
  </si>
  <si>
    <t xml:space="preserve">  2026년   09월  15일-&gt;8/28(6/25요청)</t>
    <phoneticPr fontId="4" type="noConversion"/>
  </si>
  <si>
    <t>7/18예정</t>
    <phoneticPr fontId="4" type="noConversion"/>
  </si>
  <si>
    <t>미정</t>
    <phoneticPr fontId="4" type="noConversion"/>
  </si>
  <si>
    <t>미정</t>
    <phoneticPr fontId="4" type="noConversion"/>
  </si>
  <si>
    <t>미정</t>
    <phoneticPr fontId="4" type="noConversion"/>
  </si>
  <si>
    <t>7/21 공장검수</t>
    <phoneticPr fontId="4" type="noConversion"/>
  </si>
  <si>
    <t>7/21예정(상황봐서)</t>
    <phoneticPr fontId="4" type="noConversion"/>
  </si>
  <si>
    <t>한라-파주선유리 20260722-001</t>
    <phoneticPr fontId="4" type="noConversion"/>
  </si>
  <si>
    <t xml:space="preserve">  2026년   07월  22일</t>
    <phoneticPr fontId="4" type="noConversion"/>
  </si>
  <si>
    <t xml:space="preserve">  2026년   09월  08일</t>
    <phoneticPr fontId="4" type="noConversion"/>
  </si>
  <si>
    <t>2026.06.25. 공사팀장 2차 10/13-&gt;9/18로 요청-&gt; 7/22 1,2,3동 9/8 , 9,10,11동 9/19</t>
    <phoneticPr fontId="4" type="noConversion"/>
  </si>
  <si>
    <t>※ 4차발주 16~20F , 동순서 :(9/08)1-&gt;2-&gt;3, (9/19)9-&gt;10-&gt;11</t>
    <phoneticPr fontId="4" type="noConversion"/>
  </si>
  <si>
    <t>-&gt;9/05</t>
    <phoneticPr fontId="4" type="noConversion"/>
  </si>
  <si>
    <t>1동</t>
    <phoneticPr fontId="4" type="noConversion"/>
  </si>
  <si>
    <t>2동</t>
    <phoneticPr fontId="4" type="noConversion"/>
  </si>
  <si>
    <t>3동</t>
    <phoneticPr fontId="4" type="noConversion"/>
  </si>
  <si>
    <t>9동</t>
    <phoneticPr fontId="4" type="noConversion"/>
  </si>
  <si>
    <t>10동</t>
    <phoneticPr fontId="4" type="noConversion"/>
  </si>
  <si>
    <t>11동</t>
    <phoneticPr fontId="4" type="noConversion"/>
  </si>
  <si>
    <t>동</t>
    <phoneticPr fontId="4" type="noConversion"/>
  </si>
  <si>
    <t>출고요청</t>
    <phoneticPr fontId="4" type="noConversion"/>
  </si>
  <si>
    <t>한라파주2차</t>
    <phoneticPr fontId="4" type="noConversion"/>
  </si>
  <si>
    <t>한라파주3차</t>
    <phoneticPr fontId="4" type="noConversion"/>
  </si>
  <si>
    <t>한라파주4차</t>
    <phoneticPr fontId="4" type="noConversion"/>
  </si>
  <si>
    <t>한라-파주선유리 20260818-001</t>
    <phoneticPr fontId="4" type="noConversion"/>
  </si>
  <si>
    <t xml:space="preserve">  2026년   08월  18일</t>
    <phoneticPr fontId="4" type="noConversion"/>
  </si>
  <si>
    <t xml:space="preserve">  2026년   10월  10일</t>
    <phoneticPr fontId="4" type="noConversion"/>
  </si>
  <si>
    <t>※ 5차발주 21~25F , 동순서 : 2동-&gt;3동(10/10) -&gt; 9동(11/10)</t>
    <phoneticPr fontId="4" type="noConversion"/>
  </si>
  <si>
    <t xml:space="preserve">  2026년   08월  18일</t>
    <phoneticPr fontId="4" type="noConversion"/>
  </si>
  <si>
    <t xml:space="preserve">  2026년   11월  05일 ~</t>
    <phoneticPr fontId="4" type="noConversion"/>
  </si>
  <si>
    <t xml:space="preserve">  2026년   10월  10일 ~</t>
    <phoneticPr fontId="4" type="noConversion"/>
  </si>
  <si>
    <t>한라-파주선유리 20260818-001</t>
    <phoneticPr fontId="4" type="noConversion"/>
  </si>
  <si>
    <t>한라-파주선유리 20260818-002</t>
    <phoneticPr fontId="4" type="noConversion"/>
  </si>
  <si>
    <t>※ 6차발주 21,26~최상층 , 동순서 : 1(11/05)-&gt;2,3,11(12/01)-&gt;10(12/10)-&gt;9(12/20)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</si>
</sst>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#,##0.0"/>
    <numFmt numFmtId="177" formatCode="#,##0_ "/>
    <numFmt numFmtId="178" formatCode="0.0_ "/>
    <numFmt numFmtId="179" formatCode="0_ "/>
    <numFmt numFmtId="180" formatCode="0.0"/>
    <numFmt numFmtId="181" formatCode="#,##0.00_ "/>
    <numFmt numFmtId="182" formatCode="_-* #,##0.00_-;\-* #,##0.00_-;_-* &quot;-&quot;_-;_-@_-"/>
    <numFmt numFmtId="183" formatCode="mm&quot;월&quot;\ dd&quot;일&quot;"/>
  </numFmts>
  <fonts count="3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22"/>
      <color theme="1"/>
      <name val="굴림체"/>
      <family val="3"/>
      <charset val="129"/>
    </font>
    <font>
      <sz val="9"/>
      <color theme="1"/>
      <name val="굴림체"/>
      <family val="3"/>
      <charset val="129"/>
    </font>
    <font>
      <sz val="8"/>
      <color theme="1"/>
      <name val="굴림체"/>
      <family val="3"/>
      <charset val="129"/>
    </font>
    <font>
      <sz val="12"/>
      <color theme="1"/>
      <name val="굴림체"/>
      <family val="3"/>
      <charset val="129"/>
    </font>
    <font>
      <sz val="10"/>
      <color theme="1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28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ajor"/>
    </font>
    <font>
      <sz val="8"/>
      <name val="맑은 고딕"/>
      <family val="3"/>
      <charset val="129"/>
    </font>
    <font>
      <sz val="8"/>
      <color theme="0" tint="-0.499984740745262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8"/>
      <color theme="0" tint="-0.499984740745262"/>
      <name val="맑은 고딕"/>
      <family val="3"/>
      <charset val="129"/>
      <scheme val="major"/>
    </font>
    <font>
      <b/>
      <sz val="7"/>
      <color rgb="FFFF0000"/>
      <name val="맑은 고딕"/>
      <family val="3"/>
      <charset val="129"/>
      <scheme val="major"/>
    </font>
    <font>
      <sz val="7"/>
      <color theme="1" tint="0.499984740745262"/>
      <name val="맑은 고딕"/>
      <family val="3"/>
      <charset val="129"/>
      <scheme val="major"/>
    </font>
    <font>
      <sz val="8"/>
      <color theme="1" tint="0.499984740745262"/>
      <name val="맑은 고딕"/>
      <family val="3"/>
      <charset val="129"/>
      <scheme val="major"/>
    </font>
    <font>
      <sz val="8"/>
      <color rgb="FFFF0000"/>
      <name val="맑은 고딕"/>
      <family val="3"/>
      <charset val="129"/>
      <scheme val="major"/>
    </font>
    <font>
      <b/>
      <sz val="22"/>
      <name val="맑은 고딕"/>
      <family val="3"/>
      <charset val="129"/>
      <scheme val="major"/>
    </font>
  </fonts>
  <fills count="1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0" fillId="0" borderId="0">
      <alignment vertical="center"/>
    </xf>
  </cellStyleXfs>
  <cellXfs count="366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3" fontId="0" fillId="0" borderId="0" xfId="0" applyNumberFormat="1">
      <alignment vertical="center"/>
    </xf>
    <xf numFmtId="0" fontId="0" fillId="2" borderId="1" xfId="0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0" fontId="0" fillId="0" borderId="2" xfId="0" applyBorder="1">
      <alignment vertical="center"/>
    </xf>
    <xf numFmtId="3" fontId="0" fillId="0" borderId="2" xfId="0" applyNumberFormat="1" applyBorder="1">
      <alignment vertical="center"/>
    </xf>
    <xf numFmtId="0" fontId="0" fillId="0" borderId="3" xfId="0" applyBorder="1">
      <alignment vertical="center"/>
    </xf>
    <xf numFmtId="3" fontId="0" fillId="0" borderId="3" xfId="0" applyNumberFormat="1" applyBorder="1">
      <alignment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0" fontId="5" fillId="0" borderId="0" xfId="0" applyFont="1">
      <alignment vertical="center"/>
    </xf>
    <xf numFmtId="3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0" fillId="3" borderId="1" xfId="0" applyFill="1" applyBorder="1">
      <alignment vertical="center"/>
    </xf>
    <xf numFmtId="0" fontId="0" fillId="0" borderId="0" xfId="0" applyFill="1">
      <alignment vertical="center"/>
    </xf>
    <xf numFmtId="0" fontId="0" fillId="4" borderId="1" xfId="0" applyFill="1" applyBorder="1">
      <alignment vertical="center"/>
    </xf>
    <xf numFmtId="3" fontId="0" fillId="4" borderId="1" xfId="0" applyNumberFormat="1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176" fontId="0" fillId="4" borderId="1" xfId="0" applyNumberFormat="1" applyFill="1" applyBorder="1">
      <alignment vertical="center"/>
    </xf>
    <xf numFmtId="176" fontId="0" fillId="4" borderId="5" xfId="0" applyNumberFormat="1" applyFill="1" applyBorder="1">
      <alignment vertical="center"/>
    </xf>
    <xf numFmtId="176" fontId="0" fillId="5" borderId="1" xfId="0" applyNumberFormat="1" applyFill="1" applyBorder="1">
      <alignment vertical="center"/>
    </xf>
    <xf numFmtId="0" fontId="0" fillId="0" borderId="8" xfId="2" applyFont="1" applyFill="1" applyBorder="1" applyAlignment="1">
      <alignment horizontal="center" vertical="center"/>
    </xf>
    <xf numFmtId="0" fontId="0" fillId="0" borderId="1" xfId="2" applyFont="1" applyFill="1" applyBorder="1" applyAlignment="1">
      <alignment horizontal="center" vertical="center" shrinkToFit="1"/>
    </xf>
    <xf numFmtId="0" fontId="1" fillId="0" borderId="1" xfId="2" applyFill="1" applyBorder="1">
      <alignment vertical="center"/>
    </xf>
    <xf numFmtId="3" fontId="1" fillId="0" borderId="1" xfId="2" applyNumberFormat="1" applyFill="1" applyBorder="1" applyAlignment="1">
      <alignment horizontal="center" vertical="center"/>
    </xf>
    <xf numFmtId="3" fontId="1" fillId="0" borderId="5" xfId="2" applyNumberFormat="1" applyFill="1" applyBorder="1" applyAlignment="1">
      <alignment horizontal="center" vertical="center"/>
    </xf>
    <xf numFmtId="0" fontId="1" fillId="6" borderId="1" xfId="2" applyFill="1" applyBorder="1">
      <alignment vertical="center"/>
    </xf>
    <xf numFmtId="176" fontId="1" fillId="0" borderId="1" xfId="2" applyNumberFormat="1" applyFill="1" applyBorder="1">
      <alignment vertical="center"/>
    </xf>
    <xf numFmtId="176" fontId="1" fillId="0" borderId="5" xfId="2" applyNumberFormat="1" applyFill="1" applyBorder="1">
      <alignment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1" xfId="2" applyFont="1" applyFill="1" applyBorder="1" applyAlignment="1">
      <alignment horizontal="center" vertical="center" wrapText="1" shrinkToFit="1"/>
    </xf>
    <xf numFmtId="0" fontId="0" fillId="7" borderId="1" xfId="2" applyFont="1" applyFill="1" applyBorder="1" applyAlignment="1">
      <alignment horizontal="left" vertical="center"/>
    </xf>
    <xf numFmtId="0" fontId="1" fillId="7" borderId="1" xfId="2" applyFill="1" applyBorder="1" applyAlignment="1">
      <alignment horizontal="center" vertical="center"/>
    </xf>
    <xf numFmtId="0" fontId="1" fillId="7" borderId="1" xfId="2" applyFill="1" applyBorder="1">
      <alignment vertical="center"/>
    </xf>
    <xf numFmtId="3" fontId="1" fillId="7" borderId="1" xfId="2" applyNumberFormat="1" applyFill="1" applyBorder="1" applyAlignment="1">
      <alignment horizontal="center" vertical="center"/>
    </xf>
    <xf numFmtId="0" fontId="0" fillId="0" borderId="1" xfId="2" applyFont="1" applyFill="1" applyBorder="1" applyAlignment="1">
      <alignment horizontal="center" vertical="center"/>
    </xf>
    <xf numFmtId="0" fontId="1" fillId="0" borderId="1" xfId="2" applyFill="1" applyBorder="1" applyAlignment="1">
      <alignment horizontal="center" vertical="center" wrapText="1" shrinkToFit="1"/>
    </xf>
    <xf numFmtId="176" fontId="1" fillId="0" borderId="1" xfId="2" applyNumberFormat="1" applyFill="1" applyBorder="1" applyAlignment="1">
      <alignment horizontal="center" vertical="center"/>
    </xf>
    <xf numFmtId="0" fontId="6" fillId="0" borderId="1" xfId="2" applyFont="1" applyFill="1" applyBorder="1">
      <alignment vertical="center"/>
    </xf>
    <xf numFmtId="0" fontId="1" fillId="7" borderId="1" xfId="2" applyFill="1" applyBorder="1" applyAlignment="1">
      <alignment horizontal="center" vertical="center" wrapText="1" shrinkToFit="1"/>
    </xf>
    <xf numFmtId="3" fontId="0" fillId="7" borderId="1" xfId="0" applyNumberFormat="1" applyFill="1" applyBorder="1" applyAlignment="1">
      <alignment horizontal="center" vertical="center"/>
    </xf>
    <xf numFmtId="0" fontId="0" fillId="0" borderId="1" xfId="2" applyFont="1" applyFill="1" applyBorder="1" applyAlignment="1">
      <alignment horizontal="left" vertical="center"/>
    </xf>
    <xf numFmtId="3" fontId="0" fillId="0" borderId="1" xfId="2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3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 shrinkToFit="1"/>
    </xf>
    <xf numFmtId="41" fontId="0" fillId="0" borderId="1" xfId="1" applyFont="1" applyBorder="1" applyAlignment="1">
      <alignment vertical="center" shrinkToFit="1"/>
    </xf>
    <xf numFmtId="177" fontId="0" fillId="0" borderId="1" xfId="0" applyNumberFormat="1" applyBorder="1" applyAlignment="1">
      <alignment vertical="center" shrinkToFit="1"/>
    </xf>
    <xf numFmtId="177" fontId="0" fillId="0" borderId="1" xfId="0" applyNumberFormat="1" applyFill="1" applyBorder="1" applyAlignment="1">
      <alignment horizontal="center" vertical="center" shrinkToFit="1"/>
    </xf>
    <xf numFmtId="177" fontId="0" fillId="0" borderId="1" xfId="0" applyNumberFormat="1" applyFill="1" applyBorder="1" applyAlignment="1">
      <alignment vertical="center" shrinkToFit="1"/>
    </xf>
    <xf numFmtId="41" fontId="0" fillId="0" borderId="1" xfId="1" applyFont="1" applyBorder="1">
      <alignment vertical="center"/>
    </xf>
    <xf numFmtId="41" fontId="0" fillId="0" borderId="1" xfId="1" applyFont="1" applyBorder="1" applyAlignment="1">
      <alignment horizontal="center" vertical="center"/>
    </xf>
    <xf numFmtId="41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176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7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76" fontId="7" fillId="0" borderId="9" xfId="0" applyNumberFormat="1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176" fontId="10" fillId="0" borderId="14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0" fontId="10" fillId="0" borderId="16" xfId="0" applyFont="1" applyBorder="1" applyAlignment="1">
      <alignment horizontal="center" vertical="center"/>
    </xf>
    <xf numFmtId="41" fontId="10" fillId="0" borderId="8" xfId="1" applyFont="1" applyBorder="1" applyAlignment="1">
      <alignment horizontal="center" vertical="center"/>
    </xf>
    <xf numFmtId="41" fontId="10" fillId="0" borderId="1" xfId="1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41" fontId="8" fillId="0" borderId="19" xfId="1" applyFont="1" applyBorder="1" applyAlignment="1">
      <alignment horizontal="center" vertical="center"/>
    </xf>
    <xf numFmtId="0" fontId="12" fillId="0" borderId="0" xfId="0" applyFont="1">
      <alignment vertical="center"/>
    </xf>
    <xf numFmtId="41" fontId="12" fillId="0" borderId="0" xfId="1" applyFont="1">
      <alignment vertical="center"/>
    </xf>
    <xf numFmtId="176" fontId="12" fillId="0" borderId="0" xfId="0" applyNumberFormat="1" applyFont="1">
      <alignment vertical="center"/>
    </xf>
    <xf numFmtId="0" fontId="12" fillId="0" borderId="26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176" fontId="12" fillId="0" borderId="9" xfId="0" applyNumberFormat="1" applyFont="1" applyBorder="1" applyAlignment="1">
      <alignment horizontal="left" vertical="center"/>
    </xf>
    <xf numFmtId="0" fontId="12" fillId="0" borderId="19" xfId="0" applyFont="1" applyBorder="1" applyAlignment="1">
      <alignment horizontal="center" vertical="center"/>
    </xf>
    <xf numFmtId="41" fontId="12" fillId="0" borderId="19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41" fontId="12" fillId="0" borderId="14" xfId="1" applyFont="1" applyFill="1" applyBorder="1" applyAlignment="1">
      <alignment vertical="center"/>
    </xf>
    <xf numFmtId="176" fontId="12" fillId="6" borderId="14" xfId="1" applyNumberFormat="1" applyFont="1" applyFill="1" applyBorder="1">
      <alignment vertical="center"/>
    </xf>
    <xf numFmtId="43" fontId="12" fillId="6" borderId="14" xfId="1" applyNumberFormat="1" applyFont="1" applyFill="1" applyBorder="1" applyAlignment="1">
      <alignment vertical="center" shrinkToFit="1"/>
    </xf>
    <xf numFmtId="0" fontId="12" fillId="6" borderId="32" xfId="0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/>
    </xf>
    <xf numFmtId="0" fontId="11" fillId="6" borderId="16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shrinkToFit="1"/>
    </xf>
    <xf numFmtId="0" fontId="12" fillId="6" borderId="1" xfId="0" applyFont="1" applyFill="1" applyBorder="1" applyAlignment="1">
      <alignment horizontal="center" vertical="center"/>
    </xf>
    <xf numFmtId="41" fontId="12" fillId="0" borderId="1" xfId="1" applyFont="1" applyFill="1" applyBorder="1" applyAlignment="1">
      <alignment vertical="center"/>
    </xf>
    <xf numFmtId="41" fontId="12" fillId="0" borderId="1" xfId="1" applyFont="1" applyFill="1" applyBorder="1">
      <alignment vertical="center"/>
    </xf>
    <xf numFmtId="176" fontId="12" fillId="6" borderId="1" xfId="1" applyNumberFormat="1" applyFont="1" applyFill="1" applyBorder="1">
      <alignment vertical="center"/>
    </xf>
    <xf numFmtId="43" fontId="12" fillId="6" borderId="1" xfId="1" applyNumberFormat="1" applyFont="1" applyFill="1" applyBorder="1" applyAlignment="1">
      <alignment vertical="center" shrinkToFit="1"/>
    </xf>
    <xf numFmtId="0" fontId="12" fillId="6" borderId="33" xfId="0" applyFont="1" applyFill="1" applyBorder="1" applyAlignment="1">
      <alignment horizontal="center" vertical="center" shrinkToFit="1"/>
    </xf>
    <xf numFmtId="0" fontId="8" fillId="6" borderId="1" xfId="0" applyFont="1" applyFill="1" applyBorder="1" applyAlignment="1">
      <alignment horizontal="center" vertical="center"/>
    </xf>
    <xf numFmtId="41" fontId="12" fillId="3" borderId="1" xfId="1" applyFont="1" applyFill="1" applyBorder="1">
      <alignment vertical="center"/>
    </xf>
    <xf numFmtId="176" fontId="12" fillId="3" borderId="1" xfId="1" applyNumberFormat="1" applyFont="1" applyFill="1" applyBorder="1">
      <alignment vertical="center"/>
    </xf>
    <xf numFmtId="4" fontId="12" fillId="3" borderId="1" xfId="1" applyNumberFormat="1" applyFont="1" applyFill="1" applyBorder="1">
      <alignment vertical="center"/>
    </xf>
    <xf numFmtId="43" fontId="12" fillId="3" borderId="1" xfId="1" applyNumberFormat="1" applyFont="1" applyFill="1" applyBorder="1">
      <alignment vertical="center"/>
    </xf>
    <xf numFmtId="0" fontId="12" fillId="3" borderId="33" xfId="0" applyFont="1" applyFill="1" applyBorder="1" applyAlignment="1">
      <alignment horizontal="center" vertical="center"/>
    </xf>
    <xf numFmtId="41" fontId="12" fillId="0" borderId="1" xfId="1" applyFont="1" applyFill="1" applyBorder="1" applyAlignment="1">
      <alignment horizontal="center" vertical="center"/>
    </xf>
    <xf numFmtId="176" fontId="12" fillId="0" borderId="1" xfId="1" applyNumberFormat="1" applyFont="1" applyFill="1" applyBorder="1">
      <alignment vertical="center"/>
    </xf>
    <xf numFmtId="4" fontId="12" fillId="0" borderId="1" xfId="1" applyNumberFormat="1" applyFont="1" applyFill="1" applyBorder="1">
      <alignment vertical="center"/>
    </xf>
    <xf numFmtId="43" fontId="12" fillId="0" borderId="1" xfId="1" applyNumberFormat="1" applyFont="1" applyFill="1" applyBorder="1">
      <alignment vertical="center"/>
    </xf>
    <xf numFmtId="43" fontId="12" fillId="6" borderId="1" xfId="1" applyNumberFormat="1" applyFont="1" applyFill="1" applyBorder="1">
      <alignment vertical="center"/>
    </xf>
    <xf numFmtId="0" fontId="12" fillId="6" borderId="16" xfId="0" applyFont="1" applyFill="1" applyBorder="1" applyAlignment="1">
      <alignment horizontal="center" vertical="center"/>
    </xf>
    <xf numFmtId="0" fontId="0" fillId="0" borderId="16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33" xfId="0" applyBorder="1">
      <alignment vertical="center"/>
    </xf>
    <xf numFmtId="0" fontId="11" fillId="4" borderId="16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41" fontId="12" fillId="4" borderId="1" xfId="1" applyFont="1" applyFill="1" applyBorder="1">
      <alignment vertical="center"/>
    </xf>
    <xf numFmtId="176" fontId="12" fillId="4" borderId="1" xfId="1" applyNumberFormat="1" applyFont="1" applyFill="1" applyBorder="1">
      <alignment vertical="center"/>
    </xf>
    <xf numFmtId="43" fontId="12" fillId="4" borderId="1" xfId="1" applyNumberFormat="1" applyFont="1" applyFill="1" applyBorder="1">
      <alignment vertical="center"/>
    </xf>
    <xf numFmtId="0" fontId="12" fillId="4" borderId="33" xfId="0" applyFont="1" applyFill="1" applyBorder="1" applyAlignment="1">
      <alignment horizontal="center" vertical="center"/>
    </xf>
    <xf numFmtId="0" fontId="11" fillId="8" borderId="16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41" fontId="12" fillId="8" borderId="1" xfId="1" applyFont="1" applyFill="1" applyBorder="1">
      <alignment vertical="center"/>
    </xf>
    <xf numFmtId="176" fontId="12" fillId="8" borderId="1" xfId="1" applyNumberFormat="1" applyFont="1" applyFill="1" applyBorder="1">
      <alignment vertical="center"/>
    </xf>
    <xf numFmtId="43" fontId="12" fillId="8" borderId="1" xfId="1" applyNumberFormat="1" applyFont="1" applyFill="1" applyBorder="1">
      <alignment vertical="center"/>
    </xf>
    <xf numFmtId="0" fontId="12" fillId="8" borderId="33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12" fillId="0" borderId="33" xfId="0" applyFont="1" applyFill="1" applyBorder="1" applyAlignment="1">
      <alignment horizontal="center" vertical="center" shrinkToFit="1"/>
    </xf>
    <xf numFmtId="41" fontId="0" fillId="0" borderId="0" xfId="1" applyFont="1">
      <alignment vertical="center"/>
    </xf>
    <xf numFmtId="0" fontId="2" fillId="0" borderId="1" xfId="0" applyFont="1" applyBorder="1">
      <alignment vertical="center"/>
    </xf>
    <xf numFmtId="0" fontId="13" fillId="0" borderId="0" xfId="0" applyFont="1">
      <alignment vertical="center"/>
    </xf>
    <xf numFmtId="178" fontId="0" fillId="0" borderId="0" xfId="0" applyNumberFormat="1">
      <alignment vertical="center"/>
    </xf>
    <xf numFmtId="178" fontId="0" fillId="0" borderId="0" xfId="0" applyNumberFormat="1" applyAlignment="1">
      <alignment horizontal="center" vertical="center"/>
    </xf>
    <xf numFmtId="179" fontId="14" fillId="0" borderId="0" xfId="0" applyNumberFormat="1" applyFont="1" applyAlignment="1">
      <alignment horizontal="center"/>
    </xf>
    <xf numFmtId="178" fontId="0" fillId="9" borderId="1" xfId="0" applyNumberFormat="1" applyFill="1" applyBorder="1" applyAlignment="1">
      <alignment horizontal="center" vertical="center"/>
    </xf>
    <xf numFmtId="178" fontId="0" fillId="9" borderId="1" xfId="0" applyNumberFormat="1" applyFill="1" applyBorder="1" applyAlignment="1">
      <alignment horizontal="center" vertical="center" shrinkToFit="1"/>
    </xf>
    <xf numFmtId="179" fontId="14" fillId="9" borderId="1" xfId="0" applyNumberFormat="1" applyFont="1" applyFill="1" applyBorder="1" applyAlignment="1">
      <alignment horizontal="center" vertical="center"/>
    </xf>
    <xf numFmtId="178" fontId="0" fillId="9" borderId="1" xfId="0" applyNumberFormat="1" applyFill="1" applyBorder="1">
      <alignment vertical="center"/>
    </xf>
    <xf numFmtId="178" fontId="0" fillId="9" borderId="1" xfId="0" applyNumberFormat="1" applyFill="1" applyBorder="1" applyAlignment="1">
      <alignment horizontal="center" vertical="center" wrapText="1" shrinkToFit="1"/>
    </xf>
    <xf numFmtId="178" fontId="15" fillId="9" borderId="1" xfId="0" applyNumberFormat="1" applyFont="1" applyFill="1" applyBorder="1" applyAlignment="1">
      <alignment horizontal="center" vertical="center" wrapText="1" shrinkToFit="1"/>
    </xf>
    <xf numFmtId="178" fontId="14" fillId="9" borderId="1" xfId="0" applyNumberFormat="1" applyFont="1" applyFill="1" applyBorder="1" applyAlignment="1">
      <alignment horizontal="center" vertical="center" wrapText="1" shrinkToFit="1"/>
    </xf>
    <xf numFmtId="178" fontId="16" fillId="9" borderId="1" xfId="0" applyNumberFormat="1" applyFont="1" applyFill="1" applyBorder="1" applyAlignment="1">
      <alignment horizontal="center" vertical="center" wrapText="1" shrinkToFit="1"/>
    </xf>
    <xf numFmtId="178" fontId="14" fillId="9" borderId="35" xfId="0" applyNumberFormat="1" applyFont="1" applyFill="1" applyBorder="1" applyAlignment="1">
      <alignment horizontal="center" vertical="center" wrapText="1" shrinkToFit="1"/>
    </xf>
    <xf numFmtId="178" fontId="0" fillId="0" borderId="1" xfId="0" applyNumberFormat="1" applyBorder="1">
      <alignment vertical="center"/>
    </xf>
    <xf numFmtId="178" fontId="0" fillId="0" borderId="1" xfId="0" applyNumberFormat="1" applyBorder="1" applyAlignment="1">
      <alignment horizontal="center" vertical="center"/>
    </xf>
    <xf numFmtId="178" fontId="0" fillId="0" borderId="1" xfId="0" applyNumberFormat="1" applyFill="1" applyBorder="1">
      <alignment vertical="center"/>
    </xf>
    <xf numFmtId="178" fontId="0" fillId="0" borderId="1" xfId="0" applyNumberForma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180" fontId="0" fillId="2" borderId="1" xfId="0" applyNumberFormat="1" applyFill="1" applyBorder="1">
      <alignment vertical="center"/>
    </xf>
    <xf numFmtId="178" fontId="0" fillId="2" borderId="1" xfId="0" applyNumberFormat="1" applyFill="1" applyBorder="1">
      <alignment vertical="center"/>
    </xf>
    <xf numFmtId="0" fontId="0" fillId="0" borderId="8" xfId="0" applyFill="1" applyBorder="1" applyAlignment="1">
      <alignment horizontal="center" vertical="center"/>
    </xf>
    <xf numFmtId="178" fontId="0" fillId="0" borderId="8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 wrapText="1" shrinkToFit="1"/>
    </xf>
    <xf numFmtId="178" fontId="15" fillId="0" borderId="1" xfId="0" applyNumberFormat="1" applyFont="1" applyFill="1" applyBorder="1" applyAlignment="1">
      <alignment horizontal="center" vertical="center" wrapText="1" shrinkToFit="1"/>
    </xf>
    <xf numFmtId="178" fontId="14" fillId="0" borderId="1" xfId="0" applyNumberFormat="1" applyFont="1" applyFill="1" applyBorder="1" applyAlignment="1">
      <alignment horizontal="center" vertical="center" wrapText="1" shrinkToFit="1"/>
    </xf>
    <xf numFmtId="178" fontId="16" fillId="0" borderId="1" xfId="0" applyNumberFormat="1" applyFont="1" applyFill="1" applyBorder="1" applyAlignment="1">
      <alignment horizontal="center" vertical="center" wrapText="1" shrinkToFit="1"/>
    </xf>
    <xf numFmtId="178" fontId="14" fillId="0" borderId="0" xfId="0" applyNumberFormat="1" applyFont="1" applyFill="1" applyBorder="1" applyAlignment="1">
      <alignment horizontal="center" vertical="center" wrapText="1" shrinkToFit="1"/>
    </xf>
    <xf numFmtId="0" fontId="0" fillId="3" borderId="8" xfId="0" applyFill="1" applyBorder="1" applyAlignment="1">
      <alignment horizontal="center" vertical="center"/>
    </xf>
    <xf numFmtId="0" fontId="15" fillId="0" borderId="0" xfId="0" applyFont="1">
      <alignment vertical="center"/>
    </xf>
    <xf numFmtId="0" fontId="17" fillId="0" borderId="8" xfId="0" applyFont="1" applyFill="1" applyBorder="1" applyAlignment="1">
      <alignment horizontal="center" vertical="center"/>
    </xf>
    <xf numFmtId="0" fontId="17" fillId="0" borderId="1" xfId="0" applyFont="1" applyBorder="1">
      <alignment vertical="center"/>
    </xf>
    <xf numFmtId="0" fontId="17" fillId="0" borderId="1" xfId="0" applyFont="1" applyFill="1" applyBorder="1" applyAlignment="1">
      <alignment vertical="center" wrapText="1"/>
    </xf>
    <xf numFmtId="0" fontId="17" fillId="0" borderId="1" xfId="0" applyFont="1" applyFill="1" applyBorder="1">
      <alignment vertical="center"/>
    </xf>
    <xf numFmtId="0" fontId="17" fillId="5" borderId="1" xfId="0" applyFont="1" applyFill="1" applyBorder="1">
      <alignment vertical="center"/>
    </xf>
    <xf numFmtId="0" fontId="0" fillId="5" borderId="1" xfId="0" applyFill="1" applyBorder="1">
      <alignment vertical="center"/>
    </xf>
    <xf numFmtId="0" fontId="2" fillId="0" borderId="1" xfId="0" applyFont="1" applyFill="1" applyBorder="1">
      <alignment vertical="center"/>
    </xf>
    <xf numFmtId="178" fontId="0" fillId="3" borderId="1" xfId="0" applyNumberFormat="1" applyFill="1" applyBorder="1">
      <alignment vertical="center"/>
    </xf>
    <xf numFmtId="41" fontId="12" fillId="0" borderId="1" xfId="1" applyFon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 shrinkToFit="1"/>
    </xf>
    <xf numFmtId="0" fontId="12" fillId="6" borderId="1" xfId="0" applyFont="1" applyFill="1" applyBorder="1" applyAlignment="1">
      <alignment horizontal="center" vertical="center" shrinkToFit="1"/>
    </xf>
    <xf numFmtId="0" fontId="8" fillId="4" borderId="1" xfId="0" applyFont="1" applyFill="1" applyBorder="1" applyAlignment="1">
      <alignment horizontal="center" vertical="center"/>
    </xf>
    <xf numFmtId="41" fontId="12" fillId="4" borderId="1" xfId="1" applyFont="1" applyFill="1" applyBorder="1" applyAlignment="1">
      <alignment horizontal="center" vertical="center"/>
    </xf>
    <xf numFmtId="0" fontId="0" fillId="8" borderId="1" xfId="0" applyFill="1" applyBorder="1">
      <alignment vertical="center"/>
    </xf>
    <xf numFmtId="41" fontId="0" fillId="8" borderId="1" xfId="1" applyFont="1" applyFill="1" applyBorder="1">
      <alignment vertical="center"/>
    </xf>
    <xf numFmtId="176" fontId="0" fillId="8" borderId="1" xfId="0" applyNumberFormat="1" applyFill="1" applyBorder="1">
      <alignment vertical="center"/>
    </xf>
    <xf numFmtId="0" fontId="8" fillId="8" borderId="1" xfId="0" applyFont="1" applyFill="1" applyBorder="1" applyAlignment="1">
      <alignment horizontal="center" vertical="center"/>
    </xf>
    <xf numFmtId="41" fontId="12" fillId="8" borderId="1" xfId="1" applyFont="1" applyFill="1" applyBorder="1" applyAlignment="1">
      <alignment horizontal="center" vertical="center"/>
    </xf>
    <xf numFmtId="3" fontId="12" fillId="3" borderId="1" xfId="1" applyNumberFormat="1" applyFont="1" applyFill="1" applyBorder="1">
      <alignment vertical="center"/>
    </xf>
    <xf numFmtId="43" fontId="0" fillId="0" borderId="0" xfId="0" applyNumberFormat="1">
      <alignment vertical="center"/>
    </xf>
    <xf numFmtId="41" fontId="12" fillId="0" borderId="19" xfId="1" applyFont="1" applyBorder="1" applyAlignment="1">
      <alignment horizontal="center" vertical="center"/>
    </xf>
    <xf numFmtId="0" fontId="6" fillId="0" borderId="1" xfId="2" applyFont="1" applyFill="1" applyBorder="1" applyAlignment="1">
      <alignment horizontal="center" vertical="center"/>
    </xf>
    <xf numFmtId="0" fontId="18" fillId="0" borderId="1" xfId="2" applyFont="1" applyFill="1" applyBorder="1" applyAlignment="1">
      <alignment horizontal="center" vertical="center" shrinkToFit="1"/>
    </xf>
    <xf numFmtId="0" fontId="18" fillId="0" borderId="1" xfId="2" applyFont="1" applyFill="1" applyBorder="1">
      <alignment vertical="center"/>
    </xf>
    <xf numFmtId="9" fontId="0" fillId="0" borderId="1" xfId="3" applyFont="1" applyBorder="1" applyAlignment="1">
      <alignment vertical="center" shrinkToFit="1"/>
    </xf>
    <xf numFmtId="181" fontId="0" fillId="0" borderId="1" xfId="0" applyNumberFormat="1" applyBorder="1" applyAlignment="1">
      <alignment horizontal="center" vertical="center" shrinkToFit="1"/>
    </xf>
    <xf numFmtId="0" fontId="19" fillId="0" borderId="27" xfId="0" applyFont="1" applyBorder="1" applyAlignment="1">
      <alignment horizontal="right" vertical="center"/>
    </xf>
    <xf numFmtId="41" fontId="0" fillId="10" borderId="0" xfId="1" applyFont="1" applyFill="1">
      <alignment vertical="center"/>
    </xf>
    <xf numFmtId="41" fontId="0" fillId="3" borderId="0" xfId="1" applyFont="1" applyFill="1">
      <alignment vertical="center"/>
    </xf>
    <xf numFmtId="0" fontId="21" fillId="6" borderId="0" xfId="4" applyFont="1" applyFill="1" applyAlignment="1">
      <alignment horizontal="center" vertical="center"/>
    </xf>
    <xf numFmtId="0" fontId="23" fillId="6" borderId="0" xfId="4" applyFont="1" applyFill="1" applyAlignment="1">
      <alignment horizontal="center" vertical="center"/>
    </xf>
    <xf numFmtId="0" fontId="23" fillId="6" borderId="0" xfId="4" applyFont="1" applyFill="1" applyAlignment="1">
      <alignment horizontal="right" vertical="center"/>
    </xf>
    <xf numFmtId="0" fontId="24" fillId="6" borderId="0" xfId="4" applyFont="1" applyFill="1" applyAlignment="1">
      <alignment horizontal="center" vertical="center" wrapText="1"/>
    </xf>
    <xf numFmtId="0" fontId="24" fillId="6" borderId="0" xfId="4" applyFont="1" applyFill="1" applyAlignment="1">
      <alignment horizontal="center" vertical="center"/>
    </xf>
    <xf numFmtId="0" fontId="21" fillId="6" borderId="1" xfId="4" applyFont="1" applyFill="1" applyBorder="1" applyAlignment="1">
      <alignment horizontal="center" vertical="center"/>
    </xf>
    <xf numFmtId="0" fontId="24" fillId="10" borderId="1" xfId="4" applyFont="1" applyFill="1" applyBorder="1" applyAlignment="1">
      <alignment horizontal="center" vertical="center" wrapText="1"/>
    </xf>
    <xf numFmtId="0" fontId="24" fillId="14" borderId="1" xfId="4" applyFont="1" applyFill="1" applyBorder="1" applyAlignment="1">
      <alignment horizontal="center" vertical="center" wrapText="1"/>
    </xf>
    <xf numFmtId="0" fontId="24" fillId="12" borderId="1" xfId="4" applyFont="1" applyFill="1" applyBorder="1" applyAlignment="1">
      <alignment horizontal="center" vertical="center" wrapText="1"/>
    </xf>
    <xf numFmtId="0" fontId="24" fillId="2" borderId="1" xfId="4" applyFont="1" applyFill="1" applyBorder="1" applyAlignment="1">
      <alignment horizontal="center" vertical="center" wrapText="1"/>
    </xf>
    <xf numFmtId="0" fontId="26" fillId="6" borderId="0" xfId="4" applyFont="1" applyFill="1" applyAlignment="1">
      <alignment horizontal="right" vertical="center"/>
    </xf>
    <xf numFmtId="0" fontId="27" fillId="3" borderId="37" xfId="4" applyFont="1" applyFill="1" applyBorder="1" applyAlignment="1">
      <alignment horizontal="center" vertical="center"/>
    </xf>
    <xf numFmtId="0" fontId="21" fillId="6" borderId="38" xfId="4" applyFont="1" applyFill="1" applyBorder="1" applyAlignment="1">
      <alignment horizontal="center" vertical="center"/>
    </xf>
    <xf numFmtId="0" fontId="28" fillId="6" borderId="0" xfId="4" applyFont="1" applyFill="1" applyAlignment="1">
      <alignment horizontal="right" vertical="center"/>
    </xf>
    <xf numFmtId="0" fontId="21" fillId="6" borderId="0" xfId="4" applyFont="1" applyFill="1" applyBorder="1" applyAlignment="1">
      <alignment horizontal="center" vertical="center"/>
    </xf>
    <xf numFmtId="0" fontId="24" fillId="14" borderId="7" xfId="4" applyFont="1" applyFill="1" applyBorder="1" applyAlignment="1">
      <alignment horizontal="center" vertical="center" wrapText="1"/>
    </xf>
    <xf numFmtId="0" fontId="24" fillId="10" borderId="36" xfId="4" applyFont="1" applyFill="1" applyBorder="1" applyAlignment="1">
      <alignment horizontal="center" vertical="center" wrapText="1"/>
    </xf>
    <xf numFmtId="0" fontId="24" fillId="10" borderId="7" xfId="4" applyFont="1" applyFill="1" applyBorder="1" applyAlignment="1">
      <alignment horizontal="center" vertical="center" wrapText="1"/>
    </xf>
    <xf numFmtId="0" fontId="24" fillId="2" borderId="36" xfId="4" applyFont="1" applyFill="1" applyBorder="1" applyAlignment="1">
      <alignment horizontal="center" vertical="center" wrapText="1"/>
    </xf>
    <xf numFmtId="0" fontId="28" fillId="6" borderId="0" xfId="4" applyFont="1" applyFill="1" applyBorder="1" applyAlignment="1">
      <alignment horizontal="right" vertical="center"/>
    </xf>
    <xf numFmtId="0" fontId="24" fillId="14" borderId="36" xfId="4" applyFont="1" applyFill="1" applyBorder="1" applyAlignment="1">
      <alignment horizontal="center" vertical="center" wrapText="1"/>
    </xf>
    <xf numFmtId="0" fontId="24" fillId="12" borderId="7" xfId="4" applyFont="1" applyFill="1" applyBorder="1" applyAlignment="1">
      <alignment horizontal="center" vertical="center" wrapText="1"/>
    </xf>
    <xf numFmtId="0" fontId="24" fillId="10" borderId="5" xfId="4" applyFont="1" applyFill="1" applyBorder="1" applyAlignment="1">
      <alignment horizontal="center" vertical="center" wrapText="1"/>
    </xf>
    <xf numFmtId="0" fontId="21" fillId="6" borderId="39" xfId="4" applyFont="1" applyFill="1" applyBorder="1" applyAlignment="1">
      <alignment horizontal="center" vertical="center"/>
    </xf>
    <xf numFmtId="0" fontId="21" fillId="6" borderId="40" xfId="4" applyFont="1" applyFill="1" applyBorder="1" applyAlignment="1">
      <alignment horizontal="center" vertical="center"/>
    </xf>
    <xf numFmtId="0" fontId="21" fillId="6" borderId="41" xfId="4" applyFont="1" applyFill="1" applyBorder="1" applyAlignment="1">
      <alignment horizontal="center" vertical="center"/>
    </xf>
    <xf numFmtId="0" fontId="24" fillId="10" borderId="34" xfId="4" applyFont="1" applyFill="1" applyBorder="1" applyAlignment="1">
      <alignment horizontal="center" vertical="center" wrapText="1"/>
    </xf>
    <xf numFmtId="0" fontId="21" fillId="6" borderId="42" xfId="4" applyFont="1" applyFill="1" applyBorder="1" applyAlignment="1">
      <alignment horizontal="center" vertical="center"/>
    </xf>
    <xf numFmtId="0" fontId="24" fillId="6" borderId="1" xfId="4" applyFont="1" applyFill="1" applyBorder="1" applyAlignment="1">
      <alignment horizontal="center" vertical="center" wrapText="1"/>
    </xf>
    <xf numFmtId="0" fontId="24" fillId="6" borderId="1" xfId="4" applyFont="1" applyFill="1" applyBorder="1" applyAlignment="1">
      <alignment horizontal="center" vertical="center" shrinkToFit="1"/>
    </xf>
    <xf numFmtId="0" fontId="29" fillId="6" borderId="0" xfId="4" applyFont="1" applyFill="1" applyAlignment="1">
      <alignment horizontal="right" vertical="center"/>
    </xf>
    <xf numFmtId="0" fontId="21" fillId="6" borderId="36" xfId="4" applyFont="1" applyFill="1" applyBorder="1" applyAlignment="1">
      <alignment horizontal="center" vertical="center"/>
    </xf>
    <xf numFmtId="0" fontId="21" fillId="6" borderId="7" xfId="4" applyFont="1" applyFill="1" applyBorder="1" applyAlignment="1">
      <alignment horizontal="center" vertical="center"/>
    </xf>
    <xf numFmtId="0" fontId="21" fillId="6" borderId="8" xfId="4" applyFont="1" applyFill="1" applyBorder="1" applyAlignment="1">
      <alignment horizontal="center" vertical="center"/>
    </xf>
    <xf numFmtId="0" fontId="23" fillId="6" borderId="0" xfId="4" applyFont="1" applyFill="1" applyAlignment="1">
      <alignment horizontal="left" vertical="center"/>
    </xf>
    <xf numFmtId="0" fontId="30" fillId="6" borderId="0" xfId="4" applyFont="1" applyFill="1" applyAlignment="1">
      <alignment horizontal="center" vertical="center"/>
    </xf>
    <xf numFmtId="0" fontId="11" fillId="0" borderId="16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11" fillId="6" borderId="43" xfId="0" applyFont="1" applyFill="1" applyBorder="1" applyAlignment="1">
      <alignment horizontal="center" vertical="center"/>
    </xf>
    <xf numFmtId="0" fontId="8" fillId="6" borderId="34" xfId="0" applyFont="1" applyFill="1" applyBorder="1" applyAlignment="1">
      <alignment horizontal="center" vertical="center"/>
    </xf>
    <xf numFmtId="0" fontId="12" fillId="6" borderId="34" xfId="0" applyFont="1" applyFill="1" applyBorder="1" applyAlignment="1">
      <alignment horizontal="center" vertical="center"/>
    </xf>
    <xf numFmtId="41" fontId="12" fillId="0" borderId="34" xfId="1" applyFont="1" applyFill="1" applyBorder="1" applyAlignment="1">
      <alignment horizontal="center" vertical="center"/>
    </xf>
    <xf numFmtId="41" fontId="12" fillId="0" borderId="34" xfId="1" applyFont="1" applyFill="1" applyBorder="1">
      <alignment vertical="center"/>
    </xf>
    <xf numFmtId="176" fontId="12" fillId="0" borderId="34" xfId="1" applyNumberFormat="1" applyFont="1" applyFill="1" applyBorder="1">
      <alignment vertical="center"/>
    </xf>
    <xf numFmtId="4" fontId="12" fillId="0" borderId="34" xfId="1" applyNumberFormat="1" applyFont="1" applyFill="1" applyBorder="1">
      <alignment vertical="center"/>
    </xf>
    <xf numFmtId="43" fontId="12" fillId="0" borderId="34" xfId="1" applyNumberFormat="1" applyFont="1" applyFill="1" applyBorder="1">
      <alignment vertical="center"/>
    </xf>
    <xf numFmtId="0" fontId="12" fillId="0" borderId="44" xfId="0" applyFont="1" applyFill="1" applyBorder="1" applyAlignment="1">
      <alignment horizontal="center" vertical="center" shrinkToFit="1"/>
    </xf>
    <xf numFmtId="0" fontId="0" fillId="0" borderId="14" xfId="2" applyFont="1" applyFill="1" applyBorder="1" applyAlignment="1">
      <alignment horizontal="center" vertical="center" shrinkToFit="1"/>
    </xf>
    <xf numFmtId="0" fontId="1" fillId="0" borderId="14" xfId="2" applyFill="1" applyBorder="1">
      <alignment vertical="center"/>
    </xf>
    <xf numFmtId="41" fontId="12" fillId="0" borderId="14" xfId="1" applyFont="1" applyFill="1" applyBorder="1">
      <alignment vertical="center"/>
    </xf>
    <xf numFmtId="4" fontId="12" fillId="4" borderId="1" xfId="1" applyNumberFormat="1" applyFont="1" applyFill="1" applyBorder="1">
      <alignment vertical="center"/>
    </xf>
    <xf numFmtId="0" fontId="12" fillId="4" borderId="33" xfId="0" applyFont="1" applyFill="1" applyBorder="1" applyAlignment="1">
      <alignment horizontal="center" vertical="center" shrinkToFit="1"/>
    </xf>
    <xf numFmtId="0" fontId="11" fillId="4" borderId="43" xfId="0" applyFont="1" applyFill="1" applyBorder="1" applyAlignment="1">
      <alignment horizontal="center" vertical="center"/>
    </xf>
    <xf numFmtId="0" fontId="8" fillId="4" borderId="34" xfId="0" applyFont="1" applyFill="1" applyBorder="1" applyAlignment="1">
      <alignment horizontal="center" vertical="center"/>
    </xf>
    <xf numFmtId="0" fontId="12" fillId="4" borderId="34" xfId="0" applyFont="1" applyFill="1" applyBorder="1" applyAlignment="1">
      <alignment horizontal="center" vertical="center"/>
    </xf>
    <xf numFmtId="41" fontId="12" fillId="4" borderId="34" xfId="1" applyFont="1" applyFill="1" applyBorder="1">
      <alignment vertical="center"/>
    </xf>
    <xf numFmtId="176" fontId="12" fillId="4" borderId="34" xfId="1" applyNumberFormat="1" applyFont="1" applyFill="1" applyBorder="1">
      <alignment vertical="center"/>
    </xf>
    <xf numFmtId="4" fontId="12" fillId="4" borderId="34" xfId="1" applyNumberFormat="1" applyFont="1" applyFill="1" applyBorder="1">
      <alignment vertical="center"/>
    </xf>
    <xf numFmtId="43" fontId="12" fillId="4" borderId="34" xfId="1" applyNumberFormat="1" applyFont="1" applyFill="1" applyBorder="1">
      <alignment vertical="center"/>
    </xf>
    <xf numFmtId="0" fontId="12" fillId="4" borderId="44" xfId="0" applyFont="1" applyFill="1" applyBorder="1" applyAlignment="1">
      <alignment horizontal="center" vertical="center" shrinkToFit="1"/>
    </xf>
    <xf numFmtId="0" fontId="11" fillId="6" borderId="1" xfId="0" applyFont="1" applyFill="1" applyBorder="1" applyAlignment="1">
      <alignment horizontal="center" vertical="center"/>
    </xf>
    <xf numFmtId="0" fontId="8" fillId="6" borderId="34" xfId="0" applyFont="1" applyFill="1" applyBorder="1" applyAlignment="1">
      <alignment horizontal="center" vertical="center" shrinkToFit="1"/>
    </xf>
    <xf numFmtId="41" fontId="12" fillId="0" borderId="34" xfId="1" applyFont="1" applyFill="1" applyBorder="1" applyAlignment="1">
      <alignment vertical="center"/>
    </xf>
    <xf numFmtId="176" fontId="12" fillId="6" borderId="34" xfId="1" applyNumberFormat="1" applyFont="1" applyFill="1" applyBorder="1">
      <alignment vertical="center"/>
    </xf>
    <xf numFmtId="43" fontId="12" fillId="6" borderId="34" xfId="1" applyNumberFormat="1" applyFont="1" applyFill="1" applyBorder="1" applyAlignment="1">
      <alignment vertical="center" shrinkToFit="1"/>
    </xf>
    <xf numFmtId="0" fontId="12" fillId="6" borderId="44" xfId="0" applyFont="1" applyFill="1" applyBorder="1" applyAlignment="1">
      <alignment horizontal="center" vertical="center" shrinkToFit="1"/>
    </xf>
    <xf numFmtId="0" fontId="0" fillId="0" borderId="0" xfId="0" applyBorder="1" applyAlignment="1">
      <alignment horizontal="center" vertical="center"/>
    </xf>
    <xf numFmtId="41" fontId="12" fillId="0" borderId="8" xfId="1" applyFont="1" applyFill="1" applyBorder="1">
      <alignment vertical="center"/>
    </xf>
    <xf numFmtId="0" fontId="0" fillId="0" borderId="4" xfId="0" applyBorder="1" applyAlignment="1">
      <alignment horizontal="center" vertical="center"/>
    </xf>
    <xf numFmtId="0" fontId="11" fillId="8" borderId="43" xfId="0" applyFont="1" applyFill="1" applyBorder="1" applyAlignment="1">
      <alignment horizontal="center" vertical="center"/>
    </xf>
    <xf numFmtId="0" fontId="8" fillId="8" borderId="34" xfId="0" applyFont="1" applyFill="1" applyBorder="1" applyAlignment="1">
      <alignment horizontal="center" vertical="center"/>
    </xf>
    <xf numFmtId="0" fontId="12" fillId="8" borderId="34" xfId="0" applyFont="1" applyFill="1" applyBorder="1" applyAlignment="1">
      <alignment horizontal="center" vertical="center"/>
    </xf>
    <xf numFmtId="41" fontId="12" fillId="8" borderId="34" xfId="1" applyFont="1" applyFill="1" applyBorder="1">
      <alignment vertical="center"/>
    </xf>
    <xf numFmtId="176" fontId="12" fillId="8" borderId="34" xfId="1" applyNumberFormat="1" applyFont="1" applyFill="1" applyBorder="1">
      <alignment vertical="center"/>
    </xf>
    <xf numFmtId="4" fontId="12" fillId="8" borderId="34" xfId="1" applyNumberFormat="1" applyFont="1" applyFill="1" applyBorder="1">
      <alignment vertical="center"/>
    </xf>
    <xf numFmtId="43" fontId="12" fillId="8" borderId="34" xfId="1" applyNumberFormat="1" applyFont="1" applyFill="1" applyBorder="1">
      <alignment vertical="center"/>
    </xf>
    <xf numFmtId="0" fontId="12" fillId="8" borderId="44" xfId="0" applyFont="1" applyFill="1" applyBorder="1" applyAlignment="1">
      <alignment horizontal="center" vertical="center" shrinkToFit="1"/>
    </xf>
    <xf numFmtId="41" fontId="0" fillId="4" borderId="1" xfId="1" applyFont="1" applyFill="1" applyBorder="1">
      <alignment vertical="center"/>
    </xf>
    <xf numFmtId="0" fontId="11" fillId="6" borderId="45" xfId="0" applyFont="1" applyFill="1" applyBorder="1" applyAlignment="1">
      <alignment horizontal="center" vertical="center"/>
    </xf>
    <xf numFmtId="0" fontId="0" fillId="0" borderId="8" xfId="2" applyFont="1" applyFill="1" applyBorder="1" applyAlignment="1">
      <alignment horizontal="center" vertical="center" shrinkToFit="1"/>
    </xf>
    <xf numFmtId="0" fontId="1" fillId="0" borderId="8" xfId="2" applyFill="1" applyBorder="1">
      <alignment vertical="center"/>
    </xf>
    <xf numFmtId="41" fontId="12" fillId="0" borderId="8" xfId="1" applyFont="1" applyFill="1" applyBorder="1" applyAlignment="1">
      <alignment vertical="center"/>
    </xf>
    <xf numFmtId="176" fontId="12" fillId="6" borderId="8" xfId="1" applyNumberFormat="1" applyFont="1" applyFill="1" applyBorder="1">
      <alignment vertical="center"/>
    </xf>
    <xf numFmtId="43" fontId="12" fillId="6" borderId="8" xfId="1" applyNumberFormat="1" applyFont="1" applyFill="1" applyBorder="1" applyAlignment="1">
      <alignment vertical="center" shrinkToFit="1"/>
    </xf>
    <xf numFmtId="0" fontId="12" fillId="6" borderId="46" xfId="0" applyFont="1" applyFill="1" applyBorder="1" applyAlignment="1">
      <alignment horizontal="center" vertical="center" shrinkToFit="1"/>
    </xf>
    <xf numFmtId="41" fontId="12" fillId="3" borderId="34" xfId="1" applyFont="1" applyFill="1" applyBorder="1">
      <alignment vertical="center"/>
    </xf>
    <xf numFmtId="176" fontId="12" fillId="3" borderId="34" xfId="1" applyNumberFormat="1" applyFont="1" applyFill="1" applyBorder="1">
      <alignment vertical="center"/>
    </xf>
    <xf numFmtId="43" fontId="12" fillId="3" borderId="34" xfId="1" applyNumberFormat="1" applyFont="1" applyFill="1" applyBorder="1">
      <alignment vertical="center"/>
    </xf>
    <xf numFmtId="0" fontId="12" fillId="3" borderId="44" xfId="0" applyFont="1" applyFill="1" applyBorder="1" applyAlignment="1">
      <alignment horizontal="center" vertical="center"/>
    </xf>
    <xf numFmtId="0" fontId="11" fillId="6" borderId="14" xfId="0" applyFont="1" applyFill="1" applyBorder="1" applyAlignment="1">
      <alignment horizontal="center" vertical="center"/>
    </xf>
    <xf numFmtId="0" fontId="12" fillId="0" borderId="47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2" fillId="0" borderId="48" xfId="0" applyFont="1" applyBorder="1" applyAlignment="1">
      <alignment horizontal="left" vertical="center"/>
    </xf>
    <xf numFmtId="0" fontId="1" fillId="0" borderId="1" xfId="2" applyFill="1" applyBorder="1" applyAlignment="1">
      <alignment horizontal="center" vertical="center"/>
    </xf>
    <xf numFmtId="181" fontId="0" fillId="0" borderId="1" xfId="0" applyNumberFormat="1" applyFill="1" applyBorder="1" applyAlignment="1">
      <alignment horizontal="center" vertical="center" shrinkToFit="1"/>
    </xf>
    <xf numFmtId="182" fontId="0" fillId="0" borderId="0" xfId="1" applyNumberFormat="1" applyFont="1">
      <alignment vertical="center"/>
    </xf>
    <xf numFmtId="0" fontId="0" fillId="3" borderId="0" xfId="0" applyFill="1">
      <alignment vertical="center"/>
    </xf>
    <xf numFmtId="182" fontId="0" fillId="3" borderId="0" xfId="1" applyNumberFormat="1" applyFont="1" applyFill="1">
      <alignment vertical="center"/>
    </xf>
    <xf numFmtId="0" fontId="0" fillId="11" borderId="0" xfId="0" applyFill="1">
      <alignment vertical="center"/>
    </xf>
    <xf numFmtId="0" fontId="27" fillId="0" borderId="0" xfId="4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2" fontId="0" fillId="0" borderId="0" xfId="0" applyNumberFormat="1">
      <alignment vertical="center"/>
    </xf>
    <xf numFmtId="41" fontId="12" fillId="0" borderId="19" xfId="1" applyFont="1" applyBorder="1" applyAlignment="1">
      <alignment horizontal="center" vertical="center"/>
    </xf>
    <xf numFmtId="41" fontId="12" fillId="4" borderId="1" xfId="1" applyFont="1" applyFill="1" applyBorder="1" applyAlignment="1">
      <alignment horizontal="center" vertical="center"/>
    </xf>
    <xf numFmtId="183" fontId="21" fillId="6" borderId="0" xfId="4" applyNumberFormat="1" applyFont="1" applyFill="1" applyAlignment="1">
      <alignment horizontal="center" vertical="center"/>
    </xf>
    <xf numFmtId="0" fontId="12" fillId="0" borderId="48" xfId="0" applyFont="1" applyBorder="1" applyAlignment="1">
      <alignment horizontal="right" vertical="center"/>
    </xf>
    <xf numFmtId="0" fontId="21" fillId="6" borderId="0" xfId="4" quotePrefix="1" applyFont="1" applyFill="1" applyAlignment="1">
      <alignment horizontal="center" vertical="center"/>
    </xf>
    <xf numFmtId="183" fontId="0" fillId="0" borderId="1" xfId="0" applyNumberFormat="1" applyBorder="1">
      <alignment vertical="center"/>
    </xf>
    <xf numFmtId="183" fontId="0" fillId="0" borderId="1" xfId="0" applyNumberFormat="1" applyBorder="1" applyAlignment="1">
      <alignment horizontal="center" vertical="center"/>
    </xf>
    <xf numFmtId="0" fontId="0" fillId="0" borderId="50" xfId="0" applyFill="1" applyBorder="1" applyAlignment="1">
      <alignment horizontal="left" vertical="center"/>
    </xf>
    <xf numFmtId="0" fontId="0" fillId="0" borderId="49" xfId="0" applyBorder="1">
      <alignment vertical="center"/>
    </xf>
    <xf numFmtId="0" fontId="0" fillId="0" borderId="51" xfId="0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0" borderId="0" xfId="0" quotePrefix="1">
      <alignment vertical="center"/>
    </xf>
    <xf numFmtId="0" fontId="24" fillId="6" borderId="1" xfId="4" applyFont="1" applyFill="1" applyBorder="1" applyAlignment="1">
      <alignment horizontal="center" vertical="center" wrapText="1"/>
    </xf>
    <xf numFmtId="0" fontId="24" fillId="6" borderId="1" xfId="4" applyFont="1" applyFill="1" applyBorder="1" applyAlignment="1">
      <alignment horizontal="center" vertical="center" wrapText="1"/>
    </xf>
    <xf numFmtId="41" fontId="12" fillId="0" borderId="19" xfId="1" applyFont="1" applyBorder="1" applyAlignment="1">
      <alignment horizontal="center" vertical="center"/>
    </xf>
    <xf numFmtId="41" fontId="12" fillId="4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>
      <alignment vertical="center"/>
    </xf>
    <xf numFmtId="0" fontId="24" fillId="13" borderId="4" xfId="4" applyFont="1" applyFill="1" applyBorder="1" applyAlignment="1">
      <alignment horizontal="center" vertical="center" wrapText="1"/>
    </xf>
    <xf numFmtId="0" fontId="21" fillId="13" borderId="4" xfId="4" applyFont="1" applyFill="1" applyBorder="1" applyAlignment="1">
      <alignment horizontal="center" vertical="center"/>
    </xf>
    <xf numFmtId="0" fontId="24" fillId="6" borderId="1" xfId="4" applyFont="1" applyFill="1" applyBorder="1" applyAlignment="1">
      <alignment horizontal="center" vertical="center" wrapText="1"/>
    </xf>
    <xf numFmtId="0" fontId="31" fillId="6" borderId="0" xfId="4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9" borderId="34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178" fontId="0" fillId="9" borderId="34" xfId="0" applyNumberFormat="1" applyFill="1" applyBorder="1" applyAlignment="1">
      <alignment horizontal="center" vertical="center"/>
    </xf>
    <xf numFmtId="178" fontId="0" fillId="9" borderId="8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5" fillId="9" borderId="34" xfId="0" applyFont="1" applyFill="1" applyBorder="1" applyAlignment="1">
      <alignment horizontal="center" vertical="center"/>
    </xf>
    <xf numFmtId="0" fontId="17" fillId="9" borderId="8" xfId="0" applyFont="1" applyFill="1" applyBorder="1" applyAlignment="1">
      <alignment horizontal="center" vertical="center"/>
    </xf>
    <xf numFmtId="41" fontId="12" fillId="3" borderId="1" xfId="1" applyFont="1" applyFill="1" applyBorder="1" applyAlignment="1">
      <alignment horizontal="center" vertical="center"/>
    </xf>
    <xf numFmtId="0" fontId="10" fillId="0" borderId="19" xfId="0" applyFont="1" applyBorder="1" applyAlignment="1">
      <alignment horizontal="left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5" xfId="0" applyFont="1" applyBorder="1" applyAlignment="1">
      <alignment horizontal="left" vertical="center"/>
    </xf>
    <xf numFmtId="0" fontId="12" fillId="0" borderId="10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41" fontId="12" fillId="0" borderId="14" xfId="1" applyFont="1" applyBorder="1" applyAlignment="1">
      <alignment horizontal="center" vertical="center"/>
    </xf>
    <xf numFmtId="41" fontId="12" fillId="0" borderId="19" xfId="1" applyFont="1" applyBorder="1" applyAlignment="1">
      <alignment horizontal="center" vertical="center"/>
    </xf>
    <xf numFmtId="176" fontId="12" fillId="0" borderId="14" xfId="0" applyNumberFormat="1" applyFont="1" applyBorder="1" applyAlignment="1">
      <alignment horizontal="center" vertical="center"/>
    </xf>
    <xf numFmtId="176" fontId="12" fillId="0" borderId="19" xfId="0" applyNumberFormat="1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1" xfId="0" applyFont="1" applyBorder="1" applyAlignment="1">
      <alignment horizontal="center" vertical="center" shrinkToFit="1"/>
    </xf>
    <xf numFmtId="0" fontId="10" fillId="0" borderId="12" xfId="0" applyFont="1" applyBorder="1" applyAlignment="1">
      <alignment horizontal="center" vertical="center" shrinkToFit="1"/>
    </xf>
    <xf numFmtId="0" fontId="10" fillId="0" borderId="15" xfId="0" applyFont="1" applyBorder="1" applyAlignment="1">
      <alignment horizontal="center" vertical="center" shrinkToFit="1"/>
    </xf>
    <xf numFmtId="0" fontId="11" fillId="6" borderId="5" xfId="0" applyFont="1" applyFill="1" applyBorder="1" applyAlignment="1">
      <alignment horizontal="left" vertical="center"/>
    </xf>
    <xf numFmtId="0" fontId="11" fillId="6" borderId="6" xfId="0" applyFont="1" applyFill="1" applyBorder="1" applyAlignment="1">
      <alignment horizontal="left" vertical="center"/>
    </xf>
    <xf numFmtId="0" fontId="11" fillId="6" borderId="7" xfId="0" applyFont="1" applyFill="1" applyBorder="1" applyAlignment="1">
      <alignment horizontal="left" vertical="center"/>
    </xf>
    <xf numFmtId="41" fontId="12" fillId="8" borderId="34" xfId="1" applyFont="1" applyFill="1" applyBorder="1" applyAlignment="1">
      <alignment horizontal="center" vertical="center"/>
    </xf>
    <xf numFmtId="41" fontId="12" fillId="4" borderId="34" xfId="1" applyFont="1" applyFill="1" applyBorder="1" applyAlignment="1">
      <alignment horizontal="center" vertical="center"/>
    </xf>
    <xf numFmtId="41" fontId="12" fillId="4" borderId="1" xfId="1" applyFont="1" applyFill="1" applyBorder="1" applyAlignment="1">
      <alignment horizontal="center" vertical="center"/>
    </xf>
    <xf numFmtId="41" fontId="12" fillId="3" borderId="34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5">
    <cellStyle name="백분율" xfId="3" builtinId="5"/>
    <cellStyle name="쉼표 [0]" xfId="1" builtinId="6"/>
    <cellStyle name="표준" xfId="0" builtinId="0"/>
    <cellStyle name="표준 2" xfId="4" xr:uid="{00000000-0005-0000-0000-000003000000}"/>
    <cellStyle name="표준 223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11207</xdr:colOff>
      <xdr:row>79</xdr:row>
      <xdr:rowOff>22412</xdr:rowOff>
    </xdr:from>
    <xdr:to>
      <xdr:col>22</xdr:col>
      <xdr:colOff>168089</xdr:colOff>
      <xdr:row>83</xdr:row>
      <xdr:rowOff>134470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58857" y="11500037"/>
          <a:ext cx="10148607" cy="683558"/>
        </a:xfrm>
        <a:prstGeom prst="rect">
          <a:avLst/>
        </a:prstGeom>
        <a:solidFill>
          <a:schemeClr val="accent1">
            <a:alpha val="43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1</a:t>
          </a:r>
          <a:r>
            <a:rPr lang="ko-KR" altLang="en-US" sz="2800" b="1">
              <a:solidFill>
                <a:sysClr val="windowText" lastClr="000000"/>
              </a:solidFill>
            </a:rPr>
            <a:t>차 </a:t>
          </a:r>
          <a:r>
            <a:rPr lang="en-US" altLang="ko-KR" sz="2800" b="1">
              <a:solidFill>
                <a:sysClr val="windowText" lastClr="000000"/>
              </a:solidFill>
            </a:rPr>
            <a:t>7/15-</a:t>
          </a:r>
          <a:r>
            <a:rPr lang="ko-KR" altLang="en-US" sz="2800" b="1">
              <a:solidFill>
                <a:sysClr val="windowText" lastClr="000000"/>
              </a:solidFill>
            </a:rPr>
            <a:t>완료</a:t>
          </a:r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6725</xdr:colOff>
      <xdr:row>36</xdr:row>
      <xdr:rowOff>6723</xdr:rowOff>
    </xdr:from>
    <xdr:to>
      <xdr:col>22</xdr:col>
      <xdr:colOff>163607</xdr:colOff>
      <xdr:row>41</xdr:row>
      <xdr:rowOff>29134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54375" y="5426448"/>
          <a:ext cx="10148607" cy="689161"/>
        </a:xfrm>
        <a:prstGeom prst="rect">
          <a:avLst/>
        </a:prstGeom>
        <a:solidFill>
          <a:schemeClr val="accent1">
            <a:alpha val="43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1</a:t>
          </a:r>
          <a:r>
            <a:rPr lang="ko-KR" altLang="en-US" sz="2800" b="1">
              <a:solidFill>
                <a:sysClr val="windowText" lastClr="000000"/>
              </a:solidFill>
            </a:rPr>
            <a:t>차 </a:t>
          </a:r>
          <a:r>
            <a:rPr lang="en-US" altLang="ko-KR" sz="2800" b="1">
              <a:solidFill>
                <a:sysClr val="windowText" lastClr="000000"/>
              </a:solidFill>
            </a:rPr>
            <a:t>7/15-</a:t>
          </a:r>
          <a:r>
            <a:rPr lang="ko-KR" altLang="en-US" sz="2800" b="1">
              <a:solidFill>
                <a:sysClr val="windowText" lastClr="000000"/>
              </a:solidFill>
            </a:rPr>
            <a:t>완료</a:t>
          </a:r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6725</xdr:colOff>
      <xdr:row>73</xdr:row>
      <xdr:rowOff>134471</xdr:rowOff>
    </xdr:from>
    <xdr:to>
      <xdr:col>22</xdr:col>
      <xdr:colOff>163607</xdr:colOff>
      <xdr:row>79</xdr:row>
      <xdr:rowOff>6723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54375" y="10754846"/>
          <a:ext cx="10148607" cy="729502"/>
        </a:xfrm>
        <a:prstGeom prst="rect">
          <a:avLst/>
        </a:prstGeom>
        <a:solidFill>
          <a:srgbClr val="FF0000">
            <a:alpha val="43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2</a:t>
          </a:r>
          <a:r>
            <a:rPr lang="ko-KR" altLang="en-US" sz="2800" b="1">
              <a:solidFill>
                <a:sysClr val="windowText" lastClr="000000"/>
              </a:solidFill>
            </a:rPr>
            <a:t>차 </a:t>
          </a:r>
          <a:r>
            <a:rPr lang="en-US" altLang="ko-KR" sz="2800" b="1">
              <a:solidFill>
                <a:sysClr val="windowText" lastClr="000000"/>
              </a:solidFill>
            </a:rPr>
            <a:t>8/25 - 13</a:t>
          </a:r>
          <a:r>
            <a:rPr lang="ko-KR" altLang="en-US" sz="2800" b="1">
              <a:solidFill>
                <a:sysClr val="windowText" lastClr="000000"/>
              </a:solidFill>
            </a:rPr>
            <a:t>일지연시공 </a:t>
          </a:r>
          <a:r>
            <a:rPr lang="en-US" altLang="ko-KR" sz="2800" b="1">
              <a:solidFill>
                <a:sysClr val="windowText" lastClr="000000"/>
              </a:solidFill>
            </a:rPr>
            <a:t>--</a:t>
          </a:r>
          <a:r>
            <a:rPr lang="ko-KR" altLang="en-US" sz="2800" b="1">
              <a:solidFill>
                <a:sysClr val="windowText" lastClr="000000"/>
              </a:solidFill>
            </a:rPr>
            <a:t>①</a:t>
          </a:r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13449</xdr:colOff>
      <xdr:row>30</xdr:row>
      <xdr:rowOff>114300</xdr:rowOff>
    </xdr:from>
    <xdr:to>
      <xdr:col>22</xdr:col>
      <xdr:colOff>170331</xdr:colOff>
      <xdr:row>36</xdr:row>
      <xdr:rowOff>2240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61099" y="4733925"/>
          <a:ext cx="10148607" cy="688040"/>
        </a:xfrm>
        <a:prstGeom prst="rect">
          <a:avLst/>
        </a:prstGeom>
        <a:solidFill>
          <a:srgbClr val="FF0000">
            <a:alpha val="43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2</a:t>
          </a:r>
          <a:r>
            <a:rPr lang="ko-KR" altLang="en-US" sz="2800" b="1">
              <a:solidFill>
                <a:sysClr val="windowText" lastClr="000000"/>
              </a:solidFill>
            </a:rPr>
            <a:t>차 </a:t>
          </a:r>
          <a:r>
            <a:rPr lang="en-US" altLang="ko-KR" sz="2800" b="1">
              <a:solidFill>
                <a:sysClr val="windowText" lastClr="000000"/>
              </a:solidFill>
            </a:rPr>
            <a:t>8/12 - </a:t>
          </a:r>
          <a:r>
            <a:rPr lang="ko-KR" altLang="en-US" sz="2800" b="1">
              <a:solidFill>
                <a:sysClr val="windowText" lastClr="000000"/>
              </a:solidFill>
            </a:rPr>
            <a:t>정상진행</a:t>
          </a:r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8966</xdr:colOff>
      <xdr:row>25</xdr:row>
      <xdr:rowOff>109817</xdr:rowOff>
    </xdr:from>
    <xdr:to>
      <xdr:col>22</xdr:col>
      <xdr:colOff>165848</xdr:colOff>
      <xdr:row>30</xdr:row>
      <xdr:rowOff>132228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56616" y="4062692"/>
          <a:ext cx="10148607" cy="689161"/>
        </a:xfrm>
        <a:prstGeom prst="rect">
          <a:avLst/>
        </a:prstGeom>
        <a:solidFill>
          <a:srgbClr val="FFFF00">
            <a:alpha val="43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3</a:t>
          </a:r>
          <a:r>
            <a:rPr lang="ko-KR" altLang="en-US" sz="2800" b="1">
              <a:solidFill>
                <a:sysClr val="windowText" lastClr="000000"/>
              </a:solidFill>
            </a:rPr>
            <a:t>차 </a:t>
          </a:r>
          <a:r>
            <a:rPr lang="en-US" altLang="ko-KR" sz="2800" b="1">
              <a:solidFill>
                <a:sysClr val="windowText" lastClr="000000"/>
              </a:solidFill>
            </a:rPr>
            <a:t>8/28 - </a:t>
          </a:r>
          <a:r>
            <a:rPr lang="ko-KR" altLang="en-US" sz="2800" b="1">
              <a:solidFill>
                <a:sysClr val="windowText" lastClr="000000"/>
              </a:solidFill>
            </a:rPr>
            <a:t>정상진행</a:t>
          </a:r>
          <a:r>
            <a:rPr lang="en-US" altLang="ko-KR" sz="2800" b="1">
              <a:solidFill>
                <a:sysClr val="windowText" lastClr="000000"/>
              </a:solidFill>
            </a:rPr>
            <a:t>--</a:t>
          </a:r>
          <a:r>
            <a:rPr lang="ko-KR" altLang="en-US" sz="2800" b="1">
              <a:solidFill>
                <a:sysClr val="windowText" lastClr="000000"/>
              </a:solidFill>
            </a:rPr>
            <a:t>②</a:t>
          </a:r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15690</xdr:colOff>
      <xdr:row>69</xdr:row>
      <xdr:rowOff>15688</xdr:rowOff>
    </xdr:from>
    <xdr:to>
      <xdr:col>22</xdr:col>
      <xdr:colOff>172572</xdr:colOff>
      <xdr:row>73</xdr:row>
      <xdr:rowOff>127746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63340" y="10064563"/>
          <a:ext cx="10148607" cy="683558"/>
        </a:xfrm>
        <a:prstGeom prst="rect">
          <a:avLst/>
        </a:prstGeom>
        <a:solidFill>
          <a:srgbClr val="FFFF00">
            <a:alpha val="43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3</a:t>
          </a:r>
          <a:r>
            <a:rPr lang="ko-KR" altLang="en-US" sz="2800" b="1">
              <a:solidFill>
                <a:sysClr val="windowText" lastClr="000000"/>
              </a:solidFill>
            </a:rPr>
            <a:t>차 </a:t>
          </a:r>
          <a:r>
            <a:rPr lang="en-US" altLang="ko-KR" sz="2800" b="1">
              <a:solidFill>
                <a:sysClr val="windowText" lastClr="000000"/>
              </a:solidFill>
            </a:rPr>
            <a:t>9/10 --</a:t>
          </a:r>
          <a:r>
            <a:rPr lang="ko-KR" altLang="en-US" sz="2800" b="1">
              <a:solidFill>
                <a:sysClr val="windowText" lastClr="000000"/>
              </a:solidFill>
            </a:rPr>
            <a:t>③</a:t>
          </a:r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15690</xdr:colOff>
      <xdr:row>20</xdr:row>
      <xdr:rowOff>127746</xdr:rowOff>
    </xdr:from>
    <xdr:to>
      <xdr:col>22</xdr:col>
      <xdr:colOff>172572</xdr:colOff>
      <xdr:row>26</xdr:row>
      <xdr:rowOff>15686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63340" y="3413871"/>
          <a:ext cx="10148607" cy="688040"/>
        </a:xfrm>
        <a:prstGeom prst="rect">
          <a:avLst/>
        </a:prstGeom>
        <a:solidFill>
          <a:srgbClr val="92D050">
            <a:alpha val="43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4</a:t>
          </a:r>
          <a:r>
            <a:rPr lang="ko-KR" altLang="en-US" sz="2800" b="1">
              <a:solidFill>
                <a:sysClr val="windowText" lastClr="000000"/>
              </a:solidFill>
            </a:rPr>
            <a:t>차 </a:t>
          </a:r>
          <a:r>
            <a:rPr lang="en-US" altLang="ko-KR" sz="2800" b="1">
              <a:solidFill>
                <a:sysClr val="windowText" lastClr="000000"/>
              </a:solidFill>
            </a:rPr>
            <a:t>9/12 --</a:t>
          </a:r>
          <a:r>
            <a:rPr lang="ko-KR" altLang="en-US" sz="2800" b="1">
              <a:solidFill>
                <a:sysClr val="windowText" lastClr="000000"/>
              </a:solidFill>
            </a:rPr>
            <a:t>④</a:t>
          </a:r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11207</xdr:colOff>
      <xdr:row>64</xdr:row>
      <xdr:rowOff>22410</xdr:rowOff>
    </xdr:from>
    <xdr:to>
      <xdr:col>14</xdr:col>
      <xdr:colOff>123264</xdr:colOff>
      <xdr:row>68</xdr:row>
      <xdr:rowOff>134468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258857" y="9356910"/>
          <a:ext cx="6427132" cy="683558"/>
        </a:xfrm>
        <a:prstGeom prst="rect">
          <a:avLst/>
        </a:prstGeom>
        <a:solidFill>
          <a:srgbClr val="92D050">
            <a:alpha val="43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4</a:t>
          </a:r>
          <a:r>
            <a:rPr lang="ko-KR" altLang="en-US" sz="2800" b="1">
              <a:solidFill>
                <a:sysClr val="windowText" lastClr="000000"/>
              </a:solidFill>
            </a:rPr>
            <a:t>차 </a:t>
          </a:r>
          <a:r>
            <a:rPr lang="en-US" altLang="ko-KR" sz="2800" b="1">
              <a:solidFill>
                <a:sysClr val="windowText" lastClr="000000"/>
              </a:solidFill>
            </a:rPr>
            <a:t>10/10 --</a:t>
          </a:r>
          <a:r>
            <a:rPr lang="ko-KR" altLang="en-US" sz="2800" b="1">
              <a:solidFill>
                <a:sysClr val="windowText" lastClr="000000"/>
              </a:solidFill>
            </a:rPr>
            <a:t>⑤</a:t>
          </a:r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459441</xdr:colOff>
      <xdr:row>16</xdr:row>
      <xdr:rowOff>0</xdr:rowOff>
    </xdr:from>
    <xdr:to>
      <xdr:col>22</xdr:col>
      <xdr:colOff>168089</xdr:colOff>
      <xdr:row>20</xdr:row>
      <xdr:rowOff>112059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3621741" y="2752725"/>
          <a:ext cx="6785723" cy="645459"/>
        </a:xfrm>
        <a:prstGeom prst="rect">
          <a:avLst/>
        </a:prstGeom>
        <a:solidFill>
          <a:srgbClr val="7030A0">
            <a:alpha val="5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400" b="1"/>
            <a:t>5</a:t>
          </a:r>
          <a:r>
            <a:rPr lang="ko-KR" altLang="en-US" sz="2400" b="1"/>
            <a:t>차 </a:t>
          </a:r>
          <a:r>
            <a:rPr lang="en-US" altLang="ko-KR" sz="2400" b="1"/>
            <a:t>- 10/10 -- </a:t>
          </a:r>
          <a:r>
            <a:rPr lang="ko-KR" altLang="en-US" sz="2400" b="1"/>
            <a:t>⑥</a:t>
          </a:r>
        </a:p>
      </xdr:txBody>
    </xdr:sp>
    <xdr:clientData/>
  </xdr:twoCellAnchor>
  <xdr:twoCellAnchor>
    <xdr:from>
      <xdr:col>1</xdr:col>
      <xdr:colOff>6723</xdr:colOff>
      <xdr:row>59</xdr:row>
      <xdr:rowOff>22411</xdr:rowOff>
    </xdr:from>
    <xdr:to>
      <xdr:col>7</xdr:col>
      <xdr:colOff>11206</xdr:colOff>
      <xdr:row>64</xdr:row>
      <xdr:rowOff>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54373" y="8642536"/>
          <a:ext cx="2919133" cy="691964"/>
        </a:xfrm>
        <a:prstGeom prst="rect">
          <a:avLst/>
        </a:prstGeom>
        <a:solidFill>
          <a:srgbClr val="7030A0">
            <a:alpha val="5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400" b="1"/>
            <a:t>5</a:t>
          </a:r>
          <a:r>
            <a:rPr lang="ko-KR" altLang="en-US" sz="2400" b="1"/>
            <a:t>차 </a:t>
          </a:r>
          <a:r>
            <a:rPr lang="en-US" altLang="ko-KR" sz="2400" b="1"/>
            <a:t>- 11/10 -- </a:t>
          </a:r>
          <a:r>
            <a:rPr lang="ko-KR" altLang="en-US" sz="2400" b="1"/>
            <a:t>⑦</a:t>
          </a:r>
        </a:p>
      </xdr:txBody>
    </xdr:sp>
    <xdr:clientData/>
  </xdr:twoCellAnchor>
  <xdr:twoCellAnchor>
    <xdr:from>
      <xdr:col>0</xdr:col>
      <xdr:colOff>242047</xdr:colOff>
      <xdr:row>14</xdr:row>
      <xdr:rowOff>112059</xdr:rowOff>
    </xdr:from>
    <xdr:to>
      <xdr:col>7</xdr:col>
      <xdr:colOff>302559</xdr:colOff>
      <xdr:row>20</xdr:row>
      <xdr:rowOff>129989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42047" y="2598084"/>
          <a:ext cx="3222812" cy="818030"/>
        </a:xfrm>
        <a:prstGeom prst="rect">
          <a:avLst/>
        </a:prstGeom>
        <a:solidFill>
          <a:srgbClr val="002060">
            <a:alpha val="5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400" b="1"/>
            <a:t>6</a:t>
          </a:r>
          <a:r>
            <a:rPr lang="ko-KR" altLang="en-US" sz="2400" b="1"/>
            <a:t>차 </a:t>
          </a:r>
          <a:r>
            <a:rPr lang="en-US" altLang="ko-KR" sz="2400" b="1"/>
            <a:t>11/05-</a:t>
          </a:r>
          <a:r>
            <a:rPr lang="ko-KR" altLang="en-US" sz="2400" b="1"/>
            <a:t>⑧</a:t>
          </a:r>
        </a:p>
      </xdr:txBody>
    </xdr:sp>
    <xdr:clientData/>
  </xdr:twoCellAnchor>
  <xdr:twoCellAnchor>
    <xdr:from>
      <xdr:col>7</xdr:col>
      <xdr:colOff>472888</xdr:colOff>
      <xdr:row>9</xdr:row>
      <xdr:rowOff>129989</xdr:rowOff>
    </xdr:from>
    <xdr:to>
      <xdr:col>22</xdr:col>
      <xdr:colOff>168089</xdr:colOff>
      <xdr:row>16</xdr:row>
      <xdr:rowOff>13448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3635188" y="1949264"/>
          <a:ext cx="6772276" cy="816909"/>
        </a:xfrm>
        <a:prstGeom prst="rect">
          <a:avLst/>
        </a:prstGeom>
        <a:solidFill>
          <a:srgbClr val="002060">
            <a:alpha val="5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400" b="1"/>
            <a:t>6</a:t>
          </a:r>
          <a:r>
            <a:rPr lang="ko-KR" altLang="en-US" sz="2400" b="1"/>
            <a:t>차 </a:t>
          </a:r>
          <a:r>
            <a:rPr lang="en-US" altLang="ko-KR" sz="2400" b="1"/>
            <a:t>11/30-</a:t>
          </a:r>
          <a:r>
            <a:rPr lang="ko-KR" altLang="en-US" sz="2400" b="1"/>
            <a:t>⑩</a:t>
          </a:r>
        </a:p>
      </xdr:txBody>
    </xdr:sp>
    <xdr:clientData/>
  </xdr:twoCellAnchor>
  <xdr:twoCellAnchor>
    <xdr:from>
      <xdr:col>1</xdr:col>
      <xdr:colOff>8965</xdr:colOff>
      <xdr:row>53</xdr:row>
      <xdr:rowOff>58272</xdr:rowOff>
    </xdr:from>
    <xdr:to>
      <xdr:col>7</xdr:col>
      <xdr:colOff>22412</xdr:colOff>
      <xdr:row>59</xdr:row>
      <xdr:rowOff>8966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56615" y="7821147"/>
          <a:ext cx="2928097" cy="807944"/>
        </a:xfrm>
        <a:prstGeom prst="rect">
          <a:avLst/>
        </a:prstGeom>
        <a:solidFill>
          <a:srgbClr val="002060">
            <a:alpha val="5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400" b="1"/>
            <a:t>6</a:t>
          </a:r>
          <a:r>
            <a:rPr lang="ko-KR" altLang="en-US" sz="2400" b="1"/>
            <a:t>차</a:t>
          </a:r>
          <a:r>
            <a:rPr lang="en-US" altLang="ko-KR" sz="2400" b="1"/>
            <a:t>-12/20-</a:t>
          </a:r>
          <a:r>
            <a:rPr lang="ko-KR" altLang="en-US" sz="2400" b="1"/>
            <a:t>⑪</a:t>
          </a:r>
        </a:p>
      </xdr:txBody>
    </xdr:sp>
    <xdr:clientData/>
  </xdr:twoCellAnchor>
  <xdr:twoCellAnchor>
    <xdr:from>
      <xdr:col>8</xdr:col>
      <xdr:colOff>4484</xdr:colOff>
      <xdr:row>56</xdr:row>
      <xdr:rowOff>134471</xdr:rowOff>
    </xdr:from>
    <xdr:to>
      <xdr:col>14</xdr:col>
      <xdr:colOff>100854</xdr:colOff>
      <xdr:row>64</xdr:row>
      <xdr:rowOff>4484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3652559" y="8325971"/>
          <a:ext cx="3011020" cy="1013013"/>
        </a:xfrm>
        <a:prstGeom prst="rect">
          <a:avLst/>
        </a:prstGeom>
        <a:solidFill>
          <a:srgbClr val="002060">
            <a:alpha val="5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400" b="1"/>
            <a:t>6</a:t>
          </a:r>
          <a:r>
            <a:rPr lang="ko-KR" altLang="en-US" sz="2400" b="1"/>
            <a:t>차</a:t>
          </a:r>
          <a:r>
            <a:rPr lang="en-US" altLang="ko-KR" sz="2400" b="1"/>
            <a:t>-12/10-</a:t>
          </a:r>
          <a:r>
            <a:rPr lang="ko-KR" altLang="en-US" sz="2400" b="1"/>
            <a:t>⑩</a:t>
          </a:r>
        </a:p>
      </xdr:txBody>
    </xdr:sp>
    <xdr:clientData/>
  </xdr:twoCellAnchor>
  <xdr:twoCellAnchor>
    <xdr:from>
      <xdr:col>14</xdr:col>
      <xdr:colOff>470648</xdr:colOff>
      <xdr:row>64</xdr:row>
      <xdr:rowOff>0</xdr:rowOff>
    </xdr:from>
    <xdr:to>
      <xdr:col>22</xdr:col>
      <xdr:colOff>145677</xdr:colOff>
      <xdr:row>68</xdr:row>
      <xdr:rowOff>134472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6981266" y="9435353"/>
          <a:ext cx="3328146" cy="717178"/>
        </a:xfrm>
        <a:prstGeom prst="rect">
          <a:avLst/>
        </a:prstGeom>
        <a:solidFill>
          <a:srgbClr val="7030A0">
            <a:alpha val="5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400" b="1"/>
            <a:t>5</a:t>
          </a:r>
          <a:r>
            <a:rPr lang="ko-KR" altLang="en-US" sz="2400" b="1"/>
            <a:t>차</a:t>
          </a:r>
          <a:r>
            <a:rPr lang="en-US" altLang="ko-KR" sz="2400" b="1"/>
            <a:t>-10/30 -</a:t>
          </a:r>
          <a:r>
            <a:rPr lang="ko-KR" altLang="en-US" sz="2400" b="1"/>
            <a:t>⑨</a:t>
          </a:r>
          <a:r>
            <a:rPr lang="en-US" altLang="ko-KR" sz="1200" b="1"/>
            <a:t>-</a:t>
          </a:r>
          <a:r>
            <a:rPr lang="ko-KR" altLang="en-US" sz="1200" b="1"/>
            <a:t>갱폼관계로 미뤄짐</a:t>
          </a:r>
        </a:p>
      </xdr:txBody>
    </xdr:sp>
    <xdr:clientData/>
  </xdr:twoCellAnchor>
  <xdr:twoCellAnchor>
    <xdr:from>
      <xdr:col>15</xdr:col>
      <xdr:colOff>0</xdr:colOff>
      <xdr:row>57</xdr:row>
      <xdr:rowOff>22412</xdr:rowOff>
    </xdr:from>
    <xdr:to>
      <xdr:col>21</xdr:col>
      <xdr:colOff>96371</xdr:colOff>
      <xdr:row>64</xdr:row>
      <xdr:rowOff>38102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992471" y="8438030"/>
          <a:ext cx="2987488" cy="1035425"/>
        </a:xfrm>
        <a:prstGeom prst="rect">
          <a:avLst/>
        </a:prstGeom>
        <a:solidFill>
          <a:srgbClr val="002060">
            <a:alpha val="5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400" b="1"/>
            <a:t>6</a:t>
          </a:r>
          <a:r>
            <a:rPr lang="ko-KR" altLang="en-US" sz="2400" b="1"/>
            <a:t>차</a:t>
          </a:r>
          <a:r>
            <a:rPr lang="en-US" altLang="ko-KR" sz="2400" b="1"/>
            <a:t>-12/01-</a:t>
          </a:r>
          <a:r>
            <a:rPr lang="ko-KR" altLang="en-US" sz="2400" b="1"/>
            <a:t>⑩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11207</xdr:colOff>
      <xdr:row>79</xdr:row>
      <xdr:rowOff>22412</xdr:rowOff>
    </xdr:from>
    <xdr:to>
      <xdr:col>22</xdr:col>
      <xdr:colOff>168089</xdr:colOff>
      <xdr:row>83</xdr:row>
      <xdr:rowOff>134470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257736" y="11642912"/>
          <a:ext cx="10074088" cy="694764"/>
        </a:xfrm>
        <a:prstGeom prst="rect">
          <a:avLst/>
        </a:prstGeom>
        <a:solidFill>
          <a:schemeClr val="accent1">
            <a:alpha val="43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1</a:t>
          </a:r>
          <a:r>
            <a:rPr lang="ko-KR" altLang="en-US" sz="2800" b="1">
              <a:solidFill>
                <a:sysClr val="windowText" lastClr="000000"/>
              </a:solidFill>
            </a:rPr>
            <a:t>차 </a:t>
          </a:r>
          <a:r>
            <a:rPr lang="en-US" altLang="ko-KR" sz="2800" b="1">
              <a:solidFill>
                <a:sysClr val="windowText" lastClr="000000"/>
              </a:solidFill>
            </a:rPr>
            <a:t>7/15-</a:t>
          </a:r>
          <a:r>
            <a:rPr lang="ko-KR" altLang="en-US" sz="2800" b="1">
              <a:solidFill>
                <a:sysClr val="windowText" lastClr="000000"/>
              </a:solidFill>
            </a:rPr>
            <a:t>완료</a:t>
          </a:r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6725</xdr:colOff>
      <xdr:row>36</xdr:row>
      <xdr:rowOff>6723</xdr:rowOff>
    </xdr:from>
    <xdr:to>
      <xdr:col>22</xdr:col>
      <xdr:colOff>163607</xdr:colOff>
      <xdr:row>41</xdr:row>
      <xdr:rowOff>29134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253254" y="5463988"/>
          <a:ext cx="10074088" cy="694764"/>
        </a:xfrm>
        <a:prstGeom prst="rect">
          <a:avLst/>
        </a:prstGeom>
        <a:solidFill>
          <a:schemeClr val="accent1">
            <a:alpha val="43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1</a:t>
          </a:r>
          <a:r>
            <a:rPr lang="ko-KR" altLang="en-US" sz="2800" b="1">
              <a:solidFill>
                <a:sysClr val="windowText" lastClr="000000"/>
              </a:solidFill>
            </a:rPr>
            <a:t>차 </a:t>
          </a:r>
          <a:r>
            <a:rPr lang="en-US" altLang="ko-KR" sz="2800" b="1">
              <a:solidFill>
                <a:sysClr val="windowText" lastClr="000000"/>
              </a:solidFill>
            </a:rPr>
            <a:t>7/15-</a:t>
          </a:r>
          <a:r>
            <a:rPr lang="ko-KR" altLang="en-US" sz="2800" b="1">
              <a:solidFill>
                <a:sysClr val="windowText" lastClr="000000"/>
              </a:solidFill>
            </a:rPr>
            <a:t>완료</a:t>
          </a:r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6725</xdr:colOff>
      <xdr:row>73</xdr:row>
      <xdr:rowOff>134471</xdr:rowOff>
    </xdr:from>
    <xdr:to>
      <xdr:col>22</xdr:col>
      <xdr:colOff>163607</xdr:colOff>
      <xdr:row>79</xdr:row>
      <xdr:rowOff>6723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253254" y="10880912"/>
          <a:ext cx="10074088" cy="746311"/>
        </a:xfrm>
        <a:prstGeom prst="rect">
          <a:avLst/>
        </a:prstGeom>
        <a:solidFill>
          <a:srgbClr val="FF0000">
            <a:alpha val="43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2</a:t>
          </a:r>
          <a:r>
            <a:rPr lang="ko-KR" altLang="en-US" sz="2800" b="1">
              <a:solidFill>
                <a:sysClr val="windowText" lastClr="000000"/>
              </a:solidFill>
            </a:rPr>
            <a:t>차 </a:t>
          </a:r>
          <a:r>
            <a:rPr lang="en-US" altLang="ko-KR" sz="2800" b="1">
              <a:solidFill>
                <a:sysClr val="windowText" lastClr="000000"/>
              </a:solidFill>
            </a:rPr>
            <a:t>8/25 - 13</a:t>
          </a:r>
          <a:r>
            <a:rPr lang="ko-KR" altLang="en-US" sz="2800" b="1">
              <a:solidFill>
                <a:sysClr val="windowText" lastClr="000000"/>
              </a:solidFill>
            </a:rPr>
            <a:t>일지연시공 </a:t>
          </a:r>
          <a:r>
            <a:rPr lang="en-US" altLang="ko-KR" sz="2800" b="1">
              <a:solidFill>
                <a:sysClr val="windowText" lastClr="000000"/>
              </a:solidFill>
            </a:rPr>
            <a:t>--</a:t>
          </a:r>
          <a:r>
            <a:rPr lang="ko-KR" altLang="en-US" sz="2800" b="1">
              <a:solidFill>
                <a:sysClr val="windowText" lastClr="000000"/>
              </a:solidFill>
            </a:rPr>
            <a:t>①</a:t>
          </a:r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13449</xdr:colOff>
      <xdr:row>30</xdr:row>
      <xdr:rowOff>114300</xdr:rowOff>
    </xdr:from>
    <xdr:to>
      <xdr:col>22</xdr:col>
      <xdr:colOff>170331</xdr:colOff>
      <xdr:row>36</xdr:row>
      <xdr:rowOff>2240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259978" y="4764741"/>
          <a:ext cx="10074088" cy="694764"/>
        </a:xfrm>
        <a:prstGeom prst="rect">
          <a:avLst/>
        </a:prstGeom>
        <a:solidFill>
          <a:srgbClr val="FF0000">
            <a:alpha val="43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2</a:t>
          </a:r>
          <a:r>
            <a:rPr lang="ko-KR" altLang="en-US" sz="2800" b="1">
              <a:solidFill>
                <a:sysClr val="windowText" lastClr="000000"/>
              </a:solidFill>
            </a:rPr>
            <a:t>차 </a:t>
          </a:r>
          <a:r>
            <a:rPr lang="en-US" altLang="ko-KR" sz="2800" b="1">
              <a:solidFill>
                <a:sysClr val="windowText" lastClr="000000"/>
              </a:solidFill>
            </a:rPr>
            <a:t>8/12 - </a:t>
          </a:r>
          <a:r>
            <a:rPr lang="ko-KR" altLang="en-US" sz="2800" b="1">
              <a:solidFill>
                <a:sysClr val="windowText" lastClr="000000"/>
              </a:solidFill>
            </a:rPr>
            <a:t>정상진행</a:t>
          </a:r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8966</xdr:colOff>
      <xdr:row>25</xdr:row>
      <xdr:rowOff>109817</xdr:rowOff>
    </xdr:from>
    <xdr:to>
      <xdr:col>22</xdr:col>
      <xdr:colOff>165848</xdr:colOff>
      <xdr:row>30</xdr:row>
      <xdr:rowOff>132228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255495" y="4087905"/>
          <a:ext cx="10074088" cy="694764"/>
        </a:xfrm>
        <a:prstGeom prst="rect">
          <a:avLst/>
        </a:prstGeom>
        <a:solidFill>
          <a:srgbClr val="FFFF00">
            <a:alpha val="43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3</a:t>
          </a:r>
          <a:r>
            <a:rPr lang="ko-KR" altLang="en-US" sz="2800" b="1">
              <a:solidFill>
                <a:sysClr val="windowText" lastClr="000000"/>
              </a:solidFill>
            </a:rPr>
            <a:t>차 </a:t>
          </a:r>
          <a:r>
            <a:rPr lang="en-US" altLang="ko-KR" sz="2800" b="1">
              <a:solidFill>
                <a:sysClr val="windowText" lastClr="000000"/>
              </a:solidFill>
            </a:rPr>
            <a:t>8/28 - </a:t>
          </a:r>
          <a:r>
            <a:rPr lang="ko-KR" altLang="en-US" sz="2800" b="1">
              <a:solidFill>
                <a:sysClr val="windowText" lastClr="000000"/>
              </a:solidFill>
            </a:rPr>
            <a:t>정상진행</a:t>
          </a:r>
          <a:r>
            <a:rPr lang="en-US" altLang="ko-KR" sz="2800" b="1">
              <a:solidFill>
                <a:sysClr val="windowText" lastClr="000000"/>
              </a:solidFill>
            </a:rPr>
            <a:t>--</a:t>
          </a:r>
          <a:r>
            <a:rPr lang="ko-KR" altLang="en-US" sz="2800" b="1">
              <a:solidFill>
                <a:sysClr val="windowText" lastClr="000000"/>
              </a:solidFill>
            </a:rPr>
            <a:t>②</a:t>
          </a:r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15690</xdr:colOff>
      <xdr:row>69</xdr:row>
      <xdr:rowOff>15688</xdr:rowOff>
    </xdr:from>
    <xdr:to>
      <xdr:col>22</xdr:col>
      <xdr:colOff>172572</xdr:colOff>
      <xdr:row>73</xdr:row>
      <xdr:rowOff>127746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262219" y="10179423"/>
          <a:ext cx="10074088" cy="694764"/>
        </a:xfrm>
        <a:prstGeom prst="rect">
          <a:avLst/>
        </a:prstGeom>
        <a:solidFill>
          <a:srgbClr val="FFFF00">
            <a:alpha val="43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3</a:t>
          </a:r>
          <a:r>
            <a:rPr lang="ko-KR" altLang="en-US" sz="2800" b="1">
              <a:solidFill>
                <a:sysClr val="windowText" lastClr="000000"/>
              </a:solidFill>
            </a:rPr>
            <a:t>차 </a:t>
          </a:r>
          <a:r>
            <a:rPr lang="en-US" altLang="ko-KR" sz="2800" b="1">
              <a:solidFill>
                <a:sysClr val="windowText" lastClr="000000"/>
              </a:solidFill>
            </a:rPr>
            <a:t>9/10 - 25</a:t>
          </a:r>
          <a:r>
            <a:rPr lang="ko-KR" altLang="en-US" sz="2800" b="1">
              <a:solidFill>
                <a:sysClr val="windowText" lastClr="000000"/>
              </a:solidFill>
            </a:rPr>
            <a:t>일지연시공</a:t>
          </a:r>
          <a:r>
            <a:rPr lang="en-US" altLang="ko-KR" sz="2800" b="1">
              <a:solidFill>
                <a:sysClr val="windowText" lastClr="000000"/>
              </a:solidFill>
            </a:rPr>
            <a:t>--</a:t>
          </a:r>
          <a:r>
            <a:rPr lang="ko-KR" altLang="en-US" sz="2800" b="1">
              <a:solidFill>
                <a:sysClr val="windowText" lastClr="000000"/>
              </a:solidFill>
            </a:rPr>
            <a:t>③</a:t>
          </a:r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15690</xdr:colOff>
      <xdr:row>20</xdr:row>
      <xdr:rowOff>127746</xdr:rowOff>
    </xdr:from>
    <xdr:to>
      <xdr:col>22</xdr:col>
      <xdr:colOff>172572</xdr:colOff>
      <xdr:row>26</xdr:row>
      <xdr:rowOff>15686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262219" y="3433481"/>
          <a:ext cx="10074088" cy="694764"/>
        </a:xfrm>
        <a:prstGeom prst="rect">
          <a:avLst/>
        </a:prstGeom>
        <a:solidFill>
          <a:srgbClr val="92D050">
            <a:alpha val="43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4</a:t>
          </a:r>
          <a:r>
            <a:rPr lang="ko-KR" altLang="en-US" sz="2800" b="1">
              <a:solidFill>
                <a:sysClr val="windowText" lastClr="000000"/>
              </a:solidFill>
            </a:rPr>
            <a:t>차 </a:t>
          </a:r>
          <a:r>
            <a:rPr lang="en-US" altLang="ko-KR" sz="2800" b="1">
              <a:solidFill>
                <a:sysClr val="windowText" lastClr="000000"/>
              </a:solidFill>
            </a:rPr>
            <a:t>9/15--10</a:t>
          </a:r>
          <a:r>
            <a:rPr lang="ko-KR" altLang="en-US" sz="2800" b="1">
              <a:solidFill>
                <a:sysClr val="windowText" lastClr="000000"/>
              </a:solidFill>
            </a:rPr>
            <a:t>일지연시공</a:t>
          </a:r>
          <a:r>
            <a:rPr lang="en-US" altLang="ko-KR" sz="2800" b="1">
              <a:solidFill>
                <a:sysClr val="windowText" lastClr="000000"/>
              </a:solidFill>
            </a:rPr>
            <a:t>--</a:t>
          </a:r>
          <a:r>
            <a:rPr lang="ko-KR" altLang="en-US" sz="2800" b="1">
              <a:solidFill>
                <a:sysClr val="windowText" lastClr="000000"/>
              </a:solidFill>
            </a:rPr>
            <a:t>④</a:t>
          </a:r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11207</xdr:colOff>
      <xdr:row>64</xdr:row>
      <xdr:rowOff>22410</xdr:rowOff>
    </xdr:from>
    <xdr:to>
      <xdr:col>14</xdr:col>
      <xdr:colOff>123264</xdr:colOff>
      <xdr:row>68</xdr:row>
      <xdr:rowOff>134468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257736" y="9457763"/>
          <a:ext cx="6376146" cy="694764"/>
        </a:xfrm>
        <a:prstGeom prst="rect">
          <a:avLst/>
        </a:prstGeom>
        <a:solidFill>
          <a:srgbClr val="92D050">
            <a:alpha val="43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800" b="1">
              <a:solidFill>
                <a:sysClr val="windowText" lastClr="000000"/>
              </a:solidFill>
            </a:rPr>
            <a:t>4</a:t>
          </a:r>
          <a:r>
            <a:rPr lang="ko-KR" altLang="en-US" sz="2800" b="1">
              <a:solidFill>
                <a:sysClr val="windowText" lastClr="000000"/>
              </a:solidFill>
            </a:rPr>
            <a:t>차 </a:t>
          </a:r>
          <a:r>
            <a:rPr lang="en-US" altLang="ko-KR" sz="2800" b="1">
              <a:solidFill>
                <a:sysClr val="windowText" lastClr="000000"/>
              </a:solidFill>
            </a:rPr>
            <a:t>10/10 - 22</a:t>
          </a:r>
          <a:r>
            <a:rPr lang="ko-KR" altLang="en-US" sz="2800" b="1">
              <a:solidFill>
                <a:sysClr val="windowText" lastClr="000000"/>
              </a:solidFill>
            </a:rPr>
            <a:t>일지연시공</a:t>
          </a:r>
          <a:r>
            <a:rPr lang="en-US" altLang="ko-KR" sz="2800" b="1">
              <a:solidFill>
                <a:sysClr val="windowText" lastClr="000000"/>
              </a:solidFill>
            </a:rPr>
            <a:t>--</a:t>
          </a:r>
          <a:r>
            <a:rPr lang="ko-KR" altLang="en-US" sz="2800" b="1">
              <a:solidFill>
                <a:sysClr val="windowText" lastClr="000000"/>
              </a:solidFill>
            </a:rPr>
            <a:t>⑤</a:t>
          </a:r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459441</xdr:colOff>
      <xdr:row>16</xdr:row>
      <xdr:rowOff>0</xdr:rowOff>
    </xdr:from>
    <xdr:to>
      <xdr:col>22</xdr:col>
      <xdr:colOff>168089</xdr:colOff>
      <xdr:row>20</xdr:row>
      <xdr:rowOff>112059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3597088" y="2767853"/>
          <a:ext cx="6734736" cy="649941"/>
        </a:xfrm>
        <a:prstGeom prst="rect">
          <a:avLst/>
        </a:prstGeom>
        <a:solidFill>
          <a:srgbClr val="7030A0">
            <a:alpha val="5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400" b="1"/>
            <a:t>5</a:t>
          </a:r>
          <a:r>
            <a:rPr lang="ko-KR" altLang="en-US" sz="2400" b="1"/>
            <a:t>차 </a:t>
          </a:r>
          <a:r>
            <a:rPr lang="en-US" altLang="ko-KR" sz="2400" b="1"/>
            <a:t>- 10/10 -- </a:t>
          </a:r>
          <a:r>
            <a:rPr lang="ko-KR" altLang="en-US" sz="2400" b="1"/>
            <a:t>⑥</a:t>
          </a:r>
        </a:p>
      </xdr:txBody>
    </xdr:sp>
    <xdr:clientData/>
  </xdr:twoCellAnchor>
  <xdr:twoCellAnchor>
    <xdr:from>
      <xdr:col>1</xdr:col>
      <xdr:colOff>6723</xdr:colOff>
      <xdr:row>59</xdr:row>
      <xdr:rowOff>22411</xdr:rowOff>
    </xdr:from>
    <xdr:to>
      <xdr:col>7</xdr:col>
      <xdr:colOff>11206</xdr:colOff>
      <xdr:row>64</xdr:row>
      <xdr:rowOff>0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253252" y="8729382"/>
          <a:ext cx="2895601" cy="705971"/>
        </a:xfrm>
        <a:prstGeom prst="rect">
          <a:avLst/>
        </a:prstGeom>
        <a:solidFill>
          <a:srgbClr val="7030A0">
            <a:alpha val="5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400" b="1"/>
            <a:t>5</a:t>
          </a:r>
          <a:r>
            <a:rPr lang="ko-KR" altLang="en-US" sz="2400" b="1"/>
            <a:t>차 </a:t>
          </a:r>
          <a:r>
            <a:rPr lang="en-US" altLang="ko-KR" sz="2400" b="1"/>
            <a:t>- 11/10 -- </a:t>
          </a:r>
          <a:r>
            <a:rPr lang="ko-KR" altLang="en-US" sz="2400" b="1"/>
            <a:t>⑦</a:t>
          </a:r>
        </a:p>
      </xdr:txBody>
    </xdr:sp>
    <xdr:clientData/>
  </xdr:twoCellAnchor>
  <xdr:twoCellAnchor>
    <xdr:from>
      <xdr:col>0</xdr:col>
      <xdr:colOff>242047</xdr:colOff>
      <xdr:row>14</xdr:row>
      <xdr:rowOff>112059</xdr:rowOff>
    </xdr:from>
    <xdr:to>
      <xdr:col>7</xdr:col>
      <xdr:colOff>302559</xdr:colOff>
      <xdr:row>20</xdr:row>
      <xdr:rowOff>129989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242047" y="2610971"/>
          <a:ext cx="3198159" cy="824753"/>
        </a:xfrm>
        <a:prstGeom prst="rect">
          <a:avLst/>
        </a:prstGeom>
        <a:solidFill>
          <a:srgbClr val="002060">
            <a:alpha val="5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400" b="1"/>
            <a:t>6</a:t>
          </a:r>
          <a:r>
            <a:rPr lang="ko-KR" altLang="en-US" sz="2400" b="1"/>
            <a:t>차</a:t>
          </a:r>
          <a:r>
            <a:rPr lang="en-US" altLang="ko-KR" sz="2400" b="1"/>
            <a:t>-11/05</a:t>
          </a:r>
          <a:endParaRPr lang="ko-KR" altLang="en-US" sz="2400" b="1"/>
        </a:p>
      </xdr:txBody>
    </xdr:sp>
    <xdr:clientData/>
  </xdr:twoCellAnchor>
  <xdr:twoCellAnchor>
    <xdr:from>
      <xdr:col>7</xdr:col>
      <xdr:colOff>472888</xdr:colOff>
      <xdr:row>9</xdr:row>
      <xdr:rowOff>129989</xdr:rowOff>
    </xdr:from>
    <xdr:to>
      <xdr:col>22</xdr:col>
      <xdr:colOff>168089</xdr:colOff>
      <xdr:row>16</xdr:row>
      <xdr:rowOff>13448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3610535" y="1956548"/>
          <a:ext cx="6721289" cy="824753"/>
        </a:xfrm>
        <a:prstGeom prst="rect">
          <a:avLst/>
        </a:prstGeom>
        <a:solidFill>
          <a:srgbClr val="002060">
            <a:alpha val="5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400" b="1"/>
            <a:t>6</a:t>
          </a:r>
          <a:r>
            <a:rPr lang="ko-KR" altLang="en-US" sz="2400" b="1"/>
            <a:t>차 </a:t>
          </a:r>
          <a:r>
            <a:rPr lang="en-US" altLang="ko-KR" sz="2400" b="1"/>
            <a:t>11/30</a:t>
          </a:r>
          <a:endParaRPr lang="ko-KR" altLang="en-US" sz="2400" b="1"/>
        </a:p>
      </xdr:txBody>
    </xdr:sp>
    <xdr:clientData/>
  </xdr:twoCellAnchor>
  <xdr:twoCellAnchor>
    <xdr:from>
      <xdr:col>1</xdr:col>
      <xdr:colOff>8965</xdr:colOff>
      <xdr:row>53</xdr:row>
      <xdr:rowOff>58272</xdr:rowOff>
    </xdr:from>
    <xdr:to>
      <xdr:col>7</xdr:col>
      <xdr:colOff>22412</xdr:colOff>
      <xdr:row>59</xdr:row>
      <xdr:rowOff>8966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255494" y="7891184"/>
          <a:ext cx="2904565" cy="824753"/>
        </a:xfrm>
        <a:prstGeom prst="rect">
          <a:avLst/>
        </a:prstGeom>
        <a:solidFill>
          <a:srgbClr val="002060">
            <a:alpha val="5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400" b="1"/>
            <a:t>6</a:t>
          </a:r>
          <a:r>
            <a:rPr lang="ko-KR" altLang="en-US" sz="2400" b="1"/>
            <a:t>차 </a:t>
          </a:r>
          <a:r>
            <a:rPr lang="en-US" altLang="ko-KR" sz="2400" b="1"/>
            <a:t>- 12/20</a:t>
          </a:r>
          <a:endParaRPr lang="ko-KR" altLang="en-US" sz="2400" b="1"/>
        </a:p>
      </xdr:txBody>
    </xdr:sp>
    <xdr:clientData/>
  </xdr:twoCellAnchor>
  <xdr:twoCellAnchor>
    <xdr:from>
      <xdr:col>8</xdr:col>
      <xdr:colOff>4484</xdr:colOff>
      <xdr:row>56</xdr:row>
      <xdr:rowOff>134471</xdr:rowOff>
    </xdr:from>
    <xdr:to>
      <xdr:col>14</xdr:col>
      <xdr:colOff>100854</xdr:colOff>
      <xdr:row>64</xdr:row>
      <xdr:rowOff>4484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3623984" y="8404412"/>
          <a:ext cx="2987488" cy="1035425"/>
        </a:xfrm>
        <a:prstGeom prst="rect">
          <a:avLst/>
        </a:prstGeom>
        <a:solidFill>
          <a:srgbClr val="002060">
            <a:alpha val="5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400" b="1"/>
            <a:t>6</a:t>
          </a:r>
          <a:r>
            <a:rPr lang="ko-KR" altLang="en-US" sz="2400" b="1"/>
            <a:t>차</a:t>
          </a:r>
          <a:r>
            <a:rPr lang="en-US" altLang="ko-KR" sz="2400" b="1"/>
            <a:t>- 12/10</a:t>
          </a:r>
          <a:endParaRPr lang="ko-KR" altLang="en-US" sz="2400" b="1"/>
        </a:p>
      </xdr:txBody>
    </xdr:sp>
    <xdr:clientData/>
  </xdr:twoCellAnchor>
  <xdr:twoCellAnchor>
    <xdr:from>
      <xdr:col>14</xdr:col>
      <xdr:colOff>470648</xdr:colOff>
      <xdr:row>63</xdr:row>
      <xdr:rowOff>134471</xdr:rowOff>
    </xdr:from>
    <xdr:to>
      <xdr:col>21</xdr:col>
      <xdr:colOff>85166</xdr:colOff>
      <xdr:row>68</xdr:row>
      <xdr:rowOff>134472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6981266" y="9424147"/>
          <a:ext cx="2987488" cy="728384"/>
        </a:xfrm>
        <a:prstGeom prst="rect">
          <a:avLst/>
        </a:prstGeom>
        <a:solidFill>
          <a:srgbClr val="7030A0">
            <a:alpha val="5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400" b="1"/>
            <a:t>5</a:t>
          </a:r>
          <a:r>
            <a:rPr lang="ko-KR" altLang="en-US" sz="2400" b="1"/>
            <a:t>차</a:t>
          </a:r>
          <a:r>
            <a:rPr lang="en-US" altLang="ko-KR" sz="2400" b="1"/>
            <a:t>-10/30</a:t>
          </a:r>
        </a:p>
        <a:p>
          <a:pPr algn="l"/>
          <a:endParaRPr lang="ko-KR" altLang="en-US" sz="2400" b="1"/>
        </a:p>
      </xdr:txBody>
    </xdr:sp>
    <xdr:clientData/>
  </xdr:twoCellAnchor>
  <xdr:twoCellAnchor>
    <xdr:from>
      <xdr:col>14</xdr:col>
      <xdr:colOff>470648</xdr:colOff>
      <xdr:row>57</xdr:row>
      <xdr:rowOff>6723</xdr:rowOff>
    </xdr:from>
    <xdr:to>
      <xdr:col>21</xdr:col>
      <xdr:colOff>85166</xdr:colOff>
      <xdr:row>64</xdr:row>
      <xdr:rowOff>22413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6981266" y="8422341"/>
          <a:ext cx="2987488" cy="1035425"/>
        </a:xfrm>
        <a:prstGeom prst="rect">
          <a:avLst/>
        </a:prstGeom>
        <a:solidFill>
          <a:srgbClr val="002060">
            <a:alpha val="5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400" b="1"/>
            <a:t>6</a:t>
          </a:r>
          <a:r>
            <a:rPr lang="ko-KR" altLang="en-US" sz="2400" b="1"/>
            <a:t>차</a:t>
          </a:r>
          <a:r>
            <a:rPr lang="en-US" altLang="ko-KR" sz="2400" b="1"/>
            <a:t>-12/01</a:t>
          </a:r>
          <a:endParaRPr lang="ko-KR" altLang="en-US" sz="24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35</xdr:row>
      <xdr:rowOff>125731</xdr:rowOff>
    </xdr:from>
    <xdr:to>
      <xdr:col>22</xdr:col>
      <xdr:colOff>19050</xdr:colOff>
      <xdr:row>36</xdr:row>
      <xdr:rowOff>38100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0" y="5412106"/>
          <a:ext cx="10258425" cy="4571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0</xdr:colOff>
      <xdr:row>30</xdr:row>
      <xdr:rowOff>116206</xdr:rowOff>
    </xdr:from>
    <xdr:to>
      <xdr:col>22</xdr:col>
      <xdr:colOff>19050</xdr:colOff>
      <xdr:row>31</xdr:row>
      <xdr:rowOff>28575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0" y="4735831"/>
          <a:ext cx="10258425" cy="4571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0</xdr:colOff>
      <xdr:row>25</xdr:row>
      <xdr:rowOff>106681</xdr:rowOff>
    </xdr:from>
    <xdr:to>
      <xdr:col>22</xdr:col>
      <xdr:colOff>19050</xdr:colOff>
      <xdr:row>26</xdr:row>
      <xdr:rowOff>19050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0" y="4059556"/>
          <a:ext cx="10258425" cy="4571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0</xdr:colOff>
      <xdr:row>20</xdr:row>
      <xdr:rowOff>125731</xdr:rowOff>
    </xdr:from>
    <xdr:to>
      <xdr:col>22</xdr:col>
      <xdr:colOff>19050</xdr:colOff>
      <xdr:row>21</xdr:row>
      <xdr:rowOff>38100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0" y="3411856"/>
          <a:ext cx="10258425" cy="4571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0</xdr:colOff>
      <xdr:row>78</xdr:row>
      <xdr:rowOff>135256</xdr:rowOff>
    </xdr:from>
    <xdr:to>
      <xdr:col>22</xdr:col>
      <xdr:colOff>19050</xdr:colOff>
      <xdr:row>79</xdr:row>
      <xdr:rowOff>38100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0" y="11470006"/>
          <a:ext cx="10258425" cy="4571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0</xdr:colOff>
      <xdr:row>73</xdr:row>
      <xdr:rowOff>116206</xdr:rowOff>
    </xdr:from>
    <xdr:to>
      <xdr:col>22</xdr:col>
      <xdr:colOff>19050</xdr:colOff>
      <xdr:row>74</xdr:row>
      <xdr:rowOff>19050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0" y="10736581"/>
          <a:ext cx="10258425" cy="4571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0</xdr:colOff>
      <xdr:row>68</xdr:row>
      <xdr:rowOff>125731</xdr:rowOff>
    </xdr:from>
    <xdr:to>
      <xdr:col>22</xdr:col>
      <xdr:colOff>19050</xdr:colOff>
      <xdr:row>69</xdr:row>
      <xdr:rowOff>28575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0" y="10031731"/>
          <a:ext cx="10258425" cy="4571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0</xdr:colOff>
      <xdr:row>63</xdr:row>
      <xdr:rowOff>125731</xdr:rowOff>
    </xdr:from>
    <xdr:to>
      <xdr:col>22</xdr:col>
      <xdr:colOff>19050</xdr:colOff>
      <xdr:row>64</xdr:row>
      <xdr:rowOff>28575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0" y="9317356"/>
          <a:ext cx="10258425" cy="4571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676275</xdr:colOff>
      <xdr:row>592</xdr:row>
      <xdr:rowOff>0</xdr:rowOff>
    </xdr:from>
    <xdr:to>
      <xdr:col>13</xdr:col>
      <xdr:colOff>600352</xdr:colOff>
      <xdr:row>601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01100" y="134683500"/>
          <a:ext cx="1981477" cy="19335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505</xdr:row>
      <xdr:rowOff>28573</xdr:rowOff>
    </xdr:from>
    <xdr:to>
      <xdr:col>9</xdr:col>
      <xdr:colOff>676275</xdr:colOff>
      <xdr:row>586</xdr:row>
      <xdr:rowOff>180975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19050" y="115014373"/>
          <a:ext cx="8067675" cy="18573752"/>
        </a:xfrm>
        <a:prstGeom prst="rect">
          <a:avLst/>
        </a:prstGeom>
        <a:solidFill>
          <a:srgbClr val="FF0000">
            <a:alpha val="41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66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갱폼해체확인후 발주</a:t>
          </a:r>
          <a:endParaRPr lang="ko-KR" altLang="en-US" sz="1100" b="1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4</xdr:col>
      <xdr:colOff>733425</xdr:colOff>
      <xdr:row>9</xdr:row>
      <xdr:rowOff>304800</xdr:rowOff>
    </xdr:from>
    <xdr:to>
      <xdr:col>9</xdr:col>
      <xdr:colOff>247650</xdr:colOff>
      <xdr:row>11</xdr:row>
      <xdr:rowOff>9525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4448175" y="2066925"/>
          <a:ext cx="3209925" cy="4857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800"/>
            <a:t>21</a:t>
          </a:r>
          <a:r>
            <a:rPr lang="ko-KR" altLang="en-US" sz="1800"/>
            <a:t>층 </a:t>
          </a:r>
          <a:r>
            <a:rPr lang="en-US" altLang="ko-KR" sz="1800"/>
            <a:t>~~</a:t>
          </a:r>
          <a:r>
            <a:rPr lang="en-US" altLang="ko-KR" sz="1800" baseline="0"/>
            <a:t> </a:t>
          </a:r>
          <a:r>
            <a:rPr lang="ko-KR" altLang="en-US" sz="1800" baseline="0"/>
            <a:t>최상층 계산용임</a:t>
          </a:r>
          <a:endParaRPr lang="ko-KR" altLang="en-US" sz="18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9</xdr:row>
      <xdr:rowOff>342900</xdr:rowOff>
    </xdr:from>
    <xdr:to>
      <xdr:col>9</xdr:col>
      <xdr:colOff>542925</xdr:colOff>
      <xdr:row>11</xdr:row>
      <xdr:rowOff>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5010150" y="2105025"/>
          <a:ext cx="2943225" cy="4381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800" baseline="0"/>
            <a:t> 계산용임</a:t>
          </a:r>
          <a:endParaRPr lang="ko-KR" altLang="en-US" sz="18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BQ85"/>
  <sheetViews>
    <sheetView zoomScale="85" zoomScaleNormal="85" zoomScaleSheetLayoutView="130" workbookViewId="0">
      <selection sqref="A1:V85"/>
    </sheetView>
  </sheetViews>
  <sheetFormatPr defaultColWidth="9" defaultRowHeight="11.25"/>
  <cols>
    <col min="1" max="1" width="3.25" style="182" customWidth="1"/>
    <col min="2" max="6" width="6.375" style="182" customWidth="1"/>
    <col min="7" max="7" width="6.375" style="184" customWidth="1"/>
    <col min="8" max="13" width="6.375" style="182" customWidth="1"/>
    <col min="14" max="14" width="6.375" style="184" customWidth="1"/>
    <col min="15" max="20" width="6.375" style="182" customWidth="1"/>
    <col min="21" max="21" width="6.375" style="184" customWidth="1"/>
    <col min="22" max="22" width="3.625" style="184" customWidth="1"/>
    <col min="23" max="23" width="10.25" style="182" customWidth="1"/>
    <col min="24" max="26" width="4.625" style="182" customWidth="1"/>
    <col min="27" max="27" width="3.625" style="184" customWidth="1"/>
    <col min="28" max="31" width="4.625" style="182" customWidth="1"/>
    <col min="32" max="32" width="3.625" style="184" customWidth="1"/>
    <col min="33" max="36" width="4.625" style="182" customWidth="1"/>
    <col min="37" max="37" width="3.625" style="184" customWidth="1"/>
    <col min="38" max="42" width="4.625" style="182" customWidth="1"/>
    <col min="43" max="43" width="3.625" style="184" customWidth="1"/>
    <col min="44" max="47" width="4.625" style="182" customWidth="1"/>
    <col min="48" max="48" width="3.625" style="184" customWidth="1"/>
    <col min="49" max="53" width="4.625" style="182" customWidth="1"/>
    <col min="54" max="54" width="3.625" style="184" customWidth="1"/>
    <col min="55" max="58" width="4.625" style="182" customWidth="1"/>
    <col min="59" max="59" width="3.625" style="184" customWidth="1"/>
    <col min="60" max="61" width="4.625" style="182" customWidth="1"/>
    <col min="62" max="62" width="3.625" style="184" customWidth="1"/>
    <col min="63" max="66" width="4.625" style="182" customWidth="1"/>
    <col min="67" max="67" width="3.625" style="184" customWidth="1"/>
    <col min="68" max="70" width="4.625" style="182" customWidth="1"/>
    <col min="71" max="16384" width="9" style="182"/>
  </cols>
  <sheetData>
    <row r="1" spans="1:69" ht="33.75">
      <c r="B1" s="311" t="s">
        <v>229</v>
      </c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</row>
    <row r="2" spans="1:69">
      <c r="G2" s="183"/>
      <c r="N2" s="183"/>
      <c r="U2" s="183"/>
      <c r="V2" s="183"/>
      <c r="AF2" s="183"/>
      <c r="AK2" s="183"/>
      <c r="AV2" s="183"/>
      <c r="BB2" s="183"/>
      <c r="BJ2" s="183"/>
    </row>
    <row r="3" spans="1:69">
      <c r="A3" s="185"/>
      <c r="B3" s="308" t="s">
        <v>129</v>
      </c>
      <c r="C3" s="308"/>
      <c r="D3" s="308"/>
      <c r="E3" s="308"/>
      <c r="F3" s="308"/>
      <c r="G3" s="308"/>
      <c r="H3" s="185"/>
      <c r="I3" s="308" t="s">
        <v>129</v>
      </c>
      <c r="J3" s="308"/>
      <c r="K3" s="308"/>
      <c r="L3" s="308"/>
      <c r="M3" s="308"/>
      <c r="N3" s="308"/>
      <c r="O3" s="185"/>
      <c r="P3" s="308" t="s">
        <v>129</v>
      </c>
      <c r="Q3" s="308"/>
      <c r="R3" s="308"/>
      <c r="S3" s="308"/>
      <c r="T3" s="308"/>
      <c r="U3" s="308"/>
    </row>
    <row r="4" spans="1:69" s="186" customFormat="1" ht="16.5" customHeight="1">
      <c r="A4" s="185"/>
      <c r="B4" s="310" t="s">
        <v>130</v>
      </c>
      <c r="C4" s="310"/>
      <c r="D4" s="310"/>
      <c r="E4" s="310"/>
      <c r="F4" s="310"/>
      <c r="G4" s="310"/>
      <c r="H4" s="185"/>
      <c r="I4" s="310" t="s">
        <v>131</v>
      </c>
      <c r="J4" s="310"/>
      <c r="K4" s="310"/>
      <c r="L4" s="310"/>
      <c r="M4" s="310"/>
      <c r="N4" s="310"/>
      <c r="O4" s="185"/>
      <c r="P4" s="310" t="s">
        <v>132</v>
      </c>
      <c r="Q4" s="310"/>
      <c r="R4" s="310"/>
      <c r="S4" s="310"/>
      <c r="T4" s="310"/>
      <c r="U4" s="310"/>
      <c r="V4" s="182"/>
      <c r="W4" s="182"/>
      <c r="X4" s="182"/>
      <c r="Y4" s="182"/>
      <c r="Z4" s="182"/>
      <c r="AA4" s="184"/>
      <c r="AB4" s="182"/>
      <c r="AC4" s="182"/>
      <c r="AD4" s="182"/>
      <c r="AE4" s="182"/>
      <c r="AF4" s="184"/>
      <c r="AG4" s="182"/>
      <c r="AH4" s="182"/>
      <c r="AI4" s="182"/>
      <c r="AJ4" s="182"/>
      <c r="AK4" s="184"/>
      <c r="AL4" s="182"/>
      <c r="AM4" s="182"/>
      <c r="AN4" s="182"/>
      <c r="AO4" s="182"/>
      <c r="AP4" s="182"/>
      <c r="AQ4" s="184"/>
      <c r="AR4" s="182"/>
      <c r="AS4" s="182"/>
      <c r="AT4" s="182"/>
      <c r="AU4" s="182"/>
      <c r="AV4" s="184"/>
      <c r="AW4" s="182"/>
      <c r="AX4" s="182"/>
      <c r="AY4" s="182"/>
      <c r="AZ4" s="182"/>
      <c r="BA4" s="182"/>
      <c r="BB4" s="184"/>
      <c r="BC4" s="182"/>
      <c r="BD4" s="182"/>
      <c r="BE4" s="182"/>
      <c r="BF4" s="182"/>
      <c r="BG4" s="184"/>
      <c r="BH4" s="182"/>
      <c r="BI4" s="182"/>
      <c r="BJ4" s="184"/>
      <c r="BK4" s="182"/>
      <c r="BL4" s="182"/>
      <c r="BM4" s="182"/>
      <c r="BN4" s="182"/>
      <c r="BO4" s="184"/>
      <c r="BP4" s="182"/>
      <c r="BQ4" s="182"/>
    </row>
    <row r="5" spans="1:69">
      <c r="A5" s="184" t="s">
        <v>191</v>
      </c>
      <c r="B5" s="187" t="s">
        <v>136</v>
      </c>
      <c r="C5" s="187" t="s">
        <v>137</v>
      </c>
      <c r="D5" s="187" t="s">
        <v>138</v>
      </c>
      <c r="E5" s="187" t="s">
        <v>139</v>
      </c>
      <c r="F5" s="187" t="s">
        <v>140</v>
      </c>
      <c r="G5" s="187" t="s">
        <v>141</v>
      </c>
      <c r="H5" s="184"/>
      <c r="I5" s="187" t="s">
        <v>136</v>
      </c>
      <c r="J5" s="187" t="s">
        <v>137</v>
      </c>
      <c r="K5" s="187" t="s">
        <v>142</v>
      </c>
      <c r="L5" s="187" t="s">
        <v>143</v>
      </c>
      <c r="M5" s="187" t="s">
        <v>144</v>
      </c>
      <c r="N5" s="187" t="s">
        <v>145</v>
      </c>
      <c r="O5" s="184"/>
      <c r="P5" s="187" t="s">
        <v>136</v>
      </c>
      <c r="Q5" s="187" t="s">
        <v>137</v>
      </c>
      <c r="R5" s="187" t="s">
        <v>142</v>
      </c>
      <c r="S5" s="187" t="s">
        <v>143</v>
      </c>
      <c r="T5" s="187" t="s">
        <v>144</v>
      </c>
      <c r="U5" s="187" t="s">
        <v>145</v>
      </c>
      <c r="V5" s="182"/>
    </row>
    <row r="6" spans="1:69" ht="16.899999999999999" customHeight="1">
      <c r="A6" s="182" t="s">
        <v>192</v>
      </c>
      <c r="B6" s="188" t="s">
        <v>146</v>
      </c>
      <c r="C6" s="188" t="s">
        <v>146</v>
      </c>
      <c r="D6" s="189" t="s">
        <v>147</v>
      </c>
      <c r="E6" s="188" t="s">
        <v>146</v>
      </c>
      <c r="F6" s="188" t="s">
        <v>146</v>
      </c>
      <c r="G6" s="190" t="s">
        <v>148</v>
      </c>
      <c r="I6" s="191">
        <v>74</v>
      </c>
      <c r="J6" s="191">
        <v>74</v>
      </c>
      <c r="K6" s="189" t="s">
        <v>147</v>
      </c>
      <c r="L6" s="188" t="s">
        <v>146</v>
      </c>
      <c r="M6" s="188" t="s">
        <v>146</v>
      </c>
      <c r="N6" s="188" t="s">
        <v>146</v>
      </c>
      <c r="P6" s="191">
        <v>74</v>
      </c>
      <c r="Q6" s="191">
        <v>74</v>
      </c>
      <c r="R6" s="189" t="s">
        <v>147</v>
      </c>
      <c r="S6" s="188" t="s">
        <v>146</v>
      </c>
      <c r="T6" s="188" t="s">
        <v>146</v>
      </c>
      <c r="U6" s="188" t="s">
        <v>146</v>
      </c>
      <c r="V6" s="182"/>
    </row>
    <row r="7" spans="1:69" ht="14.25" customHeight="1">
      <c r="A7" s="192" t="s">
        <v>17</v>
      </c>
      <c r="B7" s="303">
        <v>25</v>
      </c>
      <c r="C7" s="303">
        <v>25</v>
      </c>
      <c r="D7" s="303">
        <v>26</v>
      </c>
      <c r="E7" s="303">
        <v>25</v>
      </c>
      <c r="F7" s="303">
        <v>26</v>
      </c>
      <c r="G7" s="303">
        <v>26</v>
      </c>
      <c r="H7" s="192"/>
      <c r="I7" s="303">
        <v>27</v>
      </c>
      <c r="J7" s="303">
        <v>27</v>
      </c>
      <c r="K7" s="303">
        <v>29</v>
      </c>
      <c r="L7" s="303">
        <v>28</v>
      </c>
      <c r="M7" s="303">
        <v>28</v>
      </c>
      <c r="N7" s="303">
        <v>28</v>
      </c>
      <c r="O7" s="192"/>
      <c r="P7" s="303">
        <v>29</v>
      </c>
      <c r="Q7" s="303">
        <v>29</v>
      </c>
      <c r="R7" s="303">
        <v>29</v>
      </c>
      <c r="S7" s="303">
        <v>27</v>
      </c>
      <c r="T7" s="303">
        <v>27</v>
      </c>
      <c r="U7" s="303">
        <v>27</v>
      </c>
      <c r="V7" s="182"/>
    </row>
    <row r="8" spans="1:69" ht="14.25" customHeight="1">
      <c r="A8" s="192" t="s">
        <v>193</v>
      </c>
      <c r="B8" s="303"/>
      <c r="C8" s="303"/>
      <c r="D8" s="303"/>
      <c r="E8" s="303"/>
      <c r="F8" s="303"/>
      <c r="G8" s="303"/>
      <c r="H8" s="192"/>
      <c r="I8" s="303"/>
      <c r="J8" s="303"/>
      <c r="K8" s="303"/>
      <c r="L8" s="303"/>
      <c r="M8" s="303"/>
      <c r="N8" s="303"/>
      <c r="O8" s="192"/>
      <c r="P8" s="303"/>
      <c r="Q8" s="303"/>
      <c r="R8" s="303"/>
      <c r="S8" s="303"/>
      <c r="T8" s="303"/>
      <c r="U8" s="303"/>
      <c r="V8" s="182"/>
    </row>
    <row r="9" spans="1:69" ht="14.25" customHeight="1" thickBot="1">
      <c r="A9" s="192"/>
      <c r="B9" s="185"/>
      <c r="C9" s="185"/>
      <c r="D9" s="185"/>
      <c r="E9" s="185"/>
      <c r="F9" s="185"/>
      <c r="G9" s="185"/>
      <c r="H9" s="192"/>
      <c r="I9" s="185"/>
      <c r="J9" s="185"/>
      <c r="K9" s="185"/>
      <c r="L9" s="185"/>
      <c r="M9" s="185"/>
      <c r="N9" s="185"/>
      <c r="O9" s="192"/>
      <c r="P9" s="185"/>
      <c r="Q9" s="185"/>
      <c r="R9" s="185"/>
      <c r="S9" s="185"/>
      <c r="T9" s="185"/>
      <c r="U9" s="185"/>
      <c r="V9" s="182"/>
    </row>
    <row r="10" spans="1:69" ht="11.1" customHeight="1" thickBot="1">
      <c r="A10" s="217" t="s">
        <v>194</v>
      </c>
      <c r="B10" s="193" t="s">
        <v>149</v>
      </c>
      <c r="G10" s="193" t="s">
        <v>149</v>
      </c>
      <c r="J10" s="193" t="s">
        <v>149</v>
      </c>
      <c r="K10" s="193" t="s">
        <v>149</v>
      </c>
      <c r="L10" s="194"/>
      <c r="N10" s="182"/>
      <c r="Q10" s="193" t="s">
        <v>149</v>
      </c>
      <c r="U10" s="182"/>
      <c r="V10" s="182"/>
      <c r="AA10" s="183"/>
      <c r="AF10" s="183"/>
      <c r="AK10" s="183"/>
      <c r="AQ10" s="183"/>
      <c r="AV10" s="183"/>
      <c r="BB10" s="183"/>
      <c r="BG10" s="183"/>
      <c r="BJ10" s="183"/>
      <c r="BO10" s="183"/>
    </row>
    <row r="11" spans="1:69" ht="11.1" customHeight="1">
      <c r="E11" s="194"/>
      <c r="G11" s="182"/>
      <c r="H11" s="195"/>
      <c r="J11" s="194"/>
      <c r="L11" s="194"/>
      <c r="N11" s="182"/>
      <c r="Q11" s="194"/>
      <c r="S11" s="194"/>
      <c r="U11" s="182"/>
      <c r="V11" s="182"/>
    </row>
    <row r="12" spans="1:69" ht="11.1" customHeight="1">
      <c r="A12" s="195" t="s">
        <v>150</v>
      </c>
      <c r="C12" s="194"/>
      <c r="E12" s="194"/>
      <c r="G12" s="182"/>
      <c r="H12" s="195" t="s">
        <v>150</v>
      </c>
      <c r="J12" s="194"/>
      <c r="L12" s="194"/>
      <c r="N12" s="182"/>
      <c r="O12" s="195" t="s">
        <v>150</v>
      </c>
      <c r="Q12" s="194"/>
      <c r="S12" s="194"/>
      <c r="U12" s="182"/>
      <c r="V12" s="182"/>
    </row>
    <row r="13" spans="1:69" ht="11.1" customHeight="1">
      <c r="A13" s="195" t="s">
        <v>151</v>
      </c>
      <c r="C13" s="194"/>
      <c r="E13" s="194"/>
      <c r="G13" s="182"/>
      <c r="H13" s="195" t="s">
        <v>151</v>
      </c>
      <c r="J13" s="194"/>
      <c r="K13" s="197" t="s">
        <v>147</v>
      </c>
      <c r="L13" s="198" t="s">
        <v>146</v>
      </c>
      <c r="M13" s="199" t="s">
        <v>146</v>
      </c>
      <c r="N13" s="188" t="s">
        <v>146</v>
      </c>
      <c r="O13" s="195" t="s">
        <v>151</v>
      </c>
      <c r="P13" s="191">
        <v>74</v>
      </c>
      <c r="Q13" s="200">
        <v>74</v>
      </c>
      <c r="R13" s="197" t="s">
        <v>147</v>
      </c>
      <c r="S13" s="198" t="s">
        <v>146</v>
      </c>
      <c r="T13" s="199" t="s">
        <v>146</v>
      </c>
      <c r="U13" s="188" t="s">
        <v>146</v>
      </c>
      <c r="V13" s="182"/>
    </row>
    <row r="14" spans="1:69" ht="11.1" customHeight="1">
      <c r="A14" s="195" t="s">
        <v>155</v>
      </c>
      <c r="C14" s="194"/>
      <c r="E14" s="194"/>
      <c r="G14" s="182"/>
      <c r="H14" s="195" t="s">
        <v>155</v>
      </c>
      <c r="J14" s="194"/>
      <c r="K14" s="197" t="s">
        <v>147</v>
      </c>
      <c r="L14" s="198" t="s">
        <v>146</v>
      </c>
      <c r="M14" s="199" t="s">
        <v>146</v>
      </c>
      <c r="N14" s="188" t="s">
        <v>146</v>
      </c>
      <c r="O14" s="195" t="s">
        <v>155</v>
      </c>
      <c r="P14" s="191">
        <v>74</v>
      </c>
      <c r="Q14" s="200">
        <v>74</v>
      </c>
      <c r="R14" s="197" t="s">
        <v>147</v>
      </c>
      <c r="S14" s="198" t="s">
        <v>146</v>
      </c>
      <c r="T14" s="199" t="s">
        <v>146</v>
      </c>
      <c r="U14" s="188" t="s">
        <v>146</v>
      </c>
      <c r="V14" s="182"/>
    </row>
    <row r="15" spans="1:69" ht="11.1" customHeight="1">
      <c r="A15" s="195" t="s">
        <v>156</v>
      </c>
      <c r="C15" s="194"/>
      <c r="E15" s="194"/>
      <c r="G15" s="182"/>
      <c r="H15" s="195" t="s">
        <v>156</v>
      </c>
      <c r="I15" s="191">
        <v>74</v>
      </c>
      <c r="J15" s="200">
        <v>74</v>
      </c>
      <c r="K15" s="197" t="s">
        <v>147</v>
      </c>
      <c r="L15" s="198" t="s">
        <v>146</v>
      </c>
      <c r="M15" s="199" t="s">
        <v>146</v>
      </c>
      <c r="N15" s="188" t="s">
        <v>146</v>
      </c>
      <c r="O15" s="195" t="s">
        <v>156</v>
      </c>
      <c r="P15" s="191">
        <v>74</v>
      </c>
      <c r="Q15" s="200">
        <v>74</v>
      </c>
      <c r="R15" s="197" t="s">
        <v>147</v>
      </c>
      <c r="S15" s="198" t="s">
        <v>146</v>
      </c>
      <c r="T15" s="199" t="s">
        <v>146</v>
      </c>
      <c r="U15" s="188" t="s">
        <v>146</v>
      </c>
      <c r="V15" s="182"/>
    </row>
    <row r="16" spans="1:69" ht="11.1" customHeight="1">
      <c r="A16" s="195" t="s">
        <v>157</v>
      </c>
      <c r="C16" s="194"/>
      <c r="D16" s="197" t="s">
        <v>147</v>
      </c>
      <c r="E16" s="198" t="s">
        <v>146</v>
      </c>
      <c r="F16" s="199" t="s">
        <v>146</v>
      </c>
      <c r="G16" s="190" t="s">
        <v>148</v>
      </c>
      <c r="H16" s="195" t="s">
        <v>157</v>
      </c>
      <c r="I16" s="191">
        <v>74</v>
      </c>
      <c r="J16" s="200">
        <v>74</v>
      </c>
      <c r="K16" s="197" t="s">
        <v>147</v>
      </c>
      <c r="L16" s="198" t="s">
        <v>146</v>
      </c>
      <c r="M16" s="199" t="s">
        <v>146</v>
      </c>
      <c r="N16" s="188" t="s">
        <v>146</v>
      </c>
      <c r="O16" s="195" t="s">
        <v>157</v>
      </c>
      <c r="P16" s="191">
        <v>74</v>
      </c>
      <c r="Q16" s="200">
        <v>74</v>
      </c>
      <c r="R16" s="197" t="s">
        <v>147</v>
      </c>
      <c r="S16" s="198" t="s">
        <v>146</v>
      </c>
      <c r="T16" s="199" t="s">
        <v>146</v>
      </c>
      <c r="U16" s="188" t="s">
        <v>146</v>
      </c>
      <c r="V16" s="182"/>
    </row>
    <row r="17" spans="1:24" ht="11.1" customHeight="1">
      <c r="A17" s="195" t="s">
        <v>158</v>
      </c>
      <c r="B17" s="188" t="s">
        <v>146</v>
      </c>
      <c r="C17" s="198" t="s">
        <v>146</v>
      </c>
      <c r="D17" s="197" t="s">
        <v>147</v>
      </c>
      <c r="E17" s="198" t="s">
        <v>146</v>
      </c>
      <c r="F17" s="199" t="s">
        <v>146</v>
      </c>
      <c r="G17" s="190" t="s">
        <v>148</v>
      </c>
      <c r="H17" s="195" t="s">
        <v>158</v>
      </c>
      <c r="I17" s="191">
        <v>74</v>
      </c>
      <c r="J17" s="200">
        <v>74</v>
      </c>
      <c r="K17" s="197" t="s">
        <v>147</v>
      </c>
      <c r="L17" s="198" t="s">
        <v>146</v>
      </c>
      <c r="M17" s="199" t="s">
        <v>146</v>
      </c>
      <c r="N17" s="188" t="s">
        <v>146</v>
      </c>
      <c r="O17" s="195" t="s">
        <v>158</v>
      </c>
      <c r="P17" s="191">
        <v>74</v>
      </c>
      <c r="Q17" s="200">
        <v>74</v>
      </c>
      <c r="R17" s="197" t="s">
        <v>147</v>
      </c>
      <c r="S17" s="198" t="s">
        <v>146</v>
      </c>
      <c r="T17" s="199" t="s">
        <v>146</v>
      </c>
      <c r="U17" s="188" t="s">
        <v>146</v>
      </c>
      <c r="V17" s="182"/>
    </row>
    <row r="18" spans="1:24" ht="11.1" customHeight="1">
      <c r="A18" s="195" t="s">
        <v>159</v>
      </c>
      <c r="B18" s="188" t="s">
        <v>146</v>
      </c>
      <c r="C18" s="198" t="s">
        <v>146</v>
      </c>
      <c r="D18" s="197" t="s">
        <v>147</v>
      </c>
      <c r="E18" s="198" t="s">
        <v>146</v>
      </c>
      <c r="F18" s="199" t="s">
        <v>146</v>
      </c>
      <c r="G18" s="190" t="s">
        <v>148</v>
      </c>
      <c r="H18" s="195" t="s">
        <v>159</v>
      </c>
      <c r="I18" s="191">
        <v>74</v>
      </c>
      <c r="J18" s="200">
        <v>74</v>
      </c>
      <c r="K18" s="197" t="s">
        <v>147</v>
      </c>
      <c r="L18" s="198" t="s">
        <v>146</v>
      </c>
      <c r="M18" s="199" t="s">
        <v>146</v>
      </c>
      <c r="N18" s="188" t="s">
        <v>146</v>
      </c>
      <c r="O18" s="195" t="s">
        <v>159</v>
      </c>
      <c r="P18" s="191">
        <v>74</v>
      </c>
      <c r="Q18" s="200">
        <v>74</v>
      </c>
      <c r="R18" s="197" t="s">
        <v>147</v>
      </c>
      <c r="S18" s="198" t="s">
        <v>146</v>
      </c>
      <c r="T18" s="199" t="s">
        <v>146</v>
      </c>
      <c r="U18" s="188" t="s">
        <v>146</v>
      </c>
      <c r="V18" s="182"/>
    </row>
    <row r="19" spans="1:24" ht="11.1" customHeight="1">
      <c r="A19" s="195" t="s">
        <v>160</v>
      </c>
      <c r="B19" s="188" t="s">
        <v>146</v>
      </c>
      <c r="C19" s="198" t="s">
        <v>146</v>
      </c>
      <c r="D19" s="197" t="s">
        <v>147</v>
      </c>
      <c r="E19" s="198" t="s">
        <v>146</v>
      </c>
      <c r="F19" s="199" t="s">
        <v>146</v>
      </c>
      <c r="G19" s="190" t="s">
        <v>148</v>
      </c>
      <c r="H19" s="195" t="s">
        <v>160</v>
      </c>
      <c r="I19" s="191">
        <v>74</v>
      </c>
      <c r="J19" s="200">
        <v>74</v>
      </c>
      <c r="K19" s="197" t="s">
        <v>147</v>
      </c>
      <c r="L19" s="198" t="s">
        <v>146</v>
      </c>
      <c r="M19" s="199" t="s">
        <v>146</v>
      </c>
      <c r="N19" s="188" t="s">
        <v>146</v>
      </c>
      <c r="O19" s="201" t="s">
        <v>160</v>
      </c>
      <c r="P19" s="191">
        <v>74</v>
      </c>
      <c r="Q19" s="200">
        <v>74</v>
      </c>
      <c r="R19" s="197" t="s">
        <v>147</v>
      </c>
      <c r="S19" s="198" t="s">
        <v>146</v>
      </c>
      <c r="T19" s="199" t="s">
        <v>146</v>
      </c>
      <c r="U19" s="188" t="s">
        <v>146</v>
      </c>
      <c r="V19" s="182"/>
    </row>
    <row r="20" spans="1:24" ht="11.1" customHeight="1">
      <c r="A20" s="195" t="s">
        <v>161</v>
      </c>
      <c r="B20" s="188" t="s">
        <v>146</v>
      </c>
      <c r="C20" s="198" t="s">
        <v>146</v>
      </c>
      <c r="D20" s="197" t="s">
        <v>147</v>
      </c>
      <c r="E20" s="198" t="s">
        <v>146</v>
      </c>
      <c r="F20" s="199" t="s">
        <v>146</v>
      </c>
      <c r="G20" s="190" t="s">
        <v>148</v>
      </c>
      <c r="H20" s="195" t="s">
        <v>161</v>
      </c>
      <c r="I20" s="191">
        <v>74</v>
      </c>
      <c r="J20" s="200">
        <v>74</v>
      </c>
      <c r="K20" s="197" t="s">
        <v>147</v>
      </c>
      <c r="L20" s="198" t="s">
        <v>146</v>
      </c>
      <c r="M20" s="199" t="s">
        <v>146</v>
      </c>
      <c r="N20" s="188" t="s">
        <v>146</v>
      </c>
      <c r="O20" s="201" t="s">
        <v>161</v>
      </c>
      <c r="P20" s="191">
        <v>74</v>
      </c>
      <c r="Q20" s="200">
        <v>74</v>
      </c>
      <c r="R20" s="197" t="s">
        <v>147</v>
      </c>
      <c r="S20" s="198" t="s">
        <v>146</v>
      </c>
      <c r="T20" s="199" t="s">
        <v>146</v>
      </c>
      <c r="U20" s="188" t="s">
        <v>146</v>
      </c>
      <c r="V20" s="182"/>
    </row>
    <row r="21" spans="1:24" ht="11.1" customHeight="1">
      <c r="A21" s="195" t="s">
        <v>162</v>
      </c>
      <c r="B21" s="188" t="s">
        <v>146</v>
      </c>
      <c r="C21" s="198" t="s">
        <v>146</v>
      </c>
      <c r="D21" s="197" t="s">
        <v>147</v>
      </c>
      <c r="E21" s="198" t="s">
        <v>146</v>
      </c>
      <c r="F21" s="199" t="s">
        <v>146</v>
      </c>
      <c r="G21" s="190" t="s">
        <v>148</v>
      </c>
      <c r="H21" s="195" t="s">
        <v>162</v>
      </c>
      <c r="I21" s="191">
        <v>74</v>
      </c>
      <c r="J21" s="200">
        <v>74</v>
      </c>
      <c r="K21" s="197" t="s">
        <v>147</v>
      </c>
      <c r="L21" s="198" t="s">
        <v>146</v>
      </c>
      <c r="M21" s="199" t="s">
        <v>146</v>
      </c>
      <c r="N21" s="188" t="s">
        <v>146</v>
      </c>
      <c r="O21" s="201" t="s">
        <v>162</v>
      </c>
      <c r="P21" s="191">
        <v>74</v>
      </c>
      <c r="Q21" s="200">
        <v>74</v>
      </c>
      <c r="R21" s="197" t="s">
        <v>147</v>
      </c>
      <c r="S21" s="198" t="s">
        <v>146</v>
      </c>
      <c r="T21" s="199" t="s">
        <v>146</v>
      </c>
      <c r="U21" s="188" t="s">
        <v>146</v>
      </c>
      <c r="V21" s="182"/>
    </row>
    <row r="22" spans="1:24" ht="11.1" customHeight="1">
      <c r="A22" s="201" t="s">
        <v>163</v>
      </c>
      <c r="B22" s="188" t="s">
        <v>146</v>
      </c>
      <c r="C22" s="198" t="s">
        <v>146</v>
      </c>
      <c r="D22" s="197" t="s">
        <v>147</v>
      </c>
      <c r="E22" s="198" t="s">
        <v>146</v>
      </c>
      <c r="F22" s="199" t="s">
        <v>146</v>
      </c>
      <c r="G22" s="190" t="s">
        <v>148</v>
      </c>
      <c r="H22" s="201" t="s">
        <v>163</v>
      </c>
      <c r="I22" s="191">
        <v>74</v>
      </c>
      <c r="J22" s="200">
        <v>74</v>
      </c>
      <c r="K22" s="197" t="s">
        <v>147</v>
      </c>
      <c r="L22" s="198" t="s">
        <v>146</v>
      </c>
      <c r="M22" s="199" t="s">
        <v>146</v>
      </c>
      <c r="N22" s="188" t="s">
        <v>146</v>
      </c>
      <c r="O22" s="201" t="s">
        <v>163</v>
      </c>
      <c r="P22" s="191">
        <v>74</v>
      </c>
      <c r="Q22" s="200">
        <v>74</v>
      </c>
      <c r="R22" s="197" t="s">
        <v>147</v>
      </c>
      <c r="S22" s="198" t="s">
        <v>146</v>
      </c>
      <c r="T22" s="199" t="s">
        <v>146</v>
      </c>
      <c r="U22" s="188" t="s">
        <v>146</v>
      </c>
      <c r="V22" s="182"/>
      <c r="W22" s="288">
        <v>46308</v>
      </c>
      <c r="X22" s="290" t="s">
        <v>369</v>
      </c>
    </row>
    <row r="23" spans="1:24" ht="11.1" customHeight="1">
      <c r="A23" s="195" t="s">
        <v>164</v>
      </c>
      <c r="B23" s="188" t="s">
        <v>146</v>
      </c>
      <c r="C23" s="198" t="s">
        <v>146</v>
      </c>
      <c r="D23" s="197" t="s">
        <v>147</v>
      </c>
      <c r="E23" s="198" t="s">
        <v>146</v>
      </c>
      <c r="F23" s="199" t="s">
        <v>146</v>
      </c>
      <c r="G23" s="190" t="s">
        <v>148</v>
      </c>
      <c r="H23" s="195" t="s">
        <v>164</v>
      </c>
      <c r="I23" s="191">
        <v>74</v>
      </c>
      <c r="J23" s="200">
        <v>74</v>
      </c>
      <c r="K23" s="197" t="s">
        <v>147</v>
      </c>
      <c r="L23" s="198" t="s">
        <v>146</v>
      </c>
      <c r="M23" s="199" t="s">
        <v>146</v>
      </c>
      <c r="N23" s="188" t="s">
        <v>146</v>
      </c>
      <c r="O23" s="201" t="s">
        <v>164</v>
      </c>
      <c r="P23" s="191">
        <v>74</v>
      </c>
      <c r="Q23" s="200">
        <v>74</v>
      </c>
      <c r="R23" s="197" t="s">
        <v>147</v>
      </c>
      <c r="S23" s="198" t="s">
        <v>146</v>
      </c>
      <c r="T23" s="199" t="s">
        <v>146</v>
      </c>
      <c r="U23" s="188" t="s">
        <v>146</v>
      </c>
      <c r="V23" s="182"/>
    </row>
    <row r="24" spans="1:24" ht="11.1" customHeight="1">
      <c r="A24" s="201" t="s">
        <v>165</v>
      </c>
      <c r="B24" s="188" t="s">
        <v>146</v>
      </c>
      <c r="C24" s="198" t="s">
        <v>146</v>
      </c>
      <c r="D24" s="197" t="s">
        <v>147</v>
      </c>
      <c r="E24" s="198" t="s">
        <v>146</v>
      </c>
      <c r="F24" s="199" t="s">
        <v>146</v>
      </c>
      <c r="G24" s="190" t="s">
        <v>148</v>
      </c>
      <c r="H24" s="201" t="s">
        <v>165</v>
      </c>
      <c r="I24" s="191">
        <v>74</v>
      </c>
      <c r="J24" s="200">
        <v>74</v>
      </c>
      <c r="K24" s="197" t="s">
        <v>147</v>
      </c>
      <c r="L24" s="198" t="s">
        <v>146</v>
      </c>
      <c r="M24" s="199" t="s">
        <v>146</v>
      </c>
      <c r="N24" s="188" t="s">
        <v>146</v>
      </c>
      <c r="O24" s="201" t="s">
        <v>165</v>
      </c>
      <c r="P24" s="191">
        <v>74</v>
      </c>
      <c r="Q24" s="200">
        <v>74</v>
      </c>
      <c r="R24" s="197" t="s">
        <v>147</v>
      </c>
      <c r="S24" s="198" t="s">
        <v>146</v>
      </c>
      <c r="T24" s="199" t="s">
        <v>146</v>
      </c>
      <c r="U24" s="188" t="s">
        <v>146</v>
      </c>
      <c r="V24" s="182"/>
    </row>
    <row r="25" spans="1:24" ht="10.9" customHeight="1">
      <c r="A25" s="201" t="s">
        <v>166</v>
      </c>
      <c r="B25" s="188" t="s">
        <v>146</v>
      </c>
      <c r="C25" s="198" t="s">
        <v>146</v>
      </c>
      <c r="D25" s="197" t="s">
        <v>147</v>
      </c>
      <c r="E25" s="198" t="s">
        <v>146</v>
      </c>
      <c r="F25" s="199" t="s">
        <v>146</v>
      </c>
      <c r="G25" s="190" t="s">
        <v>148</v>
      </c>
      <c r="H25" s="201" t="s">
        <v>166</v>
      </c>
      <c r="I25" s="191">
        <v>74</v>
      </c>
      <c r="J25" s="200">
        <v>74</v>
      </c>
      <c r="K25" s="197" t="s">
        <v>147</v>
      </c>
      <c r="L25" s="198" t="s">
        <v>146</v>
      </c>
      <c r="M25" s="199" t="s">
        <v>146</v>
      </c>
      <c r="N25" s="188" t="s">
        <v>146</v>
      </c>
      <c r="O25" s="201" t="s">
        <v>166</v>
      </c>
      <c r="P25" s="191">
        <v>74</v>
      </c>
      <c r="Q25" s="200">
        <v>74</v>
      </c>
      <c r="R25" s="197" t="s">
        <v>147</v>
      </c>
      <c r="S25" s="198" t="s">
        <v>146</v>
      </c>
      <c r="T25" s="199" t="s">
        <v>146</v>
      </c>
      <c r="U25" s="188" t="s">
        <v>146</v>
      </c>
      <c r="V25" s="182"/>
    </row>
    <row r="26" spans="1:24" ht="10.9" customHeight="1">
      <c r="A26" s="201" t="s">
        <v>167</v>
      </c>
      <c r="B26" s="188" t="s">
        <v>146</v>
      </c>
      <c r="C26" s="198" t="s">
        <v>146</v>
      </c>
      <c r="D26" s="197" t="s">
        <v>147</v>
      </c>
      <c r="E26" s="198" t="s">
        <v>146</v>
      </c>
      <c r="F26" s="199" t="s">
        <v>146</v>
      </c>
      <c r="G26" s="190" t="s">
        <v>148</v>
      </c>
      <c r="H26" s="201" t="s">
        <v>167</v>
      </c>
      <c r="I26" s="191">
        <v>74</v>
      </c>
      <c r="J26" s="200">
        <v>74</v>
      </c>
      <c r="K26" s="197" t="s">
        <v>147</v>
      </c>
      <c r="L26" s="198" t="s">
        <v>146</v>
      </c>
      <c r="M26" s="199" t="s">
        <v>146</v>
      </c>
      <c r="N26" s="188" t="s">
        <v>146</v>
      </c>
      <c r="O26" s="201" t="s">
        <v>167</v>
      </c>
      <c r="P26" s="191">
        <v>74</v>
      </c>
      <c r="Q26" s="200">
        <v>74</v>
      </c>
      <c r="R26" s="197" t="s">
        <v>147</v>
      </c>
      <c r="S26" s="198" t="s">
        <v>146</v>
      </c>
      <c r="T26" s="199" t="s">
        <v>146</v>
      </c>
      <c r="U26" s="188" t="s">
        <v>146</v>
      </c>
      <c r="V26" s="182"/>
    </row>
    <row r="27" spans="1:24" ht="10.9" customHeight="1">
      <c r="A27" s="201" t="s">
        <v>168</v>
      </c>
      <c r="B27" s="188" t="s">
        <v>146</v>
      </c>
      <c r="C27" s="198" t="s">
        <v>146</v>
      </c>
      <c r="D27" s="197" t="s">
        <v>147</v>
      </c>
      <c r="E27" s="198" t="s">
        <v>146</v>
      </c>
      <c r="F27" s="199" t="s">
        <v>146</v>
      </c>
      <c r="G27" s="190" t="s">
        <v>148</v>
      </c>
      <c r="H27" s="201" t="s">
        <v>168</v>
      </c>
      <c r="I27" s="191">
        <v>74</v>
      </c>
      <c r="J27" s="200">
        <v>74</v>
      </c>
      <c r="K27" s="197" t="s">
        <v>147</v>
      </c>
      <c r="L27" s="198" t="s">
        <v>146</v>
      </c>
      <c r="M27" s="199" t="s">
        <v>146</v>
      </c>
      <c r="N27" s="188" t="s">
        <v>146</v>
      </c>
      <c r="O27" s="201" t="s">
        <v>168</v>
      </c>
      <c r="P27" s="191">
        <v>74</v>
      </c>
      <c r="Q27" s="200">
        <v>74</v>
      </c>
      <c r="R27" s="197" t="s">
        <v>147</v>
      </c>
      <c r="S27" s="198" t="s">
        <v>146</v>
      </c>
      <c r="T27" s="199" t="s">
        <v>146</v>
      </c>
      <c r="U27" s="188" t="s">
        <v>146</v>
      </c>
      <c r="V27" s="182"/>
      <c r="W27" s="288">
        <v>46280</v>
      </c>
      <c r="X27" s="290" t="s">
        <v>330</v>
      </c>
    </row>
    <row r="28" spans="1:24" ht="10.9" customHeight="1">
      <c r="A28" s="201" t="s">
        <v>170</v>
      </c>
      <c r="B28" s="188" t="s">
        <v>146</v>
      </c>
      <c r="C28" s="198" t="s">
        <v>146</v>
      </c>
      <c r="D28" s="197" t="s">
        <v>147</v>
      </c>
      <c r="E28" s="198" t="s">
        <v>146</v>
      </c>
      <c r="F28" s="199" t="s">
        <v>146</v>
      </c>
      <c r="G28" s="190" t="s">
        <v>148</v>
      </c>
      <c r="H28" s="201" t="s">
        <v>170</v>
      </c>
      <c r="I28" s="191">
        <v>74</v>
      </c>
      <c r="J28" s="200">
        <v>74</v>
      </c>
      <c r="K28" s="197" t="s">
        <v>147</v>
      </c>
      <c r="L28" s="198" t="s">
        <v>146</v>
      </c>
      <c r="M28" s="199" t="s">
        <v>146</v>
      </c>
      <c r="N28" s="188" t="s">
        <v>146</v>
      </c>
      <c r="O28" s="201" t="s">
        <v>170</v>
      </c>
      <c r="P28" s="191">
        <v>74</v>
      </c>
      <c r="Q28" s="200">
        <v>74</v>
      </c>
      <c r="R28" s="197" t="s">
        <v>147</v>
      </c>
      <c r="S28" s="198" t="s">
        <v>146</v>
      </c>
      <c r="T28" s="199" t="s">
        <v>146</v>
      </c>
      <c r="U28" s="188" t="s">
        <v>146</v>
      </c>
      <c r="V28" s="182"/>
    </row>
    <row r="29" spans="1:24" ht="10.9" customHeight="1">
      <c r="A29" s="201" t="s">
        <v>171</v>
      </c>
      <c r="B29" s="188" t="s">
        <v>146</v>
      </c>
      <c r="C29" s="198" t="s">
        <v>146</v>
      </c>
      <c r="D29" s="197" t="s">
        <v>147</v>
      </c>
      <c r="E29" s="198" t="s">
        <v>146</v>
      </c>
      <c r="F29" s="199" t="s">
        <v>146</v>
      </c>
      <c r="G29" s="190" t="s">
        <v>148</v>
      </c>
      <c r="H29" s="201" t="s">
        <v>171</v>
      </c>
      <c r="I29" s="191">
        <v>74</v>
      </c>
      <c r="J29" s="200">
        <v>74</v>
      </c>
      <c r="K29" s="197" t="s">
        <v>147</v>
      </c>
      <c r="L29" s="198" t="s">
        <v>146</v>
      </c>
      <c r="M29" s="199" t="s">
        <v>146</v>
      </c>
      <c r="N29" s="188" t="s">
        <v>146</v>
      </c>
      <c r="O29" s="201" t="s">
        <v>171</v>
      </c>
      <c r="P29" s="191">
        <v>74</v>
      </c>
      <c r="Q29" s="200">
        <v>74</v>
      </c>
      <c r="R29" s="197" t="s">
        <v>147</v>
      </c>
      <c r="S29" s="198" t="s">
        <v>146</v>
      </c>
      <c r="T29" s="199" t="s">
        <v>146</v>
      </c>
      <c r="U29" s="188" t="s">
        <v>146</v>
      </c>
      <c r="V29" s="182"/>
    </row>
    <row r="30" spans="1:24" ht="10.9" customHeight="1">
      <c r="A30" s="201" t="s">
        <v>173</v>
      </c>
      <c r="B30" s="188" t="s">
        <v>146</v>
      </c>
      <c r="C30" s="198" t="s">
        <v>146</v>
      </c>
      <c r="D30" s="197" t="s">
        <v>147</v>
      </c>
      <c r="E30" s="198" t="s">
        <v>146</v>
      </c>
      <c r="F30" s="199" t="s">
        <v>146</v>
      </c>
      <c r="G30" s="190" t="s">
        <v>148</v>
      </c>
      <c r="H30" s="201" t="s">
        <v>173</v>
      </c>
      <c r="I30" s="191">
        <v>74</v>
      </c>
      <c r="J30" s="200">
        <v>74</v>
      </c>
      <c r="K30" s="197" t="s">
        <v>147</v>
      </c>
      <c r="L30" s="198" t="s">
        <v>146</v>
      </c>
      <c r="M30" s="199" t="s">
        <v>146</v>
      </c>
      <c r="N30" s="188" t="s">
        <v>146</v>
      </c>
      <c r="O30" s="201" t="s">
        <v>173</v>
      </c>
      <c r="P30" s="191">
        <v>74</v>
      </c>
      <c r="Q30" s="200">
        <v>74</v>
      </c>
      <c r="R30" s="197" t="s">
        <v>147</v>
      </c>
      <c r="S30" s="198" t="s">
        <v>146</v>
      </c>
      <c r="T30" s="199" t="s">
        <v>146</v>
      </c>
      <c r="U30" s="188" t="s">
        <v>146</v>
      </c>
      <c r="V30" s="182"/>
    </row>
    <row r="31" spans="1:24" ht="10.9" customHeight="1">
      <c r="A31" s="201" t="s">
        <v>174</v>
      </c>
      <c r="B31" s="188" t="s">
        <v>146</v>
      </c>
      <c r="C31" s="198" t="s">
        <v>146</v>
      </c>
      <c r="D31" s="197" t="s">
        <v>147</v>
      </c>
      <c r="E31" s="198" t="s">
        <v>146</v>
      </c>
      <c r="F31" s="199" t="s">
        <v>146</v>
      </c>
      <c r="G31" s="190" t="s">
        <v>148</v>
      </c>
      <c r="H31" s="201" t="s">
        <v>174</v>
      </c>
      <c r="I31" s="191">
        <v>74</v>
      </c>
      <c r="J31" s="200">
        <v>74</v>
      </c>
      <c r="K31" s="197" t="s">
        <v>147</v>
      </c>
      <c r="L31" s="198" t="s">
        <v>146</v>
      </c>
      <c r="M31" s="199" t="s">
        <v>146</v>
      </c>
      <c r="N31" s="188" t="s">
        <v>146</v>
      </c>
      <c r="O31" s="201" t="s">
        <v>174</v>
      </c>
      <c r="P31" s="191">
        <v>74</v>
      </c>
      <c r="Q31" s="200">
        <v>74</v>
      </c>
      <c r="R31" s="197" t="s">
        <v>147</v>
      </c>
      <c r="S31" s="198" t="s">
        <v>146</v>
      </c>
      <c r="T31" s="199" t="s">
        <v>146</v>
      </c>
      <c r="U31" s="188" t="s">
        <v>146</v>
      </c>
      <c r="V31" s="182"/>
    </row>
    <row r="32" spans="1:24" ht="10.9" customHeight="1">
      <c r="A32" s="201" t="s">
        <v>175</v>
      </c>
      <c r="B32" s="188" t="s">
        <v>146</v>
      </c>
      <c r="C32" s="198" t="s">
        <v>146</v>
      </c>
      <c r="D32" s="197" t="s">
        <v>147</v>
      </c>
      <c r="E32" s="198" t="s">
        <v>146</v>
      </c>
      <c r="F32" s="199" t="s">
        <v>146</v>
      </c>
      <c r="G32" s="190" t="s">
        <v>148</v>
      </c>
      <c r="H32" s="201" t="s">
        <v>175</v>
      </c>
      <c r="I32" s="191">
        <v>74</v>
      </c>
      <c r="J32" s="200">
        <v>74</v>
      </c>
      <c r="K32" s="197" t="s">
        <v>147</v>
      </c>
      <c r="L32" s="198" t="s">
        <v>146</v>
      </c>
      <c r="M32" s="199" t="s">
        <v>146</v>
      </c>
      <c r="N32" s="188" t="s">
        <v>146</v>
      </c>
      <c r="O32" s="201" t="s">
        <v>175</v>
      </c>
      <c r="P32" s="191">
        <v>74</v>
      </c>
      <c r="Q32" s="200">
        <v>74</v>
      </c>
      <c r="R32" s="197" t="s">
        <v>147</v>
      </c>
      <c r="S32" s="198" t="s">
        <v>146</v>
      </c>
      <c r="T32" s="199" t="s">
        <v>146</v>
      </c>
      <c r="U32" s="188" t="s">
        <v>146</v>
      </c>
      <c r="V32" s="182"/>
      <c r="W32" s="288">
        <v>46245</v>
      </c>
      <c r="X32" s="290" t="s">
        <v>329</v>
      </c>
    </row>
    <row r="33" spans="1:24" ht="10.9" customHeight="1">
      <c r="A33" s="201" t="s">
        <v>176</v>
      </c>
      <c r="B33" s="188" t="s">
        <v>146</v>
      </c>
      <c r="C33" s="198" t="s">
        <v>146</v>
      </c>
      <c r="D33" s="197" t="s">
        <v>147</v>
      </c>
      <c r="E33" s="198" t="s">
        <v>146</v>
      </c>
      <c r="F33" s="199" t="s">
        <v>146</v>
      </c>
      <c r="G33" s="190" t="s">
        <v>148</v>
      </c>
      <c r="H33" s="201" t="s">
        <v>176</v>
      </c>
      <c r="I33" s="191">
        <v>74</v>
      </c>
      <c r="J33" s="200">
        <v>74</v>
      </c>
      <c r="K33" s="197" t="s">
        <v>147</v>
      </c>
      <c r="L33" s="198" t="s">
        <v>146</v>
      </c>
      <c r="M33" s="199" t="s">
        <v>146</v>
      </c>
      <c r="N33" s="188" t="s">
        <v>146</v>
      </c>
      <c r="O33" s="201" t="s">
        <v>176</v>
      </c>
      <c r="P33" s="191">
        <v>74</v>
      </c>
      <c r="Q33" s="200">
        <v>74</v>
      </c>
      <c r="R33" s="197" t="s">
        <v>147</v>
      </c>
      <c r="S33" s="198" t="s">
        <v>146</v>
      </c>
      <c r="T33" s="199" t="s">
        <v>146</v>
      </c>
      <c r="U33" s="188" t="s">
        <v>146</v>
      </c>
      <c r="V33" s="182"/>
    </row>
    <row r="34" spans="1:24" ht="10.9" customHeight="1">
      <c r="A34" s="195" t="s">
        <v>177</v>
      </c>
      <c r="B34" s="188" t="s">
        <v>146</v>
      </c>
      <c r="C34" s="198" t="s">
        <v>146</v>
      </c>
      <c r="D34" s="197" t="s">
        <v>147</v>
      </c>
      <c r="E34" s="198" t="s">
        <v>146</v>
      </c>
      <c r="F34" s="199" t="s">
        <v>146</v>
      </c>
      <c r="G34" s="190" t="s">
        <v>148</v>
      </c>
      <c r="H34" s="195" t="s">
        <v>177</v>
      </c>
      <c r="I34" s="191">
        <v>74</v>
      </c>
      <c r="J34" s="200">
        <v>74</v>
      </c>
      <c r="K34" s="197" t="s">
        <v>147</v>
      </c>
      <c r="L34" s="198" t="s">
        <v>146</v>
      </c>
      <c r="M34" s="199" t="s">
        <v>146</v>
      </c>
      <c r="N34" s="188" t="s">
        <v>146</v>
      </c>
      <c r="O34" s="201" t="s">
        <v>177</v>
      </c>
      <c r="P34" s="191">
        <v>74</v>
      </c>
      <c r="Q34" s="200">
        <v>74</v>
      </c>
      <c r="R34" s="197" t="s">
        <v>147</v>
      </c>
      <c r="S34" s="198" t="s">
        <v>146</v>
      </c>
      <c r="T34" s="199" t="s">
        <v>146</v>
      </c>
      <c r="U34" s="188" t="s">
        <v>146</v>
      </c>
      <c r="V34" s="182"/>
    </row>
    <row r="35" spans="1:24" ht="10.9" customHeight="1">
      <c r="A35" s="195" t="s">
        <v>178</v>
      </c>
      <c r="B35" s="188" t="s">
        <v>146</v>
      </c>
      <c r="C35" s="198" t="s">
        <v>146</v>
      </c>
      <c r="D35" s="197" t="s">
        <v>147</v>
      </c>
      <c r="E35" s="198" t="s">
        <v>146</v>
      </c>
      <c r="F35" s="199" t="s">
        <v>146</v>
      </c>
      <c r="G35" s="190" t="s">
        <v>148</v>
      </c>
      <c r="H35" s="195" t="s">
        <v>178</v>
      </c>
      <c r="I35" s="191">
        <v>74</v>
      </c>
      <c r="J35" s="200">
        <v>74</v>
      </c>
      <c r="K35" s="197" t="s">
        <v>147</v>
      </c>
      <c r="L35" s="198" t="s">
        <v>146</v>
      </c>
      <c r="M35" s="199" t="s">
        <v>146</v>
      </c>
      <c r="N35" s="188" t="s">
        <v>146</v>
      </c>
      <c r="O35" s="201" t="s">
        <v>178</v>
      </c>
      <c r="P35" s="191">
        <v>74</v>
      </c>
      <c r="Q35" s="200">
        <v>74</v>
      </c>
      <c r="R35" s="197" t="s">
        <v>147</v>
      </c>
      <c r="S35" s="198" t="s">
        <v>146</v>
      </c>
      <c r="T35" s="199" t="s">
        <v>146</v>
      </c>
      <c r="U35" s="188" t="s">
        <v>146</v>
      </c>
      <c r="V35" s="182"/>
    </row>
    <row r="36" spans="1:24" ht="10.9" customHeight="1">
      <c r="A36" s="195" t="s">
        <v>179</v>
      </c>
      <c r="B36" s="188" t="s">
        <v>146</v>
      </c>
      <c r="C36" s="198" t="s">
        <v>146</v>
      </c>
      <c r="D36" s="197" t="s">
        <v>147</v>
      </c>
      <c r="E36" s="198" t="s">
        <v>146</v>
      </c>
      <c r="F36" s="199" t="s">
        <v>146</v>
      </c>
      <c r="G36" s="190" t="s">
        <v>148</v>
      </c>
      <c r="H36" s="195" t="s">
        <v>179</v>
      </c>
      <c r="I36" s="191">
        <v>74</v>
      </c>
      <c r="J36" s="200">
        <v>74</v>
      </c>
      <c r="K36" s="197" t="s">
        <v>147</v>
      </c>
      <c r="L36" s="198" t="s">
        <v>146</v>
      </c>
      <c r="M36" s="199" t="s">
        <v>146</v>
      </c>
      <c r="N36" s="188" t="s">
        <v>146</v>
      </c>
      <c r="O36" s="201" t="s">
        <v>179</v>
      </c>
      <c r="P36" s="191">
        <v>74</v>
      </c>
      <c r="Q36" s="200">
        <v>74</v>
      </c>
      <c r="R36" s="197" t="s">
        <v>147</v>
      </c>
      <c r="S36" s="198" t="s">
        <v>146</v>
      </c>
      <c r="T36" s="199" t="s">
        <v>146</v>
      </c>
      <c r="U36" s="188" t="s">
        <v>146</v>
      </c>
      <c r="V36" s="182"/>
    </row>
    <row r="37" spans="1:24" ht="10.9" customHeight="1">
      <c r="A37" s="195" t="s">
        <v>180</v>
      </c>
      <c r="B37" s="188" t="s">
        <v>146</v>
      </c>
      <c r="C37" s="198" t="s">
        <v>146</v>
      </c>
      <c r="D37" s="197" t="s">
        <v>147</v>
      </c>
      <c r="E37" s="198" t="s">
        <v>146</v>
      </c>
      <c r="F37" s="199" t="s">
        <v>146</v>
      </c>
      <c r="G37" s="190" t="s">
        <v>148</v>
      </c>
      <c r="H37" s="195" t="s">
        <v>180</v>
      </c>
      <c r="I37" s="191">
        <v>74</v>
      </c>
      <c r="J37" s="200">
        <v>74</v>
      </c>
      <c r="K37" s="197" t="s">
        <v>147</v>
      </c>
      <c r="L37" s="198" t="s">
        <v>146</v>
      </c>
      <c r="M37" s="199" t="s">
        <v>146</v>
      </c>
      <c r="N37" s="188" t="s">
        <v>146</v>
      </c>
      <c r="O37" s="195" t="s">
        <v>180</v>
      </c>
      <c r="P37" s="191">
        <v>74</v>
      </c>
      <c r="Q37" s="200">
        <v>74</v>
      </c>
      <c r="R37" s="197" t="s">
        <v>147</v>
      </c>
      <c r="S37" s="198" t="s">
        <v>146</v>
      </c>
      <c r="T37" s="199" t="s">
        <v>146</v>
      </c>
      <c r="U37" s="188" t="s">
        <v>146</v>
      </c>
      <c r="V37" s="182"/>
      <c r="W37" s="288">
        <v>46218</v>
      </c>
      <c r="X37" s="290" t="s">
        <v>328</v>
      </c>
    </row>
    <row r="38" spans="1:24" ht="10.9" customHeight="1">
      <c r="A38" s="195" t="s">
        <v>181</v>
      </c>
      <c r="B38" s="188" t="s">
        <v>146</v>
      </c>
      <c r="C38" s="198" t="s">
        <v>146</v>
      </c>
      <c r="D38" s="197" t="s">
        <v>147</v>
      </c>
      <c r="E38" s="198" t="s">
        <v>146</v>
      </c>
      <c r="F38" s="199" t="s">
        <v>146</v>
      </c>
      <c r="G38" s="190" t="s">
        <v>148</v>
      </c>
      <c r="H38" s="195" t="s">
        <v>181</v>
      </c>
      <c r="I38" s="191">
        <v>74</v>
      </c>
      <c r="J38" s="200">
        <v>74</v>
      </c>
      <c r="K38" s="197" t="s">
        <v>147</v>
      </c>
      <c r="L38" s="198" t="s">
        <v>146</v>
      </c>
      <c r="M38" s="199" t="s">
        <v>146</v>
      </c>
      <c r="N38" s="188" t="s">
        <v>146</v>
      </c>
      <c r="O38" s="195" t="s">
        <v>181</v>
      </c>
      <c r="P38" s="191">
        <v>74</v>
      </c>
      <c r="Q38" s="200">
        <v>74</v>
      </c>
      <c r="R38" s="197" t="s">
        <v>147</v>
      </c>
      <c r="S38" s="198" t="s">
        <v>146</v>
      </c>
      <c r="T38" s="199" t="s">
        <v>146</v>
      </c>
      <c r="U38" s="188" t="s">
        <v>146</v>
      </c>
      <c r="V38" s="182"/>
    </row>
    <row r="39" spans="1:24" ht="10.9" customHeight="1">
      <c r="A39" s="195" t="s">
        <v>182</v>
      </c>
      <c r="B39" s="188" t="s">
        <v>146</v>
      </c>
      <c r="C39" s="198" t="s">
        <v>146</v>
      </c>
      <c r="D39" s="197" t="s">
        <v>147</v>
      </c>
      <c r="E39" s="198" t="s">
        <v>146</v>
      </c>
      <c r="F39" s="199" t="s">
        <v>146</v>
      </c>
      <c r="G39" s="190" t="s">
        <v>148</v>
      </c>
      <c r="H39" s="195" t="s">
        <v>182</v>
      </c>
      <c r="I39" s="191">
        <v>74</v>
      </c>
      <c r="J39" s="200">
        <v>74</v>
      </c>
      <c r="K39" s="197" t="s">
        <v>147</v>
      </c>
      <c r="L39" s="198" t="s">
        <v>146</v>
      </c>
      <c r="M39" s="199" t="s">
        <v>146</v>
      </c>
      <c r="N39" s="188" t="s">
        <v>146</v>
      </c>
      <c r="O39" s="195" t="s">
        <v>182</v>
      </c>
      <c r="P39" s="191">
        <v>74</v>
      </c>
      <c r="Q39" s="200">
        <v>74</v>
      </c>
      <c r="R39" s="197" t="s">
        <v>147</v>
      </c>
      <c r="S39" s="198" t="s">
        <v>146</v>
      </c>
      <c r="T39" s="199" t="s">
        <v>146</v>
      </c>
      <c r="U39" s="188" t="s">
        <v>146</v>
      </c>
      <c r="V39" s="182"/>
    </row>
    <row r="40" spans="1:24" ht="10.9" customHeight="1">
      <c r="A40" s="195" t="s">
        <v>183</v>
      </c>
      <c r="B40" s="188" t="s">
        <v>146</v>
      </c>
      <c r="C40" s="198" t="s">
        <v>146</v>
      </c>
      <c r="D40" s="197" t="s">
        <v>147</v>
      </c>
      <c r="E40" s="198" t="s">
        <v>146</v>
      </c>
      <c r="F40" s="199" t="s">
        <v>146</v>
      </c>
      <c r="G40" s="190" t="s">
        <v>148</v>
      </c>
      <c r="H40" s="195" t="s">
        <v>183</v>
      </c>
      <c r="I40" s="191">
        <v>74</v>
      </c>
      <c r="J40" s="200">
        <v>74</v>
      </c>
      <c r="K40" s="197" t="s">
        <v>147</v>
      </c>
      <c r="L40" s="198" t="s">
        <v>146</v>
      </c>
      <c r="M40" s="199" t="s">
        <v>146</v>
      </c>
      <c r="N40" s="208" t="s">
        <v>146</v>
      </c>
      <c r="O40" s="195" t="s">
        <v>183</v>
      </c>
      <c r="P40" s="191">
        <v>74</v>
      </c>
      <c r="Q40" s="200">
        <v>74</v>
      </c>
      <c r="R40" s="197" t="s">
        <v>147</v>
      </c>
      <c r="S40" s="207"/>
      <c r="T40" s="205"/>
      <c r="U40" s="206"/>
      <c r="V40" s="182"/>
    </row>
    <row r="41" spans="1:24" ht="10.9" customHeight="1">
      <c r="A41" s="195" t="s">
        <v>184</v>
      </c>
      <c r="B41" s="188" t="s">
        <v>146</v>
      </c>
      <c r="C41" s="198" t="s">
        <v>146</v>
      </c>
      <c r="D41" s="197" t="s">
        <v>147</v>
      </c>
      <c r="E41" s="207"/>
      <c r="F41" s="199" t="s">
        <v>146</v>
      </c>
      <c r="G41" s="190" t="s">
        <v>148</v>
      </c>
      <c r="H41" s="195" t="s">
        <v>184</v>
      </c>
      <c r="I41" s="191">
        <v>74</v>
      </c>
      <c r="J41" s="200">
        <v>74</v>
      </c>
      <c r="K41" s="197" t="s">
        <v>147</v>
      </c>
      <c r="L41" s="207"/>
      <c r="M41" s="209"/>
      <c r="N41" s="303" t="s">
        <v>185</v>
      </c>
      <c r="O41" s="195" t="s">
        <v>184</v>
      </c>
      <c r="P41" s="191">
        <v>74</v>
      </c>
      <c r="Q41" s="200">
        <v>74</v>
      </c>
      <c r="R41" s="197" t="s">
        <v>147</v>
      </c>
      <c r="S41" s="207"/>
      <c r="T41" s="205"/>
      <c r="U41" s="206"/>
      <c r="V41" s="182"/>
    </row>
    <row r="42" spans="1:24" ht="12" customHeight="1">
      <c r="A42" s="212"/>
      <c r="B42" s="187" t="s">
        <v>187</v>
      </c>
      <c r="C42" s="213" t="s">
        <v>188</v>
      </c>
      <c r="D42" s="214" t="s">
        <v>142</v>
      </c>
      <c r="E42" s="213" t="s">
        <v>143</v>
      </c>
      <c r="F42" s="214" t="s">
        <v>144</v>
      </c>
      <c r="G42" s="187" t="s">
        <v>145</v>
      </c>
      <c r="H42" s="212"/>
      <c r="I42" s="187" t="s">
        <v>187</v>
      </c>
      <c r="J42" s="213" t="s">
        <v>188</v>
      </c>
      <c r="K42" s="214" t="s">
        <v>142</v>
      </c>
      <c r="L42" s="213" t="s">
        <v>143</v>
      </c>
      <c r="M42" s="214" t="s">
        <v>144</v>
      </c>
      <c r="N42" s="215" t="s">
        <v>145</v>
      </c>
      <c r="O42" s="212"/>
      <c r="P42" s="187" t="s">
        <v>187</v>
      </c>
      <c r="Q42" s="213" t="s">
        <v>188</v>
      </c>
      <c r="R42" s="214" t="s">
        <v>142</v>
      </c>
      <c r="S42" s="213" t="s">
        <v>143</v>
      </c>
      <c r="T42" s="214" t="s">
        <v>144</v>
      </c>
      <c r="U42" s="187" t="s">
        <v>145</v>
      </c>
      <c r="V42" s="182"/>
    </row>
    <row r="43" spans="1:24" ht="12" customHeight="1">
      <c r="A43" s="186"/>
      <c r="B43" s="186"/>
      <c r="C43" s="186"/>
      <c r="D43" s="186"/>
      <c r="E43" s="186"/>
      <c r="F43" s="186"/>
      <c r="H43" s="186"/>
      <c r="I43" s="186"/>
      <c r="J43" s="186"/>
      <c r="K43" s="186"/>
      <c r="L43" s="186"/>
      <c r="M43" s="186"/>
      <c r="O43" s="186"/>
      <c r="P43" s="186"/>
      <c r="Q43" s="186"/>
      <c r="R43" s="186"/>
      <c r="S43" s="186"/>
      <c r="T43" s="186"/>
    </row>
    <row r="44" spans="1:24" ht="12.75" customHeight="1"/>
    <row r="45" spans="1:24" ht="3.75" customHeight="1">
      <c r="G45" s="216"/>
      <c r="N45" s="216"/>
      <c r="U45" s="216"/>
    </row>
    <row r="46" spans="1:24">
      <c r="A46" s="185"/>
      <c r="B46" s="308" t="s">
        <v>129</v>
      </c>
      <c r="C46" s="308"/>
      <c r="D46" s="308"/>
      <c r="E46" s="308"/>
      <c r="F46" s="308"/>
      <c r="G46" s="308"/>
      <c r="I46" s="308" t="s">
        <v>129</v>
      </c>
      <c r="J46" s="308"/>
      <c r="K46" s="308"/>
      <c r="L46" s="308"/>
      <c r="M46" s="308"/>
      <c r="N46" s="308"/>
      <c r="O46" s="185"/>
      <c r="P46" s="309" t="s">
        <v>129</v>
      </c>
      <c r="Q46" s="309"/>
      <c r="R46" s="309"/>
      <c r="S46" s="309"/>
      <c r="T46" s="309"/>
    </row>
    <row r="47" spans="1:24">
      <c r="A47" s="185"/>
      <c r="B47" s="310" t="s">
        <v>133</v>
      </c>
      <c r="C47" s="310"/>
      <c r="D47" s="310"/>
      <c r="E47" s="310"/>
      <c r="F47" s="310"/>
      <c r="G47" s="310"/>
      <c r="H47" s="185"/>
      <c r="I47" s="310" t="s">
        <v>134</v>
      </c>
      <c r="J47" s="310"/>
      <c r="K47" s="310"/>
      <c r="L47" s="310"/>
      <c r="M47" s="310"/>
      <c r="N47" s="310"/>
      <c r="O47" s="185"/>
      <c r="P47" s="310" t="s">
        <v>135</v>
      </c>
      <c r="Q47" s="310"/>
      <c r="R47" s="310"/>
      <c r="S47" s="310"/>
      <c r="T47" s="310"/>
    </row>
    <row r="48" spans="1:24">
      <c r="A48" s="184"/>
      <c r="B48" s="187" t="s">
        <v>136</v>
      </c>
      <c r="C48" s="187" t="s">
        <v>137</v>
      </c>
      <c r="D48" s="187" t="s">
        <v>142</v>
      </c>
      <c r="E48" s="187" t="s">
        <v>143</v>
      </c>
      <c r="F48" s="187" t="s">
        <v>144</v>
      </c>
      <c r="G48" s="187" t="s">
        <v>145</v>
      </c>
      <c r="H48" s="184"/>
      <c r="I48" s="187" t="s">
        <v>136</v>
      </c>
      <c r="J48" s="187" t="s">
        <v>137</v>
      </c>
      <c r="K48" s="187" t="s">
        <v>142</v>
      </c>
      <c r="L48" s="187" t="s">
        <v>143</v>
      </c>
      <c r="M48" s="187" t="s">
        <v>144</v>
      </c>
      <c r="N48" s="187" t="s">
        <v>145</v>
      </c>
      <c r="O48" s="184"/>
      <c r="P48" s="187" t="s">
        <v>136</v>
      </c>
      <c r="Q48" s="187" t="s">
        <v>137</v>
      </c>
      <c r="R48" s="187" t="s">
        <v>142</v>
      </c>
      <c r="S48" s="187" t="s">
        <v>143</v>
      </c>
      <c r="T48" s="187" t="s">
        <v>144</v>
      </c>
    </row>
    <row r="49" spans="1:20">
      <c r="B49" s="188" t="s">
        <v>146</v>
      </c>
      <c r="C49" s="188" t="s">
        <v>146</v>
      </c>
      <c r="D49" s="189" t="s">
        <v>147</v>
      </c>
      <c r="E49" s="188" t="s">
        <v>146</v>
      </c>
      <c r="F49" s="188" t="s">
        <v>146</v>
      </c>
      <c r="G49" s="190" t="s">
        <v>148</v>
      </c>
      <c r="H49" s="185"/>
      <c r="I49" s="190" t="s">
        <v>148</v>
      </c>
      <c r="J49" s="188" t="s">
        <v>146</v>
      </c>
      <c r="K49" s="188" t="s">
        <v>146</v>
      </c>
      <c r="L49" s="189" t="s">
        <v>147</v>
      </c>
      <c r="M49" s="188" t="s">
        <v>146</v>
      </c>
      <c r="N49" s="188" t="s">
        <v>146</v>
      </c>
      <c r="P49" s="189" t="s">
        <v>147</v>
      </c>
      <c r="Q49" s="188" t="s">
        <v>146</v>
      </c>
      <c r="R49" s="188" t="s">
        <v>146</v>
      </c>
      <c r="S49" s="189" t="s">
        <v>147</v>
      </c>
      <c r="T49" s="188" t="s">
        <v>146</v>
      </c>
    </row>
    <row r="50" spans="1:20">
      <c r="A50" s="192"/>
      <c r="B50" s="303">
        <v>29</v>
      </c>
      <c r="C50" s="303">
        <v>29</v>
      </c>
      <c r="D50" s="303">
        <v>29</v>
      </c>
      <c r="E50" s="303">
        <v>26</v>
      </c>
      <c r="F50" s="303">
        <v>26</v>
      </c>
      <c r="G50" s="303">
        <v>26</v>
      </c>
      <c r="H50" s="192"/>
      <c r="I50" s="303">
        <v>25</v>
      </c>
      <c r="J50" s="303">
        <v>27</v>
      </c>
      <c r="K50" s="303">
        <v>27</v>
      </c>
      <c r="L50" s="303">
        <v>27</v>
      </c>
      <c r="M50" s="303">
        <v>26</v>
      </c>
      <c r="N50" s="303">
        <v>27</v>
      </c>
      <c r="O50" s="192"/>
      <c r="P50" s="303">
        <v>23</v>
      </c>
      <c r="Q50" s="303">
        <v>23</v>
      </c>
      <c r="R50" s="303">
        <v>18</v>
      </c>
      <c r="S50" s="303">
        <v>18</v>
      </c>
      <c r="T50" s="303">
        <v>18</v>
      </c>
    </row>
    <row r="51" spans="1:20">
      <c r="A51" s="192"/>
      <c r="B51" s="303"/>
      <c r="C51" s="303"/>
      <c r="D51" s="303"/>
      <c r="E51" s="303"/>
      <c r="F51" s="303"/>
      <c r="G51" s="303"/>
      <c r="H51" s="192"/>
      <c r="I51" s="303"/>
      <c r="J51" s="303"/>
      <c r="K51" s="303"/>
      <c r="L51" s="303"/>
      <c r="M51" s="303"/>
      <c r="N51" s="303"/>
      <c r="O51" s="192"/>
      <c r="P51" s="303"/>
      <c r="Q51" s="303"/>
      <c r="R51" s="303"/>
      <c r="S51" s="303"/>
      <c r="T51" s="303"/>
    </row>
    <row r="52" spans="1:20" ht="12" thickBot="1">
      <c r="A52" s="192"/>
      <c r="B52" s="185"/>
      <c r="C52" s="185"/>
      <c r="D52" s="185"/>
      <c r="E52" s="185"/>
      <c r="F52" s="185"/>
      <c r="G52" s="185"/>
      <c r="H52" s="192"/>
      <c r="I52" s="185"/>
      <c r="J52" s="185"/>
      <c r="K52" s="185"/>
      <c r="L52" s="185"/>
      <c r="M52" s="185"/>
      <c r="N52" s="185"/>
      <c r="O52" s="192"/>
      <c r="P52" s="185"/>
      <c r="Q52" s="185"/>
      <c r="R52" s="185"/>
      <c r="S52" s="185"/>
      <c r="T52" s="185"/>
    </row>
    <row r="53" spans="1:20" ht="12" thickBot="1">
      <c r="B53" s="193" t="s">
        <v>149</v>
      </c>
      <c r="G53" s="182"/>
      <c r="J53" s="193" t="s">
        <v>149</v>
      </c>
      <c r="L53" s="193" t="s">
        <v>149</v>
      </c>
      <c r="N53" s="283"/>
      <c r="P53" s="193" t="s">
        <v>149</v>
      </c>
      <c r="S53" s="193" t="s">
        <v>149</v>
      </c>
      <c r="T53" s="283"/>
    </row>
    <row r="54" spans="1:20">
      <c r="A54" s="196"/>
      <c r="B54" s="196"/>
      <c r="C54" s="194"/>
      <c r="D54" s="196"/>
      <c r="E54" s="194"/>
      <c r="F54" s="196"/>
      <c r="G54" s="196"/>
      <c r="H54" s="196"/>
      <c r="J54" s="194"/>
      <c r="L54" s="194"/>
      <c r="N54" s="182"/>
      <c r="P54" s="196"/>
      <c r="Q54" s="194"/>
      <c r="R54" s="196"/>
      <c r="S54" s="196"/>
      <c r="T54" s="196"/>
    </row>
    <row r="55" spans="1:20">
      <c r="A55" s="195" t="s">
        <v>150</v>
      </c>
      <c r="B55" s="196"/>
      <c r="C55" s="194"/>
      <c r="D55" s="196"/>
      <c r="E55" s="194"/>
      <c r="F55" s="196"/>
      <c r="G55" s="196"/>
      <c r="H55" s="195" t="s">
        <v>150</v>
      </c>
      <c r="I55" s="196"/>
      <c r="J55" s="194"/>
      <c r="K55" s="196"/>
      <c r="L55" s="194"/>
      <c r="M55" s="196"/>
      <c r="N55" s="196"/>
      <c r="O55" s="195" t="s">
        <v>150</v>
      </c>
      <c r="P55" s="196"/>
      <c r="Q55" s="194"/>
      <c r="R55" s="196"/>
      <c r="S55" s="196"/>
      <c r="T55" s="196"/>
    </row>
    <row r="56" spans="1:20">
      <c r="A56" s="195" t="s">
        <v>151</v>
      </c>
      <c r="B56" s="188" t="s">
        <v>146</v>
      </c>
      <c r="C56" s="198" t="s">
        <v>146</v>
      </c>
      <c r="D56" s="197" t="s">
        <v>147</v>
      </c>
      <c r="E56" s="198" t="s">
        <v>146</v>
      </c>
      <c r="F56" s="199" t="s">
        <v>146</v>
      </c>
      <c r="G56" s="190" t="s">
        <v>148</v>
      </c>
      <c r="H56" s="195" t="s">
        <v>151</v>
      </c>
      <c r="I56" s="196"/>
      <c r="J56" s="194"/>
      <c r="K56" s="196"/>
      <c r="L56" s="194"/>
      <c r="M56" s="196"/>
      <c r="N56" s="196"/>
      <c r="O56" s="195" t="s">
        <v>151</v>
      </c>
      <c r="P56" s="196"/>
      <c r="Q56" s="194"/>
      <c r="R56" s="196"/>
      <c r="S56" s="196"/>
      <c r="T56" s="196"/>
    </row>
    <row r="57" spans="1:20">
      <c r="A57" s="195" t="s">
        <v>155</v>
      </c>
      <c r="B57" s="188" t="s">
        <v>146</v>
      </c>
      <c r="C57" s="198" t="s">
        <v>146</v>
      </c>
      <c r="D57" s="197" t="s">
        <v>147</v>
      </c>
      <c r="E57" s="198" t="s">
        <v>146</v>
      </c>
      <c r="F57" s="199" t="s">
        <v>146</v>
      </c>
      <c r="G57" s="190" t="s">
        <v>148</v>
      </c>
      <c r="H57" s="195" t="s">
        <v>155</v>
      </c>
      <c r="I57" s="196"/>
      <c r="J57" s="194"/>
      <c r="K57" s="196"/>
      <c r="L57" s="194"/>
      <c r="M57" s="196"/>
      <c r="N57" s="196"/>
      <c r="O57" s="195" t="s">
        <v>155</v>
      </c>
      <c r="P57" s="196"/>
      <c r="Q57" s="194"/>
      <c r="R57" s="196"/>
      <c r="S57" s="196"/>
      <c r="T57" s="196"/>
    </row>
    <row r="58" spans="1:20">
      <c r="A58" s="195" t="s">
        <v>156</v>
      </c>
      <c r="B58" s="188" t="s">
        <v>146</v>
      </c>
      <c r="C58" s="198" t="s">
        <v>146</v>
      </c>
      <c r="D58" s="197" t="s">
        <v>147</v>
      </c>
      <c r="E58" s="198" t="s">
        <v>146</v>
      </c>
      <c r="F58" s="199" t="s">
        <v>146</v>
      </c>
      <c r="G58" s="190" t="s">
        <v>148</v>
      </c>
      <c r="H58" s="195" t="s">
        <v>156</v>
      </c>
      <c r="I58" s="190" t="s">
        <v>148</v>
      </c>
      <c r="J58" s="198" t="s">
        <v>146</v>
      </c>
      <c r="K58" s="199" t="s">
        <v>146</v>
      </c>
      <c r="L58" s="202" t="s">
        <v>147</v>
      </c>
      <c r="M58" s="199" t="s">
        <v>146</v>
      </c>
      <c r="N58" s="188" t="s">
        <v>146</v>
      </c>
      <c r="O58" s="195" t="s">
        <v>156</v>
      </c>
      <c r="P58" s="196"/>
      <c r="Q58" s="194"/>
      <c r="R58" s="196"/>
      <c r="S58" s="196"/>
      <c r="T58" s="196"/>
    </row>
    <row r="59" spans="1:20">
      <c r="A59" s="195" t="s">
        <v>157</v>
      </c>
      <c r="B59" s="188" t="s">
        <v>146</v>
      </c>
      <c r="C59" s="198" t="s">
        <v>146</v>
      </c>
      <c r="D59" s="197" t="s">
        <v>147</v>
      </c>
      <c r="E59" s="198" t="s">
        <v>146</v>
      </c>
      <c r="F59" s="199" t="s">
        <v>146</v>
      </c>
      <c r="G59" s="190" t="s">
        <v>148</v>
      </c>
      <c r="H59" s="195" t="s">
        <v>157</v>
      </c>
      <c r="I59" s="190" t="s">
        <v>148</v>
      </c>
      <c r="J59" s="198" t="s">
        <v>146</v>
      </c>
      <c r="K59" s="199" t="s">
        <v>146</v>
      </c>
      <c r="L59" s="202" t="s">
        <v>147</v>
      </c>
      <c r="M59" s="199" t="s">
        <v>146</v>
      </c>
      <c r="N59" s="188" t="s">
        <v>146</v>
      </c>
      <c r="O59" s="195" t="s">
        <v>157</v>
      </c>
      <c r="P59" s="196"/>
      <c r="Q59" s="194"/>
      <c r="R59" s="196"/>
      <c r="S59" s="196"/>
      <c r="T59" s="196"/>
    </row>
    <row r="60" spans="1:20">
      <c r="A60" s="195" t="s">
        <v>158</v>
      </c>
      <c r="B60" s="188" t="s">
        <v>146</v>
      </c>
      <c r="C60" s="198" t="s">
        <v>146</v>
      </c>
      <c r="D60" s="197" t="s">
        <v>147</v>
      </c>
      <c r="E60" s="198" t="s">
        <v>146</v>
      </c>
      <c r="F60" s="199" t="s">
        <v>146</v>
      </c>
      <c r="G60" s="190" t="s">
        <v>148</v>
      </c>
      <c r="H60" s="195" t="s">
        <v>158</v>
      </c>
      <c r="I60" s="190" t="s">
        <v>148</v>
      </c>
      <c r="J60" s="198" t="s">
        <v>146</v>
      </c>
      <c r="K60" s="199" t="s">
        <v>146</v>
      </c>
      <c r="L60" s="202" t="s">
        <v>147</v>
      </c>
      <c r="M60" s="199" t="s">
        <v>146</v>
      </c>
      <c r="N60" s="188" t="s">
        <v>146</v>
      </c>
      <c r="O60" s="195" t="s">
        <v>158</v>
      </c>
      <c r="P60" s="196"/>
      <c r="Q60" s="194"/>
      <c r="R60" s="196"/>
      <c r="S60" s="196"/>
      <c r="T60" s="196"/>
    </row>
    <row r="61" spans="1:20">
      <c r="A61" s="195" t="s">
        <v>159</v>
      </c>
      <c r="B61" s="188" t="s">
        <v>146</v>
      </c>
      <c r="C61" s="198" t="s">
        <v>146</v>
      </c>
      <c r="D61" s="197" t="s">
        <v>147</v>
      </c>
      <c r="E61" s="198" t="s">
        <v>146</v>
      </c>
      <c r="F61" s="199" t="s">
        <v>146</v>
      </c>
      <c r="G61" s="190" t="s">
        <v>148</v>
      </c>
      <c r="H61" s="195" t="s">
        <v>159</v>
      </c>
      <c r="I61" s="190" t="s">
        <v>148</v>
      </c>
      <c r="J61" s="198" t="s">
        <v>146</v>
      </c>
      <c r="K61" s="199" t="s">
        <v>146</v>
      </c>
      <c r="L61" s="202" t="s">
        <v>147</v>
      </c>
      <c r="M61" s="199" t="s">
        <v>146</v>
      </c>
      <c r="N61" s="188" t="s">
        <v>146</v>
      </c>
      <c r="O61" s="195" t="s">
        <v>159</v>
      </c>
      <c r="P61" s="196"/>
      <c r="Q61" s="194"/>
      <c r="R61" s="196"/>
      <c r="S61" s="196"/>
      <c r="T61" s="196"/>
    </row>
    <row r="62" spans="1:20">
      <c r="A62" s="201" t="s">
        <v>160</v>
      </c>
      <c r="B62" s="188" t="s">
        <v>146</v>
      </c>
      <c r="C62" s="198" t="s">
        <v>146</v>
      </c>
      <c r="D62" s="197" t="s">
        <v>147</v>
      </c>
      <c r="E62" s="198" t="s">
        <v>146</v>
      </c>
      <c r="F62" s="199" t="s">
        <v>146</v>
      </c>
      <c r="G62" s="190" t="s">
        <v>148</v>
      </c>
      <c r="H62" s="201" t="s">
        <v>160</v>
      </c>
      <c r="I62" s="190" t="s">
        <v>148</v>
      </c>
      <c r="J62" s="198" t="s">
        <v>146</v>
      </c>
      <c r="K62" s="199" t="s">
        <v>146</v>
      </c>
      <c r="L62" s="202" t="s">
        <v>147</v>
      </c>
      <c r="M62" s="199" t="s">
        <v>146</v>
      </c>
      <c r="N62" s="204" t="s">
        <v>146</v>
      </c>
      <c r="O62" s="201" t="s">
        <v>160</v>
      </c>
      <c r="P62" s="197" t="s">
        <v>147</v>
      </c>
      <c r="Q62" s="198" t="s">
        <v>146</v>
      </c>
      <c r="R62" s="196"/>
      <c r="S62" s="196"/>
      <c r="T62" s="196"/>
    </row>
    <row r="63" spans="1:20">
      <c r="A63" s="201" t="s">
        <v>161</v>
      </c>
      <c r="B63" s="188" t="s">
        <v>146</v>
      </c>
      <c r="C63" s="198" t="s">
        <v>146</v>
      </c>
      <c r="D63" s="197" t="s">
        <v>147</v>
      </c>
      <c r="E63" s="198" t="s">
        <v>146</v>
      </c>
      <c r="F63" s="199" t="s">
        <v>146</v>
      </c>
      <c r="G63" s="190" t="s">
        <v>148</v>
      </c>
      <c r="H63" s="201" t="s">
        <v>161</v>
      </c>
      <c r="I63" s="190" t="s">
        <v>148</v>
      </c>
      <c r="J63" s="198" t="s">
        <v>146</v>
      </c>
      <c r="K63" s="199" t="s">
        <v>146</v>
      </c>
      <c r="L63" s="202" t="s">
        <v>147</v>
      </c>
      <c r="M63" s="199" t="s">
        <v>146</v>
      </c>
      <c r="N63" s="204" t="s">
        <v>146</v>
      </c>
      <c r="O63" s="201" t="s">
        <v>161</v>
      </c>
      <c r="P63" s="197" t="s">
        <v>147</v>
      </c>
      <c r="Q63" s="198" t="s">
        <v>146</v>
      </c>
      <c r="R63" s="196"/>
      <c r="S63" s="196"/>
      <c r="T63" s="196"/>
    </row>
    <row r="64" spans="1:20">
      <c r="A64" s="201" t="s">
        <v>162</v>
      </c>
      <c r="B64" s="188" t="s">
        <v>146</v>
      </c>
      <c r="C64" s="198" t="s">
        <v>146</v>
      </c>
      <c r="D64" s="197" t="s">
        <v>147</v>
      </c>
      <c r="E64" s="198" t="s">
        <v>146</v>
      </c>
      <c r="F64" s="199" t="s">
        <v>146</v>
      </c>
      <c r="G64" s="190" t="s">
        <v>148</v>
      </c>
      <c r="H64" s="195" t="s">
        <v>162</v>
      </c>
      <c r="I64" s="190" t="s">
        <v>148</v>
      </c>
      <c r="J64" s="198" t="s">
        <v>146</v>
      </c>
      <c r="K64" s="199" t="s">
        <v>146</v>
      </c>
      <c r="L64" s="202" t="s">
        <v>147</v>
      </c>
      <c r="M64" s="199" t="s">
        <v>146</v>
      </c>
      <c r="N64" s="204" t="s">
        <v>146</v>
      </c>
      <c r="O64" s="201" t="s">
        <v>162</v>
      </c>
      <c r="P64" s="197" t="s">
        <v>147</v>
      </c>
      <c r="Q64" s="198" t="s">
        <v>146</v>
      </c>
      <c r="R64" s="196"/>
      <c r="S64" s="196"/>
      <c r="T64" s="196"/>
    </row>
    <row r="65" spans="1:24">
      <c r="A65" s="201" t="s">
        <v>163</v>
      </c>
      <c r="B65" s="188" t="s">
        <v>146</v>
      </c>
      <c r="C65" s="198" t="s">
        <v>146</v>
      </c>
      <c r="D65" s="197" t="s">
        <v>147</v>
      </c>
      <c r="E65" s="198" t="s">
        <v>146</v>
      </c>
      <c r="F65" s="199" t="s">
        <v>146</v>
      </c>
      <c r="G65" s="190" t="s">
        <v>148</v>
      </c>
      <c r="H65" s="201" t="s">
        <v>163</v>
      </c>
      <c r="I65" s="203" t="s">
        <v>148</v>
      </c>
      <c r="J65" s="198" t="s">
        <v>146</v>
      </c>
      <c r="K65" s="199" t="s">
        <v>146</v>
      </c>
      <c r="L65" s="202" t="s">
        <v>147</v>
      </c>
      <c r="M65" s="199" t="s">
        <v>146</v>
      </c>
      <c r="N65" s="204" t="s">
        <v>146</v>
      </c>
      <c r="O65" s="201" t="s">
        <v>163</v>
      </c>
      <c r="P65" s="197" t="s">
        <v>147</v>
      </c>
      <c r="Q65" s="198" t="s">
        <v>146</v>
      </c>
      <c r="R65" s="196"/>
      <c r="S65" s="196"/>
      <c r="T65" s="196"/>
      <c r="W65" s="288">
        <v>46308</v>
      </c>
      <c r="X65" s="290" t="s">
        <v>331</v>
      </c>
    </row>
    <row r="66" spans="1:24">
      <c r="A66" s="201" t="s">
        <v>164</v>
      </c>
      <c r="B66" s="188" t="s">
        <v>146</v>
      </c>
      <c r="C66" s="198" t="s">
        <v>146</v>
      </c>
      <c r="D66" s="197" t="s">
        <v>147</v>
      </c>
      <c r="E66" s="198" t="s">
        <v>146</v>
      </c>
      <c r="F66" s="199" t="s">
        <v>146</v>
      </c>
      <c r="G66" s="190" t="s">
        <v>148</v>
      </c>
      <c r="H66" s="201" t="s">
        <v>164</v>
      </c>
      <c r="I66" s="203" t="s">
        <v>148</v>
      </c>
      <c r="J66" s="198" t="s">
        <v>146</v>
      </c>
      <c r="K66" s="199" t="s">
        <v>146</v>
      </c>
      <c r="L66" s="202" t="s">
        <v>147</v>
      </c>
      <c r="M66" s="199" t="s">
        <v>146</v>
      </c>
      <c r="N66" s="204" t="s">
        <v>146</v>
      </c>
      <c r="O66" s="201" t="s">
        <v>164</v>
      </c>
      <c r="P66" s="197" t="s">
        <v>147</v>
      </c>
      <c r="Q66" s="198" t="s">
        <v>146</v>
      </c>
      <c r="R66" s="205"/>
      <c r="S66" s="206"/>
      <c r="T66" s="196"/>
    </row>
    <row r="67" spans="1:24">
      <c r="A67" s="201" t="s">
        <v>165</v>
      </c>
      <c r="B67" s="188" t="s">
        <v>146</v>
      </c>
      <c r="C67" s="198" t="s">
        <v>146</v>
      </c>
      <c r="D67" s="197" t="s">
        <v>147</v>
      </c>
      <c r="E67" s="198" t="s">
        <v>146</v>
      </c>
      <c r="F67" s="199" t="s">
        <v>146</v>
      </c>
      <c r="G67" s="190" t="s">
        <v>148</v>
      </c>
      <c r="H67" s="201" t="s">
        <v>165</v>
      </c>
      <c r="I67" s="203" t="s">
        <v>148</v>
      </c>
      <c r="J67" s="198" t="s">
        <v>146</v>
      </c>
      <c r="K67" s="199" t="s">
        <v>146</v>
      </c>
      <c r="L67" s="202" t="s">
        <v>147</v>
      </c>
      <c r="M67" s="199" t="s">
        <v>146</v>
      </c>
      <c r="N67" s="204" t="s">
        <v>146</v>
      </c>
      <c r="O67" s="201" t="s">
        <v>165</v>
      </c>
      <c r="P67" s="197" t="s">
        <v>147</v>
      </c>
      <c r="Q67" s="198" t="s">
        <v>146</v>
      </c>
      <c r="R67" s="199" t="s">
        <v>146</v>
      </c>
      <c r="S67" s="189" t="s">
        <v>147</v>
      </c>
      <c r="T67" s="188" t="s">
        <v>146</v>
      </c>
    </row>
    <row r="68" spans="1:24">
      <c r="A68" s="201" t="s">
        <v>166</v>
      </c>
      <c r="B68" s="188" t="s">
        <v>146</v>
      </c>
      <c r="C68" s="198" t="s">
        <v>146</v>
      </c>
      <c r="D68" s="197" t="s">
        <v>147</v>
      </c>
      <c r="E68" s="198" t="s">
        <v>146</v>
      </c>
      <c r="F68" s="199" t="s">
        <v>146</v>
      </c>
      <c r="G68" s="190" t="s">
        <v>148</v>
      </c>
      <c r="H68" s="201" t="s">
        <v>166</v>
      </c>
      <c r="I68" s="203" t="s">
        <v>148</v>
      </c>
      <c r="J68" s="198" t="s">
        <v>146</v>
      </c>
      <c r="K68" s="199" t="s">
        <v>146</v>
      </c>
      <c r="L68" s="202" t="s">
        <v>147</v>
      </c>
      <c r="M68" s="199" t="s">
        <v>146</v>
      </c>
      <c r="N68" s="204" t="s">
        <v>146</v>
      </c>
      <c r="O68" s="201" t="s">
        <v>166</v>
      </c>
      <c r="P68" s="197" t="s">
        <v>147</v>
      </c>
      <c r="Q68" s="198" t="s">
        <v>146</v>
      </c>
      <c r="R68" s="199" t="s">
        <v>146</v>
      </c>
      <c r="S68" s="189" t="s">
        <v>147</v>
      </c>
      <c r="T68" s="188" t="s">
        <v>146</v>
      </c>
    </row>
    <row r="69" spans="1:24">
      <c r="A69" s="201" t="s">
        <v>167</v>
      </c>
      <c r="B69" s="188" t="s">
        <v>146</v>
      </c>
      <c r="C69" s="198" t="s">
        <v>146</v>
      </c>
      <c r="D69" s="197" t="s">
        <v>147</v>
      </c>
      <c r="E69" s="198" t="s">
        <v>146</v>
      </c>
      <c r="F69" s="199" t="s">
        <v>146</v>
      </c>
      <c r="G69" s="190" t="s">
        <v>148</v>
      </c>
      <c r="H69" s="201" t="s">
        <v>167</v>
      </c>
      <c r="I69" s="203" t="s">
        <v>148</v>
      </c>
      <c r="J69" s="198" t="s">
        <v>146</v>
      </c>
      <c r="K69" s="199" t="s">
        <v>146</v>
      </c>
      <c r="L69" s="202" t="s">
        <v>147</v>
      </c>
      <c r="M69" s="199" t="s">
        <v>146</v>
      </c>
      <c r="N69" s="204" t="s">
        <v>146</v>
      </c>
      <c r="O69" s="201" t="s">
        <v>167</v>
      </c>
      <c r="P69" s="197" t="s">
        <v>147</v>
      </c>
      <c r="Q69" s="198" t="s">
        <v>146</v>
      </c>
      <c r="R69" s="199" t="s">
        <v>146</v>
      </c>
      <c r="S69" s="189" t="s">
        <v>147</v>
      </c>
      <c r="T69" s="188" t="s">
        <v>146</v>
      </c>
    </row>
    <row r="70" spans="1:24">
      <c r="A70" s="201" t="s">
        <v>168</v>
      </c>
      <c r="B70" s="188" t="s">
        <v>146</v>
      </c>
      <c r="C70" s="198" t="s">
        <v>146</v>
      </c>
      <c r="D70" s="197" t="s">
        <v>147</v>
      </c>
      <c r="E70" s="198" t="s">
        <v>146</v>
      </c>
      <c r="F70" s="199" t="s">
        <v>146</v>
      </c>
      <c r="G70" s="190" t="s">
        <v>148</v>
      </c>
      <c r="H70" s="201" t="s">
        <v>168</v>
      </c>
      <c r="I70" s="203" t="s">
        <v>148</v>
      </c>
      <c r="J70" s="198" t="s">
        <v>146</v>
      </c>
      <c r="K70" s="199" t="s">
        <v>146</v>
      </c>
      <c r="L70" s="202" t="s">
        <v>147</v>
      </c>
      <c r="M70" s="199" t="s">
        <v>146</v>
      </c>
      <c r="N70" s="204" t="s">
        <v>146</v>
      </c>
      <c r="O70" s="201" t="s">
        <v>168</v>
      </c>
      <c r="P70" s="197" t="s">
        <v>147</v>
      </c>
      <c r="Q70" s="198" t="s">
        <v>146</v>
      </c>
      <c r="R70" s="199" t="s">
        <v>146</v>
      </c>
      <c r="S70" s="189" t="s">
        <v>147</v>
      </c>
      <c r="T70" s="188" t="s">
        <v>146</v>
      </c>
      <c r="W70" s="288">
        <v>46280</v>
      </c>
      <c r="X70" s="290" t="s">
        <v>330</v>
      </c>
    </row>
    <row r="71" spans="1:24">
      <c r="A71" s="201" t="s">
        <v>170</v>
      </c>
      <c r="B71" s="188" t="s">
        <v>146</v>
      </c>
      <c r="C71" s="198" t="s">
        <v>146</v>
      </c>
      <c r="D71" s="197" t="s">
        <v>147</v>
      </c>
      <c r="E71" s="198" t="s">
        <v>146</v>
      </c>
      <c r="F71" s="199" t="s">
        <v>146</v>
      </c>
      <c r="G71" s="190" t="s">
        <v>148</v>
      </c>
      <c r="H71" s="201" t="s">
        <v>170</v>
      </c>
      <c r="I71" s="203" t="s">
        <v>148</v>
      </c>
      <c r="J71" s="198" t="s">
        <v>146</v>
      </c>
      <c r="K71" s="199" t="s">
        <v>146</v>
      </c>
      <c r="L71" s="202" t="s">
        <v>147</v>
      </c>
      <c r="M71" s="199" t="s">
        <v>146</v>
      </c>
      <c r="N71" s="204" t="s">
        <v>146</v>
      </c>
      <c r="O71" s="201" t="s">
        <v>170</v>
      </c>
      <c r="P71" s="197" t="s">
        <v>147</v>
      </c>
      <c r="Q71" s="198" t="s">
        <v>146</v>
      </c>
      <c r="R71" s="199" t="s">
        <v>146</v>
      </c>
      <c r="S71" s="189" t="s">
        <v>147</v>
      </c>
      <c r="T71" s="188" t="s">
        <v>146</v>
      </c>
    </row>
    <row r="72" spans="1:24">
      <c r="A72" s="201" t="s">
        <v>171</v>
      </c>
      <c r="B72" s="188" t="s">
        <v>146</v>
      </c>
      <c r="C72" s="198" t="s">
        <v>146</v>
      </c>
      <c r="D72" s="197" t="s">
        <v>147</v>
      </c>
      <c r="E72" s="198" t="s">
        <v>146</v>
      </c>
      <c r="F72" s="199" t="s">
        <v>146</v>
      </c>
      <c r="G72" s="190" t="s">
        <v>148</v>
      </c>
      <c r="H72" s="201" t="s">
        <v>171</v>
      </c>
      <c r="I72" s="203" t="s">
        <v>148</v>
      </c>
      <c r="J72" s="198" t="s">
        <v>146</v>
      </c>
      <c r="K72" s="199" t="s">
        <v>146</v>
      </c>
      <c r="L72" s="202" t="s">
        <v>147</v>
      </c>
      <c r="M72" s="199" t="s">
        <v>146</v>
      </c>
      <c r="N72" s="204" t="s">
        <v>146</v>
      </c>
      <c r="O72" s="201" t="s">
        <v>171</v>
      </c>
      <c r="P72" s="197" t="s">
        <v>147</v>
      </c>
      <c r="Q72" s="198" t="s">
        <v>146</v>
      </c>
      <c r="R72" s="199" t="s">
        <v>146</v>
      </c>
      <c r="S72" s="189" t="s">
        <v>147</v>
      </c>
      <c r="T72" s="188" t="s">
        <v>146</v>
      </c>
    </row>
    <row r="73" spans="1:24">
      <c r="A73" s="201" t="s">
        <v>173</v>
      </c>
      <c r="B73" s="188" t="s">
        <v>146</v>
      </c>
      <c r="C73" s="198" t="s">
        <v>146</v>
      </c>
      <c r="D73" s="197" t="s">
        <v>147</v>
      </c>
      <c r="E73" s="198" t="s">
        <v>146</v>
      </c>
      <c r="F73" s="199" t="s">
        <v>146</v>
      </c>
      <c r="G73" s="190" t="s">
        <v>148</v>
      </c>
      <c r="H73" s="201" t="s">
        <v>173</v>
      </c>
      <c r="I73" s="203" t="s">
        <v>148</v>
      </c>
      <c r="J73" s="198" t="s">
        <v>146</v>
      </c>
      <c r="K73" s="199" t="s">
        <v>146</v>
      </c>
      <c r="L73" s="202" t="s">
        <v>147</v>
      </c>
      <c r="M73" s="199" t="s">
        <v>146</v>
      </c>
      <c r="N73" s="204" t="s">
        <v>146</v>
      </c>
      <c r="O73" s="201" t="s">
        <v>173</v>
      </c>
      <c r="P73" s="197" t="s">
        <v>147</v>
      </c>
      <c r="Q73" s="198" t="s">
        <v>146</v>
      </c>
      <c r="R73" s="199" t="s">
        <v>146</v>
      </c>
      <c r="S73" s="189" t="s">
        <v>147</v>
      </c>
      <c r="T73" s="188" t="s">
        <v>146</v>
      </c>
    </row>
    <row r="74" spans="1:24">
      <c r="A74" s="201" t="s">
        <v>174</v>
      </c>
      <c r="B74" s="188" t="s">
        <v>146</v>
      </c>
      <c r="C74" s="198" t="s">
        <v>146</v>
      </c>
      <c r="D74" s="197" t="s">
        <v>147</v>
      </c>
      <c r="E74" s="198" t="s">
        <v>146</v>
      </c>
      <c r="F74" s="199" t="s">
        <v>146</v>
      </c>
      <c r="G74" s="190" t="s">
        <v>148</v>
      </c>
      <c r="H74" s="201" t="s">
        <v>174</v>
      </c>
      <c r="I74" s="203" t="s">
        <v>148</v>
      </c>
      <c r="J74" s="198" t="s">
        <v>146</v>
      </c>
      <c r="K74" s="199" t="s">
        <v>146</v>
      </c>
      <c r="L74" s="202" t="s">
        <v>147</v>
      </c>
      <c r="M74" s="199" t="s">
        <v>146</v>
      </c>
      <c r="N74" s="204" t="s">
        <v>146</v>
      </c>
      <c r="O74" s="201" t="s">
        <v>174</v>
      </c>
      <c r="P74" s="197" t="s">
        <v>147</v>
      </c>
      <c r="Q74" s="198" t="s">
        <v>146</v>
      </c>
      <c r="R74" s="199" t="s">
        <v>146</v>
      </c>
      <c r="S74" s="189" t="s">
        <v>147</v>
      </c>
      <c r="T74" s="188" t="s">
        <v>146</v>
      </c>
    </row>
    <row r="75" spans="1:24">
      <c r="A75" s="201" t="s">
        <v>175</v>
      </c>
      <c r="B75" s="188" t="s">
        <v>146</v>
      </c>
      <c r="C75" s="198" t="s">
        <v>146</v>
      </c>
      <c r="D75" s="197" t="s">
        <v>147</v>
      </c>
      <c r="E75" s="198" t="s">
        <v>146</v>
      </c>
      <c r="F75" s="199" t="s">
        <v>146</v>
      </c>
      <c r="G75" s="190" t="s">
        <v>148</v>
      </c>
      <c r="H75" s="201" t="s">
        <v>175</v>
      </c>
      <c r="I75" s="203" t="s">
        <v>148</v>
      </c>
      <c r="J75" s="198" t="s">
        <v>146</v>
      </c>
      <c r="K75" s="199" t="s">
        <v>146</v>
      </c>
      <c r="L75" s="202" t="s">
        <v>147</v>
      </c>
      <c r="M75" s="199" t="s">
        <v>146</v>
      </c>
      <c r="N75" s="204" t="s">
        <v>146</v>
      </c>
      <c r="O75" s="201" t="s">
        <v>175</v>
      </c>
      <c r="P75" s="197" t="s">
        <v>147</v>
      </c>
      <c r="Q75" s="198" t="s">
        <v>146</v>
      </c>
      <c r="R75" s="199" t="s">
        <v>146</v>
      </c>
      <c r="S75" s="189" t="s">
        <v>147</v>
      </c>
      <c r="T75" s="188" t="s">
        <v>146</v>
      </c>
      <c r="W75" s="288">
        <v>46245</v>
      </c>
      <c r="X75" s="290" t="s">
        <v>329</v>
      </c>
    </row>
    <row r="76" spans="1:24">
      <c r="A76" s="201" t="s">
        <v>176</v>
      </c>
      <c r="B76" s="188" t="s">
        <v>146</v>
      </c>
      <c r="C76" s="198" t="s">
        <v>146</v>
      </c>
      <c r="D76" s="197" t="s">
        <v>147</v>
      </c>
      <c r="E76" s="198" t="s">
        <v>146</v>
      </c>
      <c r="F76" s="199" t="s">
        <v>146</v>
      </c>
      <c r="G76" s="190" t="s">
        <v>148</v>
      </c>
      <c r="H76" s="195" t="s">
        <v>176</v>
      </c>
      <c r="I76" s="190" t="s">
        <v>148</v>
      </c>
      <c r="J76" s="198" t="s">
        <v>146</v>
      </c>
      <c r="K76" s="199" t="s">
        <v>146</v>
      </c>
      <c r="L76" s="202" t="s">
        <v>147</v>
      </c>
      <c r="M76" s="199" t="s">
        <v>146</v>
      </c>
      <c r="N76" s="204" t="s">
        <v>146</v>
      </c>
      <c r="O76" s="201" t="s">
        <v>176</v>
      </c>
      <c r="P76" s="197" t="s">
        <v>147</v>
      </c>
      <c r="Q76" s="198" t="s">
        <v>146</v>
      </c>
      <c r="R76" s="199" t="s">
        <v>146</v>
      </c>
      <c r="S76" s="189" t="s">
        <v>147</v>
      </c>
      <c r="T76" s="188" t="s">
        <v>146</v>
      </c>
    </row>
    <row r="77" spans="1:24">
      <c r="A77" s="201" t="s">
        <v>177</v>
      </c>
      <c r="B77" s="188" t="s">
        <v>146</v>
      </c>
      <c r="C77" s="198" t="s">
        <v>146</v>
      </c>
      <c r="D77" s="197" t="s">
        <v>147</v>
      </c>
      <c r="E77" s="198" t="s">
        <v>146</v>
      </c>
      <c r="F77" s="199" t="s">
        <v>146</v>
      </c>
      <c r="G77" s="190" t="s">
        <v>148</v>
      </c>
      <c r="H77" s="195" t="s">
        <v>177</v>
      </c>
      <c r="I77" s="190" t="s">
        <v>148</v>
      </c>
      <c r="J77" s="198" t="s">
        <v>146</v>
      </c>
      <c r="K77" s="199" t="s">
        <v>146</v>
      </c>
      <c r="L77" s="202" t="s">
        <v>147</v>
      </c>
      <c r="M77" s="199" t="s">
        <v>146</v>
      </c>
      <c r="N77" s="204" t="s">
        <v>146</v>
      </c>
      <c r="O77" s="201" t="s">
        <v>177</v>
      </c>
      <c r="P77" s="197" t="s">
        <v>147</v>
      </c>
      <c r="Q77" s="198" t="s">
        <v>146</v>
      </c>
      <c r="R77" s="199" t="s">
        <v>146</v>
      </c>
      <c r="S77" s="189" t="s">
        <v>147</v>
      </c>
      <c r="T77" s="188" t="s">
        <v>146</v>
      </c>
    </row>
    <row r="78" spans="1:24">
      <c r="A78" s="201" t="s">
        <v>178</v>
      </c>
      <c r="B78" s="188" t="s">
        <v>146</v>
      </c>
      <c r="C78" s="198" t="s">
        <v>146</v>
      </c>
      <c r="D78" s="197" t="s">
        <v>147</v>
      </c>
      <c r="E78" s="198" t="s">
        <v>146</v>
      </c>
      <c r="F78" s="199" t="s">
        <v>146</v>
      </c>
      <c r="G78" s="190" t="s">
        <v>148</v>
      </c>
      <c r="H78" s="195" t="s">
        <v>178</v>
      </c>
      <c r="I78" s="190" t="s">
        <v>148</v>
      </c>
      <c r="J78" s="198" t="s">
        <v>146</v>
      </c>
      <c r="K78" s="199" t="s">
        <v>146</v>
      </c>
      <c r="L78" s="202" t="s">
        <v>147</v>
      </c>
      <c r="M78" s="199" t="s">
        <v>146</v>
      </c>
      <c r="N78" s="204" t="s">
        <v>146</v>
      </c>
      <c r="O78" s="201" t="s">
        <v>178</v>
      </c>
      <c r="P78" s="197" t="s">
        <v>147</v>
      </c>
      <c r="Q78" s="198" t="s">
        <v>146</v>
      </c>
      <c r="R78" s="199" t="s">
        <v>146</v>
      </c>
      <c r="S78" s="189" t="s">
        <v>147</v>
      </c>
      <c r="T78" s="188" t="s">
        <v>146</v>
      </c>
    </row>
    <row r="79" spans="1:24">
      <c r="A79" s="195" t="s">
        <v>179</v>
      </c>
      <c r="B79" s="188" t="s">
        <v>146</v>
      </c>
      <c r="C79" s="198" t="s">
        <v>146</v>
      </c>
      <c r="D79" s="197" t="s">
        <v>147</v>
      </c>
      <c r="E79" s="198" t="s">
        <v>146</v>
      </c>
      <c r="F79" s="199" t="s">
        <v>146</v>
      </c>
      <c r="G79" s="190" t="s">
        <v>148</v>
      </c>
      <c r="H79" s="195" t="s">
        <v>179</v>
      </c>
      <c r="I79" s="190" t="s">
        <v>148</v>
      </c>
      <c r="J79" s="198" t="s">
        <v>146</v>
      </c>
      <c r="K79" s="199" t="s">
        <v>146</v>
      </c>
      <c r="L79" s="202" t="s">
        <v>147</v>
      </c>
      <c r="M79" s="199" t="s">
        <v>146</v>
      </c>
      <c r="N79" s="188" t="s">
        <v>146</v>
      </c>
      <c r="O79" s="195" t="s">
        <v>179</v>
      </c>
      <c r="P79" s="197" t="s">
        <v>147</v>
      </c>
      <c r="Q79" s="198" t="s">
        <v>146</v>
      </c>
      <c r="R79" s="199" t="s">
        <v>146</v>
      </c>
      <c r="S79" s="189" t="s">
        <v>147</v>
      </c>
      <c r="T79" s="188" t="s">
        <v>146</v>
      </c>
    </row>
    <row r="80" spans="1:24">
      <c r="A80" s="195" t="s">
        <v>180</v>
      </c>
      <c r="B80" s="188" t="s">
        <v>146</v>
      </c>
      <c r="C80" s="198" t="s">
        <v>146</v>
      </c>
      <c r="D80" s="197" t="s">
        <v>147</v>
      </c>
      <c r="E80" s="198" t="s">
        <v>146</v>
      </c>
      <c r="F80" s="199" t="s">
        <v>146</v>
      </c>
      <c r="G80" s="190" t="s">
        <v>148</v>
      </c>
      <c r="H80" s="195" t="s">
        <v>180</v>
      </c>
      <c r="I80" s="190" t="s">
        <v>148</v>
      </c>
      <c r="J80" s="198" t="s">
        <v>146</v>
      </c>
      <c r="K80" s="199" t="s">
        <v>146</v>
      </c>
      <c r="L80" s="202" t="s">
        <v>147</v>
      </c>
      <c r="M80" s="199" t="s">
        <v>146</v>
      </c>
      <c r="N80" s="188" t="s">
        <v>146</v>
      </c>
      <c r="O80" s="195" t="s">
        <v>180</v>
      </c>
      <c r="P80" s="197" t="s">
        <v>147</v>
      </c>
      <c r="Q80" s="198" t="s">
        <v>146</v>
      </c>
      <c r="R80" s="199" t="s">
        <v>146</v>
      </c>
      <c r="S80" s="189" t="s">
        <v>147</v>
      </c>
      <c r="T80" s="188" t="s">
        <v>146</v>
      </c>
      <c r="W80" s="288">
        <v>46218</v>
      </c>
      <c r="X80" s="290" t="s">
        <v>328</v>
      </c>
    </row>
    <row r="81" spans="1:20">
      <c r="A81" s="195" t="s">
        <v>181</v>
      </c>
      <c r="B81" s="188" t="s">
        <v>146</v>
      </c>
      <c r="C81" s="198" t="s">
        <v>146</v>
      </c>
      <c r="D81" s="197" t="s">
        <v>147</v>
      </c>
      <c r="E81" s="198" t="s">
        <v>146</v>
      </c>
      <c r="F81" s="199" t="s">
        <v>146</v>
      </c>
      <c r="G81" s="190" t="s">
        <v>148</v>
      </c>
      <c r="H81" s="195" t="s">
        <v>181</v>
      </c>
      <c r="I81" s="190" t="s">
        <v>148</v>
      </c>
      <c r="J81" s="198" t="s">
        <v>146</v>
      </c>
      <c r="K81" s="199" t="s">
        <v>146</v>
      </c>
      <c r="L81" s="202" t="s">
        <v>147</v>
      </c>
      <c r="M81" s="199" t="s">
        <v>146</v>
      </c>
      <c r="N81" s="188" t="s">
        <v>146</v>
      </c>
      <c r="O81" s="195" t="s">
        <v>181</v>
      </c>
      <c r="P81" s="197" t="s">
        <v>147</v>
      </c>
      <c r="Q81" s="198" t="s">
        <v>146</v>
      </c>
      <c r="R81" s="199" t="s">
        <v>146</v>
      </c>
      <c r="S81" s="189" t="s">
        <v>147</v>
      </c>
      <c r="T81" s="188" t="s">
        <v>146</v>
      </c>
    </row>
    <row r="82" spans="1:20">
      <c r="A82" s="195" t="s">
        <v>182</v>
      </c>
      <c r="B82" s="188" t="s">
        <v>146</v>
      </c>
      <c r="C82" s="198" t="s">
        <v>146</v>
      </c>
      <c r="D82" s="197" t="s">
        <v>147</v>
      </c>
      <c r="E82" s="207"/>
      <c r="F82" s="205"/>
      <c r="G82" s="206"/>
      <c r="H82" s="195" t="s">
        <v>182</v>
      </c>
      <c r="I82" s="190" t="s">
        <v>148</v>
      </c>
      <c r="J82" s="198" t="s">
        <v>146</v>
      </c>
      <c r="K82" s="199" t="s">
        <v>146</v>
      </c>
      <c r="L82" s="202" t="s">
        <v>147</v>
      </c>
      <c r="M82" s="199" t="s">
        <v>146</v>
      </c>
      <c r="N82" s="188" t="s">
        <v>146</v>
      </c>
      <c r="O82" s="195" t="s">
        <v>182</v>
      </c>
      <c r="P82" s="197" t="s">
        <v>147</v>
      </c>
      <c r="Q82" s="198" t="s">
        <v>146</v>
      </c>
      <c r="R82" s="199" t="s">
        <v>146</v>
      </c>
      <c r="S82" s="189" t="s">
        <v>147</v>
      </c>
      <c r="T82" s="188" t="s">
        <v>146</v>
      </c>
    </row>
    <row r="83" spans="1:20">
      <c r="A83" s="195" t="s">
        <v>183</v>
      </c>
      <c r="B83" s="188" t="s">
        <v>146</v>
      </c>
      <c r="C83" s="198" t="s">
        <v>146</v>
      </c>
      <c r="D83" s="197" t="s">
        <v>147</v>
      </c>
      <c r="E83" s="207"/>
      <c r="F83" s="205"/>
      <c r="G83" s="206"/>
      <c r="H83" s="195" t="s">
        <v>183</v>
      </c>
      <c r="I83" s="206"/>
      <c r="J83" s="198" t="s">
        <v>146</v>
      </c>
      <c r="K83" s="199" t="s">
        <v>146</v>
      </c>
      <c r="L83" s="202" t="s">
        <v>147</v>
      </c>
      <c r="M83" s="199" t="s">
        <v>146</v>
      </c>
      <c r="N83" s="188" t="s">
        <v>146</v>
      </c>
      <c r="O83" s="195" t="s">
        <v>183</v>
      </c>
      <c r="P83" s="197" t="s">
        <v>147</v>
      </c>
      <c r="Q83" s="198" t="s">
        <v>146</v>
      </c>
      <c r="R83" s="199" t="s">
        <v>146</v>
      </c>
      <c r="S83" s="189" t="s">
        <v>147</v>
      </c>
      <c r="T83" s="188" t="s">
        <v>146</v>
      </c>
    </row>
    <row r="84" spans="1:20">
      <c r="A84" s="195" t="s">
        <v>184</v>
      </c>
      <c r="B84" s="188" t="s">
        <v>146</v>
      </c>
      <c r="C84" s="198" t="s">
        <v>146</v>
      </c>
      <c r="D84" s="197" t="s">
        <v>147</v>
      </c>
      <c r="E84" s="207"/>
      <c r="F84" s="205"/>
      <c r="G84" s="211" t="s">
        <v>186</v>
      </c>
      <c r="H84" s="195" t="s">
        <v>184</v>
      </c>
      <c r="I84" s="211" t="s">
        <v>186</v>
      </c>
      <c r="J84" s="198" t="s">
        <v>146</v>
      </c>
      <c r="K84" s="199" t="s">
        <v>146</v>
      </c>
      <c r="L84" s="202" t="s">
        <v>147</v>
      </c>
      <c r="M84" s="205"/>
      <c r="N84" s="188" t="s">
        <v>146</v>
      </c>
      <c r="O84" s="195" t="s">
        <v>184</v>
      </c>
      <c r="P84" s="197" t="s">
        <v>147</v>
      </c>
      <c r="Q84" s="198" t="s">
        <v>146</v>
      </c>
      <c r="R84" s="199" t="s">
        <v>146</v>
      </c>
      <c r="S84" s="189" t="s">
        <v>147</v>
      </c>
      <c r="T84" s="188" t="s">
        <v>146</v>
      </c>
    </row>
    <row r="85" spans="1:20">
      <c r="A85" s="212"/>
      <c r="B85" s="187" t="s">
        <v>187</v>
      </c>
      <c r="C85" s="213" t="s">
        <v>137</v>
      </c>
      <c r="D85" s="214" t="s">
        <v>142</v>
      </c>
      <c r="E85" s="213" t="s">
        <v>143</v>
      </c>
      <c r="F85" s="214" t="s">
        <v>144</v>
      </c>
      <c r="G85" s="187" t="s">
        <v>145</v>
      </c>
      <c r="H85" s="212"/>
      <c r="I85" s="187" t="s">
        <v>187</v>
      </c>
      <c r="J85" s="213" t="s">
        <v>137</v>
      </c>
      <c r="K85" s="214" t="s">
        <v>142</v>
      </c>
      <c r="L85" s="213" t="s">
        <v>143</v>
      </c>
      <c r="M85" s="214" t="s">
        <v>144</v>
      </c>
      <c r="N85" s="187" t="s">
        <v>145</v>
      </c>
      <c r="O85" s="212"/>
      <c r="P85" s="187" t="s">
        <v>187</v>
      </c>
      <c r="Q85" s="213" t="s">
        <v>137</v>
      </c>
      <c r="R85" s="214" t="s">
        <v>142</v>
      </c>
      <c r="S85" s="187" t="s">
        <v>143</v>
      </c>
      <c r="T85" s="187" t="s">
        <v>145</v>
      </c>
    </row>
  </sheetData>
  <mergeCells count="13">
    <mergeCell ref="B1:U1"/>
    <mergeCell ref="B3:G3"/>
    <mergeCell ref="I3:N3"/>
    <mergeCell ref="P3:U3"/>
    <mergeCell ref="B4:G4"/>
    <mergeCell ref="I4:N4"/>
    <mergeCell ref="P4:U4"/>
    <mergeCell ref="B46:G46"/>
    <mergeCell ref="I46:N46"/>
    <mergeCell ref="P46:T46"/>
    <mergeCell ref="B47:G47"/>
    <mergeCell ref="I47:N47"/>
    <mergeCell ref="P47:T47"/>
  </mergeCells>
  <phoneticPr fontId="4" type="noConversion"/>
  <pageMargins left="0.25" right="0.25" top="0.75" bottom="0.75" header="0.3" footer="0.3"/>
  <pageSetup paperSize="9"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  <pageSetUpPr fitToPage="1"/>
  </sheetPr>
  <dimension ref="A1:BQ85"/>
  <sheetViews>
    <sheetView topLeftCell="A21" zoomScale="85" zoomScaleNormal="85" zoomScaleSheetLayoutView="130" workbookViewId="0">
      <selection activeCell="AB62" sqref="AB62"/>
    </sheetView>
  </sheetViews>
  <sheetFormatPr defaultColWidth="9" defaultRowHeight="11.25"/>
  <cols>
    <col min="1" max="1" width="3.25" style="182" customWidth="1"/>
    <col min="2" max="6" width="6.375" style="182" customWidth="1"/>
    <col min="7" max="7" width="6.375" style="184" customWidth="1"/>
    <col min="8" max="13" width="6.375" style="182" customWidth="1"/>
    <col min="14" max="14" width="6.375" style="184" customWidth="1"/>
    <col min="15" max="20" width="6.375" style="182" customWidth="1"/>
    <col min="21" max="21" width="6.375" style="184" customWidth="1"/>
    <col min="22" max="22" width="3.625" style="184" customWidth="1"/>
    <col min="23" max="23" width="10.25" style="182" customWidth="1"/>
    <col min="24" max="26" width="4.625" style="182" customWidth="1"/>
    <col min="27" max="27" width="3.625" style="184" customWidth="1"/>
    <col min="28" max="31" width="4.625" style="182" customWidth="1"/>
    <col min="32" max="32" width="3.625" style="184" customWidth="1"/>
    <col min="33" max="36" width="4.625" style="182" customWidth="1"/>
    <col min="37" max="37" width="3.625" style="184" customWidth="1"/>
    <col min="38" max="42" width="4.625" style="182" customWidth="1"/>
    <col min="43" max="43" width="3.625" style="184" customWidth="1"/>
    <col min="44" max="47" width="4.625" style="182" customWidth="1"/>
    <col min="48" max="48" width="3.625" style="184" customWidth="1"/>
    <col min="49" max="53" width="4.625" style="182" customWidth="1"/>
    <col min="54" max="54" width="3.625" style="184" customWidth="1"/>
    <col min="55" max="58" width="4.625" style="182" customWidth="1"/>
    <col min="59" max="59" width="3.625" style="184" customWidth="1"/>
    <col min="60" max="61" width="4.625" style="182" customWidth="1"/>
    <col min="62" max="62" width="3.625" style="184" customWidth="1"/>
    <col min="63" max="66" width="4.625" style="182" customWidth="1"/>
    <col min="67" max="67" width="3.625" style="184" customWidth="1"/>
    <col min="68" max="70" width="4.625" style="182" customWidth="1"/>
    <col min="71" max="16384" width="9" style="182"/>
  </cols>
  <sheetData>
    <row r="1" spans="1:69" ht="33.75">
      <c r="B1" s="311" t="s">
        <v>229</v>
      </c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</row>
    <row r="2" spans="1:69">
      <c r="G2" s="183"/>
      <c r="N2" s="183"/>
      <c r="U2" s="183"/>
      <c r="V2" s="183"/>
      <c r="AF2" s="183"/>
      <c r="AK2" s="183"/>
      <c r="AV2" s="183"/>
      <c r="BB2" s="183"/>
      <c r="BJ2" s="183"/>
    </row>
    <row r="3" spans="1:69">
      <c r="A3" s="185"/>
      <c r="B3" s="308" t="s">
        <v>129</v>
      </c>
      <c r="C3" s="308"/>
      <c r="D3" s="308"/>
      <c r="E3" s="308"/>
      <c r="F3" s="308"/>
      <c r="G3" s="308"/>
      <c r="H3" s="185"/>
      <c r="I3" s="308" t="s">
        <v>129</v>
      </c>
      <c r="J3" s="308"/>
      <c r="K3" s="308"/>
      <c r="L3" s="308"/>
      <c r="M3" s="308"/>
      <c r="N3" s="308"/>
      <c r="O3" s="185"/>
      <c r="P3" s="308" t="s">
        <v>129</v>
      </c>
      <c r="Q3" s="308"/>
      <c r="R3" s="308"/>
      <c r="S3" s="308"/>
      <c r="T3" s="308"/>
      <c r="U3" s="308"/>
    </row>
    <row r="4" spans="1:69" s="186" customFormat="1" ht="16.5" customHeight="1">
      <c r="A4" s="185"/>
      <c r="B4" s="310" t="s">
        <v>130</v>
      </c>
      <c r="C4" s="310"/>
      <c r="D4" s="310"/>
      <c r="E4" s="310"/>
      <c r="F4" s="310"/>
      <c r="G4" s="310"/>
      <c r="H4" s="185"/>
      <c r="I4" s="310" t="s">
        <v>131</v>
      </c>
      <c r="J4" s="310"/>
      <c r="K4" s="310"/>
      <c r="L4" s="310"/>
      <c r="M4" s="310"/>
      <c r="N4" s="310"/>
      <c r="O4" s="185"/>
      <c r="P4" s="310" t="s">
        <v>132</v>
      </c>
      <c r="Q4" s="310"/>
      <c r="R4" s="310"/>
      <c r="S4" s="310"/>
      <c r="T4" s="310"/>
      <c r="U4" s="310"/>
      <c r="V4" s="182"/>
      <c r="W4" s="182"/>
      <c r="X4" s="182"/>
      <c r="Y4" s="182"/>
      <c r="Z4" s="182"/>
      <c r="AA4" s="184"/>
      <c r="AB4" s="182"/>
      <c r="AC4" s="182"/>
      <c r="AD4" s="182"/>
      <c r="AE4" s="182"/>
      <c r="AF4" s="184"/>
      <c r="AG4" s="182"/>
      <c r="AH4" s="182"/>
      <c r="AI4" s="182"/>
      <c r="AJ4" s="182"/>
      <c r="AK4" s="184"/>
      <c r="AL4" s="182"/>
      <c r="AM4" s="182"/>
      <c r="AN4" s="182"/>
      <c r="AO4" s="182"/>
      <c r="AP4" s="182"/>
      <c r="AQ4" s="184"/>
      <c r="AR4" s="182"/>
      <c r="AS4" s="182"/>
      <c r="AT4" s="182"/>
      <c r="AU4" s="182"/>
      <c r="AV4" s="184"/>
      <c r="AW4" s="182"/>
      <c r="AX4" s="182"/>
      <c r="AY4" s="182"/>
      <c r="AZ4" s="182"/>
      <c r="BA4" s="182"/>
      <c r="BB4" s="184"/>
      <c r="BC4" s="182"/>
      <c r="BD4" s="182"/>
      <c r="BE4" s="182"/>
      <c r="BF4" s="182"/>
      <c r="BG4" s="184"/>
      <c r="BH4" s="182"/>
      <c r="BI4" s="182"/>
      <c r="BJ4" s="184"/>
      <c r="BK4" s="182"/>
      <c r="BL4" s="182"/>
      <c r="BM4" s="182"/>
      <c r="BN4" s="182"/>
      <c r="BO4" s="184"/>
      <c r="BP4" s="182"/>
      <c r="BQ4" s="182"/>
    </row>
    <row r="5" spans="1:69">
      <c r="A5" s="184" t="s">
        <v>191</v>
      </c>
      <c r="B5" s="187" t="s">
        <v>136</v>
      </c>
      <c r="C5" s="187" t="s">
        <v>137</v>
      </c>
      <c r="D5" s="187" t="s">
        <v>138</v>
      </c>
      <c r="E5" s="187" t="s">
        <v>139</v>
      </c>
      <c r="F5" s="187" t="s">
        <v>140</v>
      </c>
      <c r="G5" s="187" t="s">
        <v>141</v>
      </c>
      <c r="H5" s="184"/>
      <c r="I5" s="187" t="s">
        <v>136</v>
      </c>
      <c r="J5" s="187" t="s">
        <v>137</v>
      </c>
      <c r="K5" s="187" t="s">
        <v>142</v>
      </c>
      <c r="L5" s="187" t="s">
        <v>143</v>
      </c>
      <c r="M5" s="187" t="s">
        <v>144</v>
      </c>
      <c r="N5" s="187" t="s">
        <v>145</v>
      </c>
      <c r="O5" s="184"/>
      <c r="P5" s="187" t="s">
        <v>136</v>
      </c>
      <c r="Q5" s="187" t="s">
        <v>137</v>
      </c>
      <c r="R5" s="187" t="s">
        <v>142</v>
      </c>
      <c r="S5" s="187" t="s">
        <v>143</v>
      </c>
      <c r="T5" s="187" t="s">
        <v>144</v>
      </c>
      <c r="U5" s="187" t="s">
        <v>145</v>
      </c>
      <c r="V5" s="182"/>
    </row>
    <row r="6" spans="1:69" ht="16.899999999999999" customHeight="1">
      <c r="A6" s="182" t="s">
        <v>192</v>
      </c>
      <c r="B6" s="188" t="s">
        <v>146</v>
      </c>
      <c r="C6" s="188" t="s">
        <v>146</v>
      </c>
      <c r="D6" s="189" t="s">
        <v>147</v>
      </c>
      <c r="E6" s="188" t="s">
        <v>146</v>
      </c>
      <c r="F6" s="188" t="s">
        <v>146</v>
      </c>
      <c r="G6" s="190" t="s">
        <v>148</v>
      </c>
      <c r="I6" s="191">
        <v>74</v>
      </c>
      <c r="J6" s="191">
        <v>74</v>
      </c>
      <c r="K6" s="189" t="s">
        <v>147</v>
      </c>
      <c r="L6" s="188" t="s">
        <v>146</v>
      </c>
      <c r="M6" s="188" t="s">
        <v>146</v>
      </c>
      <c r="N6" s="188" t="s">
        <v>146</v>
      </c>
      <c r="P6" s="191">
        <v>74</v>
      </c>
      <c r="Q6" s="191">
        <v>74</v>
      </c>
      <c r="R6" s="189" t="s">
        <v>147</v>
      </c>
      <c r="S6" s="188" t="s">
        <v>146</v>
      </c>
      <c r="T6" s="188" t="s">
        <v>146</v>
      </c>
      <c r="U6" s="188" t="s">
        <v>146</v>
      </c>
      <c r="V6" s="182"/>
    </row>
    <row r="7" spans="1:69" ht="14.25" customHeight="1">
      <c r="A7" s="192" t="s">
        <v>17</v>
      </c>
      <c r="B7" s="302">
        <v>25</v>
      </c>
      <c r="C7" s="302">
        <v>25</v>
      </c>
      <c r="D7" s="302">
        <v>26</v>
      </c>
      <c r="E7" s="302">
        <v>25</v>
      </c>
      <c r="F7" s="302">
        <v>26</v>
      </c>
      <c r="G7" s="302">
        <v>26</v>
      </c>
      <c r="H7" s="192"/>
      <c r="I7" s="302">
        <v>27</v>
      </c>
      <c r="J7" s="302">
        <v>27</v>
      </c>
      <c r="K7" s="302">
        <v>29</v>
      </c>
      <c r="L7" s="302">
        <v>28</v>
      </c>
      <c r="M7" s="302">
        <v>28</v>
      </c>
      <c r="N7" s="302">
        <v>28</v>
      </c>
      <c r="O7" s="192"/>
      <c r="P7" s="302">
        <v>29</v>
      </c>
      <c r="Q7" s="302">
        <v>29</v>
      </c>
      <c r="R7" s="302">
        <v>29</v>
      </c>
      <c r="S7" s="302">
        <v>27</v>
      </c>
      <c r="T7" s="302">
        <v>27</v>
      </c>
      <c r="U7" s="302">
        <v>27</v>
      </c>
      <c r="V7" s="182"/>
    </row>
    <row r="8" spans="1:69" ht="14.25" customHeight="1">
      <c r="A8" s="192" t="s">
        <v>193</v>
      </c>
      <c r="B8" s="302"/>
      <c r="C8" s="302"/>
      <c r="D8" s="302"/>
      <c r="E8" s="302"/>
      <c r="F8" s="302"/>
      <c r="G8" s="302"/>
      <c r="H8" s="192"/>
      <c r="I8" s="302"/>
      <c r="J8" s="302"/>
      <c r="K8" s="302"/>
      <c r="L8" s="302"/>
      <c r="M8" s="302"/>
      <c r="N8" s="302"/>
      <c r="O8" s="192"/>
      <c r="P8" s="302"/>
      <c r="Q8" s="302"/>
      <c r="R8" s="302"/>
      <c r="S8" s="302"/>
      <c r="T8" s="302"/>
      <c r="U8" s="302"/>
      <c r="V8" s="182"/>
    </row>
    <row r="9" spans="1:69" ht="14.25" customHeight="1" thickBot="1">
      <c r="A9" s="192"/>
      <c r="B9" s="185"/>
      <c r="C9" s="185"/>
      <c r="D9" s="185"/>
      <c r="E9" s="185"/>
      <c r="F9" s="185"/>
      <c r="G9" s="185"/>
      <c r="H9" s="192"/>
      <c r="I9" s="185"/>
      <c r="J9" s="185"/>
      <c r="K9" s="185"/>
      <c r="L9" s="185"/>
      <c r="M9" s="185"/>
      <c r="N9" s="185"/>
      <c r="O9" s="192"/>
      <c r="P9" s="185"/>
      <c r="Q9" s="185"/>
      <c r="R9" s="185"/>
      <c r="S9" s="185"/>
      <c r="T9" s="185"/>
      <c r="U9" s="185"/>
      <c r="V9" s="182"/>
    </row>
    <row r="10" spans="1:69" ht="11.1" customHeight="1" thickBot="1">
      <c r="A10" s="217" t="s">
        <v>194</v>
      </c>
      <c r="B10" s="193" t="s">
        <v>149</v>
      </c>
      <c r="G10" s="193" t="s">
        <v>149</v>
      </c>
      <c r="J10" s="193" t="s">
        <v>149</v>
      </c>
      <c r="K10" s="193" t="s">
        <v>149</v>
      </c>
      <c r="L10" s="194"/>
      <c r="N10" s="182"/>
      <c r="Q10" s="193" t="s">
        <v>149</v>
      </c>
      <c r="U10" s="182"/>
      <c r="V10" s="182"/>
      <c r="AA10" s="183"/>
      <c r="AF10" s="183"/>
      <c r="AK10" s="183"/>
      <c r="AQ10" s="183"/>
      <c r="AV10" s="183"/>
      <c r="BB10" s="183"/>
      <c r="BG10" s="183"/>
      <c r="BJ10" s="183"/>
      <c r="BO10" s="183"/>
    </row>
    <row r="11" spans="1:69" ht="11.1" customHeight="1">
      <c r="E11" s="194"/>
      <c r="G11" s="182"/>
      <c r="H11" s="195"/>
      <c r="J11" s="194"/>
      <c r="L11" s="194"/>
      <c r="N11" s="182"/>
      <c r="Q11" s="194"/>
      <c r="S11" s="194"/>
      <c r="U11" s="182"/>
      <c r="V11" s="182"/>
    </row>
    <row r="12" spans="1:69" ht="11.1" customHeight="1">
      <c r="A12" s="195" t="s">
        <v>150</v>
      </c>
      <c r="C12" s="194"/>
      <c r="E12" s="194"/>
      <c r="G12" s="182"/>
      <c r="H12" s="195" t="s">
        <v>150</v>
      </c>
      <c r="J12" s="194"/>
      <c r="L12" s="194"/>
      <c r="N12" s="182"/>
      <c r="O12" s="195" t="s">
        <v>150</v>
      </c>
      <c r="Q12" s="194"/>
      <c r="S12" s="194"/>
      <c r="U12" s="182"/>
      <c r="V12" s="182"/>
    </row>
    <row r="13" spans="1:69" ht="11.1" customHeight="1">
      <c r="A13" s="195" t="s">
        <v>151</v>
      </c>
      <c r="C13" s="194"/>
      <c r="E13" s="194"/>
      <c r="G13" s="182"/>
      <c r="H13" s="195" t="s">
        <v>151</v>
      </c>
      <c r="J13" s="194"/>
      <c r="K13" s="197" t="s">
        <v>147</v>
      </c>
      <c r="L13" s="198" t="s">
        <v>146</v>
      </c>
      <c r="M13" s="199" t="s">
        <v>146</v>
      </c>
      <c r="N13" s="188" t="s">
        <v>146</v>
      </c>
      <c r="O13" s="195" t="s">
        <v>151</v>
      </c>
      <c r="P13" s="191">
        <v>74</v>
      </c>
      <c r="Q13" s="200">
        <v>74</v>
      </c>
      <c r="R13" s="197" t="s">
        <v>147</v>
      </c>
      <c r="S13" s="198" t="s">
        <v>146</v>
      </c>
      <c r="T13" s="199" t="s">
        <v>146</v>
      </c>
      <c r="U13" s="188" t="s">
        <v>146</v>
      </c>
      <c r="V13" s="182"/>
    </row>
    <row r="14" spans="1:69" ht="11.1" customHeight="1">
      <c r="A14" s="195" t="s">
        <v>155</v>
      </c>
      <c r="C14" s="194"/>
      <c r="E14" s="194"/>
      <c r="G14" s="182"/>
      <c r="H14" s="195" t="s">
        <v>155</v>
      </c>
      <c r="J14" s="194"/>
      <c r="K14" s="197" t="s">
        <v>147</v>
      </c>
      <c r="L14" s="198" t="s">
        <v>146</v>
      </c>
      <c r="M14" s="199" t="s">
        <v>146</v>
      </c>
      <c r="N14" s="188" t="s">
        <v>146</v>
      </c>
      <c r="O14" s="195" t="s">
        <v>155</v>
      </c>
      <c r="P14" s="191">
        <v>74</v>
      </c>
      <c r="Q14" s="200">
        <v>74</v>
      </c>
      <c r="R14" s="197" t="s">
        <v>147</v>
      </c>
      <c r="S14" s="198" t="s">
        <v>146</v>
      </c>
      <c r="T14" s="199" t="s">
        <v>146</v>
      </c>
      <c r="U14" s="188" t="s">
        <v>146</v>
      </c>
      <c r="V14" s="182"/>
    </row>
    <row r="15" spans="1:69" ht="11.1" customHeight="1">
      <c r="A15" s="195" t="s">
        <v>156</v>
      </c>
      <c r="C15" s="194"/>
      <c r="E15" s="194"/>
      <c r="G15" s="182"/>
      <c r="H15" s="195" t="s">
        <v>156</v>
      </c>
      <c r="I15" s="191">
        <v>74</v>
      </c>
      <c r="J15" s="200">
        <v>74</v>
      </c>
      <c r="K15" s="197" t="s">
        <v>147</v>
      </c>
      <c r="L15" s="198" t="s">
        <v>146</v>
      </c>
      <c r="M15" s="199" t="s">
        <v>146</v>
      </c>
      <c r="N15" s="188" t="s">
        <v>146</v>
      </c>
      <c r="O15" s="195" t="s">
        <v>156</v>
      </c>
      <c r="P15" s="191">
        <v>74</v>
      </c>
      <c r="Q15" s="200">
        <v>74</v>
      </c>
      <c r="R15" s="197" t="s">
        <v>147</v>
      </c>
      <c r="S15" s="198" t="s">
        <v>146</v>
      </c>
      <c r="T15" s="199" t="s">
        <v>146</v>
      </c>
      <c r="U15" s="188" t="s">
        <v>146</v>
      </c>
      <c r="V15" s="182"/>
    </row>
    <row r="16" spans="1:69" ht="11.1" customHeight="1">
      <c r="A16" s="195" t="s">
        <v>157</v>
      </c>
      <c r="C16" s="194"/>
      <c r="D16" s="197" t="s">
        <v>147</v>
      </c>
      <c r="E16" s="198" t="s">
        <v>146</v>
      </c>
      <c r="F16" s="199" t="s">
        <v>146</v>
      </c>
      <c r="G16" s="190" t="s">
        <v>148</v>
      </c>
      <c r="H16" s="195" t="s">
        <v>157</v>
      </c>
      <c r="I16" s="191">
        <v>74</v>
      </c>
      <c r="J16" s="200">
        <v>74</v>
      </c>
      <c r="K16" s="197" t="s">
        <v>147</v>
      </c>
      <c r="L16" s="198" t="s">
        <v>146</v>
      </c>
      <c r="M16" s="199" t="s">
        <v>146</v>
      </c>
      <c r="N16" s="188" t="s">
        <v>146</v>
      </c>
      <c r="O16" s="195" t="s">
        <v>157</v>
      </c>
      <c r="P16" s="191">
        <v>74</v>
      </c>
      <c r="Q16" s="200">
        <v>74</v>
      </c>
      <c r="R16" s="197" t="s">
        <v>147</v>
      </c>
      <c r="S16" s="198" t="s">
        <v>146</v>
      </c>
      <c r="T16" s="199" t="s">
        <v>146</v>
      </c>
      <c r="U16" s="188" t="s">
        <v>146</v>
      </c>
      <c r="V16" s="182"/>
    </row>
    <row r="17" spans="1:24" ht="11.1" customHeight="1">
      <c r="A17" s="195" t="s">
        <v>158</v>
      </c>
      <c r="B17" s="188" t="s">
        <v>146</v>
      </c>
      <c r="C17" s="198" t="s">
        <v>146</v>
      </c>
      <c r="D17" s="197" t="s">
        <v>147</v>
      </c>
      <c r="E17" s="198" t="s">
        <v>146</v>
      </c>
      <c r="F17" s="199" t="s">
        <v>146</v>
      </c>
      <c r="G17" s="190" t="s">
        <v>148</v>
      </c>
      <c r="H17" s="195" t="s">
        <v>158</v>
      </c>
      <c r="I17" s="191">
        <v>74</v>
      </c>
      <c r="J17" s="200">
        <v>74</v>
      </c>
      <c r="K17" s="197" t="s">
        <v>147</v>
      </c>
      <c r="L17" s="198" t="s">
        <v>146</v>
      </c>
      <c r="M17" s="199" t="s">
        <v>146</v>
      </c>
      <c r="N17" s="188" t="s">
        <v>146</v>
      </c>
      <c r="O17" s="195" t="s">
        <v>158</v>
      </c>
      <c r="P17" s="191">
        <v>74</v>
      </c>
      <c r="Q17" s="200">
        <v>74</v>
      </c>
      <c r="R17" s="197" t="s">
        <v>147</v>
      </c>
      <c r="S17" s="198" t="s">
        <v>146</v>
      </c>
      <c r="T17" s="199" t="s">
        <v>146</v>
      </c>
      <c r="U17" s="188" t="s">
        <v>146</v>
      </c>
      <c r="V17" s="182"/>
    </row>
    <row r="18" spans="1:24" ht="11.1" customHeight="1">
      <c r="A18" s="195" t="s">
        <v>159</v>
      </c>
      <c r="B18" s="188" t="s">
        <v>146</v>
      </c>
      <c r="C18" s="198" t="s">
        <v>146</v>
      </c>
      <c r="D18" s="197" t="s">
        <v>147</v>
      </c>
      <c r="E18" s="198" t="s">
        <v>146</v>
      </c>
      <c r="F18" s="199" t="s">
        <v>146</v>
      </c>
      <c r="G18" s="190" t="s">
        <v>148</v>
      </c>
      <c r="H18" s="195" t="s">
        <v>159</v>
      </c>
      <c r="I18" s="191">
        <v>74</v>
      </c>
      <c r="J18" s="200">
        <v>74</v>
      </c>
      <c r="K18" s="197" t="s">
        <v>147</v>
      </c>
      <c r="L18" s="198" t="s">
        <v>146</v>
      </c>
      <c r="M18" s="199" t="s">
        <v>146</v>
      </c>
      <c r="N18" s="188" t="s">
        <v>146</v>
      </c>
      <c r="O18" s="195" t="s">
        <v>159</v>
      </c>
      <c r="P18" s="191">
        <v>74</v>
      </c>
      <c r="Q18" s="200">
        <v>74</v>
      </c>
      <c r="R18" s="197" t="s">
        <v>147</v>
      </c>
      <c r="S18" s="198" t="s">
        <v>146</v>
      </c>
      <c r="T18" s="199" t="s">
        <v>146</v>
      </c>
      <c r="U18" s="188" t="s">
        <v>146</v>
      </c>
      <c r="V18" s="182"/>
    </row>
    <row r="19" spans="1:24" ht="11.1" customHeight="1">
      <c r="A19" s="195" t="s">
        <v>160</v>
      </c>
      <c r="B19" s="188" t="s">
        <v>146</v>
      </c>
      <c r="C19" s="198" t="s">
        <v>146</v>
      </c>
      <c r="D19" s="197" t="s">
        <v>147</v>
      </c>
      <c r="E19" s="198" t="s">
        <v>146</v>
      </c>
      <c r="F19" s="199" t="s">
        <v>146</v>
      </c>
      <c r="G19" s="190" t="s">
        <v>148</v>
      </c>
      <c r="H19" s="195" t="s">
        <v>160</v>
      </c>
      <c r="I19" s="191">
        <v>74</v>
      </c>
      <c r="J19" s="200">
        <v>74</v>
      </c>
      <c r="K19" s="197" t="s">
        <v>147</v>
      </c>
      <c r="L19" s="198" t="s">
        <v>146</v>
      </c>
      <c r="M19" s="199" t="s">
        <v>146</v>
      </c>
      <c r="N19" s="188" t="s">
        <v>146</v>
      </c>
      <c r="O19" s="201" t="s">
        <v>160</v>
      </c>
      <c r="P19" s="191">
        <v>74</v>
      </c>
      <c r="Q19" s="200">
        <v>74</v>
      </c>
      <c r="R19" s="197" t="s">
        <v>147</v>
      </c>
      <c r="S19" s="198" t="s">
        <v>146</v>
      </c>
      <c r="T19" s="199" t="s">
        <v>146</v>
      </c>
      <c r="U19" s="188" t="s">
        <v>146</v>
      </c>
      <c r="V19" s="182"/>
    </row>
    <row r="20" spans="1:24" ht="11.1" customHeight="1">
      <c r="A20" s="195" t="s">
        <v>161</v>
      </c>
      <c r="B20" s="188" t="s">
        <v>146</v>
      </c>
      <c r="C20" s="198" t="s">
        <v>146</v>
      </c>
      <c r="D20" s="197" t="s">
        <v>147</v>
      </c>
      <c r="E20" s="198" t="s">
        <v>146</v>
      </c>
      <c r="F20" s="199" t="s">
        <v>146</v>
      </c>
      <c r="G20" s="190" t="s">
        <v>148</v>
      </c>
      <c r="H20" s="195" t="s">
        <v>161</v>
      </c>
      <c r="I20" s="191">
        <v>74</v>
      </c>
      <c r="J20" s="200">
        <v>74</v>
      </c>
      <c r="K20" s="197" t="s">
        <v>147</v>
      </c>
      <c r="L20" s="198" t="s">
        <v>146</v>
      </c>
      <c r="M20" s="199" t="s">
        <v>146</v>
      </c>
      <c r="N20" s="188" t="s">
        <v>146</v>
      </c>
      <c r="O20" s="201" t="s">
        <v>161</v>
      </c>
      <c r="P20" s="191">
        <v>74</v>
      </c>
      <c r="Q20" s="200">
        <v>74</v>
      </c>
      <c r="R20" s="197" t="s">
        <v>147</v>
      </c>
      <c r="S20" s="198" t="s">
        <v>146</v>
      </c>
      <c r="T20" s="199" t="s">
        <v>146</v>
      </c>
      <c r="U20" s="188" t="s">
        <v>146</v>
      </c>
      <c r="V20" s="182"/>
    </row>
    <row r="21" spans="1:24" ht="11.1" customHeight="1">
      <c r="A21" s="195" t="s">
        <v>162</v>
      </c>
      <c r="B21" s="188" t="s">
        <v>146</v>
      </c>
      <c r="C21" s="198" t="s">
        <v>146</v>
      </c>
      <c r="D21" s="197" t="s">
        <v>147</v>
      </c>
      <c r="E21" s="198" t="s">
        <v>146</v>
      </c>
      <c r="F21" s="199" t="s">
        <v>146</v>
      </c>
      <c r="G21" s="190" t="s">
        <v>148</v>
      </c>
      <c r="H21" s="195" t="s">
        <v>162</v>
      </c>
      <c r="I21" s="191">
        <v>74</v>
      </c>
      <c r="J21" s="200">
        <v>74</v>
      </c>
      <c r="K21" s="197" t="s">
        <v>147</v>
      </c>
      <c r="L21" s="198" t="s">
        <v>146</v>
      </c>
      <c r="M21" s="199" t="s">
        <v>146</v>
      </c>
      <c r="N21" s="188" t="s">
        <v>146</v>
      </c>
      <c r="O21" s="201" t="s">
        <v>162</v>
      </c>
      <c r="P21" s="191">
        <v>74</v>
      </c>
      <c r="Q21" s="200">
        <v>74</v>
      </c>
      <c r="R21" s="197" t="s">
        <v>147</v>
      </c>
      <c r="S21" s="198" t="s">
        <v>146</v>
      </c>
      <c r="T21" s="199" t="s">
        <v>146</v>
      </c>
      <c r="U21" s="188" t="s">
        <v>146</v>
      </c>
      <c r="V21" s="182"/>
    </row>
    <row r="22" spans="1:24" ht="11.1" customHeight="1">
      <c r="A22" s="201" t="s">
        <v>163</v>
      </c>
      <c r="B22" s="188" t="s">
        <v>146</v>
      </c>
      <c r="C22" s="198" t="s">
        <v>146</v>
      </c>
      <c r="D22" s="197" t="s">
        <v>147</v>
      </c>
      <c r="E22" s="198" t="s">
        <v>146</v>
      </c>
      <c r="F22" s="199" t="s">
        <v>146</v>
      </c>
      <c r="G22" s="190" t="s">
        <v>148</v>
      </c>
      <c r="H22" s="201" t="s">
        <v>163</v>
      </c>
      <c r="I22" s="191">
        <v>74</v>
      </c>
      <c r="J22" s="200">
        <v>74</v>
      </c>
      <c r="K22" s="197" t="s">
        <v>147</v>
      </c>
      <c r="L22" s="198" t="s">
        <v>146</v>
      </c>
      <c r="M22" s="199" t="s">
        <v>146</v>
      </c>
      <c r="N22" s="188" t="s">
        <v>146</v>
      </c>
      <c r="O22" s="201" t="s">
        <v>163</v>
      </c>
      <c r="P22" s="191">
        <v>74</v>
      </c>
      <c r="Q22" s="200">
        <v>74</v>
      </c>
      <c r="R22" s="197" t="s">
        <v>147</v>
      </c>
      <c r="S22" s="198" t="s">
        <v>146</v>
      </c>
      <c r="T22" s="199" t="s">
        <v>146</v>
      </c>
      <c r="U22" s="188" t="s">
        <v>146</v>
      </c>
      <c r="V22" s="182"/>
      <c r="W22" s="288">
        <v>46308</v>
      </c>
      <c r="X22" s="290" t="s">
        <v>369</v>
      </c>
    </row>
    <row r="23" spans="1:24" ht="11.1" customHeight="1">
      <c r="A23" s="195" t="s">
        <v>164</v>
      </c>
      <c r="B23" s="188" t="s">
        <v>146</v>
      </c>
      <c r="C23" s="198" t="s">
        <v>146</v>
      </c>
      <c r="D23" s="197" t="s">
        <v>147</v>
      </c>
      <c r="E23" s="198" t="s">
        <v>146</v>
      </c>
      <c r="F23" s="199" t="s">
        <v>146</v>
      </c>
      <c r="G23" s="190" t="s">
        <v>148</v>
      </c>
      <c r="H23" s="195" t="s">
        <v>164</v>
      </c>
      <c r="I23" s="191">
        <v>74</v>
      </c>
      <c r="J23" s="200">
        <v>74</v>
      </c>
      <c r="K23" s="197" t="s">
        <v>147</v>
      </c>
      <c r="L23" s="198" t="s">
        <v>146</v>
      </c>
      <c r="M23" s="199" t="s">
        <v>146</v>
      </c>
      <c r="N23" s="188" t="s">
        <v>146</v>
      </c>
      <c r="O23" s="201" t="s">
        <v>164</v>
      </c>
      <c r="P23" s="191">
        <v>74</v>
      </c>
      <c r="Q23" s="200">
        <v>74</v>
      </c>
      <c r="R23" s="197" t="s">
        <v>147</v>
      </c>
      <c r="S23" s="198" t="s">
        <v>146</v>
      </c>
      <c r="T23" s="199" t="s">
        <v>146</v>
      </c>
      <c r="U23" s="188" t="s">
        <v>146</v>
      </c>
      <c r="V23" s="182"/>
    </row>
    <row r="24" spans="1:24" ht="11.1" customHeight="1">
      <c r="A24" s="201" t="s">
        <v>165</v>
      </c>
      <c r="B24" s="188" t="s">
        <v>146</v>
      </c>
      <c r="C24" s="198" t="s">
        <v>146</v>
      </c>
      <c r="D24" s="197" t="s">
        <v>147</v>
      </c>
      <c r="E24" s="198" t="s">
        <v>146</v>
      </c>
      <c r="F24" s="199" t="s">
        <v>146</v>
      </c>
      <c r="G24" s="190" t="s">
        <v>148</v>
      </c>
      <c r="H24" s="201" t="s">
        <v>165</v>
      </c>
      <c r="I24" s="191">
        <v>74</v>
      </c>
      <c r="J24" s="200">
        <v>74</v>
      </c>
      <c r="K24" s="197" t="s">
        <v>147</v>
      </c>
      <c r="L24" s="198" t="s">
        <v>146</v>
      </c>
      <c r="M24" s="199" t="s">
        <v>146</v>
      </c>
      <c r="N24" s="188" t="s">
        <v>146</v>
      </c>
      <c r="O24" s="201" t="s">
        <v>165</v>
      </c>
      <c r="P24" s="191">
        <v>74</v>
      </c>
      <c r="Q24" s="200">
        <v>74</v>
      </c>
      <c r="R24" s="197" t="s">
        <v>147</v>
      </c>
      <c r="S24" s="198" t="s">
        <v>146</v>
      </c>
      <c r="T24" s="199" t="s">
        <v>146</v>
      </c>
      <c r="U24" s="188" t="s">
        <v>146</v>
      </c>
      <c r="V24" s="182"/>
    </row>
    <row r="25" spans="1:24" ht="10.9" customHeight="1">
      <c r="A25" s="201" t="s">
        <v>166</v>
      </c>
      <c r="B25" s="188" t="s">
        <v>146</v>
      </c>
      <c r="C25" s="198" t="s">
        <v>146</v>
      </c>
      <c r="D25" s="197" t="s">
        <v>147</v>
      </c>
      <c r="E25" s="198" t="s">
        <v>146</v>
      </c>
      <c r="F25" s="199" t="s">
        <v>146</v>
      </c>
      <c r="G25" s="190" t="s">
        <v>148</v>
      </c>
      <c r="H25" s="201" t="s">
        <v>166</v>
      </c>
      <c r="I25" s="191">
        <v>74</v>
      </c>
      <c r="J25" s="200">
        <v>74</v>
      </c>
      <c r="K25" s="197" t="s">
        <v>147</v>
      </c>
      <c r="L25" s="198" t="s">
        <v>146</v>
      </c>
      <c r="M25" s="199" t="s">
        <v>146</v>
      </c>
      <c r="N25" s="188" t="s">
        <v>146</v>
      </c>
      <c r="O25" s="201" t="s">
        <v>166</v>
      </c>
      <c r="P25" s="191">
        <v>74</v>
      </c>
      <c r="Q25" s="200">
        <v>74</v>
      </c>
      <c r="R25" s="197" t="s">
        <v>147</v>
      </c>
      <c r="S25" s="198" t="s">
        <v>146</v>
      </c>
      <c r="T25" s="199" t="s">
        <v>146</v>
      </c>
      <c r="U25" s="188" t="s">
        <v>146</v>
      </c>
      <c r="V25" s="182"/>
    </row>
    <row r="26" spans="1:24" ht="10.9" customHeight="1">
      <c r="A26" s="201" t="s">
        <v>167</v>
      </c>
      <c r="B26" s="188" t="s">
        <v>146</v>
      </c>
      <c r="C26" s="198" t="s">
        <v>146</v>
      </c>
      <c r="D26" s="197" t="s">
        <v>147</v>
      </c>
      <c r="E26" s="198" t="s">
        <v>146</v>
      </c>
      <c r="F26" s="199" t="s">
        <v>146</v>
      </c>
      <c r="G26" s="190" t="s">
        <v>148</v>
      </c>
      <c r="H26" s="201" t="s">
        <v>167</v>
      </c>
      <c r="I26" s="191">
        <v>74</v>
      </c>
      <c r="J26" s="200">
        <v>74</v>
      </c>
      <c r="K26" s="197" t="s">
        <v>147</v>
      </c>
      <c r="L26" s="198" t="s">
        <v>146</v>
      </c>
      <c r="M26" s="199" t="s">
        <v>146</v>
      </c>
      <c r="N26" s="188" t="s">
        <v>146</v>
      </c>
      <c r="O26" s="201" t="s">
        <v>167</v>
      </c>
      <c r="P26" s="191">
        <v>74</v>
      </c>
      <c r="Q26" s="200">
        <v>74</v>
      </c>
      <c r="R26" s="197" t="s">
        <v>147</v>
      </c>
      <c r="S26" s="198" t="s">
        <v>146</v>
      </c>
      <c r="T26" s="199" t="s">
        <v>146</v>
      </c>
      <c r="U26" s="188" t="s">
        <v>146</v>
      </c>
      <c r="V26" s="182"/>
    </row>
    <row r="27" spans="1:24" ht="10.9" customHeight="1">
      <c r="A27" s="201" t="s">
        <v>168</v>
      </c>
      <c r="B27" s="188" t="s">
        <v>146</v>
      </c>
      <c r="C27" s="198" t="s">
        <v>146</v>
      </c>
      <c r="D27" s="197" t="s">
        <v>147</v>
      </c>
      <c r="E27" s="198" t="s">
        <v>146</v>
      </c>
      <c r="F27" s="199" t="s">
        <v>146</v>
      </c>
      <c r="G27" s="190" t="s">
        <v>148</v>
      </c>
      <c r="H27" s="201" t="s">
        <v>168</v>
      </c>
      <c r="I27" s="191">
        <v>74</v>
      </c>
      <c r="J27" s="200">
        <v>74</v>
      </c>
      <c r="K27" s="197" t="s">
        <v>147</v>
      </c>
      <c r="L27" s="198" t="s">
        <v>146</v>
      </c>
      <c r="M27" s="199" t="s">
        <v>146</v>
      </c>
      <c r="N27" s="188" t="s">
        <v>146</v>
      </c>
      <c r="O27" s="201" t="s">
        <v>168</v>
      </c>
      <c r="P27" s="191">
        <v>74</v>
      </c>
      <c r="Q27" s="200">
        <v>74</v>
      </c>
      <c r="R27" s="197" t="s">
        <v>147</v>
      </c>
      <c r="S27" s="198" t="s">
        <v>146</v>
      </c>
      <c r="T27" s="199" t="s">
        <v>146</v>
      </c>
      <c r="U27" s="188" t="s">
        <v>146</v>
      </c>
      <c r="V27" s="182"/>
      <c r="W27" s="288">
        <v>46280</v>
      </c>
      <c r="X27" s="290" t="s">
        <v>330</v>
      </c>
    </row>
    <row r="28" spans="1:24" ht="10.9" customHeight="1">
      <c r="A28" s="201" t="s">
        <v>170</v>
      </c>
      <c r="B28" s="188" t="s">
        <v>146</v>
      </c>
      <c r="C28" s="198" t="s">
        <v>146</v>
      </c>
      <c r="D28" s="197" t="s">
        <v>147</v>
      </c>
      <c r="E28" s="198" t="s">
        <v>146</v>
      </c>
      <c r="F28" s="199" t="s">
        <v>146</v>
      </c>
      <c r="G28" s="190" t="s">
        <v>148</v>
      </c>
      <c r="H28" s="201" t="s">
        <v>170</v>
      </c>
      <c r="I28" s="191">
        <v>74</v>
      </c>
      <c r="J28" s="200">
        <v>74</v>
      </c>
      <c r="K28" s="197" t="s">
        <v>147</v>
      </c>
      <c r="L28" s="198" t="s">
        <v>146</v>
      </c>
      <c r="M28" s="199" t="s">
        <v>146</v>
      </c>
      <c r="N28" s="188" t="s">
        <v>146</v>
      </c>
      <c r="O28" s="201" t="s">
        <v>170</v>
      </c>
      <c r="P28" s="191">
        <v>74</v>
      </c>
      <c r="Q28" s="200">
        <v>74</v>
      </c>
      <c r="R28" s="197" t="s">
        <v>147</v>
      </c>
      <c r="S28" s="198" t="s">
        <v>146</v>
      </c>
      <c r="T28" s="199" t="s">
        <v>146</v>
      </c>
      <c r="U28" s="188" t="s">
        <v>146</v>
      </c>
      <c r="V28" s="182"/>
    </row>
    <row r="29" spans="1:24" ht="10.9" customHeight="1">
      <c r="A29" s="201" t="s">
        <v>171</v>
      </c>
      <c r="B29" s="188" t="s">
        <v>146</v>
      </c>
      <c r="C29" s="198" t="s">
        <v>146</v>
      </c>
      <c r="D29" s="197" t="s">
        <v>147</v>
      </c>
      <c r="E29" s="198" t="s">
        <v>146</v>
      </c>
      <c r="F29" s="199" t="s">
        <v>146</v>
      </c>
      <c r="G29" s="190" t="s">
        <v>148</v>
      </c>
      <c r="H29" s="201" t="s">
        <v>171</v>
      </c>
      <c r="I29" s="191">
        <v>74</v>
      </c>
      <c r="J29" s="200">
        <v>74</v>
      </c>
      <c r="K29" s="197" t="s">
        <v>147</v>
      </c>
      <c r="L29" s="198" t="s">
        <v>146</v>
      </c>
      <c r="M29" s="199" t="s">
        <v>146</v>
      </c>
      <c r="N29" s="188" t="s">
        <v>146</v>
      </c>
      <c r="O29" s="201" t="s">
        <v>171</v>
      </c>
      <c r="P29" s="191">
        <v>74</v>
      </c>
      <c r="Q29" s="200">
        <v>74</v>
      </c>
      <c r="R29" s="197" t="s">
        <v>147</v>
      </c>
      <c r="S29" s="198" t="s">
        <v>146</v>
      </c>
      <c r="T29" s="199" t="s">
        <v>146</v>
      </c>
      <c r="U29" s="188" t="s">
        <v>146</v>
      </c>
      <c r="V29" s="182"/>
    </row>
    <row r="30" spans="1:24" ht="10.9" customHeight="1">
      <c r="A30" s="201" t="s">
        <v>173</v>
      </c>
      <c r="B30" s="188" t="s">
        <v>146</v>
      </c>
      <c r="C30" s="198" t="s">
        <v>146</v>
      </c>
      <c r="D30" s="197" t="s">
        <v>147</v>
      </c>
      <c r="E30" s="198" t="s">
        <v>146</v>
      </c>
      <c r="F30" s="199" t="s">
        <v>146</v>
      </c>
      <c r="G30" s="190" t="s">
        <v>148</v>
      </c>
      <c r="H30" s="201" t="s">
        <v>173</v>
      </c>
      <c r="I30" s="191">
        <v>74</v>
      </c>
      <c r="J30" s="200">
        <v>74</v>
      </c>
      <c r="K30" s="197" t="s">
        <v>147</v>
      </c>
      <c r="L30" s="198" t="s">
        <v>146</v>
      </c>
      <c r="M30" s="199" t="s">
        <v>146</v>
      </c>
      <c r="N30" s="188" t="s">
        <v>146</v>
      </c>
      <c r="O30" s="201" t="s">
        <v>173</v>
      </c>
      <c r="P30" s="191">
        <v>74</v>
      </c>
      <c r="Q30" s="200">
        <v>74</v>
      </c>
      <c r="R30" s="197" t="s">
        <v>147</v>
      </c>
      <c r="S30" s="198" t="s">
        <v>146</v>
      </c>
      <c r="T30" s="199" t="s">
        <v>146</v>
      </c>
      <c r="U30" s="188" t="s">
        <v>146</v>
      </c>
      <c r="V30" s="182"/>
    </row>
    <row r="31" spans="1:24" ht="10.9" customHeight="1">
      <c r="A31" s="201" t="s">
        <v>174</v>
      </c>
      <c r="B31" s="188" t="s">
        <v>146</v>
      </c>
      <c r="C31" s="198" t="s">
        <v>146</v>
      </c>
      <c r="D31" s="197" t="s">
        <v>147</v>
      </c>
      <c r="E31" s="198" t="s">
        <v>146</v>
      </c>
      <c r="F31" s="199" t="s">
        <v>146</v>
      </c>
      <c r="G31" s="190" t="s">
        <v>148</v>
      </c>
      <c r="H31" s="201" t="s">
        <v>174</v>
      </c>
      <c r="I31" s="191">
        <v>74</v>
      </c>
      <c r="J31" s="200">
        <v>74</v>
      </c>
      <c r="K31" s="197" t="s">
        <v>147</v>
      </c>
      <c r="L31" s="198" t="s">
        <v>146</v>
      </c>
      <c r="M31" s="199" t="s">
        <v>146</v>
      </c>
      <c r="N31" s="188" t="s">
        <v>146</v>
      </c>
      <c r="O31" s="201" t="s">
        <v>174</v>
      </c>
      <c r="P31" s="191">
        <v>74</v>
      </c>
      <c r="Q31" s="200">
        <v>74</v>
      </c>
      <c r="R31" s="197" t="s">
        <v>147</v>
      </c>
      <c r="S31" s="198" t="s">
        <v>146</v>
      </c>
      <c r="T31" s="199" t="s">
        <v>146</v>
      </c>
      <c r="U31" s="188" t="s">
        <v>146</v>
      </c>
      <c r="V31" s="182"/>
    </row>
    <row r="32" spans="1:24" ht="10.9" customHeight="1">
      <c r="A32" s="201" t="s">
        <v>175</v>
      </c>
      <c r="B32" s="188" t="s">
        <v>146</v>
      </c>
      <c r="C32" s="198" t="s">
        <v>146</v>
      </c>
      <c r="D32" s="197" t="s">
        <v>147</v>
      </c>
      <c r="E32" s="198" t="s">
        <v>146</v>
      </c>
      <c r="F32" s="199" t="s">
        <v>146</v>
      </c>
      <c r="G32" s="190" t="s">
        <v>148</v>
      </c>
      <c r="H32" s="201" t="s">
        <v>175</v>
      </c>
      <c r="I32" s="191">
        <v>74</v>
      </c>
      <c r="J32" s="200">
        <v>74</v>
      </c>
      <c r="K32" s="197" t="s">
        <v>147</v>
      </c>
      <c r="L32" s="198" t="s">
        <v>146</v>
      </c>
      <c r="M32" s="199" t="s">
        <v>146</v>
      </c>
      <c r="N32" s="188" t="s">
        <v>146</v>
      </c>
      <c r="O32" s="201" t="s">
        <v>175</v>
      </c>
      <c r="P32" s="191">
        <v>74</v>
      </c>
      <c r="Q32" s="200">
        <v>74</v>
      </c>
      <c r="R32" s="197" t="s">
        <v>147</v>
      </c>
      <c r="S32" s="198" t="s">
        <v>146</v>
      </c>
      <c r="T32" s="199" t="s">
        <v>146</v>
      </c>
      <c r="U32" s="188" t="s">
        <v>146</v>
      </c>
      <c r="V32" s="182"/>
      <c r="W32" s="288">
        <v>46245</v>
      </c>
      <c r="X32" s="290" t="s">
        <v>329</v>
      </c>
    </row>
    <row r="33" spans="1:24" ht="10.9" customHeight="1">
      <c r="A33" s="201" t="s">
        <v>176</v>
      </c>
      <c r="B33" s="188" t="s">
        <v>146</v>
      </c>
      <c r="C33" s="198" t="s">
        <v>146</v>
      </c>
      <c r="D33" s="197" t="s">
        <v>147</v>
      </c>
      <c r="E33" s="198" t="s">
        <v>146</v>
      </c>
      <c r="F33" s="199" t="s">
        <v>146</v>
      </c>
      <c r="G33" s="190" t="s">
        <v>148</v>
      </c>
      <c r="H33" s="201" t="s">
        <v>176</v>
      </c>
      <c r="I33" s="191">
        <v>74</v>
      </c>
      <c r="J33" s="200">
        <v>74</v>
      </c>
      <c r="K33" s="197" t="s">
        <v>147</v>
      </c>
      <c r="L33" s="198" t="s">
        <v>146</v>
      </c>
      <c r="M33" s="199" t="s">
        <v>146</v>
      </c>
      <c r="N33" s="188" t="s">
        <v>146</v>
      </c>
      <c r="O33" s="201" t="s">
        <v>176</v>
      </c>
      <c r="P33" s="191">
        <v>74</v>
      </c>
      <c r="Q33" s="200">
        <v>74</v>
      </c>
      <c r="R33" s="197" t="s">
        <v>147</v>
      </c>
      <c r="S33" s="198" t="s">
        <v>146</v>
      </c>
      <c r="T33" s="199" t="s">
        <v>146</v>
      </c>
      <c r="U33" s="188" t="s">
        <v>146</v>
      </c>
      <c r="V33" s="182"/>
    </row>
    <row r="34" spans="1:24" ht="10.9" customHeight="1">
      <c r="A34" s="195" t="s">
        <v>177</v>
      </c>
      <c r="B34" s="188" t="s">
        <v>146</v>
      </c>
      <c r="C34" s="198" t="s">
        <v>146</v>
      </c>
      <c r="D34" s="197" t="s">
        <v>147</v>
      </c>
      <c r="E34" s="198" t="s">
        <v>146</v>
      </c>
      <c r="F34" s="199" t="s">
        <v>146</v>
      </c>
      <c r="G34" s="190" t="s">
        <v>148</v>
      </c>
      <c r="H34" s="195" t="s">
        <v>177</v>
      </c>
      <c r="I34" s="191">
        <v>74</v>
      </c>
      <c r="J34" s="200">
        <v>74</v>
      </c>
      <c r="K34" s="197" t="s">
        <v>147</v>
      </c>
      <c r="L34" s="198" t="s">
        <v>146</v>
      </c>
      <c r="M34" s="199" t="s">
        <v>146</v>
      </c>
      <c r="N34" s="188" t="s">
        <v>146</v>
      </c>
      <c r="O34" s="201" t="s">
        <v>177</v>
      </c>
      <c r="P34" s="191">
        <v>74</v>
      </c>
      <c r="Q34" s="200">
        <v>74</v>
      </c>
      <c r="R34" s="197" t="s">
        <v>147</v>
      </c>
      <c r="S34" s="198" t="s">
        <v>146</v>
      </c>
      <c r="T34" s="199" t="s">
        <v>146</v>
      </c>
      <c r="U34" s="188" t="s">
        <v>146</v>
      </c>
      <c r="V34" s="182"/>
    </row>
    <row r="35" spans="1:24" ht="10.9" customHeight="1">
      <c r="A35" s="195" t="s">
        <v>178</v>
      </c>
      <c r="B35" s="188" t="s">
        <v>146</v>
      </c>
      <c r="C35" s="198" t="s">
        <v>146</v>
      </c>
      <c r="D35" s="197" t="s">
        <v>147</v>
      </c>
      <c r="E35" s="198" t="s">
        <v>146</v>
      </c>
      <c r="F35" s="199" t="s">
        <v>146</v>
      </c>
      <c r="G35" s="190" t="s">
        <v>148</v>
      </c>
      <c r="H35" s="195" t="s">
        <v>178</v>
      </c>
      <c r="I35" s="191">
        <v>74</v>
      </c>
      <c r="J35" s="200">
        <v>74</v>
      </c>
      <c r="K35" s="197" t="s">
        <v>147</v>
      </c>
      <c r="L35" s="198" t="s">
        <v>146</v>
      </c>
      <c r="M35" s="199" t="s">
        <v>146</v>
      </c>
      <c r="N35" s="188" t="s">
        <v>146</v>
      </c>
      <c r="O35" s="201" t="s">
        <v>178</v>
      </c>
      <c r="P35" s="191">
        <v>74</v>
      </c>
      <c r="Q35" s="200">
        <v>74</v>
      </c>
      <c r="R35" s="197" t="s">
        <v>147</v>
      </c>
      <c r="S35" s="198" t="s">
        <v>146</v>
      </c>
      <c r="T35" s="199" t="s">
        <v>146</v>
      </c>
      <c r="U35" s="188" t="s">
        <v>146</v>
      </c>
      <c r="V35" s="182"/>
    </row>
    <row r="36" spans="1:24" ht="10.9" customHeight="1">
      <c r="A36" s="195" t="s">
        <v>179</v>
      </c>
      <c r="B36" s="188" t="s">
        <v>146</v>
      </c>
      <c r="C36" s="198" t="s">
        <v>146</v>
      </c>
      <c r="D36" s="197" t="s">
        <v>147</v>
      </c>
      <c r="E36" s="198" t="s">
        <v>146</v>
      </c>
      <c r="F36" s="199" t="s">
        <v>146</v>
      </c>
      <c r="G36" s="190" t="s">
        <v>148</v>
      </c>
      <c r="H36" s="195" t="s">
        <v>179</v>
      </c>
      <c r="I36" s="191">
        <v>74</v>
      </c>
      <c r="J36" s="200">
        <v>74</v>
      </c>
      <c r="K36" s="197" t="s">
        <v>147</v>
      </c>
      <c r="L36" s="198" t="s">
        <v>146</v>
      </c>
      <c r="M36" s="199" t="s">
        <v>146</v>
      </c>
      <c r="N36" s="188" t="s">
        <v>146</v>
      </c>
      <c r="O36" s="201" t="s">
        <v>179</v>
      </c>
      <c r="P36" s="191">
        <v>74</v>
      </c>
      <c r="Q36" s="200">
        <v>74</v>
      </c>
      <c r="R36" s="197" t="s">
        <v>147</v>
      </c>
      <c r="S36" s="198" t="s">
        <v>146</v>
      </c>
      <c r="T36" s="199" t="s">
        <v>146</v>
      </c>
      <c r="U36" s="188" t="s">
        <v>146</v>
      </c>
      <c r="V36" s="182"/>
    </row>
    <row r="37" spans="1:24" ht="10.9" customHeight="1">
      <c r="A37" s="195" t="s">
        <v>180</v>
      </c>
      <c r="B37" s="188" t="s">
        <v>146</v>
      </c>
      <c r="C37" s="198" t="s">
        <v>146</v>
      </c>
      <c r="D37" s="197" t="s">
        <v>147</v>
      </c>
      <c r="E37" s="198" t="s">
        <v>146</v>
      </c>
      <c r="F37" s="199" t="s">
        <v>146</v>
      </c>
      <c r="G37" s="190" t="s">
        <v>148</v>
      </c>
      <c r="H37" s="195" t="s">
        <v>180</v>
      </c>
      <c r="I37" s="191">
        <v>74</v>
      </c>
      <c r="J37" s="200">
        <v>74</v>
      </c>
      <c r="K37" s="197" t="s">
        <v>147</v>
      </c>
      <c r="L37" s="198" t="s">
        <v>146</v>
      </c>
      <c r="M37" s="199" t="s">
        <v>146</v>
      </c>
      <c r="N37" s="188" t="s">
        <v>146</v>
      </c>
      <c r="O37" s="195" t="s">
        <v>180</v>
      </c>
      <c r="P37" s="191">
        <v>74</v>
      </c>
      <c r="Q37" s="200">
        <v>74</v>
      </c>
      <c r="R37" s="197" t="s">
        <v>147</v>
      </c>
      <c r="S37" s="198" t="s">
        <v>146</v>
      </c>
      <c r="T37" s="199" t="s">
        <v>146</v>
      </c>
      <c r="U37" s="188" t="s">
        <v>146</v>
      </c>
      <c r="V37" s="182"/>
      <c r="W37" s="288">
        <v>46218</v>
      </c>
      <c r="X37" s="290" t="s">
        <v>328</v>
      </c>
    </row>
    <row r="38" spans="1:24" ht="10.9" customHeight="1">
      <c r="A38" s="195" t="s">
        <v>181</v>
      </c>
      <c r="B38" s="188" t="s">
        <v>146</v>
      </c>
      <c r="C38" s="198" t="s">
        <v>146</v>
      </c>
      <c r="D38" s="197" t="s">
        <v>147</v>
      </c>
      <c r="E38" s="198" t="s">
        <v>146</v>
      </c>
      <c r="F38" s="199" t="s">
        <v>146</v>
      </c>
      <c r="G38" s="190" t="s">
        <v>148</v>
      </c>
      <c r="H38" s="195" t="s">
        <v>181</v>
      </c>
      <c r="I38" s="191">
        <v>74</v>
      </c>
      <c r="J38" s="200">
        <v>74</v>
      </c>
      <c r="K38" s="197" t="s">
        <v>147</v>
      </c>
      <c r="L38" s="198" t="s">
        <v>146</v>
      </c>
      <c r="M38" s="199" t="s">
        <v>146</v>
      </c>
      <c r="N38" s="188" t="s">
        <v>146</v>
      </c>
      <c r="O38" s="195" t="s">
        <v>181</v>
      </c>
      <c r="P38" s="191">
        <v>74</v>
      </c>
      <c r="Q38" s="200">
        <v>74</v>
      </c>
      <c r="R38" s="197" t="s">
        <v>147</v>
      </c>
      <c r="S38" s="198" t="s">
        <v>146</v>
      </c>
      <c r="T38" s="199" t="s">
        <v>146</v>
      </c>
      <c r="U38" s="188" t="s">
        <v>146</v>
      </c>
      <c r="V38" s="182"/>
    </row>
    <row r="39" spans="1:24" ht="10.9" customHeight="1">
      <c r="A39" s="195" t="s">
        <v>182</v>
      </c>
      <c r="B39" s="188" t="s">
        <v>146</v>
      </c>
      <c r="C39" s="198" t="s">
        <v>146</v>
      </c>
      <c r="D39" s="197" t="s">
        <v>147</v>
      </c>
      <c r="E39" s="198" t="s">
        <v>146</v>
      </c>
      <c r="F39" s="199" t="s">
        <v>146</v>
      </c>
      <c r="G39" s="190" t="s">
        <v>148</v>
      </c>
      <c r="H39" s="195" t="s">
        <v>182</v>
      </c>
      <c r="I39" s="191">
        <v>74</v>
      </c>
      <c r="J39" s="200">
        <v>74</v>
      </c>
      <c r="K39" s="197" t="s">
        <v>147</v>
      </c>
      <c r="L39" s="198" t="s">
        <v>146</v>
      </c>
      <c r="M39" s="199" t="s">
        <v>146</v>
      </c>
      <c r="N39" s="188" t="s">
        <v>146</v>
      </c>
      <c r="O39" s="195" t="s">
        <v>182</v>
      </c>
      <c r="P39" s="191">
        <v>74</v>
      </c>
      <c r="Q39" s="200">
        <v>74</v>
      </c>
      <c r="R39" s="197" t="s">
        <v>147</v>
      </c>
      <c r="S39" s="198" t="s">
        <v>146</v>
      </c>
      <c r="T39" s="199" t="s">
        <v>146</v>
      </c>
      <c r="U39" s="188" t="s">
        <v>146</v>
      </c>
      <c r="V39" s="182"/>
    </row>
    <row r="40" spans="1:24" ht="10.9" customHeight="1">
      <c r="A40" s="195" t="s">
        <v>183</v>
      </c>
      <c r="B40" s="188" t="s">
        <v>146</v>
      </c>
      <c r="C40" s="198" t="s">
        <v>146</v>
      </c>
      <c r="D40" s="197" t="s">
        <v>147</v>
      </c>
      <c r="E40" s="198" t="s">
        <v>146</v>
      </c>
      <c r="F40" s="199" t="s">
        <v>146</v>
      </c>
      <c r="G40" s="190" t="s">
        <v>148</v>
      </c>
      <c r="H40" s="195" t="s">
        <v>183</v>
      </c>
      <c r="I40" s="191">
        <v>74</v>
      </c>
      <c r="J40" s="200">
        <v>74</v>
      </c>
      <c r="K40" s="197" t="s">
        <v>147</v>
      </c>
      <c r="L40" s="198" t="s">
        <v>146</v>
      </c>
      <c r="M40" s="199" t="s">
        <v>146</v>
      </c>
      <c r="N40" s="208" t="s">
        <v>146</v>
      </c>
      <c r="O40" s="195" t="s">
        <v>183</v>
      </c>
      <c r="P40" s="191">
        <v>74</v>
      </c>
      <c r="Q40" s="200">
        <v>74</v>
      </c>
      <c r="R40" s="197" t="s">
        <v>147</v>
      </c>
      <c r="S40" s="207"/>
      <c r="T40" s="205"/>
      <c r="U40" s="206"/>
      <c r="V40" s="182"/>
    </row>
    <row r="41" spans="1:24" ht="10.9" customHeight="1">
      <c r="A41" s="195" t="s">
        <v>184</v>
      </c>
      <c r="B41" s="188" t="s">
        <v>146</v>
      </c>
      <c r="C41" s="198" t="s">
        <v>146</v>
      </c>
      <c r="D41" s="197" t="s">
        <v>147</v>
      </c>
      <c r="E41" s="207"/>
      <c r="F41" s="199" t="s">
        <v>146</v>
      </c>
      <c r="G41" s="190" t="s">
        <v>148</v>
      </c>
      <c r="H41" s="195" t="s">
        <v>184</v>
      </c>
      <c r="I41" s="191">
        <v>74</v>
      </c>
      <c r="J41" s="200">
        <v>74</v>
      </c>
      <c r="K41" s="197" t="s">
        <v>147</v>
      </c>
      <c r="L41" s="207"/>
      <c r="M41" s="209"/>
      <c r="N41" s="302" t="s">
        <v>185</v>
      </c>
      <c r="O41" s="195" t="s">
        <v>184</v>
      </c>
      <c r="P41" s="191">
        <v>74</v>
      </c>
      <c r="Q41" s="200">
        <v>74</v>
      </c>
      <c r="R41" s="197" t="s">
        <v>147</v>
      </c>
      <c r="S41" s="207"/>
      <c r="T41" s="205"/>
      <c r="U41" s="206"/>
      <c r="V41" s="182"/>
    </row>
    <row r="42" spans="1:24" ht="12" customHeight="1">
      <c r="A42" s="212"/>
      <c r="B42" s="187" t="s">
        <v>187</v>
      </c>
      <c r="C42" s="213" t="s">
        <v>188</v>
      </c>
      <c r="D42" s="214" t="s">
        <v>142</v>
      </c>
      <c r="E42" s="213" t="s">
        <v>143</v>
      </c>
      <c r="F42" s="214" t="s">
        <v>144</v>
      </c>
      <c r="G42" s="187" t="s">
        <v>145</v>
      </c>
      <c r="H42" s="212"/>
      <c r="I42" s="187" t="s">
        <v>187</v>
      </c>
      <c r="J42" s="213" t="s">
        <v>188</v>
      </c>
      <c r="K42" s="214" t="s">
        <v>142</v>
      </c>
      <c r="L42" s="213" t="s">
        <v>143</v>
      </c>
      <c r="M42" s="214" t="s">
        <v>144</v>
      </c>
      <c r="N42" s="215" t="s">
        <v>145</v>
      </c>
      <c r="O42" s="212"/>
      <c r="P42" s="187" t="s">
        <v>187</v>
      </c>
      <c r="Q42" s="213" t="s">
        <v>188</v>
      </c>
      <c r="R42" s="214" t="s">
        <v>142</v>
      </c>
      <c r="S42" s="213" t="s">
        <v>143</v>
      </c>
      <c r="T42" s="214" t="s">
        <v>144</v>
      </c>
      <c r="U42" s="187" t="s">
        <v>145</v>
      </c>
      <c r="V42" s="182"/>
    </row>
    <row r="43" spans="1:24" ht="12" customHeight="1">
      <c r="A43" s="186"/>
      <c r="B43" s="186"/>
      <c r="C43" s="186"/>
      <c r="D43" s="186"/>
      <c r="E43" s="186"/>
      <c r="F43" s="186"/>
      <c r="H43" s="186"/>
      <c r="I43" s="186"/>
      <c r="J43" s="186"/>
      <c r="K43" s="186"/>
      <c r="L43" s="186"/>
      <c r="M43" s="186"/>
      <c r="O43" s="186"/>
      <c r="P43" s="186"/>
      <c r="Q43" s="186"/>
      <c r="R43" s="186"/>
      <c r="S43" s="186"/>
      <c r="T43" s="186"/>
    </row>
    <row r="44" spans="1:24" ht="12.75" customHeight="1"/>
    <row r="45" spans="1:24" ht="3.75" customHeight="1">
      <c r="G45" s="216"/>
      <c r="N45" s="216"/>
      <c r="U45" s="216"/>
    </row>
    <row r="46" spans="1:24">
      <c r="A46" s="185"/>
      <c r="B46" s="308" t="s">
        <v>129</v>
      </c>
      <c r="C46" s="308"/>
      <c r="D46" s="308"/>
      <c r="E46" s="308"/>
      <c r="F46" s="308"/>
      <c r="G46" s="308"/>
      <c r="I46" s="308" t="s">
        <v>129</v>
      </c>
      <c r="J46" s="308"/>
      <c r="K46" s="308"/>
      <c r="L46" s="308"/>
      <c r="M46" s="308"/>
      <c r="N46" s="308"/>
      <c r="O46" s="185"/>
      <c r="P46" s="309" t="s">
        <v>129</v>
      </c>
      <c r="Q46" s="309"/>
      <c r="R46" s="309"/>
      <c r="S46" s="309"/>
      <c r="T46" s="309"/>
    </row>
    <row r="47" spans="1:24">
      <c r="A47" s="185"/>
      <c r="B47" s="310" t="s">
        <v>133</v>
      </c>
      <c r="C47" s="310"/>
      <c r="D47" s="310"/>
      <c r="E47" s="310"/>
      <c r="F47" s="310"/>
      <c r="G47" s="310"/>
      <c r="H47" s="185"/>
      <c r="I47" s="310" t="s">
        <v>134</v>
      </c>
      <c r="J47" s="310"/>
      <c r="K47" s="310"/>
      <c r="L47" s="310"/>
      <c r="M47" s="310"/>
      <c r="N47" s="310"/>
      <c r="O47" s="185"/>
      <c r="P47" s="310" t="s">
        <v>135</v>
      </c>
      <c r="Q47" s="310"/>
      <c r="R47" s="310"/>
      <c r="S47" s="310"/>
      <c r="T47" s="310"/>
    </row>
    <row r="48" spans="1:24">
      <c r="A48" s="184"/>
      <c r="B48" s="187" t="s">
        <v>136</v>
      </c>
      <c r="C48" s="187" t="s">
        <v>137</v>
      </c>
      <c r="D48" s="187" t="s">
        <v>142</v>
      </c>
      <c r="E48" s="187" t="s">
        <v>143</v>
      </c>
      <c r="F48" s="187" t="s">
        <v>144</v>
      </c>
      <c r="G48" s="187" t="s">
        <v>145</v>
      </c>
      <c r="H48" s="184"/>
      <c r="I48" s="187" t="s">
        <v>136</v>
      </c>
      <c r="J48" s="187" t="s">
        <v>137</v>
      </c>
      <c r="K48" s="187" t="s">
        <v>142</v>
      </c>
      <c r="L48" s="187" t="s">
        <v>143</v>
      </c>
      <c r="M48" s="187" t="s">
        <v>144</v>
      </c>
      <c r="N48" s="187" t="s">
        <v>145</v>
      </c>
      <c r="O48" s="184"/>
      <c r="P48" s="187" t="s">
        <v>136</v>
      </c>
      <c r="Q48" s="187" t="s">
        <v>137</v>
      </c>
      <c r="R48" s="187" t="s">
        <v>142</v>
      </c>
      <c r="S48" s="187" t="s">
        <v>143</v>
      </c>
      <c r="T48" s="187" t="s">
        <v>144</v>
      </c>
    </row>
    <row r="49" spans="1:20">
      <c r="B49" s="188" t="s">
        <v>146</v>
      </c>
      <c r="C49" s="188" t="s">
        <v>146</v>
      </c>
      <c r="D49" s="189" t="s">
        <v>147</v>
      </c>
      <c r="E49" s="188" t="s">
        <v>146</v>
      </c>
      <c r="F49" s="188" t="s">
        <v>146</v>
      </c>
      <c r="G49" s="190" t="s">
        <v>148</v>
      </c>
      <c r="H49" s="185"/>
      <c r="I49" s="190" t="s">
        <v>148</v>
      </c>
      <c r="J49" s="188" t="s">
        <v>146</v>
      </c>
      <c r="K49" s="188" t="s">
        <v>146</v>
      </c>
      <c r="L49" s="189" t="s">
        <v>147</v>
      </c>
      <c r="M49" s="188" t="s">
        <v>146</v>
      </c>
      <c r="N49" s="188" t="s">
        <v>146</v>
      </c>
      <c r="P49" s="189" t="s">
        <v>147</v>
      </c>
      <c r="Q49" s="188" t="s">
        <v>146</v>
      </c>
      <c r="R49" s="188" t="s">
        <v>146</v>
      </c>
      <c r="S49" s="189" t="s">
        <v>147</v>
      </c>
      <c r="T49" s="188" t="s">
        <v>146</v>
      </c>
    </row>
    <row r="50" spans="1:20">
      <c r="A50" s="192"/>
      <c r="B50" s="302">
        <v>29</v>
      </c>
      <c r="C50" s="302">
        <v>29</v>
      </c>
      <c r="D50" s="302">
        <v>29</v>
      </c>
      <c r="E50" s="302">
        <v>26</v>
      </c>
      <c r="F50" s="302">
        <v>26</v>
      </c>
      <c r="G50" s="302">
        <v>26</v>
      </c>
      <c r="H50" s="192"/>
      <c r="I50" s="302">
        <v>25</v>
      </c>
      <c r="J50" s="302">
        <v>27</v>
      </c>
      <c r="K50" s="302">
        <v>27</v>
      </c>
      <c r="L50" s="302">
        <v>27</v>
      </c>
      <c r="M50" s="302">
        <v>26</v>
      </c>
      <c r="N50" s="302">
        <v>27</v>
      </c>
      <c r="O50" s="192"/>
      <c r="P50" s="302">
        <v>23</v>
      </c>
      <c r="Q50" s="302">
        <v>23</v>
      </c>
      <c r="R50" s="302">
        <v>18</v>
      </c>
      <c r="S50" s="302">
        <v>18</v>
      </c>
      <c r="T50" s="302">
        <v>18</v>
      </c>
    </row>
    <row r="51" spans="1:20">
      <c r="A51" s="192"/>
      <c r="B51" s="302"/>
      <c r="C51" s="302"/>
      <c r="D51" s="302"/>
      <c r="E51" s="302"/>
      <c r="F51" s="302"/>
      <c r="G51" s="302"/>
      <c r="H51" s="192"/>
      <c r="I51" s="302"/>
      <c r="J51" s="302"/>
      <c r="K51" s="302"/>
      <c r="L51" s="302"/>
      <c r="M51" s="302"/>
      <c r="N51" s="302"/>
      <c r="O51" s="192"/>
      <c r="P51" s="302"/>
      <c r="Q51" s="302"/>
      <c r="R51" s="302"/>
      <c r="S51" s="302"/>
      <c r="T51" s="302"/>
    </row>
    <row r="52" spans="1:20" ht="12" thickBot="1">
      <c r="A52" s="192"/>
      <c r="B52" s="185"/>
      <c r="C52" s="185"/>
      <c r="D52" s="185"/>
      <c r="E52" s="185"/>
      <c r="F52" s="185"/>
      <c r="G52" s="185"/>
      <c r="H52" s="192"/>
      <c r="I52" s="185"/>
      <c r="J52" s="185"/>
      <c r="K52" s="185"/>
      <c r="L52" s="185"/>
      <c r="M52" s="185"/>
      <c r="N52" s="185"/>
      <c r="O52" s="192"/>
      <c r="P52" s="185"/>
      <c r="Q52" s="185"/>
      <c r="R52" s="185"/>
      <c r="S52" s="185"/>
      <c r="T52" s="185"/>
    </row>
    <row r="53" spans="1:20" ht="12" thickBot="1">
      <c r="B53" s="193" t="s">
        <v>149</v>
      </c>
      <c r="G53" s="182"/>
      <c r="J53" s="193" t="s">
        <v>149</v>
      </c>
      <c r="L53" s="193" t="s">
        <v>149</v>
      </c>
      <c r="N53" s="283"/>
      <c r="P53" s="193" t="s">
        <v>149</v>
      </c>
      <c r="S53" s="193" t="s">
        <v>149</v>
      </c>
      <c r="T53" s="283"/>
    </row>
    <row r="54" spans="1:20">
      <c r="A54" s="196"/>
      <c r="B54" s="196"/>
      <c r="C54" s="194"/>
      <c r="D54" s="196"/>
      <c r="E54" s="194"/>
      <c r="F54" s="196"/>
      <c r="G54" s="196"/>
      <c r="H54" s="196"/>
      <c r="J54" s="194"/>
      <c r="L54" s="194"/>
      <c r="N54" s="182"/>
      <c r="P54" s="196"/>
      <c r="Q54" s="194"/>
      <c r="R54" s="196"/>
      <c r="S54" s="196"/>
      <c r="T54" s="196"/>
    </row>
    <row r="55" spans="1:20">
      <c r="A55" s="195" t="s">
        <v>150</v>
      </c>
      <c r="B55" s="196"/>
      <c r="C55" s="194"/>
      <c r="D55" s="196"/>
      <c r="E55" s="194"/>
      <c r="F55" s="196"/>
      <c r="G55" s="196"/>
      <c r="H55" s="195" t="s">
        <v>150</v>
      </c>
      <c r="I55" s="196"/>
      <c r="J55" s="194"/>
      <c r="K55" s="196"/>
      <c r="L55" s="194"/>
      <c r="M55" s="196"/>
      <c r="N55" s="196"/>
      <c r="O55" s="195" t="s">
        <v>150</v>
      </c>
      <c r="P55" s="196"/>
      <c r="Q55" s="194"/>
      <c r="R55" s="196"/>
      <c r="S55" s="196"/>
      <c r="T55" s="196"/>
    </row>
    <row r="56" spans="1:20">
      <c r="A56" s="195" t="s">
        <v>151</v>
      </c>
      <c r="B56" s="188" t="s">
        <v>146</v>
      </c>
      <c r="C56" s="198" t="s">
        <v>146</v>
      </c>
      <c r="D56" s="197" t="s">
        <v>147</v>
      </c>
      <c r="E56" s="198" t="s">
        <v>146</v>
      </c>
      <c r="F56" s="199" t="s">
        <v>146</v>
      </c>
      <c r="G56" s="190" t="s">
        <v>148</v>
      </c>
      <c r="H56" s="195" t="s">
        <v>151</v>
      </c>
      <c r="I56" s="196"/>
      <c r="J56" s="194"/>
      <c r="K56" s="196"/>
      <c r="L56" s="194"/>
      <c r="M56" s="196"/>
      <c r="N56" s="196"/>
      <c r="O56" s="195" t="s">
        <v>151</v>
      </c>
      <c r="P56" s="196"/>
      <c r="Q56" s="194"/>
      <c r="R56" s="196"/>
      <c r="S56" s="196"/>
      <c r="T56" s="196"/>
    </row>
    <row r="57" spans="1:20">
      <c r="A57" s="195" t="s">
        <v>155</v>
      </c>
      <c r="B57" s="188" t="s">
        <v>146</v>
      </c>
      <c r="C57" s="198" t="s">
        <v>146</v>
      </c>
      <c r="D57" s="197" t="s">
        <v>147</v>
      </c>
      <c r="E57" s="198" t="s">
        <v>146</v>
      </c>
      <c r="F57" s="199" t="s">
        <v>146</v>
      </c>
      <c r="G57" s="190" t="s">
        <v>148</v>
      </c>
      <c r="H57" s="195" t="s">
        <v>155</v>
      </c>
      <c r="I57" s="196"/>
      <c r="J57" s="194"/>
      <c r="K57" s="196"/>
      <c r="L57" s="194"/>
      <c r="M57" s="196"/>
      <c r="N57" s="196"/>
      <c r="O57" s="195" t="s">
        <v>155</v>
      </c>
      <c r="P57" s="196"/>
      <c r="Q57" s="194"/>
      <c r="R57" s="196"/>
      <c r="S57" s="196"/>
      <c r="T57" s="196"/>
    </row>
    <row r="58" spans="1:20">
      <c r="A58" s="195" t="s">
        <v>156</v>
      </c>
      <c r="B58" s="188" t="s">
        <v>146</v>
      </c>
      <c r="C58" s="198" t="s">
        <v>146</v>
      </c>
      <c r="D58" s="197" t="s">
        <v>147</v>
      </c>
      <c r="E58" s="198" t="s">
        <v>146</v>
      </c>
      <c r="F58" s="199" t="s">
        <v>146</v>
      </c>
      <c r="G58" s="190" t="s">
        <v>148</v>
      </c>
      <c r="H58" s="195" t="s">
        <v>156</v>
      </c>
      <c r="I58" s="190" t="s">
        <v>148</v>
      </c>
      <c r="J58" s="198" t="s">
        <v>146</v>
      </c>
      <c r="K58" s="199" t="s">
        <v>146</v>
      </c>
      <c r="L58" s="202" t="s">
        <v>147</v>
      </c>
      <c r="M58" s="199" t="s">
        <v>146</v>
      </c>
      <c r="N58" s="188" t="s">
        <v>146</v>
      </c>
      <c r="O58" s="195" t="s">
        <v>156</v>
      </c>
      <c r="P58" s="196"/>
      <c r="Q58" s="194"/>
      <c r="R58" s="196"/>
      <c r="S58" s="196"/>
      <c r="T58" s="196"/>
    </row>
    <row r="59" spans="1:20">
      <c r="A59" s="195" t="s">
        <v>157</v>
      </c>
      <c r="B59" s="188" t="s">
        <v>146</v>
      </c>
      <c r="C59" s="198" t="s">
        <v>146</v>
      </c>
      <c r="D59" s="197" t="s">
        <v>147</v>
      </c>
      <c r="E59" s="198" t="s">
        <v>146</v>
      </c>
      <c r="F59" s="199" t="s">
        <v>146</v>
      </c>
      <c r="G59" s="190" t="s">
        <v>148</v>
      </c>
      <c r="H59" s="195" t="s">
        <v>157</v>
      </c>
      <c r="I59" s="190" t="s">
        <v>148</v>
      </c>
      <c r="J59" s="198" t="s">
        <v>146</v>
      </c>
      <c r="K59" s="199" t="s">
        <v>146</v>
      </c>
      <c r="L59" s="202" t="s">
        <v>147</v>
      </c>
      <c r="M59" s="199" t="s">
        <v>146</v>
      </c>
      <c r="N59" s="188" t="s">
        <v>146</v>
      </c>
      <c r="O59" s="195" t="s">
        <v>157</v>
      </c>
      <c r="P59" s="196"/>
      <c r="Q59" s="194"/>
      <c r="R59" s="196"/>
      <c r="S59" s="196"/>
      <c r="T59" s="196"/>
    </row>
    <row r="60" spans="1:20">
      <c r="A60" s="195" t="s">
        <v>158</v>
      </c>
      <c r="B60" s="188" t="s">
        <v>146</v>
      </c>
      <c r="C60" s="198" t="s">
        <v>146</v>
      </c>
      <c r="D60" s="197" t="s">
        <v>147</v>
      </c>
      <c r="E60" s="198" t="s">
        <v>146</v>
      </c>
      <c r="F60" s="199" t="s">
        <v>146</v>
      </c>
      <c r="G60" s="190" t="s">
        <v>148</v>
      </c>
      <c r="H60" s="195" t="s">
        <v>158</v>
      </c>
      <c r="I60" s="190" t="s">
        <v>148</v>
      </c>
      <c r="J60" s="198" t="s">
        <v>146</v>
      </c>
      <c r="K60" s="199" t="s">
        <v>146</v>
      </c>
      <c r="L60" s="202" t="s">
        <v>147</v>
      </c>
      <c r="M60" s="199" t="s">
        <v>146</v>
      </c>
      <c r="N60" s="188" t="s">
        <v>146</v>
      </c>
      <c r="O60" s="195" t="s">
        <v>158</v>
      </c>
      <c r="P60" s="196"/>
      <c r="Q60" s="194"/>
      <c r="R60" s="196"/>
      <c r="S60" s="196"/>
      <c r="T60" s="196"/>
    </row>
    <row r="61" spans="1:20">
      <c r="A61" s="195" t="s">
        <v>159</v>
      </c>
      <c r="B61" s="188" t="s">
        <v>146</v>
      </c>
      <c r="C61" s="198" t="s">
        <v>146</v>
      </c>
      <c r="D61" s="197" t="s">
        <v>147</v>
      </c>
      <c r="E61" s="198" t="s">
        <v>146</v>
      </c>
      <c r="F61" s="199" t="s">
        <v>146</v>
      </c>
      <c r="G61" s="190" t="s">
        <v>148</v>
      </c>
      <c r="H61" s="195" t="s">
        <v>159</v>
      </c>
      <c r="I61" s="190" t="s">
        <v>148</v>
      </c>
      <c r="J61" s="198" t="s">
        <v>146</v>
      </c>
      <c r="K61" s="199" t="s">
        <v>146</v>
      </c>
      <c r="L61" s="202" t="s">
        <v>147</v>
      </c>
      <c r="M61" s="199" t="s">
        <v>146</v>
      </c>
      <c r="N61" s="188" t="s">
        <v>146</v>
      </c>
      <c r="O61" s="195" t="s">
        <v>159</v>
      </c>
      <c r="P61" s="196"/>
      <c r="Q61" s="194"/>
      <c r="R61" s="196"/>
      <c r="S61" s="196"/>
      <c r="T61" s="196"/>
    </row>
    <row r="62" spans="1:20">
      <c r="A62" s="201" t="s">
        <v>160</v>
      </c>
      <c r="B62" s="188" t="s">
        <v>146</v>
      </c>
      <c r="C62" s="198" t="s">
        <v>146</v>
      </c>
      <c r="D62" s="197" t="s">
        <v>147</v>
      </c>
      <c r="E62" s="198" t="s">
        <v>146</v>
      </c>
      <c r="F62" s="199" t="s">
        <v>146</v>
      </c>
      <c r="G62" s="190" t="s">
        <v>148</v>
      </c>
      <c r="H62" s="201" t="s">
        <v>160</v>
      </c>
      <c r="I62" s="190" t="s">
        <v>148</v>
      </c>
      <c r="J62" s="198" t="s">
        <v>146</v>
      </c>
      <c r="K62" s="199" t="s">
        <v>146</v>
      </c>
      <c r="L62" s="202" t="s">
        <v>147</v>
      </c>
      <c r="M62" s="199" t="s">
        <v>146</v>
      </c>
      <c r="N62" s="204" t="s">
        <v>146</v>
      </c>
      <c r="O62" s="201" t="s">
        <v>160</v>
      </c>
      <c r="P62" s="197" t="s">
        <v>147</v>
      </c>
      <c r="Q62" s="198" t="s">
        <v>146</v>
      </c>
      <c r="R62" s="196"/>
      <c r="S62" s="196"/>
      <c r="T62" s="196"/>
    </row>
    <row r="63" spans="1:20">
      <c r="A63" s="201" t="s">
        <v>161</v>
      </c>
      <c r="B63" s="188" t="s">
        <v>146</v>
      </c>
      <c r="C63" s="198" t="s">
        <v>146</v>
      </c>
      <c r="D63" s="197" t="s">
        <v>147</v>
      </c>
      <c r="E63" s="198" t="s">
        <v>146</v>
      </c>
      <c r="F63" s="199" t="s">
        <v>146</v>
      </c>
      <c r="G63" s="190" t="s">
        <v>148</v>
      </c>
      <c r="H63" s="201" t="s">
        <v>161</v>
      </c>
      <c r="I63" s="190" t="s">
        <v>148</v>
      </c>
      <c r="J63" s="198" t="s">
        <v>146</v>
      </c>
      <c r="K63" s="199" t="s">
        <v>146</v>
      </c>
      <c r="L63" s="202" t="s">
        <v>147</v>
      </c>
      <c r="M63" s="199" t="s">
        <v>146</v>
      </c>
      <c r="N63" s="204" t="s">
        <v>146</v>
      </c>
      <c r="O63" s="201" t="s">
        <v>161</v>
      </c>
      <c r="P63" s="197" t="s">
        <v>147</v>
      </c>
      <c r="Q63" s="198" t="s">
        <v>146</v>
      </c>
      <c r="R63" s="196"/>
      <c r="S63" s="196"/>
      <c r="T63" s="196"/>
    </row>
    <row r="64" spans="1:20">
      <c r="A64" s="201" t="s">
        <v>162</v>
      </c>
      <c r="B64" s="188" t="s">
        <v>146</v>
      </c>
      <c r="C64" s="198" t="s">
        <v>146</v>
      </c>
      <c r="D64" s="197" t="s">
        <v>147</v>
      </c>
      <c r="E64" s="198" t="s">
        <v>146</v>
      </c>
      <c r="F64" s="199" t="s">
        <v>146</v>
      </c>
      <c r="G64" s="190" t="s">
        <v>148</v>
      </c>
      <c r="H64" s="195" t="s">
        <v>162</v>
      </c>
      <c r="I64" s="190" t="s">
        <v>148</v>
      </c>
      <c r="J64" s="198" t="s">
        <v>146</v>
      </c>
      <c r="K64" s="199" t="s">
        <v>146</v>
      </c>
      <c r="L64" s="202" t="s">
        <v>147</v>
      </c>
      <c r="M64" s="199" t="s">
        <v>146</v>
      </c>
      <c r="N64" s="204" t="s">
        <v>146</v>
      </c>
      <c r="O64" s="201" t="s">
        <v>162</v>
      </c>
      <c r="P64" s="197" t="s">
        <v>147</v>
      </c>
      <c r="Q64" s="198" t="s">
        <v>146</v>
      </c>
      <c r="R64" s="196"/>
      <c r="S64" s="196"/>
      <c r="T64" s="196"/>
    </row>
    <row r="65" spans="1:24">
      <c r="A65" s="201" t="s">
        <v>163</v>
      </c>
      <c r="B65" s="188" t="s">
        <v>146</v>
      </c>
      <c r="C65" s="198" t="s">
        <v>146</v>
      </c>
      <c r="D65" s="197" t="s">
        <v>147</v>
      </c>
      <c r="E65" s="198" t="s">
        <v>146</v>
      </c>
      <c r="F65" s="199" t="s">
        <v>146</v>
      </c>
      <c r="G65" s="190" t="s">
        <v>148</v>
      </c>
      <c r="H65" s="201" t="s">
        <v>163</v>
      </c>
      <c r="I65" s="203" t="s">
        <v>148</v>
      </c>
      <c r="J65" s="198" t="s">
        <v>146</v>
      </c>
      <c r="K65" s="199" t="s">
        <v>146</v>
      </c>
      <c r="L65" s="202" t="s">
        <v>147</v>
      </c>
      <c r="M65" s="199" t="s">
        <v>146</v>
      </c>
      <c r="N65" s="204" t="s">
        <v>146</v>
      </c>
      <c r="O65" s="201" t="s">
        <v>163</v>
      </c>
      <c r="P65" s="197" t="s">
        <v>147</v>
      </c>
      <c r="Q65" s="198" t="s">
        <v>146</v>
      </c>
      <c r="R65" s="196"/>
      <c r="S65" s="196"/>
      <c r="T65" s="196"/>
      <c r="W65" s="288">
        <v>46308</v>
      </c>
      <c r="X65" s="290" t="s">
        <v>331</v>
      </c>
    </row>
    <row r="66" spans="1:24">
      <c r="A66" s="201" t="s">
        <v>164</v>
      </c>
      <c r="B66" s="188" t="s">
        <v>146</v>
      </c>
      <c r="C66" s="198" t="s">
        <v>146</v>
      </c>
      <c r="D66" s="197" t="s">
        <v>147</v>
      </c>
      <c r="E66" s="198" t="s">
        <v>146</v>
      </c>
      <c r="F66" s="199" t="s">
        <v>146</v>
      </c>
      <c r="G66" s="190" t="s">
        <v>148</v>
      </c>
      <c r="H66" s="201" t="s">
        <v>164</v>
      </c>
      <c r="I66" s="203" t="s">
        <v>148</v>
      </c>
      <c r="J66" s="198" t="s">
        <v>146</v>
      </c>
      <c r="K66" s="199" t="s">
        <v>146</v>
      </c>
      <c r="L66" s="202" t="s">
        <v>147</v>
      </c>
      <c r="M66" s="199" t="s">
        <v>146</v>
      </c>
      <c r="N66" s="204" t="s">
        <v>146</v>
      </c>
      <c r="O66" s="201" t="s">
        <v>164</v>
      </c>
      <c r="P66" s="197" t="s">
        <v>147</v>
      </c>
      <c r="Q66" s="198" t="s">
        <v>146</v>
      </c>
      <c r="R66" s="205"/>
      <c r="S66" s="206"/>
      <c r="T66" s="196"/>
    </row>
    <row r="67" spans="1:24">
      <c r="A67" s="201" t="s">
        <v>165</v>
      </c>
      <c r="B67" s="188" t="s">
        <v>146</v>
      </c>
      <c r="C67" s="198" t="s">
        <v>146</v>
      </c>
      <c r="D67" s="197" t="s">
        <v>147</v>
      </c>
      <c r="E67" s="198" t="s">
        <v>146</v>
      </c>
      <c r="F67" s="199" t="s">
        <v>146</v>
      </c>
      <c r="G67" s="190" t="s">
        <v>148</v>
      </c>
      <c r="H67" s="201" t="s">
        <v>165</v>
      </c>
      <c r="I67" s="203" t="s">
        <v>148</v>
      </c>
      <c r="J67" s="198" t="s">
        <v>146</v>
      </c>
      <c r="K67" s="199" t="s">
        <v>146</v>
      </c>
      <c r="L67" s="202" t="s">
        <v>147</v>
      </c>
      <c r="M67" s="199" t="s">
        <v>146</v>
      </c>
      <c r="N67" s="204" t="s">
        <v>146</v>
      </c>
      <c r="O67" s="201" t="s">
        <v>165</v>
      </c>
      <c r="P67" s="197" t="s">
        <v>147</v>
      </c>
      <c r="Q67" s="198" t="s">
        <v>146</v>
      </c>
      <c r="R67" s="199" t="s">
        <v>146</v>
      </c>
      <c r="S67" s="189" t="s">
        <v>147</v>
      </c>
      <c r="T67" s="188" t="s">
        <v>146</v>
      </c>
    </row>
    <row r="68" spans="1:24">
      <c r="A68" s="201" t="s">
        <v>166</v>
      </c>
      <c r="B68" s="188" t="s">
        <v>146</v>
      </c>
      <c r="C68" s="198" t="s">
        <v>146</v>
      </c>
      <c r="D68" s="197" t="s">
        <v>147</v>
      </c>
      <c r="E68" s="198" t="s">
        <v>146</v>
      </c>
      <c r="F68" s="199" t="s">
        <v>146</v>
      </c>
      <c r="G68" s="190" t="s">
        <v>148</v>
      </c>
      <c r="H68" s="201" t="s">
        <v>166</v>
      </c>
      <c r="I68" s="203" t="s">
        <v>148</v>
      </c>
      <c r="J68" s="198" t="s">
        <v>146</v>
      </c>
      <c r="K68" s="199" t="s">
        <v>146</v>
      </c>
      <c r="L68" s="202" t="s">
        <v>147</v>
      </c>
      <c r="M68" s="199" t="s">
        <v>146</v>
      </c>
      <c r="N68" s="204" t="s">
        <v>146</v>
      </c>
      <c r="O68" s="201" t="s">
        <v>166</v>
      </c>
      <c r="P68" s="197" t="s">
        <v>147</v>
      </c>
      <c r="Q68" s="198" t="s">
        <v>146</v>
      </c>
      <c r="R68" s="199" t="s">
        <v>146</v>
      </c>
      <c r="S68" s="189" t="s">
        <v>147</v>
      </c>
      <c r="T68" s="188" t="s">
        <v>146</v>
      </c>
    </row>
    <row r="69" spans="1:24">
      <c r="A69" s="201" t="s">
        <v>167</v>
      </c>
      <c r="B69" s="188" t="s">
        <v>146</v>
      </c>
      <c r="C69" s="198" t="s">
        <v>146</v>
      </c>
      <c r="D69" s="197" t="s">
        <v>147</v>
      </c>
      <c r="E69" s="198" t="s">
        <v>146</v>
      </c>
      <c r="F69" s="199" t="s">
        <v>146</v>
      </c>
      <c r="G69" s="190" t="s">
        <v>148</v>
      </c>
      <c r="H69" s="201" t="s">
        <v>167</v>
      </c>
      <c r="I69" s="203" t="s">
        <v>148</v>
      </c>
      <c r="J69" s="198" t="s">
        <v>146</v>
      </c>
      <c r="K69" s="199" t="s">
        <v>146</v>
      </c>
      <c r="L69" s="202" t="s">
        <v>147</v>
      </c>
      <c r="M69" s="199" t="s">
        <v>146</v>
      </c>
      <c r="N69" s="204" t="s">
        <v>146</v>
      </c>
      <c r="O69" s="201" t="s">
        <v>167</v>
      </c>
      <c r="P69" s="197" t="s">
        <v>147</v>
      </c>
      <c r="Q69" s="198" t="s">
        <v>146</v>
      </c>
      <c r="R69" s="199" t="s">
        <v>146</v>
      </c>
      <c r="S69" s="189" t="s">
        <v>147</v>
      </c>
      <c r="T69" s="188" t="s">
        <v>146</v>
      </c>
    </row>
    <row r="70" spans="1:24">
      <c r="A70" s="201" t="s">
        <v>168</v>
      </c>
      <c r="B70" s="188" t="s">
        <v>146</v>
      </c>
      <c r="C70" s="198" t="s">
        <v>146</v>
      </c>
      <c r="D70" s="197" t="s">
        <v>147</v>
      </c>
      <c r="E70" s="198" t="s">
        <v>146</v>
      </c>
      <c r="F70" s="199" t="s">
        <v>146</v>
      </c>
      <c r="G70" s="190" t="s">
        <v>148</v>
      </c>
      <c r="H70" s="201" t="s">
        <v>168</v>
      </c>
      <c r="I70" s="203" t="s">
        <v>148</v>
      </c>
      <c r="J70" s="198" t="s">
        <v>146</v>
      </c>
      <c r="K70" s="199" t="s">
        <v>146</v>
      </c>
      <c r="L70" s="202" t="s">
        <v>147</v>
      </c>
      <c r="M70" s="199" t="s">
        <v>146</v>
      </c>
      <c r="N70" s="204" t="s">
        <v>146</v>
      </c>
      <c r="O70" s="201" t="s">
        <v>168</v>
      </c>
      <c r="P70" s="197" t="s">
        <v>147</v>
      </c>
      <c r="Q70" s="198" t="s">
        <v>146</v>
      </c>
      <c r="R70" s="199" t="s">
        <v>146</v>
      </c>
      <c r="S70" s="189" t="s">
        <v>147</v>
      </c>
      <c r="T70" s="188" t="s">
        <v>146</v>
      </c>
      <c r="W70" s="288">
        <v>46280</v>
      </c>
      <c r="X70" s="290" t="s">
        <v>330</v>
      </c>
    </row>
    <row r="71" spans="1:24">
      <c r="A71" s="201" t="s">
        <v>170</v>
      </c>
      <c r="B71" s="188" t="s">
        <v>146</v>
      </c>
      <c r="C71" s="198" t="s">
        <v>146</v>
      </c>
      <c r="D71" s="197" t="s">
        <v>147</v>
      </c>
      <c r="E71" s="198" t="s">
        <v>146</v>
      </c>
      <c r="F71" s="199" t="s">
        <v>146</v>
      </c>
      <c r="G71" s="190" t="s">
        <v>148</v>
      </c>
      <c r="H71" s="201" t="s">
        <v>170</v>
      </c>
      <c r="I71" s="203" t="s">
        <v>148</v>
      </c>
      <c r="J71" s="198" t="s">
        <v>146</v>
      </c>
      <c r="K71" s="199" t="s">
        <v>146</v>
      </c>
      <c r="L71" s="202" t="s">
        <v>147</v>
      </c>
      <c r="M71" s="199" t="s">
        <v>146</v>
      </c>
      <c r="N71" s="204" t="s">
        <v>146</v>
      </c>
      <c r="O71" s="201" t="s">
        <v>170</v>
      </c>
      <c r="P71" s="197" t="s">
        <v>147</v>
      </c>
      <c r="Q71" s="198" t="s">
        <v>146</v>
      </c>
      <c r="R71" s="199" t="s">
        <v>146</v>
      </c>
      <c r="S71" s="189" t="s">
        <v>147</v>
      </c>
      <c r="T71" s="188" t="s">
        <v>146</v>
      </c>
    </row>
    <row r="72" spans="1:24">
      <c r="A72" s="201" t="s">
        <v>171</v>
      </c>
      <c r="B72" s="188" t="s">
        <v>146</v>
      </c>
      <c r="C72" s="198" t="s">
        <v>146</v>
      </c>
      <c r="D72" s="197" t="s">
        <v>147</v>
      </c>
      <c r="E72" s="198" t="s">
        <v>146</v>
      </c>
      <c r="F72" s="199" t="s">
        <v>146</v>
      </c>
      <c r="G72" s="190" t="s">
        <v>148</v>
      </c>
      <c r="H72" s="201" t="s">
        <v>171</v>
      </c>
      <c r="I72" s="203" t="s">
        <v>148</v>
      </c>
      <c r="J72" s="198" t="s">
        <v>146</v>
      </c>
      <c r="K72" s="199" t="s">
        <v>146</v>
      </c>
      <c r="L72" s="202" t="s">
        <v>147</v>
      </c>
      <c r="M72" s="199" t="s">
        <v>146</v>
      </c>
      <c r="N72" s="204" t="s">
        <v>146</v>
      </c>
      <c r="O72" s="201" t="s">
        <v>171</v>
      </c>
      <c r="P72" s="197" t="s">
        <v>147</v>
      </c>
      <c r="Q72" s="198" t="s">
        <v>146</v>
      </c>
      <c r="R72" s="199" t="s">
        <v>146</v>
      </c>
      <c r="S72" s="189" t="s">
        <v>147</v>
      </c>
      <c r="T72" s="188" t="s">
        <v>146</v>
      </c>
    </row>
    <row r="73" spans="1:24">
      <c r="A73" s="201" t="s">
        <v>173</v>
      </c>
      <c r="B73" s="188" t="s">
        <v>146</v>
      </c>
      <c r="C73" s="198" t="s">
        <v>146</v>
      </c>
      <c r="D73" s="197" t="s">
        <v>147</v>
      </c>
      <c r="E73" s="198" t="s">
        <v>146</v>
      </c>
      <c r="F73" s="199" t="s">
        <v>146</v>
      </c>
      <c r="G73" s="190" t="s">
        <v>148</v>
      </c>
      <c r="H73" s="201" t="s">
        <v>173</v>
      </c>
      <c r="I73" s="203" t="s">
        <v>148</v>
      </c>
      <c r="J73" s="198" t="s">
        <v>146</v>
      </c>
      <c r="K73" s="199" t="s">
        <v>146</v>
      </c>
      <c r="L73" s="202" t="s">
        <v>147</v>
      </c>
      <c r="M73" s="199" t="s">
        <v>146</v>
      </c>
      <c r="N73" s="204" t="s">
        <v>146</v>
      </c>
      <c r="O73" s="201" t="s">
        <v>173</v>
      </c>
      <c r="P73" s="197" t="s">
        <v>147</v>
      </c>
      <c r="Q73" s="198" t="s">
        <v>146</v>
      </c>
      <c r="R73" s="199" t="s">
        <v>146</v>
      </c>
      <c r="S73" s="189" t="s">
        <v>147</v>
      </c>
      <c r="T73" s="188" t="s">
        <v>146</v>
      </c>
    </row>
    <row r="74" spans="1:24">
      <c r="A74" s="201" t="s">
        <v>174</v>
      </c>
      <c r="B74" s="188" t="s">
        <v>146</v>
      </c>
      <c r="C74" s="198" t="s">
        <v>146</v>
      </c>
      <c r="D74" s="197" t="s">
        <v>147</v>
      </c>
      <c r="E74" s="198" t="s">
        <v>146</v>
      </c>
      <c r="F74" s="199" t="s">
        <v>146</v>
      </c>
      <c r="G74" s="190" t="s">
        <v>148</v>
      </c>
      <c r="H74" s="201" t="s">
        <v>174</v>
      </c>
      <c r="I74" s="203" t="s">
        <v>148</v>
      </c>
      <c r="J74" s="198" t="s">
        <v>146</v>
      </c>
      <c r="K74" s="199" t="s">
        <v>146</v>
      </c>
      <c r="L74" s="202" t="s">
        <v>147</v>
      </c>
      <c r="M74" s="199" t="s">
        <v>146</v>
      </c>
      <c r="N74" s="204" t="s">
        <v>146</v>
      </c>
      <c r="O74" s="201" t="s">
        <v>174</v>
      </c>
      <c r="P74" s="197" t="s">
        <v>147</v>
      </c>
      <c r="Q74" s="198" t="s">
        <v>146</v>
      </c>
      <c r="R74" s="199" t="s">
        <v>146</v>
      </c>
      <c r="S74" s="189" t="s">
        <v>147</v>
      </c>
      <c r="T74" s="188" t="s">
        <v>146</v>
      </c>
    </row>
    <row r="75" spans="1:24">
      <c r="A75" s="201" t="s">
        <v>175</v>
      </c>
      <c r="B75" s="188" t="s">
        <v>146</v>
      </c>
      <c r="C75" s="198" t="s">
        <v>146</v>
      </c>
      <c r="D75" s="197" t="s">
        <v>147</v>
      </c>
      <c r="E75" s="198" t="s">
        <v>146</v>
      </c>
      <c r="F75" s="199" t="s">
        <v>146</v>
      </c>
      <c r="G75" s="190" t="s">
        <v>148</v>
      </c>
      <c r="H75" s="201" t="s">
        <v>175</v>
      </c>
      <c r="I75" s="203" t="s">
        <v>148</v>
      </c>
      <c r="J75" s="198" t="s">
        <v>146</v>
      </c>
      <c r="K75" s="199" t="s">
        <v>146</v>
      </c>
      <c r="L75" s="202" t="s">
        <v>147</v>
      </c>
      <c r="M75" s="199" t="s">
        <v>146</v>
      </c>
      <c r="N75" s="204" t="s">
        <v>146</v>
      </c>
      <c r="O75" s="201" t="s">
        <v>175</v>
      </c>
      <c r="P75" s="197" t="s">
        <v>147</v>
      </c>
      <c r="Q75" s="198" t="s">
        <v>146</v>
      </c>
      <c r="R75" s="199" t="s">
        <v>146</v>
      </c>
      <c r="S75" s="189" t="s">
        <v>147</v>
      </c>
      <c r="T75" s="188" t="s">
        <v>146</v>
      </c>
      <c r="W75" s="288">
        <v>46245</v>
      </c>
      <c r="X75" s="290" t="s">
        <v>329</v>
      </c>
    </row>
    <row r="76" spans="1:24">
      <c r="A76" s="201" t="s">
        <v>176</v>
      </c>
      <c r="B76" s="188" t="s">
        <v>146</v>
      </c>
      <c r="C76" s="198" t="s">
        <v>146</v>
      </c>
      <c r="D76" s="197" t="s">
        <v>147</v>
      </c>
      <c r="E76" s="198" t="s">
        <v>146</v>
      </c>
      <c r="F76" s="199" t="s">
        <v>146</v>
      </c>
      <c r="G76" s="190" t="s">
        <v>148</v>
      </c>
      <c r="H76" s="195" t="s">
        <v>176</v>
      </c>
      <c r="I76" s="190" t="s">
        <v>148</v>
      </c>
      <c r="J76" s="198" t="s">
        <v>146</v>
      </c>
      <c r="K76" s="199" t="s">
        <v>146</v>
      </c>
      <c r="L76" s="202" t="s">
        <v>147</v>
      </c>
      <c r="M76" s="199" t="s">
        <v>146</v>
      </c>
      <c r="N76" s="204" t="s">
        <v>146</v>
      </c>
      <c r="O76" s="201" t="s">
        <v>176</v>
      </c>
      <c r="P76" s="197" t="s">
        <v>147</v>
      </c>
      <c r="Q76" s="198" t="s">
        <v>146</v>
      </c>
      <c r="R76" s="199" t="s">
        <v>146</v>
      </c>
      <c r="S76" s="189" t="s">
        <v>147</v>
      </c>
      <c r="T76" s="188" t="s">
        <v>146</v>
      </c>
    </row>
    <row r="77" spans="1:24">
      <c r="A77" s="201" t="s">
        <v>177</v>
      </c>
      <c r="B77" s="188" t="s">
        <v>146</v>
      </c>
      <c r="C77" s="198" t="s">
        <v>146</v>
      </c>
      <c r="D77" s="197" t="s">
        <v>147</v>
      </c>
      <c r="E77" s="198" t="s">
        <v>146</v>
      </c>
      <c r="F77" s="199" t="s">
        <v>146</v>
      </c>
      <c r="G77" s="190" t="s">
        <v>148</v>
      </c>
      <c r="H77" s="195" t="s">
        <v>177</v>
      </c>
      <c r="I77" s="190" t="s">
        <v>148</v>
      </c>
      <c r="J77" s="198" t="s">
        <v>146</v>
      </c>
      <c r="K77" s="199" t="s">
        <v>146</v>
      </c>
      <c r="L77" s="202" t="s">
        <v>147</v>
      </c>
      <c r="M77" s="199" t="s">
        <v>146</v>
      </c>
      <c r="N77" s="204" t="s">
        <v>146</v>
      </c>
      <c r="O77" s="201" t="s">
        <v>177</v>
      </c>
      <c r="P77" s="197" t="s">
        <v>147</v>
      </c>
      <c r="Q77" s="198" t="s">
        <v>146</v>
      </c>
      <c r="R77" s="199" t="s">
        <v>146</v>
      </c>
      <c r="S77" s="189" t="s">
        <v>147</v>
      </c>
      <c r="T77" s="188" t="s">
        <v>146</v>
      </c>
    </row>
    <row r="78" spans="1:24">
      <c r="A78" s="201" t="s">
        <v>178</v>
      </c>
      <c r="B78" s="188" t="s">
        <v>146</v>
      </c>
      <c r="C78" s="198" t="s">
        <v>146</v>
      </c>
      <c r="D78" s="197" t="s">
        <v>147</v>
      </c>
      <c r="E78" s="198" t="s">
        <v>146</v>
      </c>
      <c r="F78" s="199" t="s">
        <v>146</v>
      </c>
      <c r="G78" s="190" t="s">
        <v>148</v>
      </c>
      <c r="H78" s="195" t="s">
        <v>178</v>
      </c>
      <c r="I78" s="190" t="s">
        <v>148</v>
      </c>
      <c r="J78" s="198" t="s">
        <v>146</v>
      </c>
      <c r="K78" s="199" t="s">
        <v>146</v>
      </c>
      <c r="L78" s="202" t="s">
        <v>147</v>
      </c>
      <c r="M78" s="199" t="s">
        <v>146</v>
      </c>
      <c r="N78" s="204" t="s">
        <v>146</v>
      </c>
      <c r="O78" s="201" t="s">
        <v>178</v>
      </c>
      <c r="P78" s="197" t="s">
        <v>147</v>
      </c>
      <c r="Q78" s="198" t="s">
        <v>146</v>
      </c>
      <c r="R78" s="199" t="s">
        <v>146</v>
      </c>
      <c r="S78" s="189" t="s">
        <v>147</v>
      </c>
      <c r="T78" s="188" t="s">
        <v>146</v>
      </c>
    </row>
    <row r="79" spans="1:24">
      <c r="A79" s="195" t="s">
        <v>179</v>
      </c>
      <c r="B79" s="188" t="s">
        <v>146</v>
      </c>
      <c r="C79" s="198" t="s">
        <v>146</v>
      </c>
      <c r="D79" s="197" t="s">
        <v>147</v>
      </c>
      <c r="E79" s="198" t="s">
        <v>146</v>
      </c>
      <c r="F79" s="199" t="s">
        <v>146</v>
      </c>
      <c r="G79" s="190" t="s">
        <v>148</v>
      </c>
      <c r="H79" s="195" t="s">
        <v>179</v>
      </c>
      <c r="I79" s="190" t="s">
        <v>148</v>
      </c>
      <c r="J79" s="198" t="s">
        <v>146</v>
      </c>
      <c r="K79" s="199" t="s">
        <v>146</v>
      </c>
      <c r="L79" s="202" t="s">
        <v>147</v>
      </c>
      <c r="M79" s="199" t="s">
        <v>146</v>
      </c>
      <c r="N79" s="188" t="s">
        <v>146</v>
      </c>
      <c r="O79" s="195" t="s">
        <v>179</v>
      </c>
      <c r="P79" s="197" t="s">
        <v>147</v>
      </c>
      <c r="Q79" s="198" t="s">
        <v>146</v>
      </c>
      <c r="R79" s="199" t="s">
        <v>146</v>
      </c>
      <c r="S79" s="189" t="s">
        <v>147</v>
      </c>
      <c r="T79" s="188" t="s">
        <v>146</v>
      </c>
    </row>
    <row r="80" spans="1:24">
      <c r="A80" s="195" t="s">
        <v>180</v>
      </c>
      <c r="B80" s="188" t="s">
        <v>146</v>
      </c>
      <c r="C80" s="198" t="s">
        <v>146</v>
      </c>
      <c r="D80" s="197" t="s">
        <v>147</v>
      </c>
      <c r="E80" s="198" t="s">
        <v>146</v>
      </c>
      <c r="F80" s="199" t="s">
        <v>146</v>
      </c>
      <c r="G80" s="190" t="s">
        <v>148</v>
      </c>
      <c r="H80" s="195" t="s">
        <v>180</v>
      </c>
      <c r="I80" s="190" t="s">
        <v>148</v>
      </c>
      <c r="J80" s="198" t="s">
        <v>146</v>
      </c>
      <c r="K80" s="199" t="s">
        <v>146</v>
      </c>
      <c r="L80" s="202" t="s">
        <v>147</v>
      </c>
      <c r="M80" s="199" t="s">
        <v>146</v>
      </c>
      <c r="N80" s="188" t="s">
        <v>146</v>
      </c>
      <c r="O80" s="195" t="s">
        <v>180</v>
      </c>
      <c r="P80" s="197" t="s">
        <v>147</v>
      </c>
      <c r="Q80" s="198" t="s">
        <v>146</v>
      </c>
      <c r="R80" s="199" t="s">
        <v>146</v>
      </c>
      <c r="S80" s="189" t="s">
        <v>147</v>
      </c>
      <c r="T80" s="188" t="s">
        <v>146</v>
      </c>
      <c r="W80" s="288">
        <v>46218</v>
      </c>
      <c r="X80" s="290" t="s">
        <v>328</v>
      </c>
    </row>
    <row r="81" spans="1:20">
      <c r="A81" s="195" t="s">
        <v>181</v>
      </c>
      <c r="B81" s="188" t="s">
        <v>146</v>
      </c>
      <c r="C81" s="198" t="s">
        <v>146</v>
      </c>
      <c r="D81" s="197" t="s">
        <v>147</v>
      </c>
      <c r="E81" s="198" t="s">
        <v>146</v>
      </c>
      <c r="F81" s="199" t="s">
        <v>146</v>
      </c>
      <c r="G81" s="190" t="s">
        <v>148</v>
      </c>
      <c r="H81" s="195" t="s">
        <v>181</v>
      </c>
      <c r="I81" s="190" t="s">
        <v>148</v>
      </c>
      <c r="J81" s="198" t="s">
        <v>146</v>
      </c>
      <c r="K81" s="199" t="s">
        <v>146</v>
      </c>
      <c r="L81" s="202" t="s">
        <v>147</v>
      </c>
      <c r="M81" s="199" t="s">
        <v>146</v>
      </c>
      <c r="N81" s="188" t="s">
        <v>146</v>
      </c>
      <c r="O81" s="195" t="s">
        <v>181</v>
      </c>
      <c r="P81" s="197" t="s">
        <v>147</v>
      </c>
      <c r="Q81" s="198" t="s">
        <v>146</v>
      </c>
      <c r="R81" s="199" t="s">
        <v>146</v>
      </c>
      <c r="S81" s="189" t="s">
        <v>147</v>
      </c>
      <c r="T81" s="188" t="s">
        <v>146</v>
      </c>
    </row>
    <row r="82" spans="1:20">
      <c r="A82" s="195" t="s">
        <v>182</v>
      </c>
      <c r="B82" s="188" t="s">
        <v>146</v>
      </c>
      <c r="C82" s="198" t="s">
        <v>146</v>
      </c>
      <c r="D82" s="197" t="s">
        <v>147</v>
      </c>
      <c r="E82" s="207"/>
      <c r="F82" s="205"/>
      <c r="G82" s="206"/>
      <c r="H82" s="195" t="s">
        <v>182</v>
      </c>
      <c r="I82" s="190" t="s">
        <v>148</v>
      </c>
      <c r="J82" s="198" t="s">
        <v>146</v>
      </c>
      <c r="K82" s="199" t="s">
        <v>146</v>
      </c>
      <c r="L82" s="202" t="s">
        <v>147</v>
      </c>
      <c r="M82" s="199" t="s">
        <v>146</v>
      </c>
      <c r="N82" s="188" t="s">
        <v>146</v>
      </c>
      <c r="O82" s="195" t="s">
        <v>182</v>
      </c>
      <c r="P82" s="197" t="s">
        <v>147</v>
      </c>
      <c r="Q82" s="198" t="s">
        <v>146</v>
      </c>
      <c r="R82" s="199" t="s">
        <v>146</v>
      </c>
      <c r="S82" s="189" t="s">
        <v>147</v>
      </c>
      <c r="T82" s="188" t="s">
        <v>146</v>
      </c>
    </row>
    <row r="83" spans="1:20">
      <c r="A83" s="195" t="s">
        <v>183</v>
      </c>
      <c r="B83" s="188" t="s">
        <v>146</v>
      </c>
      <c r="C83" s="198" t="s">
        <v>146</v>
      </c>
      <c r="D83" s="197" t="s">
        <v>147</v>
      </c>
      <c r="E83" s="207"/>
      <c r="F83" s="205"/>
      <c r="G83" s="206"/>
      <c r="H83" s="195" t="s">
        <v>183</v>
      </c>
      <c r="I83" s="206"/>
      <c r="J83" s="198" t="s">
        <v>146</v>
      </c>
      <c r="K83" s="199" t="s">
        <v>146</v>
      </c>
      <c r="L83" s="202" t="s">
        <v>147</v>
      </c>
      <c r="M83" s="199" t="s">
        <v>146</v>
      </c>
      <c r="N83" s="188" t="s">
        <v>146</v>
      </c>
      <c r="O83" s="195" t="s">
        <v>183</v>
      </c>
      <c r="P83" s="197" t="s">
        <v>147</v>
      </c>
      <c r="Q83" s="198" t="s">
        <v>146</v>
      </c>
      <c r="R83" s="199" t="s">
        <v>146</v>
      </c>
      <c r="S83" s="189" t="s">
        <v>147</v>
      </c>
      <c r="T83" s="188" t="s">
        <v>146</v>
      </c>
    </row>
    <row r="84" spans="1:20">
      <c r="A84" s="195" t="s">
        <v>184</v>
      </c>
      <c r="B84" s="188" t="s">
        <v>146</v>
      </c>
      <c r="C84" s="198" t="s">
        <v>146</v>
      </c>
      <c r="D84" s="197" t="s">
        <v>147</v>
      </c>
      <c r="E84" s="207"/>
      <c r="F84" s="205"/>
      <c r="G84" s="211" t="s">
        <v>186</v>
      </c>
      <c r="H84" s="195" t="s">
        <v>184</v>
      </c>
      <c r="I84" s="211" t="s">
        <v>186</v>
      </c>
      <c r="J84" s="198" t="s">
        <v>146</v>
      </c>
      <c r="K84" s="199" t="s">
        <v>146</v>
      </c>
      <c r="L84" s="202" t="s">
        <v>147</v>
      </c>
      <c r="M84" s="205"/>
      <c r="N84" s="188" t="s">
        <v>146</v>
      </c>
      <c r="O84" s="195" t="s">
        <v>184</v>
      </c>
      <c r="P84" s="197" t="s">
        <v>147</v>
      </c>
      <c r="Q84" s="198" t="s">
        <v>146</v>
      </c>
      <c r="R84" s="199" t="s">
        <v>146</v>
      </c>
      <c r="S84" s="189" t="s">
        <v>147</v>
      </c>
      <c r="T84" s="188" t="s">
        <v>146</v>
      </c>
    </row>
    <row r="85" spans="1:20">
      <c r="A85" s="212"/>
      <c r="B85" s="187" t="s">
        <v>187</v>
      </c>
      <c r="C85" s="213" t="s">
        <v>137</v>
      </c>
      <c r="D85" s="214" t="s">
        <v>142</v>
      </c>
      <c r="E85" s="213" t="s">
        <v>143</v>
      </c>
      <c r="F85" s="214" t="s">
        <v>144</v>
      </c>
      <c r="G85" s="187" t="s">
        <v>145</v>
      </c>
      <c r="H85" s="212"/>
      <c r="I85" s="187" t="s">
        <v>187</v>
      </c>
      <c r="J85" s="213" t="s">
        <v>137</v>
      </c>
      <c r="K85" s="214" t="s">
        <v>142</v>
      </c>
      <c r="L85" s="213" t="s">
        <v>143</v>
      </c>
      <c r="M85" s="214" t="s">
        <v>144</v>
      </c>
      <c r="N85" s="187" t="s">
        <v>145</v>
      </c>
      <c r="O85" s="212"/>
      <c r="P85" s="187" t="s">
        <v>187</v>
      </c>
      <c r="Q85" s="213" t="s">
        <v>137</v>
      </c>
      <c r="R85" s="214" t="s">
        <v>142</v>
      </c>
      <c r="S85" s="187" t="s">
        <v>143</v>
      </c>
      <c r="T85" s="187" t="s">
        <v>145</v>
      </c>
    </row>
  </sheetData>
  <mergeCells count="13">
    <mergeCell ref="B46:G46"/>
    <mergeCell ref="I46:N46"/>
    <mergeCell ref="P46:T46"/>
    <mergeCell ref="B47:G47"/>
    <mergeCell ref="I47:N47"/>
    <mergeCell ref="P47:T47"/>
    <mergeCell ref="B1:U1"/>
    <mergeCell ref="B3:G3"/>
    <mergeCell ref="I3:N3"/>
    <mergeCell ref="P3:U3"/>
    <mergeCell ref="B4:G4"/>
    <mergeCell ref="I4:N4"/>
    <mergeCell ref="P4:U4"/>
  </mergeCells>
  <phoneticPr fontId="4" type="noConversion"/>
  <pageMargins left="0.25" right="0.25" top="0.75" bottom="0.75" header="0.3" footer="0.3"/>
  <pageSetup paperSize="9"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9"/>
  <sheetViews>
    <sheetView workbookViewId="0">
      <selection activeCell="Q21" sqref="Q21:Q24"/>
    </sheetView>
  </sheetViews>
  <sheetFormatPr defaultRowHeight="16.5"/>
  <cols>
    <col min="2" max="2" width="26.25" customWidth="1"/>
    <col min="7" max="7" width="12.75" bestFit="1" customWidth="1"/>
    <col min="8" max="8" width="10.875" bestFit="1" customWidth="1"/>
  </cols>
  <sheetData>
    <row r="1" spans="1:19">
      <c r="A1" t="s">
        <v>310</v>
      </c>
      <c r="F1" t="s">
        <v>311</v>
      </c>
      <c r="G1" s="279"/>
      <c r="H1" s="279"/>
      <c r="L1" t="s">
        <v>312</v>
      </c>
      <c r="P1" t="s">
        <v>313</v>
      </c>
    </row>
    <row r="2" spans="1:19">
      <c r="A2" t="s">
        <v>276</v>
      </c>
      <c r="B2" t="s">
        <v>195</v>
      </c>
      <c r="C2">
        <v>22</v>
      </c>
      <c r="F2">
        <v>4290</v>
      </c>
      <c r="G2" s="279">
        <v>34149.680968096814</v>
      </c>
      <c r="H2" s="279">
        <v>28529.991999999998</v>
      </c>
      <c r="L2">
        <v>4290</v>
      </c>
      <c r="M2">
        <v>34149.680968096814</v>
      </c>
      <c r="N2">
        <v>28529.991999999998</v>
      </c>
      <c r="P2">
        <v>1985</v>
      </c>
      <c r="Q2">
        <v>15732.034005380738</v>
      </c>
      <c r="R2">
        <v>13177.491999999998</v>
      </c>
      <c r="S2" t="s">
        <v>310</v>
      </c>
    </row>
    <row r="3" spans="1:19">
      <c r="A3" t="s">
        <v>277</v>
      </c>
      <c r="B3" t="s">
        <v>197</v>
      </c>
      <c r="C3">
        <v>22</v>
      </c>
      <c r="F3">
        <v>4400</v>
      </c>
      <c r="G3" s="279">
        <v>38734.170506159528</v>
      </c>
      <c r="H3" s="279">
        <v>30256.551999999996</v>
      </c>
      <c r="L3">
        <v>4400</v>
      </c>
      <c r="M3">
        <v>38734.170506159528</v>
      </c>
      <c r="N3">
        <v>30256.551999999996</v>
      </c>
      <c r="P3">
        <v>2040</v>
      </c>
      <c r="Q3">
        <v>18024.278774412091</v>
      </c>
      <c r="R3">
        <v>14040.771999999997</v>
      </c>
    </row>
    <row r="4" spans="1:19">
      <c r="A4" t="s">
        <v>206</v>
      </c>
      <c r="B4" t="s">
        <v>236</v>
      </c>
      <c r="C4">
        <v>22</v>
      </c>
      <c r="F4">
        <v>110</v>
      </c>
      <c r="G4" s="279">
        <v>4584.4895380627167</v>
      </c>
      <c r="H4" s="279">
        <v>1726.5600000000002</v>
      </c>
      <c r="L4">
        <v>110</v>
      </c>
      <c r="M4">
        <v>4584.4895380627167</v>
      </c>
      <c r="N4">
        <v>1726.5600000000002</v>
      </c>
      <c r="P4">
        <v>55</v>
      </c>
      <c r="Q4">
        <v>2292.2447690313584</v>
      </c>
      <c r="R4">
        <v>863.28000000000009</v>
      </c>
    </row>
    <row r="5" spans="1:19">
      <c r="A5" t="s">
        <v>278</v>
      </c>
      <c r="B5" t="s">
        <v>199</v>
      </c>
      <c r="C5">
        <v>22</v>
      </c>
      <c r="F5">
        <v>1172</v>
      </c>
      <c r="G5" s="279">
        <v>9089.9855134028257</v>
      </c>
      <c r="H5" s="279">
        <v>8339.3919999999998</v>
      </c>
      <c r="L5">
        <v>1112</v>
      </c>
      <c r="M5">
        <v>8217.0122754849763</v>
      </c>
      <c r="N5">
        <v>7727.8719999999994</v>
      </c>
      <c r="P5">
        <v>512</v>
      </c>
      <c r="Q5">
        <v>3732.7024583646498</v>
      </c>
      <c r="R5">
        <v>3535.8719999999989</v>
      </c>
    </row>
    <row r="6" spans="1:19">
      <c r="F6">
        <f>SUM(F2:F5)</f>
        <v>9972</v>
      </c>
      <c r="G6">
        <f t="shared" ref="G6:H6" si="0">SUM(G2:G5)</f>
        <v>86558.326525721874</v>
      </c>
      <c r="H6">
        <f t="shared" si="0"/>
        <v>68852.495999999985</v>
      </c>
    </row>
    <row r="7" spans="1:19">
      <c r="G7" s="279"/>
      <c r="H7" s="279"/>
    </row>
    <row r="8" spans="1:19">
      <c r="A8" t="s">
        <v>314</v>
      </c>
      <c r="G8" s="279"/>
      <c r="H8" s="279"/>
    </row>
    <row r="9" spans="1:19">
      <c r="A9" t="s">
        <v>276</v>
      </c>
      <c r="B9" t="s">
        <v>195</v>
      </c>
      <c r="C9">
        <v>22</v>
      </c>
      <c r="F9">
        <v>2305</v>
      </c>
      <c r="G9" s="279">
        <v>18417.646962716073</v>
      </c>
      <c r="H9" s="279">
        <v>15352.500000000002</v>
      </c>
      <c r="L9">
        <v>2305</v>
      </c>
      <c r="M9">
        <v>18417.646962716073</v>
      </c>
      <c r="N9">
        <v>15352.500000000002</v>
      </c>
      <c r="P9">
        <v>2305</v>
      </c>
      <c r="Q9">
        <v>18417.646962716073</v>
      </c>
      <c r="R9">
        <v>15352.500000000002</v>
      </c>
      <c r="S9" t="s">
        <v>315</v>
      </c>
    </row>
    <row r="10" spans="1:19">
      <c r="A10" t="s">
        <v>277</v>
      </c>
      <c r="B10" t="s">
        <v>197</v>
      </c>
      <c r="C10">
        <v>22</v>
      </c>
      <c r="F10">
        <v>2360</v>
      </c>
      <c r="G10" s="279">
        <v>20709.89173174743</v>
      </c>
      <c r="H10" s="279">
        <v>16215.78</v>
      </c>
      <c r="L10">
        <v>2360</v>
      </c>
      <c r="M10">
        <v>20709.89173174743</v>
      </c>
      <c r="N10">
        <v>16215.78</v>
      </c>
      <c r="P10">
        <v>2360</v>
      </c>
      <c r="Q10">
        <v>20709.89173174743</v>
      </c>
      <c r="R10">
        <v>16215.78</v>
      </c>
    </row>
    <row r="11" spans="1:19">
      <c r="A11" t="s">
        <v>206</v>
      </c>
      <c r="B11" t="s">
        <v>236</v>
      </c>
      <c r="C11">
        <v>22</v>
      </c>
      <c r="F11">
        <v>55</v>
      </c>
      <c r="G11" s="279">
        <v>2292.2447690313584</v>
      </c>
      <c r="H11" s="279">
        <v>863.28000000000009</v>
      </c>
      <c r="L11">
        <v>55</v>
      </c>
      <c r="M11">
        <v>2292.2447690313584</v>
      </c>
      <c r="N11">
        <v>863.28000000000009</v>
      </c>
      <c r="P11">
        <v>55</v>
      </c>
      <c r="Q11">
        <v>2292.2447690313584</v>
      </c>
      <c r="R11">
        <v>863.28000000000009</v>
      </c>
    </row>
    <row r="12" spans="1:19">
      <c r="A12" t="s">
        <v>278</v>
      </c>
      <c r="B12" t="s">
        <v>199</v>
      </c>
      <c r="C12">
        <v>22</v>
      </c>
      <c r="F12">
        <v>630</v>
      </c>
      <c r="G12" s="279">
        <v>4920.7964360792521</v>
      </c>
      <c r="H12" s="279">
        <v>4497.7599999999993</v>
      </c>
      <c r="L12">
        <v>600</v>
      </c>
      <c r="M12">
        <v>4484.3098171203264</v>
      </c>
      <c r="N12">
        <v>4191.9999999999991</v>
      </c>
      <c r="P12">
        <v>600</v>
      </c>
      <c r="Q12">
        <v>4484.3098171203264</v>
      </c>
      <c r="R12">
        <v>4191.9999999999991</v>
      </c>
    </row>
    <row r="13" spans="1:19">
      <c r="F13">
        <v>5350</v>
      </c>
      <c r="G13" s="279">
        <v>46340.579899574113</v>
      </c>
      <c r="H13" s="279">
        <v>36929.32</v>
      </c>
    </row>
    <row r="14" spans="1:19">
      <c r="A14" t="s">
        <v>316</v>
      </c>
      <c r="G14" s="279"/>
      <c r="H14" s="279"/>
    </row>
    <row r="15" spans="1:19">
      <c r="A15" t="s">
        <v>276</v>
      </c>
      <c r="B15" t="s">
        <v>195</v>
      </c>
      <c r="C15">
        <v>22</v>
      </c>
      <c r="F15">
        <v>2227</v>
      </c>
      <c r="G15" s="279">
        <v>17795.924691479049</v>
      </c>
      <c r="H15" s="279">
        <v>14833.564</v>
      </c>
      <c r="L15">
        <v>2227</v>
      </c>
      <c r="M15">
        <v>17795.924691479049</v>
      </c>
      <c r="N15">
        <v>14833.564</v>
      </c>
      <c r="P15">
        <v>2305</v>
      </c>
      <c r="Q15">
        <v>18417.646962716073</v>
      </c>
      <c r="R15">
        <v>15352.500000000002</v>
      </c>
      <c r="S15" t="s">
        <v>316</v>
      </c>
    </row>
    <row r="16" spans="1:19">
      <c r="A16" t="s">
        <v>277</v>
      </c>
      <c r="B16" t="s">
        <v>197</v>
      </c>
      <c r="C16">
        <v>22</v>
      </c>
      <c r="F16">
        <v>2280</v>
      </c>
      <c r="G16" s="279">
        <v>20004.815105272901</v>
      </c>
      <c r="H16" s="279">
        <v>15665.452000000001</v>
      </c>
      <c r="L16">
        <v>2280</v>
      </c>
      <c r="M16">
        <v>20004.815105272901</v>
      </c>
      <c r="N16">
        <v>15665.452000000001</v>
      </c>
      <c r="P16">
        <v>2360</v>
      </c>
      <c r="Q16">
        <v>20709.89173174743</v>
      </c>
      <c r="R16">
        <v>16215.78</v>
      </c>
    </row>
    <row r="17" spans="1:19">
      <c r="A17" t="s">
        <v>206</v>
      </c>
      <c r="B17" t="s">
        <v>236</v>
      </c>
      <c r="C17">
        <v>22</v>
      </c>
      <c r="F17">
        <v>53</v>
      </c>
      <c r="G17" s="279">
        <v>2208.8904137938543</v>
      </c>
      <c r="H17" s="279">
        <v>831.88800000000015</v>
      </c>
      <c r="L17">
        <v>53</v>
      </c>
      <c r="M17">
        <v>2208.8904137938543</v>
      </c>
      <c r="N17">
        <v>831.88800000000015</v>
      </c>
      <c r="P17">
        <v>55</v>
      </c>
      <c r="Q17">
        <v>2292.2447690313584</v>
      </c>
      <c r="R17">
        <v>863.28000000000009</v>
      </c>
    </row>
    <row r="18" spans="1:19">
      <c r="A18" t="s">
        <v>278</v>
      </c>
      <c r="B18" t="s">
        <v>199</v>
      </c>
      <c r="C18">
        <v>22</v>
      </c>
      <c r="F18">
        <v>610</v>
      </c>
      <c r="G18" s="279">
        <v>4774.0108268252579</v>
      </c>
      <c r="H18" s="279">
        <v>4359.5839999999998</v>
      </c>
      <c r="L18">
        <v>580</v>
      </c>
      <c r="M18">
        <v>4337.5242078663323</v>
      </c>
      <c r="N18">
        <v>4053.8239999999996</v>
      </c>
      <c r="P18">
        <v>600</v>
      </c>
      <c r="Q18">
        <v>4484.3098171203264</v>
      </c>
      <c r="R18">
        <v>4191.9999999999991</v>
      </c>
    </row>
    <row r="19" spans="1:19">
      <c r="F19">
        <v>5170</v>
      </c>
      <c r="G19" s="279">
        <v>44783.641037371061</v>
      </c>
      <c r="H19" s="279">
        <v>35690.488000000005</v>
      </c>
    </row>
    <row r="20" spans="1:19">
      <c r="A20" t="s">
        <v>317</v>
      </c>
      <c r="G20" s="279"/>
      <c r="H20" s="279"/>
    </row>
    <row r="21" spans="1:19">
      <c r="A21" t="s">
        <v>276</v>
      </c>
      <c r="B21" t="s">
        <v>195</v>
      </c>
      <c r="C21">
        <v>22</v>
      </c>
      <c r="F21">
        <v>3170</v>
      </c>
      <c r="G21" s="279">
        <v>25307.005304490849</v>
      </c>
      <c r="H21" s="279">
        <v>21105.78</v>
      </c>
      <c r="L21">
        <v>3170</v>
      </c>
      <c r="M21">
        <v>25307.005304490849</v>
      </c>
      <c r="N21">
        <v>21105.78</v>
      </c>
      <c r="P21">
        <v>2227</v>
      </c>
      <c r="Q21">
        <v>17795.924691479049</v>
      </c>
      <c r="R21">
        <v>14833.564</v>
      </c>
      <c r="S21" t="s">
        <v>318</v>
      </c>
    </row>
    <row r="22" spans="1:19">
      <c r="A22" t="s">
        <v>277</v>
      </c>
      <c r="B22" t="s">
        <v>197</v>
      </c>
      <c r="C22">
        <v>22</v>
      </c>
      <c r="F22">
        <v>3245</v>
      </c>
      <c r="G22" s="279">
        <v>28432.793625897251</v>
      </c>
      <c r="H22" s="279">
        <v>22282.979999999996</v>
      </c>
      <c r="L22">
        <v>3245</v>
      </c>
      <c r="M22">
        <v>28432.793625897251</v>
      </c>
      <c r="N22">
        <v>22282.979999999996</v>
      </c>
      <c r="P22">
        <v>2280</v>
      </c>
      <c r="Q22">
        <v>20004.815105272901</v>
      </c>
      <c r="R22">
        <v>15665.452000000001</v>
      </c>
    </row>
    <row r="23" spans="1:19">
      <c r="A23" t="s">
        <v>206</v>
      </c>
      <c r="B23" t="s">
        <v>236</v>
      </c>
      <c r="C23">
        <v>22</v>
      </c>
      <c r="F23">
        <v>75</v>
      </c>
      <c r="G23" s="279">
        <v>3125.7883214063982</v>
      </c>
      <c r="H23" s="279">
        <v>1177.1999999999998</v>
      </c>
      <c r="L23">
        <v>75</v>
      </c>
      <c r="M23">
        <v>3125.7883214063982</v>
      </c>
      <c r="N23">
        <v>1177.1999999999998</v>
      </c>
      <c r="P23">
        <v>53</v>
      </c>
      <c r="Q23">
        <v>2208.8904137938543</v>
      </c>
      <c r="R23">
        <v>831.88800000000015</v>
      </c>
    </row>
    <row r="24" spans="1:19">
      <c r="A24" t="s">
        <v>278</v>
      </c>
      <c r="B24" t="s">
        <v>199</v>
      </c>
      <c r="C24">
        <v>22</v>
      </c>
      <c r="F24">
        <v>874</v>
      </c>
      <c r="G24" s="279">
        <v>6885.0038667233057</v>
      </c>
      <c r="H24" s="279">
        <v>6268.4480000000021</v>
      </c>
      <c r="L24">
        <v>836</v>
      </c>
      <c r="M24">
        <v>6332.1208160420001</v>
      </c>
      <c r="N24">
        <v>5881.1520000000019</v>
      </c>
      <c r="P24">
        <v>580</v>
      </c>
      <c r="Q24">
        <v>4337.5242078663323</v>
      </c>
      <c r="R24">
        <v>4053.8239999999996</v>
      </c>
    </row>
    <row r="25" spans="1:19">
      <c r="F25">
        <v>7364</v>
      </c>
      <c r="G25" s="279">
        <v>63750.591118517812</v>
      </c>
      <c r="H25" s="279">
        <v>50834.407999999996</v>
      </c>
    </row>
    <row r="26" spans="1:19">
      <c r="A26" t="s">
        <v>319</v>
      </c>
      <c r="G26" s="279"/>
      <c r="H26" s="279"/>
    </row>
    <row r="27" spans="1:19">
      <c r="A27" t="s">
        <v>278</v>
      </c>
      <c r="B27" t="s">
        <v>199</v>
      </c>
      <c r="C27">
        <v>22</v>
      </c>
      <c r="F27" s="280">
        <v>362</v>
      </c>
      <c r="G27" s="281">
        <v>5046.1322963979565</v>
      </c>
      <c r="H27" s="281">
        <v>3644.7039999999997</v>
      </c>
      <c r="I27" s="280" t="s">
        <v>320</v>
      </c>
      <c r="L27">
        <v>520</v>
      </c>
      <c r="M27">
        <v>7344.9618229149646</v>
      </c>
      <c r="N27">
        <v>5255.0400000000009</v>
      </c>
      <c r="P27">
        <v>3170</v>
      </c>
      <c r="Q27">
        <v>25307.005304490849</v>
      </c>
      <c r="R27">
        <v>21105.78</v>
      </c>
      <c r="S27" t="s">
        <v>321</v>
      </c>
    </row>
    <row r="28" spans="1:19">
      <c r="G28" s="279"/>
      <c r="H28" s="279"/>
      <c r="P28">
        <v>3245</v>
      </c>
      <c r="Q28">
        <v>28432.793625897251</v>
      </c>
      <c r="R28">
        <v>22282.979999999996</v>
      </c>
    </row>
    <row r="29" spans="1:19">
      <c r="A29" s="282" t="s">
        <v>276</v>
      </c>
      <c r="B29" s="282" t="s">
        <v>195</v>
      </c>
      <c r="C29" s="282">
        <v>22</v>
      </c>
      <c r="F29" s="280">
        <f>F21+F15+F9+F2</f>
        <v>11992</v>
      </c>
      <c r="G29" s="281">
        <f t="shared" ref="G29:H29" si="1">G21+G15+G9+G2</f>
        <v>95670.257926782782</v>
      </c>
      <c r="H29" s="281">
        <f t="shared" si="1"/>
        <v>79821.835999999996</v>
      </c>
      <c r="I29" s="280" t="s">
        <v>320</v>
      </c>
      <c r="L29">
        <f t="shared" ref="L29:N31" si="2">L2+L9+L15+L21</f>
        <v>11992</v>
      </c>
      <c r="M29">
        <f t="shared" si="2"/>
        <v>95670.257926782797</v>
      </c>
      <c r="N29">
        <f>N2+N9+N15+N21</f>
        <v>79821.835999999996</v>
      </c>
      <c r="O29" t="s">
        <v>320</v>
      </c>
      <c r="P29">
        <v>75</v>
      </c>
      <c r="Q29">
        <v>3125.7883214063982</v>
      </c>
      <c r="R29">
        <v>1177.1999999999998</v>
      </c>
    </row>
    <row r="30" spans="1:19">
      <c r="A30" s="282" t="s">
        <v>277</v>
      </c>
      <c r="B30" s="282" t="s">
        <v>197</v>
      </c>
      <c r="C30" s="282">
        <v>22</v>
      </c>
      <c r="F30" s="280">
        <f>F3+F10+F16+F22</f>
        <v>12285</v>
      </c>
      <c r="G30" s="281">
        <f t="shared" ref="G30:H31" si="3">G3+G10+G16+G22</f>
        <v>107881.67096907711</v>
      </c>
      <c r="H30" s="281">
        <f t="shared" si="3"/>
        <v>84420.763999999996</v>
      </c>
      <c r="I30" s="280" t="s">
        <v>320</v>
      </c>
      <c r="L30">
        <f t="shared" si="2"/>
        <v>12285</v>
      </c>
      <c r="M30">
        <f t="shared" si="2"/>
        <v>107881.67096907711</v>
      </c>
      <c r="N30">
        <f t="shared" si="2"/>
        <v>84420.763999999996</v>
      </c>
      <c r="O30" t="s">
        <v>322</v>
      </c>
      <c r="P30">
        <v>836</v>
      </c>
      <c r="Q30">
        <v>6332.1208160420001</v>
      </c>
      <c r="R30">
        <v>5881.1520000000019</v>
      </c>
    </row>
    <row r="31" spans="1:19">
      <c r="A31" s="282" t="s">
        <v>206</v>
      </c>
      <c r="B31" s="282" t="s">
        <v>236</v>
      </c>
      <c r="C31" s="282">
        <v>22</v>
      </c>
      <c r="F31" s="280">
        <f>F4+F11+F17+F23</f>
        <v>293</v>
      </c>
      <c r="G31" s="281">
        <f t="shared" si="3"/>
        <v>12211.413042294327</v>
      </c>
      <c r="H31" s="281">
        <f t="shared" si="3"/>
        <v>4598.9279999999999</v>
      </c>
      <c r="I31" s="280" t="s">
        <v>320</v>
      </c>
      <c r="L31">
        <f t="shared" si="2"/>
        <v>293</v>
      </c>
      <c r="M31">
        <f t="shared" si="2"/>
        <v>12211.413042294327</v>
      </c>
      <c r="N31">
        <f t="shared" si="2"/>
        <v>4598.9279999999999</v>
      </c>
      <c r="O31" t="s">
        <v>323</v>
      </c>
    </row>
    <row r="32" spans="1:19">
      <c r="A32" s="282" t="s">
        <v>278</v>
      </c>
      <c r="B32" s="282" t="s">
        <v>199</v>
      </c>
      <c r="C32" s="282">
        <v>22</v>
      </c>
      <c r="F32" s="280">
        <f>F27+F24+F18+F12+F5</f>
        <v>3648</v>
      </c>
      <c r="G32" s="281">
        <f t="shared" ref="G32:H32" si="4">G27+G24+G18+G12+G5</f>
        <v>30715.928939428595</v>
      </c>
      <c r="H32" s="281">
        <f t="shared" si="4"/>
        <v>27109.887999999999</v>
      </c>
      <c r="I32" s="280" t="s">
        <v>324</v>
      </c>
      <c r="L32">
        <f t="shared" ref="L32:M32" si="5">L5+L12+L18+L24+L27</f>
        <v>3648</v>
      </c>
      <c r="M32">
        <f t="shared" si="5"/>
        <v>30715.928939428599</v>
      </c>
      <c r="N32">
        <f>N5+N12+N18+N24+N27</f>
        <v>27109.888000000003</v>
      </c>
      <c r="O32" t="s">
        <v>323</v>
      </c>
      <c r="P32">
        <v>520</v>
      </c>
      <c r="Q32">
        <v>7344.9618229149646</v>
      </c>
      <c r="R32">
        <v>5255.0400000000009</v>
      </c>
      <c r="S32" t="s">
        <v>325</v>
      </c>
    </row>
    <row r="33" spans="14:19">
      <c r="N33" s="285">
        <f>SUM(N29:N32)</f>
        <v>195951.416</v>
      </c>
    </row>
    <row r="35" spans="14:19">
      <c r="P35">
        <f>P27+P21+P15+P9+P2</f>
        <v>11992</v>
      </c>
      <c r="Q35">
        <f t="shared" ref="Q35:R35" si="6">Q27+Q21+Q15+Q9+Q2</f>
        <v>95670.257926782768</v>
      </c>
      <c r="R35">
        <f t="shared" si="6"/>
        <v>79821.835999999996</v>
      </c>
      <c r="S35" t="s">
        <v>320</v>
      </c>
    </row>
    <row r="36" spans="14:19">
      <c r="P36">
        <f t="shared" ref="P36:R37" si="7">P28+P22+P16+P10+P3</f>
        <v>12285</v>
      </c>
      <c r="Q36">
        <f t="shared" si="7"/>
        <v>107881.67096907709</v>
      </c>
      <c r="R36">
        <f t="shared" si="7"/>
        <v>84420.763999999996</v>
      </c>
      <c r="S36" t="s">
        <v>320</v>
      </c>
    </row>
    <row r="37" spans="14:19">
      <c r="P37">
        <f t="shared" si="7"/>
        <v>293</v>
      </c>
      <c r="Q37">
        <f t="shared" si="7"/>
        <v>12211.413042294327</v>
      </c>
      <c r="R37">
        <f t="shared" si="7"/>
        <v>4598.9279999999999</v>
      </c>
      <c r="S37" t="s">
        <v>320</v>
      </c>
    </row>
    <row r="38" spans="14:19">
      <c r="P38">
        <f>P30+P24+P18+P12+P5+P32</f>
        <v>3648</v>
      </c>
      <c r="Q38">
        <f t="shared" ref="Q38:R38" si="8">Q30+Q24+Q18+Q12+Q5+Q32</f>
        <v>30715.928939428599</v>
      </c>
      <c r="R38">
        <f t="shared" si="8"/>
        <v>27109.888000000003</v>
      </c>
      <c r="S38" t="s">
        <v>322</v>
      </c>
    </row>
    <row r="39" spans="14:19">
      <c r="R39">
        <f>SUM(R35:R38)</f>
        <v>195951.416</v>
      </c>
      <c r="S39" t="s">
        <v>322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31"/>
  <sheetViews>
    <sheetView workbookViewId="0">
      <selection sqref="A1:XFD1048576"/>
    </sheetView>
  </sheetViews>
  <sheetFormatPr defaultRowHeight="16.5"/>
  <cols>
    <col min="1" max="1" width="16.375" customWidth="1"/>
    <col min="2" max="2" width="4.875" customWidth="1"/>
    <col min="3" max="3" width="9.75" style="2" customWidth="1"/>
    <col min="4" max="11" width="7.125" customWidth="1"/>
  </cols>
  <sheetData>
    <row r="1" spans="1:12" ht="31.5">
      <c r="A1" s="312" t="s">
        <v>1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</row>
    <row r="2" spans="1:12" ht="31.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t="s">
        <v>2</v>
      </c>
    </row>
    <row r="4" spans="1:12">
      <c r="A4" s="3" t="s">
        <v>3</v>
      </c>
      <c r="B4" s="3" t="s">
        <v>4</v>
      </c>
      <c r="C4" s="4" t="s">
        <v>5</v>
      </c>
      <c r="D4" s="3"/>
      <c r="E4" s="3"/>
      <c r="F4" s="3"/>
      <c r="G4" s="3"/>
      <c r="H4" s="3"/>
      <c r="I4" s="3"/>
      <c r="J4" s="3"/>
      <c r="K4" s="3"/>
      <c r="L4" s="3" t="s">
        <v>6</v>
      </c>
    </row>
    <row r="5" spans="1:12">
      <c r="A5" s="5"/>
      <c r="B5" s="5"/>
      <c r="C5" s="6"/>
      <c r="D5" s="5"/>
      <c r="E5" s="5"/>
      <c r="F5" s="5"/>
      <c r="G5" s="5"/>
      <c r="H5" s="5"/>
      <c r="I5" s="5"/>
      <c r="J5" s="5"/>
      <c r="K5" s="5"/>
      <c r="L5" s="5"/>
    </row>
    <row r="6" spans="1:12">
      <c r="A6" s="7"/>
      <c r="B6" s="7"/>
      <c r="C6" s="8"/>
      <c r="D6" s="7"/>
      <c r="E6" s="7"/>
      <c r="F6" s="7"/>
      <c r="G6" s="7"/>
      <c r="H6" s="7"/>
      <c r="I6" s="7"/>
      <c r="J6" s="7"/>
      <c r="K6" s="7"/>
      <c r="L6" s="7"/>
    </row>
    <row r="7" spans="1:12">
      <c r="A7" s="5"/>
      <c r="B7" s="5"/>
      <c r="C7" s="6"/>
      <c r="D7" s="5"/>
      <c r="E7" s="5"/>
      <c r="F7" s="5"/>
      <c r="G7" s="5"/>
      <c r="H7" s="5"/>
      <c r="I7" s="5"/>
      <c r="J7" s="5"/>
      <c r="K7" s="5"/>
      <c r="L7" s="5"/>
    </row>
    <row r="8" spans="1:12">
      <c r="A8" s="7"/>
      <c r="B8" s="7"/>
      <c r="C8" s="8"/>
      <c r="D8" s="7"/>
      <c r="E8" s="7"/>
      <c r="F8" s="7"/>
      <c r="G8" s="7"/>
      <c r="H8" s="7"/>
      <c r="I8" s="7"/>
      <c r="J8" s="7"/>
      <c r="K8" s="7"/>
      <c r="L8" s="7"/>
    </row>
    <row r="9" spans="1:12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</row>
    <row r="10" spans="1:12">
      <c r="A10" s="7"/>
      <c r="B10" s="7"/>
      <c r="C10" s="8"/>
      <c r="D10" s="7"/>
      <c r="E10" s="7"/>
      <c r="F10" s="7"/>
      <c r="G10" s="7"/>
      <c r="H10" s="7"/>
      <c r="I10" s="7"/>
      <c r="J10" s="7"/>
      <c r="K10" s="7"/>
      <c r="L10" s="7"/>
    </row>
    <row r="11" spans="1:12">
      <c r="A11" s="5"/>
      <c r="B11" s="5"/>
      <c r="C11" s="6"/>
      <c r="D11" s="5"/>
      <c r="E11" s="5"/>
      <c r="F11" s="5"/>
      <c r="G11" s="5"/>
      <c r="H11" s="5"/>
      <c r="I11" s="5"/>
      <c r="J11" s="5"/>
      <c r="K11" s="5"/>
      <c r="L11" s="5"/>
    </row>
    <row r="12" spans="1:12">
      <c r="A12" s="7"/>
      <c r="B12" s="7"/>
      <c r="C12" s="8"/>
      <c r="D12" s="7"/>
      <c r="E12" s="7"/>
      <c r="F12" s="7"/>
      <c r="G12" s="7"/>
      <c r="H12" s="7"/>
      <c r="I12" s="7"/>
      <c r="J12" s="7"/>
      <c r="K12" s="7"/>
      <c r="L12" s="7"/>
    </row>
    <row r="13" spans="1:12">
      <c r="A13" s="5"/>
      <c r="B13" s="5"/>
      <c r="C13" s="6"/>
      <c r="D13" s="5"/>
      <c r="E13" s="5"/>
      <c r="F13" s="5"/>
      <c r="G13" s="5"/>
      <c r="H13" s="5"/>
      <c r="I13" s="5"/>
      <c r="J13" s="5"/>
      <c r="K13" s="5"/>
      <c r="L13" s="5"/>
    </row>
    <row r="14" spans="1:12">
      <c r="A14" s="7"/>
      <c r="B14" s="7"/>
      <c r="C14" s="8"/>
      <c r="D14" s="7"/>
      <c r="E14" s="7"/>
      <c r="F14" s="7"/>
      <c r="G14" s="7"/>
      <c r="H14" s="7"/>
      <c r="I14" s="7"/>
      <c r="J14" s="7"/>
      <c r="K14" s="7"/>
      <c r="L14" s="7"/>
    </row>
    <row r="15" spans="1:12">
      <c r="A15" s="9"/>
      <c r="B15" s="9"/>
      <c r="C15" s="10"/>
      <c r="D15" s="9"/>
      <c r="E15" s="9"/>
      <c r="F15" s="9"/>
      <c r="G15" s="9"/>
      <c r="H15" s="9"/>
      <c r="I15" s="9"/>
      <c r="J15" s="9"/>
      <c r="K15" s="9"/>
      <c r="L15" s="9"/>
    </row>
    <row r="16" spans="1:12">
      <c r="A16" s="5"/>
      <c r="B16" s="5"/>
      <c r="C16" s="6"/>
      <c r="D16" s="5"/>
      <c r="E16" s="5"/>
      <c r="F16" s="5"/>
      <c r="G16" s="5"/>
      <c r="H16" s="5"/>
      <c r="I16" s="5"/>
      <c r="J16" s="5"/>
      <c r="K16" s="5"/>
      <c r="L16" s="5"/>
    </row>
    <row r="17" spans="1:12">
      <c r="A17" s="7"/>
      <c r="B17" s="7"/>
      <c r="C17" s="8"/>
      <c r="D17" s="7"/>
      <c r="E17" s="7"/>
      <c r="F17" s="7"/>
      <c r="G17" s="7"/>
      <c r="H17" s="7"/>
      <c r="I17" s="7"/>
      <c r="J17" s="7"/>
      <c r="K17" s="7"/>
      <c r="L17" s="7"/>
    </row>
    <row r="18" spans="1:12">
      <c r="A18" s="5"/>
      <c r="B18" s="5"/>
      <c r="C18" s="6"/>
      <c r="D18" s="5"/>
      <c r="E18" s="5"/>
      <c r="F18" s="5"/>
      <c r="G18" s="5"/>
      <c r="H18" s="5"/>
      <c r="I18" s="5"/>
      <c r="J18" s="5"/>
      <c r="K18" s="5"/>
      <c r="L18" s="5"/>
    </row>
    <row r="19" spans="1:12">
      <c r="A19" s="7"/>
      <c r="B19" s="7"/>
      <c r="C19" s="8"/>
      <c r="D19" s="7"/>
      <c r="E19" s="7"/>
      <c r="F19" s="7"/>
      <c r="G19" s="7"/>
      <c r="H19" s="7"/>
      <c r="I19" s="7"/>
      <c r="J19" s="7"/>
      <c r="K19" s="7"/>
      <c r="L19" s="7"/>
    </row>
    <row r="20" spans="1:12">
      <c r="A20" s="9"/>
      <c r="B20" s="9"/>
      <c r="C20" s="10"/>
      <c r="D20" s="9"/>
      <c r="E20" s="9"/>
      <c r="F20" s="9"/>
      <c r="G20" s="9"/>
      <c r="H20" s="9"/>
      <c r="I20" s="9"/>
      <c r="J20" s="9"/>
      <c r="K20" s="9"/>
      <c r="L20" s="9"/>
    </row>
    <row r="21" spans="1:12">
      <c r="A21" s="9"/>
      <c r="B21" s="9"/>
      <c r="C21" s="10"/>
      <c r="D21" s="9"/>
      <c r="E21" s="9"/>
      <c r="F21" s="9"/>
      <c r="G21" s="9"/>
      <c r="H21" s="9"/>
      <c r="I21" s="9"/>
      <c r="J21" s="9"/>
      <c r="K21" s="9"/>
      <c r="L21" s="9"/>
    </row>
    <row r="22" spans="1:12">
      <c r="A22" s="9"/>
      <c r="B22" s="9"/>
      <c r="C22" s="10"/>
      <c r="D22" s="9"/>
      <c r="E22" s="9"/>
      <c r="F22" s="9"/>
      <c r="G22" s="9"/>
      <c r="H22" s="9"/>
      <c r="I22" s="9"/>
      <c r="J22" s="9"/>
      <c r="K22" s="9"/>
      <c r="L22" s="9"/>
    </row>
    <row r="23" spans="1:12">
      <c r="A23" s="9"/>
      <c r="B23" s="9"/>
      <c r="C23" s="10"/>
      <c r="D23" s="9"/>
      <c r="E23" s="9"/>
      <c r="F23" s="9"/>
      <c r="G23" s="9"/>
      <c r="H23" s="9"/>
      <c r="I23" s="9"/>
      <c r="J23" s="9"/>
      <c r="K23" s="9"/>
      <c r="L23" s="9"/>
    </row>
    <row r="24" spans="1:12">
      <c r="A24" s="9"/>
      <c r="B24" s="9"/>
      <c r="C24" s="10"/>
      <c r="D24" s="9"/>
      <c r="E24" s="9"/>
      <c r="F24" s="9"/>
      <c r="G24" s="9"/>
      <c r="H24" s="9"/>
      <c r="I24" s="9"/>
      <c r="J24" s="9"/>
      <c r="K24" s="9"/>
      <c r="L24" s="9"/>
    </row>
    <row r="25" spans="1:12">
      <c r="A25" s="9"/>
      <c r="B25" s="9"/>
      <c r="C25" s="10"/>
      <c r="D25" s="9"/>
      <c r="E25" s="9"/>
      <c r="F25" s="9"/>
      <c r="G25" s="9"/>
      <c r="H25" s="9"/>
      <c r="I25" s="9"/>
      <c r="J25" s="9"/>
      <c r="K25" s="9"/>
      <c r="L25" s="9"/>
    </row>
    <row r="26" spans="1:12">
      <c r="A26" s="9"/>
      <c r="B26" s="9"/>
      <c r="C26" s="10"/>
      <c r="D26" s="9"/>
      <c r="E26" s="9"/>
      <c r="F26" s="9"/>
      <c r="G26" s="9"/>
      <c r="H26" s="9"/>
      <c r="I26" s="9"/>
      <c r="J26" s="9"/>
      <c r="K26" s="9"/>
      <c r="L26" s="9"/>
    </row>
    <row r="27" spans="1:12">
      <c r="A27" s="9"/>
      <c r="B27" s="9"/>
      <c r="C27" s="10"/>
      <c r="D27" s="9"/>
      <c r="E27" s="9"/>
      <c r="F27" s="9"/>
      <c r="G27" s="9"/>
      <c r="H27" s="9"/>
      <c r="I27" s="9"/>
      <c r="J27" s="9"/>
      <c r="K27" s="9"/>
      <c r="L27" s="9"/>
    </row>
    <row r="28" spans="1:12">
      <c r="A28" s="9"/>
      <c r="B28" s="9"/>
      <c r="C28" s="10"/>
      <c r="D28" s="9"/>
      <c r="E28" s="9"/>
      <c r="F28" s="9"/>
      <c r="G28" s="9"/>
      <c r="H28" s="9"/>
      <c r="I28" s="9"/>
      <c r="J28" s="9"/>
      <c r="K28" s="9"/>
      <c r="L28" s="9"/>
    </row>
    <row r="29" spans="1:12">
      <c r="A29" s="9"/>
      <c r="B29" s="9"/>
      <c r="C29" s="10"/>
      <c r="D29" s="9"/>
      <c r="E29" s="9"/>
      <c r="F29" s="9"/>
      <c r="G29" s="9"/>
      <c r="H29" s="9"/>
      <c r="I29" s="9"/>
      <c r="J29" s="9"/>
      <c r="K29" s="9"/>
      <c r="L29" s="9"/>
    </row>
    <row r="30" spans="1:12">
      <c r="A30" s="9"/>
      <c r="B30" s="9"/>
      <c r="C30" s="10"/>
      <c r="D30" s="9"/>
      <c r="E30" s="9"/>
      <c r="F30" s="9"/>
      <c r="G30" s="9"/>
      <c r="H30" s="9"/>
      <c r="I30" s="9"/>
      <c r="J30" s="9"/>
      <c r="K30" s="9"/>
      <c r="L30" s="9"/>
    </row>
    <row r="31" spans="1:12">
      <c r="A31" s="9"/>
      <c r="B31" s="9"/>
      <c r="C31" s="10"/>
      <c r="D31" s="9"/>
      <c r="E31" s="9"/>
      <c r="F31" s="9"/>
      <c r="G31" s="9"/>
      <c r="H31" s="9"/>
      <c r="I31" s="9"/>
      <c r="J31" s="9"/>
      <c r="K31" s="9"/>
      <c r="L31" s="9"/>
    </row>
  </sheetData>
  <mergeCells count="1">
    <mergeCell ref="A1:L1"/>
  </mergeCells>
  <phoneticPr fontId="4" type="noConversion"/>
  <pageMargins left="0.17" right="0.17" top="0.75" bottom="0.75" header="0.3" footer="0.3"/>
  <pageSetup paperSize="9" scale="96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126"/>
  <sheetViews>
    <sheetView view="pageBreakPreview" zoomScale="85" zoomScaleNormal="100" zoomScaleSheetLayoutView="85" workbookViewId="0">
      <selection activeCell="A5" sqref="A5"/>
    </sheetView>
  </sheetViews>
  <sheetFormatPr defaultRowHeight="16.5" outlineLevelCol="1"/>
  <cols>
    <col min="1" max="1" width="20.125" bestFit="1" customWidth="1"/>
    <col min="2" max="2" width="25.5" bestFit="1" customWidth="1"/>
    <col min="3" max="3" width="7.875" customWidth="1"/>
    <col min="4" max="6" width="8.875" customWidth="1" outlineLevel="1"/>
    <col min="7" max="11" width="8.875" style="12" customWidth="1" outlineLevel="1"/>
    <col min="12" max="12" width="9.875" bestFit="1" customWidth="1"/>
    <col min="17" max="17" width="12.875" bestFit="1" customWidth="1"/>
    <col min="18" max="18" width="10.875" bestFit="1" customWidth="1"/>
  </cols>
  <sheetData>
    <row r="1" spans="1:18" ht="36" customHeight="1">
      <c r="A1" s="11" t="s">
        <v>85</v>
      </c>
      <c r="O1" s="13"/>
      <c r="P1" s="316"/>
      <c r="Q1" s="316"/>
      <c r="R1" s="2"/>
    </row>
    <row r="2" spans="1:18" s="15" customFormat="1" ht="18" customHeight="1">
      <c r="A2" s="14"/>
      <c r="B2" s="14" t="s">
        <v>86</v>
      </c>
      <c r="C2" s="14">
        <f>54+58</f>
        <v>112</v>
      </c>
      <c r="D2" s="313" t="s">
        <v>7</v>
      </c>
      <c r="E2" s="314"/>
      <c r="F2" s="314"/>
      <c r="G2" s="314"/>
      <c r="H2" s="314"/>
      <c r="I2" s="314"/>
      <c r="J2" s="314"/>
      <c r="K2" s="314"/>
      <c r="L2" s="313" t="s">
        <v>8</v>
      </c>
      <c r="M2" s="314"/>
      <c r="N2" s="314"/>
      <c r="O2" s="314"/>
      <c r="P2" s="314"/>
      <c r="Q2" s="314"/>
      <c r="R2" s="315"/>
    </row>
    <row r="3" spans="1:18" s="15" customFormat="1" ht="18" customHeight="1">
      <c r="A3" s="16" t="s">
        <v>9</v>
      </c>
      <c r="B3" s="16" t="s">
        <v>10</v>
      </c>
      <c r="C3" s="16" t="s">
        <v>11</v>
      </c>
      <c r="D3" s="16" t="s">
        <v>12</v>
      </c>
      <c r="E3" s="16" t="s">
        <v>13</v>
      </c>
      <c r="F3" s="16" t="s">
        <v>14</v>
      </c>
      <c r="G3" s="17" t="s">
        <v>15</v>
      </c>
      <c r="H3" s="17" t="s">
        <v>16</v>
      </c>
      <c r="I3" s="17" t="s">
        <v>17</v>
      </c>
      <c r="J3" s="18" t="s">
        <v>18</v>
      </c>
      <c r="K3" s="18" t="s">
        <v>19</v>
      </c>
      <c r="L3" s="16" t="s">
        <v>20</v>
      </c>
      <c r="M3" s="16" t="s">
        <v>21</v>
      </c>
      <c r="N3" s="16" t="s">
        <v>22</v>
      </c>
      <c r="O3" s="19" t="s">
        <v>23</v>
      </c>
      <c r="P3" s="20" t="s">
        <v>16</v>
      </c>
      <c r="Q3" s="21" t="s">
        <v>18</v>
      </c>
      <c r="R3" s="21" t="s">
        <v>19</v>
      </c>
    </row>
    <row r="4" spans="1:18" s="15" customFormat="1" ht="18" customHeight="1">
      <c r="A4" s="22" t="s">
        <v>104</v>
      </c>
      <c r="B4" s="23" t="s">
        <v>196</v>
      </c>
      <c r="C4" s="24">
        <v>22</v>
      </c>
      <c r="D4" s="24">
        <v>1000</v>
      </c>
      <c r="E4" s="24">
        <v>2040</v>
      </c>
      <c r="F4" s="24">
        <v>1</v>
      </c>
      <c r="G4" s="25">
        <f t="shared" ref="G4:G9" si="0">D4*E4*F4/1000000</f>
        <v>2.04</v>
      </c>
      <c r="H4" s="26">
        <f t="shared" ref="H4:H9" si="1">(D4+E4)*F4*4/1000</f>
        <v>12.16</v>
      </c>
      <c r="I4" s="26">
        <f t="shared" ref="I4:I8" si="2">$C$2</f>
        <v>112</v>
      </c>
      <c r="J4" s="25">
        <f t="shared" ref="J4:J9" si="3">G4*I4</f>
        <v>228.48000000000002</v>
      </c>
      <c r="K4" s="25">
        <f t="shared" ref="K4:K9" si="4">H4*I4</f>
        <v>1361.92</v>
      </c>
      <c r="L4" s="27">
        <v>861</v>
      </c>
      <c r="M4" s="27">
        <v>1810</v>
      </c>
      <c r="N4" s="27">
        <v>1</v>
      </c>
      <c r="O4" s="28">
        <f t="shared" ref="O4:O9" si="5">L4*M4*N4/1000000</f>
        <v>1.5584100000000001</v>
      </c>
      <c r="P4" s="29">
        <f t="shared" ref="P4:P9" si="6">(L4+M4)*N4*4/1000</f>
        <v>10.683999999999999</v>
      </c>
      <c r="Q4" s="30">
        <f t="shared" ref="Q4:Q9" si="7">O4*I4</f>
        <v>174.54192</v>
      </c>
      <c r="R4" s="30">
        <f t="shared" ref="R4:R9" si="8">P4*I4</f>
        <v>1196.6079999999999</v>
      </c>
    </row>
    <row r="5" spans="1:18" s="15" customFormat="1" ht="18" customHeight="1">
      <c r="A5" s="22" t="s">
        <v>93</v>
      </c>
      <c r="B5" s="31"/>
      <c r="C5" s="24"/>
      <c r="D5" s="24">
        <v>885</v>
      </c>
      <c r="E5" s="24">
        <v>1540</v>
      </c>
      <c r="F5" s="24">
        <v>4</v>
      </c>
      <c r="G5" s="25">
        <f t="shared" si="0"/>
        <v>5.4516</v>
      </c>
      <c r="H5" s="26">
        <f t="shared" si="1"/>
        <v>38.799999999999997</v>
      </c>
      <c r="I5" s="26">
        <f t="shared" si="2"/>
        <v>112</v>
      </c>
      <c r="J5" s="25">
        <f t="shared" si="3"/>
        <v>610.57920000000001</v>
      </c>
      <c r="K5" s="25">
        <f t="shared" si="4"/>
        <v>4345.5999999999995</v>
      </c>
      <c r="L5" s="27">
        <v>738</v>
      </c>
      <c r="M5" s="27">
        <v>1310</v>
      </c>
      <c r="N5" s="27">
        <v>4</v>
      </c>
      <c r="O5" s="28">
        <f t="shared" si="5"/>
        <v>3.8671199999999999</v>
      </c>
      <c r="P5" s="29">
        <f t="shared" si="6"/>
        <v>32.768000000000001</v>
      </c>
      <c r="Q5" s="30">
        <f t="shared" si="7"/>
        <v>433.11743999999999</v>
      </c>
      <c r="R5" s="30">
        <f t="shared" si="8"/>
        <v>3670.0160000000001</v>
      </c>
    </row>
    <row r="6" spans="1:18" s="15" customFormat="1" ht="18" customHeight="1">
      <c r="A6" s="22" t="s">
        <v>94</v>
      </c>
      <c r="B6" s="31"/>
      <c r="C6" s="24"/>
      <c r="D6" s="24">
        <v>435</v>
      </c>
      <c r="E6" s="24">
        <v>1140</v>
      </c>
      <c r="F6" s="24">
        <v>2</v>
      </c>
      <c r="G6" s="25">
        <f t="shared" si="0"/>
        <v>0.99180000000000001</v>
      </c>
      <c r="H6" s="26">
        <f t="shared" si="1"/>
        <v>12.6</v>
      </c>
      <c r="I6" s="26">
        <f t="shared" si="2"/>
        <v>112</v>
      </c>
      <c r="J6" s="25">
        <f t="shared" si="3"/>
        <v>111.08160000000001</v>
      </c>
      <c r="K6" s="25">
        <f t="shared" si="4"/>
        <v>1411.2</v>
      </c>
      <c r="L6" s="27">
        <v>288</v>
      </c>
      <c r="M6" s="27">
        <v>910</v>
      </c>
      <c r="N6" s="27">
        <v>2</v>
      </c>
      <c r="O6" s="28">
        <f t="shared" si="5"/>
        <v>0.52415999999999996</v>
      </c>
      <c r="P6" s="29">
        <f t="shared" si="6"/>
        <v>9.5839999999999996</v>
      </c>
      <c r="Q6" s="30">
        <f t="shared" si="7"/>
        <v>58.705919999999992</v>
      </c>
      <c r="R6" s="30">
        <f t="shared" si="8"/>
        <v>1073.4079999999999</v>
      </c>
    </row>
    <row r="7" spans="1:18" s="15" customFormat="1" ht="18" customHeight="1">
      <c r="A7" s="22" t="s">
        <v>97</v>
      </c>
      <c r="B7" s="31"/>
      <c r="C7" s="24"/>
      <c r="D7" s="24">
        <v>375</v>
      </c>
      <c r="E7" s="24">
        <v>1140</v>
      </c>
      <c r="F7" s="24">
        <v>2</v>
      </c>
      <c r="G7" s="25">
        <f t="shared" si="0"/>
        <v>0.85499999999999998</v>
      </c>
      <c r="H7" s="26">
        <f t="shared" si="1"/>
        <v>12.12</v>
      </c>
      <c r="I7" s="26">
        <f t="shared" si="2"/>
        <v>112</v>
      </c>
      <c r="J7" s="25">
        <f t="shared" si="3"/>
        <v>95.759999999999991</v>
      </c>
      <c r="K7" s="25">
        <f t="shared" si="4"/>
        <v>1357.4399999999998</v>
      </c>
      <c r="L7" s="27">
        <v>228</v>
      </c>
      <c r="M7" s="27">
        <v>910</v>
      </c>
      <c r="N7" s="27">
        <v>2</v>
      </c>
      <c r="O7" s="28">
        <f t="shared" si="5"/>
        <v>0.41496</v>
      </c>
      <c r="P7" s="29">
        <f t="shared" si="6"/>
        <v>9.1039999999999992</v>
      </c>
      <c r="Q7" s="30">
        <f t="shared" si="7"/>
        <v>46.475520000000003</v>
      </c>
      <c r="R7" s="30">
        <f t="shared" si="8"/>
        <v>1019.6479999999999</v>
      </c>
    </row>
    <row r="8" spans="1:18" s="15" customFormat="1" ht="18" customHeight="1">
      <c r="A8" s="22" t="s">
        <v>99</v>
      </c>
      <c r="B8" s="31"/>
      <c r="C8" s="24"/>
      <c r="D8" s="24">
        <v>585</v>
      </c>
      <c r="E8" s="24">
        <v>500</v>
      </c>
      <c r="F8" s="24">
        <v>2</v>
      </c>
      <c r="G8" s="25">
        <f t="shared" si="0"/>
        <v>0.58499999999999996</v>
      </c>
      <c r="H8" s="26">
        <f t="shared" si="1"/>
        <v>8.68</v>
      </c>
      <c r="I8" s="26">
        <f t="shared" si="2"/>
        <v>112</v>
      </c>
      <c r="J8" s="25">
        <f t="shared" si="3"/>
        <v>65.52</v>
      </c>
      <c r="K8" s="25">
        <f t="shared" si="4"/>
        <v>972.16</v>
      </c>
      <c r="L8" s="27">
        <v>438</v>
      </c>
      <c r="M8" s="27">
        <v>270</v>
      </c>
      <c r="N8" s="27">
        <v>2</v>
      </c>
      <c r="O8" s="28">
        <f t="shared" si="5"/>
        <v>0.23652000000000001</v>
      </c>
      <c r="P8" s="29">
        <f t="shared" si="6"/>
        <v>5.6639999999999997</v>
      </c>
      <c r="Q8" s="30">
        <f t="shared" si="7"/>
        <v>26.49024</v>
      </c>
      <c r="R8" s="30">
        <f t="shared" si="8"/>
        <v>634.36799999999994</v>
      </c>
    </row>
    <row r="9" spans="1:18" s="15" customFormat="1" ht="18" customHeight="1">
      <c r="A9" s="22"/>
      <c r="B9" s="31"/>
      <c r="C9" s="24"/>
      <c r="D9" s="24"/>
      <c r="E9" s="24"/>
      <c r="F9" s="24"/>
      <c r="G9" s="25">
        <f t="shared" si="0"/>
        <v>0</v>
      </c>
      <c r="H9" s="26">
        <f t="shared" si="1"/>
        <v>0</v>
      </c>
      <c r="I9" s="26"/>
      <c r="J9" s="25">
        <f t="shared" si="3"/>
        <v>0</v>
      </c>
      <c r="K9" s="25">
        <f t="shared" si="4"/>
        <v>0</v>
      </c>
      <c r="L9" s="27"/>
      <c r="M9" s="27"/>
      <c r="N9" s="27"/>
      <c r="O9" s="28">
        <f t="shared" si="5"/>
        <v>0</v>
      </c>
      <c r="P9" s="29">
        <f t="shared" si="6"/>
        <v>0</v>
      </c>
      <c r="Q9" s="30">
        <f t="shared" si="7"/>
        <v>0</v>
      </c>
      <c r="R9" s="30">
        <f t="shared" si="8"/>
        <v>0</v>
      </c>
    </row>
    <row r="10" spans="1:18" s="15" customFormat="1" ht="18" customHeight="1">
      <c r="A10" s="32"/>
      <c r="B10" s="33"/>
      <c r="C10" s="34" t="s">
        <v>24</v>
      </c>
      <c r="D10" s="34"/>
      <c r="E10" s="34"/>
      <c r="F10" s="34">
        <f>SUM(F4:F9)</f>
        <v>11</v>
      </c>
      <c r="G10" s="35">
        <f>SUM(G4:G9)</f>
        <v>9.9234000000000009</v>
      </c>
      <c r="H10" s="35">
        <f>SUM(H4:H9)</f>
        <v>84.359999999999985</v>
      </c>
      <c r="I10" s="35"/>
      <c r="J10" s="35">
        <f>SUM(J4:J9)</f>
        <v>1111.4207999999999</v>
      </c>
      <c r="K10" s="35">
        <f>SUM(K4:K9)</f>
        <v>9448.32</v>
      </c>
      <c r="L10" s="35"/>
      <c r="M10" s="35"/>
      <c r="N10" s="35">
        <f>SUM(N4:N9)</f>
        <v>11</v>
      </c>
      <c r="O10" s="35">
        <f>SUM(O4:O9)</f>
        <v>6.6011699999999998</v>
      </c>
      <c r="P10" s="35">
        <f>SUM(P4:P9)</f>
        <v>67.804000000000002</v>
      </c>
      <c r="Q10" s="35">
        <f>SUM(Q4:Q9)</f>
        <v>739.33103999999992</v>
      </c>
      <c r="R10" s="35">
        <f>SUM(R4:R9)</f>
        <v>7594.0479999999989</v>
      </c>
    </row>
    <row r="11" spans="1:18" s="15" customFormat="1" ht="18" customHeight="1">
      <c r="A11" s="22" t="s">
        <v>103</v>
      </c>
      <c r="B11" s="23" t="s">
        <v>198</v>
      </c>
      <c r="C11" s="24">
        <v>22</v>
      </c>
      <c r="D11" s="24">
        <v>1000</v>
      </c>
      <c r="E11" s="24">
        <v>2040</v>
      </c>
      <c r="F11" s="24">
        <v>1</v>
      </c>
      <c r="G11" s="25">
        <f t="shared" ref="G11:G17" si="9">D11*E11*F11/1000000</f>
        <v>2.04</v>
      </c>
      <c r="H11" s="26">
        <f t="shared" ref="H11:H17" si="10">(D11+E11)*F11*4/1000</f>
        <v>12.16</v>
      </c>
      <c r="I11" s="26">
        <f t="shared" ref="I11:I16" si="11">$C$2</f>
        <v>112</v>
      </c>
      <c r="J11" s="25">
        <f t="shared" ref="J11:J17" si="12">G11*I11</f>
        <v>228.48000000000002</v>
      </c>
      <c r="K11" s="25">
        <f t="shared" ref="K11:K17" si="13">H11*I11</f>
        <v>1361.92</v>
      </c>
      <c r="L11" s="27">
        <v>861</v>
      </c>
      <c r="M11" s="27">
        <v>1810</v>
      </c>
      <c r="N11" s="27">
        <v>1</v>
      </c>
      <c r="O11" s="28">
        <f t="shared" ref="O11:O17" si="14">L11*M11*N11/1000000</f>
        <v>1.5584100000000001</v>
      </c>
      <c r="P11" s="29">
        <f t="shared" ref="P11:P17" si="15">(L11+M11)*N11*4/1000</f>
        <v>10.683999999999999</v>
      </c>
      <c r="Q11" s="30">
        <f t="shared" ref="Q11:Q17" si="16">O11*I11</f>
        <v>174.54192</v>
      </c>
      <c r="R11" s="30">
        <f t="shared" ref="R11:R17" si="17">P11*I11</f>
        <v>1196.6079999999999</v>
      </c>
    </row>
    <row r="12" spans="1:18" s="15" customFormat="1" ht="18" customHeight="1">
      <c r="A12" s="22" t="s">
        <v>102</v>
      </c>
      <c r="B12" s="31"/>
      <c r="C12" s="24"/>
      <c r="D12" s="24">
        <v>2270</v>
      </c>
      <c r="E12" s="24">
        <v>2040</v>
      </c>
      <c r="F12" s="24">
        <v>1</v>
      </c>
      <c r="G12" s="25">
        <f t="shared" si="9"/>
        <v>4.6307999999999998</v>
      </c>
      <c r="H12" s="26">
        <f t="shared" si="10"/>
        <v>17.239999999999998</v>
      </c>
      <c r="I12" s="26">
        <f t="shared" si="11"/>
        <v>112</v>
      </c>
      <c r="J12" s="25">
        <f t="shared" si="12"/>
        <v>518.64959999999996</v>
      </c>
      <c r="K12" s="25">
        <f t="shared" si="13"/>
        <v>1930.8799999999999</v>
      </c>
      <c r="L12" s="27">
        <v>2114</v>
      </c>
      <c r="M12" s="27">
        <v>1810</v>
      </c>
      <c r="N12" s="27">
        <v>1</v>
      </c>
      <c r="O12" s="28">
        <f t="shared" si="14"/>
        <v>3.8263400000000001</v>
      </c>
      <c r="P12" s="29">
        <f t="shared" si="15"/>
        <v>15.696</v>
      </c>
      <c r="Q12" s="30">
        <f t="shared" si="16"/>
        <v>428.55007999999998</v>
      </c>
      <c r="R12" s="30">
        <f t="shared" si="17"/>
        <v>1757.952</v>
      </c>
    </row>
    <row r="13" spans="1:18" s="15" customFormat="1" ht="18" customHeight="1">
      <c r="A13" s="22" t="s">
        <v>95</v>
      </c>
      <c r="B13" s="31"/>
      <c r="C13" s="24"/>
      <c r="D13" s="24">
        <v>885</v>
      </c>
      <c r="E13" s="24">
        <v>1540</v>
      </c>
      <c r="F13" s="24">
        <v>4</v>
      </c>
      <c r="G13" s="25">
        <f t="shared" si="9"/>
        <v>5.4516</v>
      </c>
      <c r="H13" s="26">
        <f t="shared" si="10"/>
        <v>38.799999999999997</v>
      </c>
      <c r="I13" s="26">
        <f t="shared" si="11"/>
        <v>112</v>
      </c>
      <c r="J13" s="25">
        <f t="shared" si="12"/>
        <v>610.57920000000001</v>
      </c>
      <c r="K13" s="25">
        <f t="shared" si="13"/>
        <v>4345.5999999999995</v>
      </c>
      <c r="L13" s="27">
        <v>738</v>
      </c>
      <c r="M13" s="27">
        <v>1310</v>
      </c>
      <c r="N13" s="27">
        <v>4</v>
      </c>
      <c r="O13" s="28">
        <f t="shared" si="14"/>
        <v>3.8671199999999999</v>
      </c>
      <c r="P13" s="29">
        <f t="shared" si="15"/>
        <v>32.768000000000001</v>
      </c>
      <c r="Q13" s="30">
        <f t="shared" si="16"/>
        <v>433.11743999999999</v>
      </c>
      <c r="R13" s="30">
        <f t="shared" si="17"/>
        <v>3670.0160000000001</v>
      </c>
    </row>
    <row r="14" spans="1:18" s="15" customFormat="1" ht="18" customHeight="1">
      <c r="A14" s="22" t="s">
        <v>96</v>
      </c>
      <c r="B14" s="31"/>
      <c r="C14" s="24"/>
      <c r="D14" s="24">
        <v>435</v>
      </c>
      <c r="E14" s="24">
        <v>1140</v>
      </c>
      <c r="F14" s="24">
        <v>2</v>
      </c>
      <c r="G14" s="25">
        <f t="shared" si="9"/>
        <v>0.99180000000000001</v>
      </c>
      <c r="H14" s="26">
        <f t="shared" si="10"/>
        <v>12.6</v>
      </c>
      <c r="I14" s="26">
        <f t="shared" si="11"/>
        <v>112</v>
      </c>
      <c r="J14" s="25">
        <f t="shared" si="12"/>
        <v>111.08160000000001</v>
      </c>
      <c r="K14" s="25">
        <f t="shared" si="13"/>
        <v>1411.2</v>
      </c>
      <c r="L14" s="27">
        <v>288</v>
      </c>
      <c r="M14" s="27">
        <v>910</v>
      </c>
      <c r="N14" s="27">
        <v>2</v>
      </c>
      <c r="O14" s="28">
        <f t="shared" si="14"/>
        <v>0.52415999999999996</v>
      </c>
      <c r="P14" s="29">
        <f t="shared" si="15"/>
        <v>9.5839999999999996</v>
      </c>
      <c r="Q14" s="30">
        <f t="shared" si="16"/>
        <v>58.705919999999992</v>
      </c>
      <c r="R14" s="30">
        <f t="shared" si="17"/>
        <v>1073.4079999999999</v>
      </c>
    </row>
    <row r="15" spans="1:18" s="15" customFormat="1" ht="18" customHeight="1">
      <c r="A15" s="22" t="s">
        <v>98</v>
      </c>
      <c r="B15" s="31"/>
      <c r="C15" s="24"/>
      <c r="D15" s="24">
        <v>375</v>
      </c>
      <c r="E15" s="24">
        <v>1140</v>
      </c>
      <c r="F15" s="24">
        <v>2</v>
      </c>
      <c r="G15" s="25">
        <f t="shared" si="9"/>
        <v>0.85499999999999998</v>
      </c>
      <c r="H15" s="26">
        <f t="shared" si="10"/>
        <v>12.12</v>
      </c>
      <c r="I15" s="26">
        <f t="shared" si="11"/>
        <v>112</v>
      </c>
      <c r="J15" s="25">
        <f t="shared" si="12"/>
        <v>95.759999999999991</v>
      </c>
      <c r="K15" s="25">
        <f t="shared" si="13"/>
        <v>1357.4399999999998</v>
      </c>
      <c r="L15" s="27">
        <v>228</v>
      </c>
      <c r="M15" s="27">
        <v>910</v>
      </c>
      <c r="N15" s="27">
        <v>2</v>
      </c>
      <c r="O15" s="28">
        <f t="shared" si="14"/>
        <v>0.41496</v>
      </c>
      <c r="P15" s="29">
        <f t="shared" si="15"/>
        <v>9.1039999999999992</v>
      </c>
      <c r="Q15" s="30">
        <f t="shared" si="16"/>
        <v>46.475520000000003</v>
      </c>
      <c r="R15" s="30">
        <f t="shared" si="17"/>
        <v>1019.6479999999999</v>
      </c>
    </row>
    <row r="16" spans="1:18" s="15" customFormat="1" ht="18" customHeight="1">
      <c r="A16" s="22" t="s">
        <v>100</v>
      </c>
      <c r="B16" s="31"/>
      <c r="C16" s="24"/>
      <c r="D16" s="24">
        <v>585</v>
      </c>
      <c r="E16" s="24">
        <v>500</v>
      </c>
      <c r="F16" s="24">
        <v>2</v>
      </c>
      <c r="G16" s="25">
        <f t="shared" si="9"/>
        <v>0.58499999999999996</v>
      </c>
      <c r="H16" s="26">
        <f t="shared" si="10"/>
        <v>8.68</v>
      </c>
      <c r="I16" s="26">
        <f t="shared" si="11"/>
        <v>112</v>
      </c>
      <c r="J16" s="25">
        <f t="shared" si="12"/>
        <v>65.52</v>
      </c>
      <c r="K16" s="25">
        <f t="shared" si="13"/>
        <v>972.16</v>
      </c>
      <c r="L16" s="27">
        <v>438</v>
      </c>
      <c r="M16" s="27">
        <v>270</v>
      </c>
      <c r="N16" s="27">
        <v>2</v>
      </c>
      <c r="O16" s="28">
        <f t="shared" si="14"/>
        <v>0.23652000000000001</v>
      </c>
      <c r="P16" s="29">
        <f t="shared" si="15"/>
        <v>5.6639999999999997</v>
      </c>
      <c r="Q16" s="30">
        <f t="shared" si="16"/>
        <v>26.49024</v>
      </c>
      <c r="R16" s="30">
        <f t="shared" si="17"/>
        <v>634.36799999999994</v>
      </c>
    </row>
    <row r="17" spans="1:20" s="15" customFormat="1" ht="18" customHeight="1">
      <c r="A17" s="22"/>
      <c r="B17" s="31"/>
      <c r="C17" s="24"/>
      <c r="D17" s="24"/>
      <c r="E17" s="24"/>
      <c r="F17" s="24"/>
      <c r="G17" s="25">
        <f t="shared" si="9"/>
        <v>0</v>
      </c>
      <c r="H17" s="26">
        <f t="shared" si="10"/>
        <v>0</v>
      </c>
      <c r="I17" s="26"/>
      <c r="J17" s="25">
        <f t="shared" si="12"/>
        <v>0</v>
      </c>
      <c r="K17" s="25">
        <f t="shared" si="13"/>
        <v>0</v>
      </c>
      <c r="L17" s="27"/>
      <c r="M17" s="27"/>
      <c r="N17" s="27"/>
      <c r="O17" s="28">
        <f t="shared" si="14"/>
        <v>0</v>
      </c>
      <c r="P17" s="29">
        <f t="shared" si="15"/>
        <v>0</v>
      </c>
      <c r="Q17" s="30">
        <f t="shared" si="16"/>
        <v>0</v>
      </c>
      <c r="R17" s="30">
        <f t="shared" si="17"/>
        <v>0</v>
      </c>
    </row>
    <row r="18" spans="1:20" s="15" customFormat="1" ht="18" customHeight="1">
      <c r="A18" s="32"/>
      <c r="B18" s="33"/>
      <c r="C18" s="34" t="s">
        <v>24</v>
      </c>
      <c r="D18" s="34"/>
      <c r="E18" s="34"/>
      <c r="F18" s="34">
        <f>SUM(F11:F17)</f>
        <v>12</v>
      </c>
      <c r="G18" s="35">
        <f>SUM(G11:G17)</f>
        <v>14.554199999999998</v>
      </c>
      <c r="H18" s="35">
        <f>SUM(H11:H17)</f>
        <v>101.6</v>
      </c>
      <c r="I18" s="35"/>
      <c r="J18" s="35">
        <f>SUM(J11:J17)</f>
        <v>1630.0703999999998</v>
      </c>
      <c r="K18" s="35">
        <f>SUM(K11:K17)</f>
        <v>11379.2</v>
      </c>
      <c r="L18" s="35"/>
      <c r="M18" s="35"/>
      <c r="N18" s="35">
        <f>SUM(N11:N17)</f>
        <v>12</v>
      </c>
      <c r="O18" s="35">
        <f>SUM(O11:O17)</f>
        <v>10.427510000000002</v>
      </c>
      <c r="P18" s="35">
        <f>SUM(P11:P17)</f>
        <v>83.5</v>
      </c>
      <c r="Q18" s="35">
        <f>SUM(Q11:Q17)</f>
        <v>1167.88112</v>
      </c>
      <c r="R18" s="35">
        <f>SUM(R11:R17)</f>
        <v>9352</v>
      </c>
    </row>
    <row r="19" spans="1:20" ht="18" customHeight="1">
      <c r="A19" s="22" t="s">
        <v>92</v>
      </c>
      <c r="B19" s="23" t="s">
        <v>237</v>
      </c>
      <c r="C19" s="24">
        <v>22</v>
      </c>
      <c r="D19" s="24">
        <v>2270</v>
      </c>
      <c r="E19" s="24">
        <v>2040</v>
      </c>
      <c r="F19" s="24">
        <v>1</v>
      </c>
      <c r="G19" s="38">
        <f>D19*E19*F19/1000000</f>
        <v>4.6307999999999998</v>
      </c>
      <c r="H19" s="26">
        <f>(D19+E19)*F19*4/1000</f>
        <v>17.239999999999998</v>
      </c>
      <c r="I19" s="26">
        <f t="shared" ref="I19" si="18">$C$2</f>
        <v>112</v>
      </c>
      <c r="J19" s="25">
        <f t="shared" ref="J19" si="19">G19*I19</f>
        <v>518.64959999999996</v>
      </c>
      <c r="K19" s="25">
        <f t="shared" ref="K19" si="20">H19*I19</f>
        <v>1930.8799999999999</v>
      </c>
      <c r="L19" s="39">
        <v>2114</v>
      </c>
      <c r="M19" s="39">
        <v>1810</v>
      </c>
      <c r="N19" s="39">
        <v>1</v>
      </c>
      <c r="O19" s="28">
        <f t="shared" ref="O19" si="21">L19*M19*N19/1000000</f>
        <v>3.8263400000000001</v>
      </c>
      <c r="P19" s="29">
        <f t="shared" ref="P19" si="22">(L19+M19)*N19*4/1000</f>
        <v>15.696</v>
      </c>
      <c r="Q19" s="30">
        <f t="shared" ref="Q19" si="23">O19*I19</f>
        <v>428.55007999999998</v>
      </c>
      <c r="R19" s="30">
        <f t="shared" ref="R19" si="24">P19*I19</f>
        <v>1757.952</v>
      </c>
      <c r="T19" s="15"/>
    </row>
    <row r="20" spans="1:20" s="15" customFormat="1" ht="18" customHeight="1">
      <c r="A20" s="36"/>
      <c r="B20" s="31"/>
      <c r="C20" s="24"/>
      <c r="D20" s="24"/>
      <c r="E20" s="24"/>
      <c r="F20" s="24"/>
      <c r="G20" s="25"/>
      <c r="H20" s="26"/>
      <c r="I20" s="26"/>
      <c r="J20" s="25"/>
      <c r="K20" s="25"/>
      <c r="L20" s="39"/>
      <c r="M20" s="39"/>
      <c r="N20" s="39"/>
      <c r="O20" s="28"/>
      <c r="P20" s="29"/>
      <c r="Q20" s="30"/>
      <c r="R20" s="30"/>
    </row>
    <row r="21" spans="1:20" ht="18" customHeight="1">
      <c r="A21" s="32"/>
      <c r="B21" s="40"/>
      <c r="C21" s="34" t="s">
        <v>25</v>
      </c>
      <c r="D21" s="34"/>
      <c r="E21" s="34"/>
      <c r="F21" s="34">
        <f>SUM(F19:F20)</f>
        <v>1</v>
      </c>
      <c r="G21" s="35">
        <f>SUM(G19:G20)</f>
        <v>4.6307999999999998</v>
      </c>
      <c r="H21" s="35">
        <f>SUM(H19:H20)</f>
        <v>17.239999999999998</v>
      </c>
      <c r="I21" s="35"/>
      <c r="J21" s="35">
        <f>SUM(J19:J20)</f>
        <v>518.64959999999996</v>
      </c>
      <c r="K21" s="35">
        <f>SUM(K19:K20)</f>
        <v>1930.8799999999999</v>
      </c>
      <c r="L21" s="35"/>
      <c r="M21" s="35"/>
      <c r="N21" s="35">
        <f>SUM(N19:N20)</f>
        <v>1</v>
      </c>
      <c r="O21" s="35">
        <f>SUM(O19:O20)</f>
        <v>3.8263400000000001</v>
      </c>
      <c r="P21" s="35">
        <f>SUM(P19:P20)</f>
        <v>15.696</v>
      </c>
      <c r="Q21" s="41">
        <f>SUM(Q19:Q20)</f>
        <v>428.55007999999998</v>
      </c>
      <c r="R21" s="41">
        <f>SUM(R19:R20)</f>
        <v>1757.952</v>
      </c>
      <c r="T21" s="15"/>
    </row>
    <row r="22" spans="1:20" ht="18" customHeight="1">
      <c r="A22" s="22" t="s">
        <v>91</v>
      </c>
      <c r="B22" s="23" t="s">
        <v>297</v>
      </c>
      <c r="C22" s="24">
        <v>22</v>
      </c>
      <c r="D22" s="24">
        <v>785</v>
      </c>
      <c r="E22" s="24">
        <v>2040</v>
      </c>
      <c r="F22" s="24">
        <v>2</v>
      </c>
      <c r="G22" s="38">
        <f>D22*E22*F22/1000000</f>
        <v>3.2027999999999999</v>
      </c>
      <c r="H22" s="26">
        <f>(D22+E22)*F22*4/1000</f>
        <v>22.6</v>
      </c>
      <c r="I22" s="26">
        <f t="shared" ref="I22:I23" si="25">$C$2</f>
        <v>112</v>
      </c>
      <c r="J22" s="25">
        <f t="shared" ref="J22:J23" si="26">G22*I22</f>
        <v>358.71359999999999</v>
      </c>
      <c r="K22" s="25">
        <f t="shared" ref="K22:K23" si="27">H22*I22</f>
        <v>2531.2000000000003</v>
      </c>
      <c r="L22" s="39">
        <v>638</v>
      </c>
      <c r="M22" s="39">
        <v>1810</v>
      </c>
      <c r="N22" s="39">
        <v>2</v>
      </c>
      <c r="O22" s="28">
        <f t="shared" ref="O22:O23" si="28">L22*M22*N22/1000000</f>
        <v>2.3095599999999998</v>
      </c>
      <c r="P22" s="29">
        <f t="shared" ref="P22:P23" si="29">(L22+M22)*N22*4/1000</f>
        <v>19.584</v>
      </c>
      <c r="Q22" s="30">
        <f t="shared" ref="Q22:Q23" si="30">O22*I22</f>
        <v>258.67071999999996</v>
      </c>
      <c r="R22" s="30">
        <f t="shared" ref="R22:R23" si="31">P22*I22</f>
        <v>2193.4079999999999</v>
      </c>
      <c r="T22" s="15"/>
    </row>
    <row r="23" spans="1:20" ht="18" customHeight="1">
      <c r="A23" s="174" t="s">
        <v>101</v>
      </c>
      <c r="B23" s="175"/>
      <c r="C23" s="176"/>
      <c r="D23" s="176">
        <v>435</v>
      </c>
      <c r="E23" s="176">
        <v>1140</v>
      </c>
      <c r="F23" s="176">
        <v>2</v>
      </c>
      <c r="G23" s="38">
        <f>D23*E23*F23/1000000</f>
        <v>0.99180000000000001</v>
      </c>
      <c r="H23" s="26">
        <f>(D23+E23)*F23*4/1000</f>
        <v>12.6</v>
      </c>
      <c r="I23" s="26">
        <f t="shared" si="25"/>
        <v>112</v>
      </c>
      <c r="J23" s="25">
        <f t="shared" si="26"/>
        <v>111.08160000000001</v>
      </c>
      <c r="K23" s="25">
        <f t="shared" si="27"/>
        <v>1411.2</v>
      </c>
      <c r="L23" s="39">
        <v>250</v>
      </c>
      <c r="M23" s="39">
        <v>930</v>
      </c>
      <c r="N23" s="39">
        <v>2</v>
      </c>
      <c r="O23" s="28">
        <f t="shared" si="28"/>
        <v>0.46500000000000002</v>
      </c>
      <c r="P23" s="29">
        <f t="shared" si="29"/>
        <v>9.44</v>
      </c>
      <c r="Q23" s="30">
        <f t="shared" si="30"/>
        <v>52.080000000000005</v>
      </c>
      <c r="R23" s="30">
        <f t="shared" si="31"/>
        <v>1057.28</v>
      </c>
      <c r="T23" s="15"/>
    </row>
    <row r="24" spans="1:20" s="15" customFormat="1" ht="18" customHeight="1">
      <c r="A24" s="36"/>
      <c r="B24" s="31"/>
      <c r="C24" s="24"/>
      <c r="D24" s="24"/>
      <c r="E24" s="24"/>
      <c r="F24" s="24"/>
      <c r="G24" s="25"/>
      <c r="H24" s="26"/>
      <c r="I24" s="26"/>
      <c r="J24" s="25"/>
      <c r="K24" s="25"/>
      <c r="L24" s="39"/>
      <c r="M24" s="39"/>
      <c r="N24" s="39"/>
      <c r="O24" s="28"/>
      <c r="P24" s="29"/>
      <c r="Q24" s="30"/>
      <c r="R24" s="30"/>
    </row>
    <row r="25" spans="1:20" ht="18" customHeight="1">
      <c r="A25" s="32"/>
      <c r="B25" s="40"/>
      <c r="C25" s="34" t="s">
        <v>25</v>
      </c>
      <c r="D25" s="34"/>
      <c r="E25" s="34"/>
      <c r="F25" s="34">
        <f>SUM(F22:F24)</f>
        <v>4</v>
      </c>
      <c r="G25" s="35">
        <f>SUM(G22:G24)</f>
        <v>4.1945999999999994</v>
      </c>
      <c r="H25" s="35">
        <f>SUM(H22:H24)</f>
        <v>35.200000000000003</v>
      </c>
      <c r="I25" s="35"/>
      <c r="J25" s="35">
        <f>SUM(J22:J24)</f>
        <v>469.79520000000002</v>
      </c>
      <c r="K25" s="35">
        <f>SUM(K22:K24)</f>
        <v>3942.4000000000005</v>
      </c>
      <c r="L25" s="35"/>
      <c r="M25" s="35"/>
      <c r="N25" s="35">
        <f>SUM(N22:N24)</f>
        <v>4</v>
      </c>
      <c r="O25" s="35">
        <f>SUM(O22:O24)</f>
        <v>2.7745599999999997</v>
      </c>
      <c r="P25" s="35">
        <f>SUM(P22:P24)</f>
        <v>29.024000000000001</v>
      </c>
      <c r="Q25" s="41">
        <f>SUM(Q22:Q24)</f>
        <v>310.75071999999994</v>
      </c>
      <c r="R25" s="41">
        <f>SUM(R22:R24)</f>
        <v>3250.6880000000001</v>
      </c>
      <c r="T25" s="15"/>
    </row>
    <row r="26" spans="1:20" s="15" customFormat="1" ht="18" customHeight="1">
      <c r="A26" s="36" t="s">
        <v>89</v>
      </c>
      <c r="B26" s="23" t="s">
        <v>90</v>
      </c>
      <c r="C26" s="24">
        <v>22</v>
      </c>
      <c r="D26" s="24">
        <f>1570/2</f>
        <v>785</v>
      </c>
      <c r="E26" s="24">
        <v>2490</v>
      </c>
      <c r="F26" s="24">
        <v>2</v>
      </c>
      <c r="G26" s="25">
        <f>D26*E26*F26/1000000</f>
        <v>3.9093</v>
      </c>
      <c r="H26" s="26">
        <f>(D26+E26)*F26*4/1000</f>
        <v>26.2</v>
      </c>
      <c r="I26" s="26">
        <f t="shared" ref="I26" si="32">$C$2</f>
        <v>112</v>
      </c>
      <c r="J26" s="25">
        <f>G26*I26</f>
        <v>437.84159999999997</v>
      </c>
      <c r="K26" s="25">
        <f t="shared" ref="K26:K27" si="33">H26*I26</f>
        <v>2934.4</v>
      </c>
      <c r="L26" s="27"/>
      <c r="M26" s="27"/>
      <c r="N26" s="27"/>
      <c r="O26" s="28">
        <f>L26*M26*N26/1000000</f>
        <v>0</v>
      </c>
      <c r="P26" s="29">
        <f>(L26+M26)*N26*4/1000</f>
        <v>0</v>
      </c>
      <c r="Q26" s="30">
        <f>O26*I26</f>
        <v>0</v>
      </c>
      <c r="R26" s="30">
        <f t="shared" ref="R26:R27" si="34">P26*I26</f>
        <v>0</v>
      </c>
    </row>
    <row r="27" spans="1:20" s="15" customFormat="1" ht="18" customHeight="1">
      <c r="A27" s="36"/>
      <c r="B27" s="31"/>
      <c r="C27" s="24"/>
      <c r="D27" s="24"/>
      <c r="E27" s="24"/>
      <c r="F27" s="24"/>
      <c r="G27" s="25">
        <f t="shared" ref="G27" si="35">D27*E27*F27/1000000</f>
        <v>0</v>
      </c>
      <c r="H27" s="25">
        <f t="shared" ref="H27" si="36">(D27+E27)*F27*4/1000</f>
        <v>0</v>
      </c>
      <c r="I27" s="26"/>
      <c r="J27" s="25">
        <f>G27*I27</f>
        <v>0</v>
      </c>
      <c r="K27" s="25">
        <f t="shared" si="33"/>
        <v>0</v>
      </c>
      <c r="L27" s="27"/>
      <c r="M27" s="27"/>
      <c r="N27" s="27"/>
      <c r="O27" s="28">
        <f t="shared" ref="O27" si="37">L27*M27*N27/1000000</f>
        <v>0</v>
      </c>
      <c r="P27" s="29">
        <f t="shared" ref="P27" si="38">(L27+M27)*N27*4/1000</f>
        <v>0</v>
      </c>
      <c r="Q27" s="30">
        <f t="shared" ref="Q27" si="39">O27*I27</f>
        <v>0</v>
      </c>
      <c r="R27" s="30">
        <f t="shared" si="34"/>
        <v>0</v>
      </c>
    </row>
    <row r="28" spans="1:20" s="15" customFormat="1" ht="18" customHeight="1">
      <c r="A28" s="32"/>
      <c r="B28" s="33"/>
      <c r="C28" s="34" t="s">
        <v>25</v>
      </c>
      <c r="D28" s="34"/>
      <c r="E28" s="34"/>
      <c r="F28" s="34">
        <f>SUM(F26:F27)</f>
        <v>2</v>
      </c>
      <c r="G28" s="35">
        <f>SUM(G26:G27)</f>
        <v>3.9093</v>
      </c>
      <c r="H28" s="35">
        <f>SUM(H26:H27)</f>
        <v>26.2</v>
      </c>
      <c r="I28" s="35"/>
      <c r="J28" s="35">
        <f>SUM(J26:J27)</f>
        <v>437.84159999999997</v>
      </c>
      <c r="K28" s="35">
        <f>SUM(K26:K27)</f>
        <v>2934.4</v>
      </c>
      <c r="L28" s="35"/>
      <c r="M28" s="35"/>
      <c r="N28" s="35">
        <f>SUM(N26:N27)</f>
        <v>0</v>
      </c>
      <c r="O28" s="35">
        <f>SUM(O26:O27)</f>
        <v>0</v>
      </c>
      <c r="P28" s="35">
        <f>SUM(P26:P27)</f>
        <v>0</v>
      </c>
      <c r="Q28" s="35">
        <f>SUM(Q26:Q27)</f>
        <v>0</v>
      </c>
      <c r="R28" s="35">
        <f>SUM(R26:R27)</f>
        <v>0</v>
      </c>
    </row>
    <row r="29" spans="1:20" s="15" customFormat="1" ht="18" customHeight="1">
      <c r="A29" s="36" t="s">
        <v>89</v>
      </c>
      <c r="B29" s="23" t="s">
        <v>90</v>
      </c>
      <c r="C29" s="24">
        <v>22</v>
      </c>
      <c r="D29" s="24">
        <f>1570/2</f>
        <v>785</v>
      </c>
      <c r="E29" s="24">
        <v>2490</v>
      </c>
      <c r="F29" s="24">
        <v>2</v>
      </c>
      <c r="G29" s="25">
        <f>D29*E29*F29/1000000</f>
        <v>3.9093</v>
      </c>
      <c r="H29" s="26">
        <f>(D29+E29)*F29*4/1000</f>
        <v>26.2</v>
      </c>
      <c r="I29" s="26">
        <f t="shared" ref="I29" si="40">$C$2</f>
        <v>112</v>
      </c>
      <c r="J29" s="25">
        <f>G29*I29</f>
        <v>437.84159999999997</v>
      </c>
      <c r="K29" s="25">
        <f t="shared" ref="K29" si="41">H29*I29</f>
        <v>2934.4</v>
      </c>
      <c r="L29" s="27"/>
      <c r="M29" s="27"/>
      <c r="N29" s="27"/>
      <c r="O29" s="28">
        <f>L29*M29*N29/1000000</f>
        <v>0</v>
      </c>
      <c r="P29" s="29">
        <f>(L29+M29)*N29*4/1000</f>
        <v>0</v>
      </c>
      <c r="Q29" s="30">
        <f>O29*I29</f>
        <v>0</v>
      </c>
      <c r="R29" s="30">
        <f t="shared" ref="R29" si="42">P29*I29</f>
        <v>0</v>
      </c>
    </row>
    <row r="30" spans="1:20" s="15" customFormat="1" ht="18" customHeight="1">
      <c r="A30" s="36"/>
      <c r="B30" s="31"/>
      <c r="C30" s="24"/>
      <c r="D30" s="24"/>
      <c r="E30" s="24"/>
      <c r="F30" s="24"/>
      <c r="G30" s="25"/>
      <c r="H30" s="26"/>
      <c r="I30" s="26"/>
      <c r="J30" s="25"/>
      <c r="K30" s="25"/>
      <c r="L30" s="39"/>
      <c r="M30" s="39"/>
      <c r="N30" s="39"/>
      <c r="O30" s="28"/>
      <c r="P30" s="29"/>
      <c r="Q30" s="30"/>
      <c r="R30" s="30"/>
    </row>
    <row r="31" spans="1:20" ht="18" customHeight="1">
      <c r="A31" s="32"/>
      <c r="B31" s="40"/>
      <c r="C31" s="34" t="s">
        <v>25</v>
      </c>
      <c r="D31" s="34"/>
      <c r="E31" s="34"/>
      <c r="F31" s="34">
        <f>SUM(F29:F30)</f>
        <v>2</v>
      </c>
      <c r="G31" s="35">
        <f>SUM(G29:G30)</f>
        <v>3.9093</v>
      </c>
      <c r="H31" s="35">
        <f>SUM(H29:H30)</f>
        <v>26.2</v>
      </c>
      <c r="I31" s="35"/>
      <c r="J31" s="35">
        <f>SUM(J29:J30)</f>
        <v>437.84159999999997</v>
      </c>
      <c r="K31" s="35">
        <f>SUM(K29:K30)</f>
        <v>2934.4</v>
      </c>
      <c r="L31" s="35"/>
      <c r="M31" s="35"/>
      <c r="N31" s="35">
        <f>SUM(N29:N30)</f>
        <v>0</v>
      </c>
      <c r="O31" s="35">
        <f>SUM(O29:O30)</f>
        <v>0</v>
      </c>
      <c r="P31" s="35">
        <f>SUM(P29:P30)</f>
        <v>0</v>
      </c>
      <c r="Q31" s="41">
        <f>SUM(Q29:Q30)</f>
        <v>0</v>
      </c>
      <c r="R31" s="41">
        <f>SUM(R29:R30)</f>
        <v>0</v>
      </c>
      <c r="T31" s="15"/>
    </row>
    <row r="32" spans="1:20" s="15" customFormat="1" ht="18" customHeight="1">
      <c r="A32" s="14"/>
      <c r="B32" s="14" t="s">
        <v>87</v>
      </c>
      <c r="C32" s="14">
        <f>101+84+81+110+107+59</f>
        <v>542</v>
      </c>
      <c r="D32" s="313" t="s">
        <v>7</v>
      </c>
      <c r="E32" s="314"/>
      <c r="F32" s="314"/>
      <c r="G32" s="314"/>
      <c r="H32" s="314"/>
      <c r="I32" s="314"/>
      <c r="J32" s="314"/>
      <c r="K32" s="314"/>
      <c r="L32" s="313" t="s">
        <v>8</v>
      </c>
      <c r="M32" s="314"/>
      <c r="N32" s="314"/>
      <c r="O32" s="314"/>
      <c r="P32" s="314"/>
      <c r="Q32" s="314"/>
      <c r="R32" s="315"/>
    </row>
    <row r="33" spans="1:20" s="15" customFormat="1" ht="18" customHeight="1">
      <c r="A33" s="16" t="s">
        <v>9</v>
      </c>
      <c r="B33" s="16" t="s">
        <v>10</v>
      </c>
      <c r="C33" s="16" t="s">
        <v>11</v>
      </c>
      <c r="D33" s="16" t="s">
        <v>12</v>
      </c>
      <c r="E33" s="16" t="s">
        <v>13</v>
      </c>
      <c r="F33" s="16" t="s">
        <v>14</v>
      </c>
      <c r="G33" s="17" t="s">
        <v>15</v>
      </c>
      <c r="H33" s="17" t="s">
        <v>16</v>
      </c>
      <c r="I33" s="17" t="s">
        <v>17</v>
      </c>
      <c r="J33" s="18" t="s">
        <v>18</v>
      </c>
      <c r="K33" s="18" t="s">
        <v>19</v>
      </c>
      <c r="L33" s="16" t="s">
        <v>20</v>
      </c>
      <c r="M33" s="16" t="s">
        <v>21</v>
      </c>
      <c r="N33" s="16" t="s">
        <v>22</v>
      </c>
      <c r="O33" s="19" t="s">
        <v>23</v>
      </c>
      <c r="P33" s="20" t="s">
        <v>16</v>
      </c>
      <c r="Q33" s="21" t="s">
        <v>18</v>
      </c>
      <c r="R33" s="21" t="s">
        <v>19</v>
      </c>
    </row>
    <row r="34" spans="1:20" s="15" customFormat="1" ht="18" customHeight="1">
      <c r="A34" s="22" t="s">
        <v>104</v>
      </c>
      <c r="B34" s="23" t="s">
        <v>201</v>
      </c>
      <c r="C34" s="24">
        <v>22</v>
      </c>
      <c r="D34" s="24">
        <v>900</v>
      </c>
      <c r="E34" s="24">
        <v>2040</v>
      </c>
      <c r="F34" s="24">
        <v>2</v>
      </c>
      <c r="G34" s="25">
        <f t="shared" ref="G34:G40" si="43">D34*E34*F34/1000000</f>
        <v>3.6720000000000002</v>
      </c>
      <c r="H34" s="26">
        <f t="shared" ref="H34:H40" si="44">(D34+E34)*F34*4/1000</f>
        <v>23.52</v>
      </c>
      <c r="I34" s="26">
        <f>$C$32</f>
        <v>542</v>
      </c>
      <c r="J34" s="25">
        <f t="shared" ref="J34:J40" si="45">G34*I34</f>
        <v>1990.2240000000002</v>
      </c>
      <c r="K34" s="25">
        <f t="shared" ref="K34:K40" si="46">H34*I34</f>
        <v>12747.84</v>
      </c>
      <c r="L34" s="27">
        <v>761</v>
      </c>
      <c r="M34" s="27">
        <v>1810</v>
      </c>
      <c r="N34" s="27">
        <v>2</v>
      </c>
      <c r="O34" s="28">
        <f t="shared" ref="O34:O40" si="47">L34*M34*N34/1000000</f>
        <v>2.75482</v>
      </c>
      <c r="P34" s="29">
        <f t="shared" ref="P34:P40" si="48">(L34+M34)*N34*4/1000</f>
        <v>20.568000000000001</v>
      </c>
      <c r="Q34" s="30">
        <f t="shared" ref="Q34:Q40" si="49">O34*I34</f>
        <v>1493.1124400000001</v>
      </c>
      <c r="R34" s="30">
        <f t="shared" ref="R34:R40" si="50">P34*I34</f>
        <v>11147.856000000002</v>
      </c>
    </row>
    <row r="35" spans="1:20" ht="18" customHeight="1">
      <c r="A35" s="22" t="s">
        <v>92</v>
      </c>
      <c r="B35" s="23"/>
      <c r="C35" s="24">
        <v>22</v>
      </c>
      <c r="D35" s="24">
        <v>1770</v>
      </c>
      <c r="E35" s="24">
        <v>2040</v>
      </c>
      <c r="F35" s="24">
        <v>1</v>
      </c>
      <c r="G35" s="38">
        <f>D35*E35*F35/1000000</f>
        <v>3.6107999999999998</v>
      </c>
      <c r="H35" s="26">
        <f>(D35+E35)*F35*4/1000</f>
        <v>15.24</v>
      </c>
      <c r="I35" s="26">
        <f t="shared" ref="I35" si="51">$C$32</f>
        <v>542</v>
      </c>
      <c r="J35" s="25">
        <f t="shared" ref="J35" si="52">G35*I35</f>
        <v>1957.0536</v>
      </c>
      <c r="K35" s="25">
        <f t="shared" ref="K35" si="53">H35*I35</f>
        <v>8260.08</v>
      </c>
      <c r="L35" s="39">
        <v>1688</v>
      </c>
      <c r="M35" s="39">
        <v>1810</v>
      </c>
      <c r="N35" s="39">
        <v>1</v>
      </c>
      <c r="O35" s="28">
        <f t="shared" ref="O35" si="54">L35*M35*N35/1000000</f>
        <v>3.0552800000000002</v>
      </c>
      <c r="P35" s="29">
        <f t="shared" ref="P35" si="55">(L35+M35)*N35*4/1000</f>
        <v>13.992000000000001</v>
      </c>
      <c r="Q35" s="30">
        <f t="shared" ref="Q35" si="56">O35*I35</f>
        <v>1655.9617600000001</v>
      </c>
      <c r="R35" s="30">
        <f t="shared" ref="R35" si="57">P35*I35</f>
        <v>7583.6640000000007</v>
      </c>
      <c r="T35" s="15"/>
    </row>
    <row r="36" spans="1:20" s="15" customFormat="1" ht="18" customHeight="1">
      <c r="A36" s="22" t="s">
        <v>93</v>
      </c>
      <c r="B36" s="31"/>
      <c r="C36" s="24"/>
      <c r="D36" s="24">
        <v>885</v>
      </c>
      <c r="E36" s="24">
        <v>1540</v>
      </c>
      <c r="F36" s="24">
        <v>4</v>
      </c>
      <c r="G36" s="25">
        <f t="shared" si="43"/>
        <v>5.4516</v>
      </c>
      <c r="H36" s="26">
        <f t="shared" si="44"/>
        <v>38.799999999999997</v>
      </c>
      <c r="I36" s="26">
        <f t="shared" ref="I36:I40" si="58">$C$32</f>
        <v>542</v>
      </c>
      <c r="J36" s="25">
        <f t="shared" si="45"/>
        <v>2954.7671999999998</v>
      </c>
      <c r="K36" s="25">
        <f t="shared" si="46"/>
        <v>21029.599999999999</v>
      </c>
      <c r="L36" s="27">
        <v>738</v>
      </c>
      <c r="M36" s="27">
        <v>1310</v>
      </c>
      <c r="N36" s="27">
        <v>4</v>
      </c>
      <c r="O36" s="28">
        <f t="shared" si="47"/>
        <v>3.8671199999999999</v>
      </c>
      <c r="P36" s="29">
        <f t="shared" si="48"/>
        <v>32.768000000000001</v>
      </c>
      <c r="Q36" s="30">
        <f t="shared" si="49"/>
        <v>2095.9790400000002</v>
      </c>
      <c r="R36" s="30">
        <f t="shared" si="50"/>
        <v>17760.256000000001</v>
      </c>
    </row>
    <row r="37" spans="1:20" s="15" customFormat="1" ht="18" customHeight="1">
      <c r="A37" s="22" t="s">
        <v>94</v>
      </c>
      <c r="B37" s="31"/>
      <c r="C37" s="24"/>
      <c r="D37" s="24">
        <v>435</v>
      </c>
      <c r="E37" s="24">
        <v>1140</v>
      </c>
      <c r="F37" s="24">
        <v>2</v>
      </c>
      <c r="G37" s="25">
        <f t="shared" si="43"/>
        <v>0.99180000000000001</v>
      </c>
      <c r="H37" s="26">
        <f t="shared" si="44"/>
        <v>12.6</v>
      </c>
      <c r="I37" s="26">
        <f t="shared" si="58"/>
        <v>542</v>
      </c>
      <c r="J37" s="25">
        <f t="shared" si="45"/>
        <v>537.55560000000003</v>
      </c>
      <c r="K37" s="25">
        <f t="shared" si="46"/>
        <v>6829.2</v>
      </c>
      <c r="L37" s="27">
        <v>288</v>
      </c>
      <c r="M37" s="27">
        <v>910</v>
      </c>
      <c r="N37" s="27">
        <v>2</v>
      </c>
      <c r="O37" s="28">
        <f t="shared" si="47"/>
        <v>0.52415999999999996</v>
      </c>
      <c r="P37" s="29">
        <f t="shared" si="48"/>
        <v>9.5839999999999996</v>
      </c>
      <c r="Q37" s="30">
        <f t="shared" si="49"/>
        <v>284.09472</v>
      </c>
      <c r="R37" s="30">
        <f t="shared" si="50"/>
        <v>5194.5280000000002</v>
      </c>
    </row>
    <row r="38" spans="1:20" s="15" customFormat="1" ht="18" customHeight="1">
      <c r="A38" s="22" t="s">
        <v>97</v>
      </c>
      <c r="B38" s="31"/>
      <c r="C38" s="24"/>
      <c r="D38" s="24">
        <v>375</v>
      </c>
      <c r="E38" s="24">
        <v>1140</v>
      </c>
      <c r="F38" s="24">
        <v>2</v>
      </c>
      <c r="G38" s="25">
        <f t="shared" si="43"/>
        <v>0.85499999999999998</v>
      </c>
      <c r="H38" s="26">
        <f t="shared" si="44"/>
        <v>12.12</v>
      </c>
      <c r="I38" s="26">
        <f t="shared" si="58"/>
        <v>542</v>
      </c>
      <c r="J38" s="25">
        <f t="shared" si="45"/>
        <v>463.40999999999997</v>
      </c>
      <c r="K38" s="25">
        <f t="shared" si="46"/>
        <v>6569.04</v>
      </c>
      <c r="L38" s="27">
        <v>228</v>
      </c>
      <c r="M38" s="27">
        <v>910</v>
      </c>
      <c r="N38" s="27">
        <v>2</v>
      </c>
      <c r="O38" s="28">
        <f t="shared" si="47"/>
        <v>0.41496</v>
      </c>
      <c r="P38" s="29">
        <f t="shared" si="48"/>
        <v>9.1039999999999992</v>
      </c>
      <c r="Q38" s="30">
        <f t="shared" si="49"/>
        <v>224.90832</v>
      </c>
      <c r="R38" s="30">
        <f t="shared" si="50"/>
        <v>4934.3679999999995</v>
      </c>
    </row>
    <row r="39" spans="1:20" s="15" customFormat="1" ht="18" customHeight="1">
      <c r="A39" s="22" t="s">
        <v>99</v>
      </c>
      <c r="B39" s="31"/>
      <c r="C39" s="24"/>
      <c r="D39" s="24">
        <v>585</v>
      </c>
      <c r="E39" s="24">
        <v>500</v>
      </c>
      <c r="F39" s="24">
        <v>2</v>
      </c>
      <c r="G39" s="25">
        <f t="shared" si="43"/>
        <v>0.58499999999999996</v>
      </c>
      <c r="H39" s="26">
        <f t="shared" si="44"/>
        <v>8.68</v>
      </c>
      <c r="I39" s="26">
        <f t="shared" si="58"/>
        <v>542</v>
      </c>
      <c r="J39" s="25">
        <f t="shared" si="45"/>
        <v>317.07</v>
      </c>
      <c r="K39" s="25">
        <f t="shared" si="46"/>
        <v>4704.5599999999995</v>
      </c>
      <c r="L39" s="27">
        <v>438</v>
      </c>
      <c r="M39" s="27">
        <v>270</v>
      </c>
      <c r="N39" s="27">
        <v>2</v>
      </c>
      <c r="O39" s="28">
        <f t="shared" si="47"/>
        <v>0.23652000000000001</v>
      </c>
      <c r="P39" s="29">
        <f t="shared" si="48"/>
        <v>5.6639999999999997</v>
      </c>
      <c r="Q39" s="30">
        <f t="shared" si="49"/>
        <v>128.19383999999999</v>
      </c>
      <c r="R39" s="30">
        <f t="shared" si="50"/>
        <v>3069.8879999999999</v>
      </c>
    </row>
    <row r="40" spans="1:20" s="15" customFormat="1" ht="18" customHeight="1">
      <c r="A40" s="22" t="s">
        <v>105</v>
      </c>
      <c r="B40" s="31"/>
      <c r="C40" s="24"/>
      <c r="D40" s="24">
        <v>355</v>
      </c>
      <c r="E40" s="24">
        <v>1140</v>
      </c>
      <c r="F40" s="24">
        <v>2</v>
      </c>
      <c r="G40" s="25">
        <f t="shared" si="43"/>
        <v>0.80940000000000001</v>
      </c>
      <c r="H40" s="26">
        <f t="shared" si="44"/>
        <v>11.96</v>
      </c>
      <c r="I40" s="26">
        <f t="shared" si="58"/>
        <v>542</v>
      </c>
      <c r="J40" s="25">
        <f t="shared" si="45"/>
        <v>438.69479999999999</v>
      </c>
      <c r="K40" s="25">
        <f t="shared" si="46"/>
        <v>6482.3200000000006</v>
      </c>
      <c r="L40" s="27">
        <v>208</v>
      </c>
      <c r="M40" s="27">
        <v>910</v>
      </c>
      <c r="N40" s="27">
        <v>2</v>
      </c>
      <c r="O40" s="28">
        <f t="shared" si="47"/>
        <v>0.37856000000000001</v>
      </c>
      <c r="P40" s="29">
        <f t="shared" si="48"/>
        <v>8.9440000000000008</v>
      </c>
      <c r="Q40" s="30">
        <f t="shared" si="49"/>
        <v>205.17952</v>
      </c>
      <c r="R40" s="30">
        <f t="shared" si="50"/>
        <v>4847.6480000000001</v>
      </c>
    </row>
    <row r="41" spans="1:20" s="15" customFormat="1" ht="18" customHeight="1">
      <c r="A41" s="32"/>
      <c r="B41" s="33"/>
      <c r="C41" s="34" t="s">
        <v>24</v>
      </c>
      <c r="D41" s="34"/>
      <c r="E41" s="34"/>
      <c r="F41" s="34">
        <f>SUM(F34:F40)</f>
        <v>15</v>
      </c>
      <c r="G41" s="35">
        <f>SUM(G34:G40)</f>
        <v>15.9756</v>
      </c>
      <c r="H41" s="35">
        <f>SUM(H34:H40)</f>
        <v>122.92000000000002</v>
      </c>
      <c r="I41" s="35"/>
      <c r="J41" s="35">
        <f>SUM(J34:J40)</f>
        <v>8658.7751999999982</v>
      </c>
      <c r="K41" s="35">
        <f>SUM(K34:K40)</f>
        <v>66622.64</v>
      </c>
      <c r="L41" s="35"/>
      <c r="M41" s="35"/>
      <c r="N41" s="35">
        <f>SUM(N34:N40)</f>
        <v>15</v>
      </c>
      <c r="O41" s="35">
        <f>SUM(O34:O40)</f>
        <v>11.231420000000002</v>
      </c>
      <c r="P41" s="35">
        <f>SUM(P34:P40)</f>
        <v>100.62400000000001</v>
      </c>
      <c r="Q41" s="35">
        <f>SUM(Q34:Q40)</f>
        <v>6087.4296400000003</v>
      </c>
      <c r="R41" s="35">
        <f>SUM(R34:R40)</f>
        <v>54538.208000000006</v>
      </c>
    </row>
    <row r="42" spans="1:20" s="15" customFormat="1" ht="18" customHeight="1">
      <c r="A42" s="22" t="s">
        <v>103</v>
      </c>
      <c r="B42" s="23" t="s">
        <v>202</v>
      </c>
      <c r="C42" s="24">
        <v>22</v>
      </c>
      <c r="D42" s="24">
        <v>900</v>
      </c>
      <c r="E42" s="24">
        <v>2040</v>
      </c>
      <c r="F42" s="24">
        <v>2</v>
      </c>
      <c r="G42" s="25">
        <f t="shared" ref="G42:G48" si="59">D42*E42*F42/1000000</f>
        <v>3.6720000000000002</v>
      </c>
      <c r="H42" s="26">
        <f t="shared" ref="H42:H48" si="60">(D42+E42)*F42*4/1000</f>
        <v>23.52</v>
      </c>
      <c r="I42" s="26">
        <f t="shared" ref="I42:I48" si="61">$C$32</f>
        <v>542</v>
      </c>
      <c r="J42" s="25">
        <f t="shared" ref="J42:J48" si="62">G42*I42</f>
        <v>1990.2240000000002</v>
      </c>
      <c r="K42" s="25">
        <f t="shared" ref="K42:K48" si="63">H42*I42</f>
        <v>12747.84</v>
      </c>
      <c r="L42" s="27">
        <v>761</v>
      </c>
      <c r="M42" s="27">
        <v>1810</v>
      </c>
      <c r="N42" s="27">
        <v>2</v>
      </c>
      <c r="O42" s="28">
        <f t="shared" ref="O42:O48" si="64">L42*M42*N42/1000000</f>
        <v>2.75482</v>
      </c>
      <c r="P42" s="29">
        <f t="shared" ref="P42:P48" si="65">(L42+M42)*N42*4/1000</f>
        <v>20.568000000000001</v>
      </c>
      <c r="Q42" s="30">
        <f t="shared" ref="Q42:Q48" si="66">O42*I42</f>
        <v>1493.1124400000001</v>
      </c>
      <c r="R42" s="30">
        <f t="shared" ref="R42:R48" si="67">P42*I42</f>
        <v>11147.856000000002</v>
      </c>
    </row>
    <row r="43" spans="1:20" s="15" customFormat="1" ht="18" customHeight="1">
      <c r="A43" s="22" t="s">
        <v>102</v>
      </c>
      <c r="B43" s="31"/>
      <c r="C43" s="24"/>
      <c r="D43" s="24">
        <v>1770</v>
      </c>
      <c r="E43" s="24">
        <v>2040</v>
      </c>
      <c r="F43" s="24">
        <v>1</v>
      </c>
      <c r="G43" s="25">
        <f t="shared" si="59"/>
        <v>3.6107999999999998</v>
      </c>
      <c r="H43" s="26">
        <f t="shared" si="60"/>
        <v>15.24</v>
      </c>
      <c r="I43" s="26">
        <f t="shared" si="61"/>
        <v>542</v>
      </c>
      <c r="J43" s="25">
        <f t="shared" si="62"/>
        <v>1957.0536</v>
      </c>
      <c r="K43" s="25">
        <f t="shared" si="63"/>
        <v>8260.08</v>
      </c>
      <c r="L43" s="39">
        <v>1688</v>
      </c>
      <c r="M43" s="39">
        <v>1810</v>
      </c>
      <c r="N43" s="39">
        <v>1</v>
      </c>
      <c r="O43" s="28">
        <f t="shared" si="64"/>
        <v>3.0552800000000002</v>
      </c>
      <c r="P43" s="29">
        <f t="shared" si="65"/>
        <v>13.992000000000001</v>
      </c>
      <c r="Q43" s="30">
        <f t="shared" si="66"/>
        <v>1655.9617600000001</v>
      </c>
      <c r="R43" s="30">
        <f t="shared" si="67"/>
        <v>7583.6640000000007</v>
      </c>
    </row>
    <row r="44" spans="1:20" s="15" customFormat="1" ht="18" customHeight="1">
      <c r="A44" s="22" t="s">
        <v>95</v>
      </c>
      <c r="B44" s="31"/>
      <c r="C44" s="24"/>
      <c r="D44" s="24">
        <v>885</v>
      </c>
      <c r="E44" s="24">
        <v>1540</v>
      </c>
      <c r="F44" s="24">
        <v>4</v>
      </c>
      <c r="G44" s="25">
        <f t="shared" si="59"/>
        <v>5.4516</v>
      </c>
      <c r="H44" s="26">
        <f t="shared" si="60"/>
        <v>38.799999999999997</v>
      </c>
      <c r="I44" s="26">
        <f t="shared" si="61"/>
        <v>542</v>
      </c>
      <c r="J44" s="25">
        <f t="shared" si="62"/>
        <v>2954.7671999999998</v>
      </c>
      <c r="K44" s="25">
        <f t="shared" si="63"/>
        <v>21029.599999999999</v>
      </c>
      <c r="L44" s="27">
        <v>738</v>
      </c>
      <c r="M44" s="27">
        <v>1310</v>
      </c>
      <c r="N44" s="27">
        <v>4</v>
      </c>
      <c r="O44" s="28">
        <f t="shared" si="64"/>
        <v>3.8671199999999999</v>
      </c>
      <c r="P44" s="29">
        <f t="shared" si="65"/>
        <v>32.768000000000001</v>
      </c>
      <c r="Q44" s="30">
        <f t="shared" si="66"/>
        <v>2095.9790400000002</v>
      </c>
      <c r="R44" s="30">
        <f t="shared" si="67"/>
        <v>17760.256000000001</v>
      </c>
    </row>
    <row r="45" spans="1:20" s="15" customFormat="1" ht="18" customHeight="1">
      <c r="A45" s="22" t="s">
        <v>96</v>
      </c>
      <c r="B45" s="31"/>
      <c r="C45" s="24"/>
      <c r="D45" s="24">
        <v>435</v>
      </c>
      <c r="E45" s="24">
        <v>1140</v>
      </c>
      <c r="F45" s="24">
        <v>2</v>
      </c>
      <c r="G45" s="25">
        <f t="shared" si="59"/>
        <v>0.99180000000000001</v>
      </c>
      <c r="H45" s="26">
        <f t="shared" si="60"/>
        <v>12.6</v>
      </c>
      <c r="I45" s="26">
        <f t="shared" si="61"/>
        <v>542</v>
      </c>
      <c r="J45" s="25">
        <f t="shared" si="62"/>
        <v>537.55560000000003</v>
      </c>
      <c r="K45" s="25">
        <f t="shared" si="63"/>
        <v>6829.2</v>
      </c>
      <c r="L45" s="27">
        <v>288</v>
      </c>
      <c r="M45" s="27">
        <v>910</v>
      </c>
      <c r="N45" s="27">
        <v>2</v>
      </c>
      <c r="O45" s="28">
        <f t="shared" si="64"/>
        <v>0.52415999999999996</v>
      </c>
      <c r="P45" s="29">
        <f t="shared" si="65"/>
        <v>9.5839999999999996</v>
      </c>
      <c r="Q45" s="30">
        <f t="shared" si="66"/>
        <v>284.09472</v>
      </c>
      <c r="R45" s="30">
        <f t="shared" si="67"/>
        <v>5194.5280000000002</v>
      </c>
    </row>
    <row r="46" spans="1:20" s="15" customFormat="1" ht="18" customHeight="1">
      <c r="A46" s="22" t="s">
        <v>98</v>
      </c>
      <c r="B46" s="31"/>
      <c r="C46" s="24"/>
      <c r="D46" s="24">
        <v>375</v>
      </c>
      <c r="E46" s="24">
        <v>1140</v>
      </c>
      <c r="F46" s="24">
        <v>2</v>
      </c>
      <c r="G46" s="25">
        <f t="shared" si="59"/>
        <v>0.85499999999999998</v>
      </c>
      <c r="H46" s="26">
        <f t="shared" si="60"/>
        <v>12.12</v>
      </c>
      <c r="I46" s="26">
        <f t="shared" si="61"/>
        <v>542</v>
      </c>
      <c r="J46" s="25">
        <f t="shared" si="62"/>
        <v>463.40999999999997</v>
      </c>
      <c r="K46" s="25">
        <f t="shared" si="63"/>
        <v>6569.04</v>
      </c>
      <c r="L46" s="27">
        <v>228</v>
      </c>
      <c r="M46" s="27">
        <v>910</v>
      </c>
      <c r="N46" s="27">
        <v>2</v>
      </c>
      <c r="O46" s="28">
        <f t="shared" si="64"/>
        <v>0.41496</v>
      </c>
      <c r="P46" s="29">
        <f t="shared" si="65"/>
        <v>9.1039999999999992</v>
      </c>
      <c r="Q46" s="30">
        <f t="shared" si="66"/>
        <v>224.90832</v>
      </c>
      <c r="R46" s="30">
        <f t="shared" si="67"/>
        <v>4934.3679999999995</v>
      </c>
    </row>
    <row r="47" spans="1:20" s="15" customFormat="1" ht="18" customHeight="1">
      <c r="A47" s="22" t="s">
        <v>100</v>
      </c>
      <c r="B47" s="31"/>
      <c r="C47" s="24"/>
      <c r="D47" s="24">
        <v>585</v>
      </c>
      <c r="E47" s="24">
        <v>500</v>
      </c>
      <c r="F47" s="24">
        <v>2</v>
      </c>
      <c r="G47" s="25">
        <f t="shared" si="59"/>
        <v>0.58499999999999996</v>
      </c>
      <c r="H47" s="26">
        <f t="shared" si="60"/>
        <v>8.68</v>
      </c>
      <c r="I47" s="26">
        <f t="shared" si="61"/>
        <v>542</v>
      </c>
      <c r="J47" s="25">
        <f t="shared" si="62"/>
        <v>317.07</v>
      </c>
      <c r="K47" s="25">
        <f t="shared" si="63"/>
        <v>4704.5599999999995</v>
      </c>
      <c r="L47" s="27">
        <v>438</v>
      </c>
      <c r="M47" s="27">
        <v>270</v>
      </c>
      <c r="N47" s="27">
        <v>2</v>
      </c>
      <c r="O47" s="28">
        <f t="shared" si="64"/>
        <v>0.23652000000000001</v>
      </c>
      <c r="P47" s="29">
        <f t="shared" si="65"/>
        <v>5.6639999999999997</v>
      </c>
      <c r="Q47" s="30">
        <f t="shared" si="66"/>
        <v>128.19383999999999</v>
      </c>
      <c r="R47" s="30">
        <f t="shared" si="67"/>
        <v>3069.8879999999999</v>
      </c>
    </row>
    <row r="48" spans="1:20" s="15" customFormat="1" ht="18" customHeight="1">
      <c r="A48" s="22" t="s">
        <v>106</v>
      </c>
      <c r="B48" s="31"/>
      <c r="C48" s="24"/>
      <c r="D48" s="24">
        <v>355</v>
      </c>
      <c r="E48" s="24">
        <v>1140</v>
      </c>
      <c r="F48" s="24">
        <v>2</v>
      </c>
      <c r="G48" s="25">
        <f t="shared" si="59"/>
        <v>0.80940000000000001</v>
      </c>
      <c r="H48" s="26">
        <f t="shared" si="60"/>
        <v>11.96</v>
      </c>
      <c r="I48" s="26">
        <f t="shared" si="61"/>
        <v>542</v>
      </c>
      <c r="J48" s="25">
        <f t="shared" si="62"/>
        <v>438.69479999999999</v>
      </c>
      <c r="K48" s="25">
        <f t="shared" si="63"/>
        <v>6482.3200000000006</v>
      </c>
      <c r="L48" s="27">
        <v>208</v>
      </c>
      <c r="M48" s="27">
        <v>910</v>
      </c>
      <c r="N48" s="27">
        <v>2</v>
      </c>
      <c r="O48" s="28">
        <f t="shared" si="64"/>
        <v>0.37856000000000001</v>
      </c>
      <c r="P48" s="29">
        <f t="shared" si="65"/>
        <v>8.9440000000000008</v>
      </c>
      <c r="Q48" s="30">
        <f t="shared" si="66"/>
        <v>205.17952</v>
      </c>
      <c r="R48" s="30">
        <f t="shared" si="67"/>
        <v>4847.6480000000001</v>
      </c>
    </row>
    <row r="49" spans="1:20" s="15" customFormat="1" ht="18" customHeight="1">
      <c r="A49" s="32"/>
      <c r="B49" s="33"/>
      <c r="C49" s="34" t="s">
        <v>24</v>
      </c>
      <c r="D49" s="34"/>
      <c r="E49" s="34"/>
      <c r="F49" s="34">
        <f>SUM(F42:F48)</f>
        <v>15</v>
      </c>
      <c r="G49" s="35">
        <f>SUM(G42:G48)</f>
        <v>15.9756</v>
      </c>
      <c r="H49" s="35">
        <f>SUM(H42:H48)</f>
        <v>122.92000000000002</v>
      </c>
      <c r="I49" s="35"/>
      <c r="J49" s="35">
        <f>SUM(J42:J48)</f>
        <v>8658.7751999999982</v>
      </c>
      <c r="K49" s="35">
        <f>SUM(K42:K48)</f>
        <v>66622.64</v>
      </c>
      <c r="L49" s="35"/>
      <c r="M49" s="35"/>
      <c r="N49" s="35">
        <f>SUM(N42:N48)</f>
        <v>15</v>
      </c>
      <c r="O49" s="35">
        <f>SUM(O42:O48)</f>
        <v>11.231420000000002</v>
      </c>
      <c r="P49" s="35">
        <f>SUM(P42:P48)</f>
        <v>100.62400000000001</v>
      </c>
      <c r="Q49" s="35">
        <f>SUM(Q42:Q48)</f>
        <v>6087.4296400000003</v>
      </c>
      <c r="R49" s="35">
        <f>SUM(R42:R48)</f>
        <v>54538.208000000006</v>
      </c>
    </row>
    <row r="50" spans="1:20" ht="18" customHeight="1">
      <c r="A50" s="22" t="s">
        <v>91</v>
      </c>
      <c r="B50" s="23" t="s">
        <v>200</v>
      </c>
      <c r="C50" s="24">
        <v>22</v>
      </c>
      <c r="D50" s="24">
        <v>885</v>
      </c>
      <c r="E50" s="24">
        <v>2040</v>
      </c>
      <c r="F50" s="24">
        <v>2</v>
      </c>
      <c r="G50" s="38">
        <f>D50*E50*F50/1000000</f>
        <v>3.6107999999999998</v>
      </c>
      <c r="H50" s="26">
        <f>(D50+E50)*F50*4/1000</f>
        <v>23.4</v>
      </c>
      <c r="I50" s="26">
        <f t="shared" ref="I50:I51" si="68">$C$32</f>
        <v>542</v>
      </c>
      <c r="J50" s="25">
        <f t="shared" ref="J50:J51" si="69">G50*I50</f>
        <v>1957.0536</v>
      </c>
      <c r="K50" s="25">
        <f t="shared" ref="K50:K51" si="70">H50*I50</f>
        <v>12682.8</v>
      </c>
      <c r="L50" s="39">
        <v>738</v>
      </c>
      <c r="M50" s="39">
        <v>1810</v>
      </c>
      <c r="N50" s="39">
        <v>2</v>
      </c>
      <c r="O50" s="28">
        <f t="shared" ref="O50:O51" si="71">L50*M50*N50/1000000</f>
        <v>2.6715599999999999</v>
      </c>
      <c r="P50" s="29">
        <f t="shared" ref="P50:P51" si="72">(L50+M50)*N50*4/1000</f>
        <v>20.384</v>
      </c>
      <c r="Q50" s="30">
        <f t="shared" ref="Q50:Q51" si="73">O50*I50</f>
        <v>1447.98552</v>
      </c>
      <c r="R50" s="30">
        <f t="shared" ref="R50:R51" si="74">P50*I50</f>
        <v>11048.128000000001</v>
      </c>
      <c r="T50" s="15"/>
    </row>
    <row r="51" spans="1:20" ht="18" customHeight="1">
      <c r="A51" s="174" t="s">
        <v>101</v>
      </c>
      <c r="B51" s="175"/>
      <c r="C51" s="176"/>
      <c r="D51" s="176">
        <v>435</v>
      </c>
      <c r="E51" s="176">
        <v>1140</v>
      </c>
      <c r="F51" s="176">
        <v>2</v>
      </c>
      <c r="G51" s="38">
        <f>D51*E51*F51/1000000</f>
        <v>0.99180000000000001</v>
      </c>
      <c r="H51" s="26">
        <f>(D51+E51)*F51*4/1000</f>
        <v>12.6</v>
      </c>
      <c r="I51" s="26">
        <f t="shared" si="68"/>
        <v>542</v>
      </c>
      <c r="J51" s="25">
        <f t="shared" si="69"/>
        <v>537.55560000000003</v>
      </c>
      <c r="K51" s="25">
        <f t="shared" si="70"/>
        <v>6829.2</v>
      </c>
      <c r="L51" s="39">
        <v>250</v>
      </c>
      <c r="M51" s="39">
        <v>930</v>
      </c>
      <c r="N51" s="39">
        <v>2</v>
      </c>
      <c r="O51" s="28">
        <f t="shared" si="71"/>
        <v>0.46500000000000002</v>
      </c>
      <c r="P51" s="29">
        <f t="shared" si="72"/>
        <v>9.44</v>
      </c>
      <c r="Q51" s="30">
        <f t="shared" si="73"/>
        <v>252.03</v>
      </c>
      <c r="R51" s="30">
        <f t="shared" si="74"/>
        <v>5116.4799999999996</v>
      </c>
      <c r="T51" s="15"/>
    </row>
    <row r="52" spans="1:20" s="15" customFormat="1" ht="18" customHeight="1">
      <c r="A52" s="36"/>
      <c r="B52" s="31"/>
      <c r="C52" s="24"/>
      <c r="D52" s="24"/>
      <c r="E52" s="24"/>
      <c r="F52" s="24"/>
      <c r="G52" s="25"/>
      <c r="H52" s="26"/>
      <c r="I52" s="26"/>
      <c r="J52" s="25"/>
      <c r="K52" s="25"/>
      <c r="L52" s="39"/>
      <c r="M52" s="39"/>
      <c r="N52" s="39"/>
      <c r="O52" s="28"/>
      <c r="P52" s="29"/>
      <c r="Q52" s="30"/>
      <c r="R52" s="30"/>
    </row>
    <row r="53" spans="1:20" ht="18" customHeight="1">
      <c r="A53" s="32"/>
      <c r="B53" s="40"/>
      <c r="C53" s="34" t="s">
        <v>25</v>
      </c>
      <c r="D53" s="34"/>
      <c r="E53" s="34"/>
      <c r="F53" s="34">
        <f>SUM(F50:F52)</f>
        <v>4</v>
      </c>
      <c r="G53" s="35">
        <f>SUM(G50:G52)</f>
        <v>4.6025999999999998</v>
      </c>
      <c r="H53" s="35">
        <f>SUM(H50:H52)</f>
        <v>36</v>
      </c>
      <c r="I53" s="35"/>
      <c r="J53" s="35">
        <f>SUM(J50:J52)</f>
        <v>2494.6091999999999</v>
      </c>
      <c r="K53" s="35">
        <f>SUM(K50:K52)</f>
        <v>19512</v>
      </c>
      <c r="L53" s="35"/>
      <c r="M53" s="35"/>
      <c r="N53" s="35">
        <f>SUM(N50:N52)</f>
        <v>4</v>
      </c>
      <c r="O53" s="35">
        <f>SUM(O50:O52)</f>
        <v>3.1365599999999998</v>
      </c>
      <c r="P53" s="35">
        <f>SUM(P50:P52)</f>
        <v>29.823999999999998</v>
      </c>
      <c r="Q53" s="41">
        <f>SUM(Q50:Q52)</f>
        <v>1700.0155199999999</v>
      </c>
      <c r="R53" s="41">
        <f>SUM(R50:R52)</f>
        <v>16164.608</v>
      </c>
      <c r="T53" s="15"/>
    </row>
    <row r="54" spans="1:20" s="15" customFormat="1" ht="18" customHeight="1">
      <c r="A54" s="36" t="s">
        <v>89</v>
      </c>
      <c r="B54" s="23" t="s">
        <v>90</v>
      </c>
      <c r="C54" s="24">
        <v>22</v>
      </c>
      <c r="D54" s="24">
        <v>885</v>
      </c>
      <c r="E54" s="24">
        <v>2490</v>
      </c>
      <c r="F54" s="24">
        <v>2</v>
      </c>
      <c r="G54" s="25">
        <f>D54*E54*F54/1000000</f>
        <v>4.4073000000000002</v>
      </c>
      <c r="H54" s="26">
        <f>(D54+E54)*F54*4/1000</f>
        <v>27</v>
      </c>
      <c r="I54" s="26">
        <f t="shared" ref="I54:I57" si="75">$C$32</f>
        <v>542</v>
      </c>
      <c r="J54" s="25">
        <f>G54*I54</f>
        <v>2388.7566000000002</v>
      </c>
      <c r="K54" s="25">
        <f t="shared" ref="K54:K55" si="76">H54*I54</f>
        <v>14634</v>
      </c>
      <c r="L54" s="27"/>
      <c r="M54" s="27"/>
      <c r="N54" s="27"/>
      <c r="O54" s="28">
        <f>L54*M54*N54/1000000</f>
        <v>0</v>
      </c>
      <c r="P54" s="29">
        <f>(L54+M54)*N54*4/1000</f>
        <v>0</v>
      </c>
      <c r="Q54" s="30">
        <f>O54*I54</f>
        <v>0</v>
      </c>
      <c r="R54" s="30">
        <f t="shared" ref="R54:R55" si="77">P54*I54</f>
        <v>0</v>
      </c>
    </row>
    <row r="55" spans="1:20" s="15" customFormat="1" ht="18" customHeight="1">
      <c r="A55" s="36"/>
      <c r="B55" s="31"/>
      <c r="C55" s="24"/>
      <c r="D55" s="24"/>
      <c r="E55" s="24"/>
      <c r="F55" s="24"/>
      <c r="G55" s="25">
        <f t="shared" ref="G55" si="78">D55*E55*F55/1000000</f>
        <v>0</v>
      </c>
      <c r="H55" s="25">
        <f t="shared" ref="H55" si="79">(D55+E55)*F55*4/1000</f>
        <v>0</v>
      </c>
      <c r="I55" s="26"/>
      <c r="J55" s="25">
        <f>G55*I55</f>
        <v>0</v>
      </c>
      <c r="K55" s="25">
        <f t="shared" si="76"/>
        <v>0</v>
      </c>
      <c r="L55" s="27"/>
      <c r="M55" s="27"/>
      <c r="N55" s="27"/>
      <c r="O55" s="28">
        <f t="shared" ref="O55" si="80">L55*M55*N55/1000000</f>
        <v>0</v>
      </c>
      <c r="P55" s="29">
        <f t="shared" ref="P55" si="81">(L55+M55)*N55*4/1000</f>
        <v>0</v>
      </c>
      <c r="Q55" s="30">
        <f t="shared" ref="Q55" si="82">O55*I55</f>
        <v>0</v>
      </c>
      <c r="R55" s="30">
        <f t="shared" si="77"/>
        <v>0</v>
      </c>
    </row>
    <row r="56" spans="1:20" s="15" customFormat="1" ht="18" customHeight="1">
      <c r="A56" s="32"/>
      <c r="B56" s="33"/>
      <c r="C56" s="34" t="s">
        <v>25</v>
      </c>
      <c r="D56" s="34"/>
      <c r="E56" s="34"/>
      <c r="F56" s="34">
        <f>SUM(F54:F55)</f>
        <v>2</v>
      </c>
      <c r="G56" s="35">
        <f>SUM(G54:G55)</f>
        <v>4.4073000000000002</v>
      </c>
      <c r="H56" s="35">
        <f>SUM(H54:H55)</f>
        <v>27</v>
      </c>
      <c r="I56" s="35"/>
      <c r="J56" s="35">
        <f>SUM(J54:J55)</f>
        <v>2388.7566000000002</v>
      </c>
      <c r="K56" s="35">
        <f>SUM(K54:K55)</f>
        <v>14634</v>
      </c>
      <c r="L56" s="35"/>
      <c r="M56" s="35"/>
      <c r="N56" s="35">
        <f>SUM(N54:N55)</f>
        <v>0</v>
      </c>
      <c r="O56" s="35">
        <f>SUM(O54:O55)</f>
        <v>0</v>
      </c>
      <c r="P56" s="35">
        <f>SUM(P54:P55)</f>
        <v>0</v>
      </c>
      <c r="Q56" s="35">
        <f>SUM(Q54:Q55)</f>
        <v>0</v>
      </c>
      <c r="R56" s="35">
        <f>SUM(R54:R55)</f>
        <v>0</v>
      </c>
    </row>
    <row r="57" spans="1:20" s="15" customFormat="1" ht="18" customHeight="1">
      <c r="A57" s="36" t="s">
        <v>89</v>
      </c>
      <c r="B57" s="23" t="s">
        <v>90</v>
      </c>
      <c r="C57" s="24">
        <v>22</v>
      </c>
      <c r="D57" s="24">
        <v>885</v>
      </c>
      <c r="E57" s="24">
        <v>2490</v>
      </c>
      <c r="F57" s="24">
        <v>2</v>
      </c>
      <c r="G57" s="25">
        <f>D57*E57*F57/1000000</f>
        <v>4.4073000000000002</v>
      </c>
      <c r="H57" s="26">
        <f>(D57+E57)*F57*4/1000</f>
        <v>27</v>
      </c>
      <c r="I57" s="26">
        <f t="shared" si="75"/>
        <v>542</v>
      </c>
      <c r="J57" s="25">
        <f>G57*I57</f>
        <v>2388.7566000000002</v>
      </c>
      <c r="K57" s="25">
        <f t="shared" ref="K57" si="83">H57*I57</f>
        <v>14634</v>
      </c>
      <c r="L57" s="27"/>
      <c r="M57" s="27"/>
      <c r="N57" s="27"/>
      <c r="O57" s="28">
        <f>L57*M57*N57/1000000</f>
        <v>0</v>
      </c>
      <c r="P57" s="29">
        <f>(L57+M57)*N57*4/1000</f>
        <v>0</v>
      </c>
      <c r="Q57" s="30">
        <f>O57*I57</f>
        <v>0</v>
      </c>
      <c r="R57" s="30">
        <f t="shared" ref="R57" si="84">P57*I57</f>
        <v>0</v>
      </c>
    </row>
    <row r="58" spans="1:20" s="15" customFormat="1" ht="18" customHeight="1">
      <c r="A58" s="36"/>
      <c r="B58" s="31"/>
      <c r="C58" s="24"/>
      <c r="D58" s="24"/>
      <c r="E58" s="24"/>
      <c r="F58" s="24"/>
      <c r="G58" s="25"/>
      <c r="H58" s="26"/>
      <c r="I58" s="26"/>
      <c r="J58" s="25"/>
      <c r="K58" s="25"/>
      <c r="L58" s="39"/>
      <c r="M58" s="39"/>
      <c r="N58" s="39"/>
      <c r="O58" s="28"/>
      <c r="P58" s="29"/>
      <c r="Q58" s="30"/>
      <c r="R58" s="30"/>
    </row>
    <row r="59" spans="1:20" ht="18" customHeight="1">
      <c r="A59" s="32"/>
      <c r="B59" s="40"/>
      <c r="C59" s="34" t="s">
        <v>25</v>
      </c>
      <c r="D59" s="34"/>
      <c r="E59" s="34"/>
      <c r="F59" s="34">
        <f>SUM(F57:F58)</f>
        <v>2</v>
      </c>
      <c r="G59" s="35">
        <f>SUM(G57:G58)</f>
        <v>4.4073000000000002</v>
      </c>
      <c r="H59" s="35">
        <f>SUM(H57:H58)</f>
        <v>27</v>
      </c>
      <c r="I59" s="35"/>
      <c r="J59" s="35">
        <f>SUM(J57:J58)</f>
        <v>2388.7566000000002</v>
      </c>
      <c r="K59" s="35">
        <f>SUM(K57:K58)</f>
        <v>14634</v>
      </c>
      <c r="L59" s="35"/>
      <c r="M59" s="35"/>
      <c r="N59" s="35">
        <f>SUM(N57:N58)</f>
        <v>0</v>
      </c>
      <c r="O59" s="35">
        <f>SUM(O57:O58)</f>
        <v>0</v>
      </c>
      <c r="P59" s="35">
        <f>SUM(P57:P58)</f>
        <v>0</v>
      </c>
      <c r="Q59" s="41">
        <f>SUM(Q57:Q58)</f>
        <v>0</v>
      </c>
      <c r="R59" s="41">
        <f>SUM(R57:R58)</f>
        <v>0</v>
      </c>
      <c r="T59" s="15"/>
    </row>
    <row r="60" spans="1:20" s="15" customFormat="1" ht="18" customHeight="1">
      <c r="A60" s="14"/>
      <c r="B60" s="14" t="s">
        <v>88</v>
      </c>
      <c r="C60" s="14">
        <f>26+26+25</f>
        <v>77</v>
      </c>
      <c r="D60" s="313" t="s">
        <v>7</v>
      </c>
      <c r="E60" s="314"/>
      <c r="F60" s="314"/>
      <c r="G60" s="314"/>
      <c r="H60" s="314"/>
      <c r="I60" s="314"/>
      <c r="J60" s="314"/>
      <c r="K60" s="314"/>
      <c r="L60" s="313" t="s">
        <v>8</v>
      </c>
      <c r="M60" s="314"/>
      <c r="N60" s="314"/>
      <c r="O60" s="314"/>
      <c r="P60" s="314"/>
      <c r="Q60" s="314"/>
      <c r="R60" s="315"/>
    </row>
    <row r="61" spans="1:20" s="15" customFormat="1" ht="18" customHeight="1">
      <c r="A61" s="16" t="s">
        <v>9</v>
      </c>
      <c r="B61" s="16" t="s">
        <v>10</v>
      </c>
      <c r="C61" s="16" t="s">
        <v>11</v>
      </c>
      <c r="D61" s="16" t="s">
        <v>12</v>
      </c>
      <c r="E61" s="16" t="s">
        <v>13</v>
      </c>
      <c r="F61" s="16" t="s">
        <v>14</v>
      </c>
      <c r="G61" s="17" t="s">
        <v>15</v>
      </c>
      <c r="H61" s="17" t="s">
        <v>16</v>
      </c>
      <c r="I61" s="17" t="s">
        <v>17</v>
      </c>
      <c r="J61" s="18" t="s">
        <v>18</v>
      </c>
      <c r="K61" s="18" t="s">
        <v>19</v>
      </c>
      <c r="L61" s="16" t="s">
        <v>20</v>
      </c>
      <c r="M61" s="16" t="s">
        <v>21</v>
      </c>
      <c r="N61" s="16" t="s">
        <v>22</v>
      </c>
      <c r="O61" s="19" t="s">
        <v>23</v>
      </c>
      <c r="P61" s="20" t="s">
        <v>16</v>
      </c>
      <c r="Q61" s="21" t="s">
        <v>18</v>
      </c>
      <c r="R61" s="21" t="s">
        <v>19</v>
      </c>
    </row>
    <row r="62" spans="1:20" s="15" customFormat="1" ht="18" customHeight="1">
      <c r="A62" s="22" t="s">
        <v>104</v>
      </c>
      <c r="B62" s="23" t="s">
        <v>201</v>
      </c>
      <c r="C62" s="24">
        <v>22</v>
      </c>
      <c r="D62" s="24">
        <v>900</v>
      </c>
      <c r="E62" s="24">
        <v>2040</v>
      </c>
      <c r="F62" s="24">
        <v>2</v>
      </c>
      <c r="G62" s="25">
        <f t="shared" ref="G62" si="85">D62*E62*F62/1000000</f>
        <v>3.6720000000000002</v>
      </c>
      <c r="H62" s="26">
        <f t="shared" ref="H62" si="86">(D62+E62)*F62*4/1000</f>
        <v>23.52</v>
      </c>
      <c r="I62" s="26">
        <f>$C$60</f>
        <v>77</v>
      </c>
      <c r="J62" s="25">
        <f t="shared" ref="J62:J68" si="87">G62*I62</f>
        <v>282.74400000000003</v>
      </c>
      <c r="K62" s="25">
        <f t="shared" ref="K62:K68" si="88">H62*I62</f>
        <v>1811.04</v>
      </c>
      <c r="L62" s="27">
        <v>761</v>
      </c>
      <c r="M62" s="27">
        <v>1810</v>
      </c>
      <c r="N62" s="27">
        <v>2</v>
      </c>
      <c r="O62" s="28">
        <f t="shared" ref="O62:O68" si="89">L62*M62*N62/1000000</f>
        <v>2.75482</v>
      </c>
      <c r="P62" s="29">
        <f t="shared" ref="P62:P68" si="90">(L62+M62)*N62*4/1000</f>
        <v>20.568000000000001</v>
      </c>
      <c r="Q62" s="30">
        <f t="shared" ref="Q62:Q68" si="91">O62*I62</f>
        <v>212.12114</v>
      </c>
      <c r="R62" s="30">
        <f t="shared" ref="R62:R68" si="92">P62*I62</f>
        <v>1583.7360000000001</v>
      </c>
    </row>
    <row r="63" spans="1:20" ht="18" customHeight="1">
      <c r="A63" s="22" t="s">
        <v>92</v>
      </c>
      <c r="B63" s="23"/>
      <c r="C63" s="24">
        <v>22</v>
      </c>
      <c r="D63" s="24">
        <v>1770</v>
      </c>
      <c r="E63" s="24">
        <v>2040</v>
      </c>
      <c r="F63" s="24">
        <v>1</v>
      </c>
      <c r="G63" s="38">
        <f>D63*E63*F63/1000000</f>
        <v>3.6107999999999998</v>
      </c>
      <c r="H63" s="26">
        <f>(D63+E63)*F63*4/1000</f>
        <v>15.24</v>
      </c>
      <c r="I63" s="26">
        <f t="shared" ref="I63:I79" si="93">$C$60</f>
        <v>77</v>
      </c>
      <c r="J63" s="25">
        <f t="shared" si="87"/>
        <v>278.03159999999997</v>
      </c>
      <c r="K63" s="25">
        <f t="shared" si="88"/>
        <v>1173.48</v>
      </c>
      <c r="L63" s="39">
        <v>1688</v>
      </c>
      <c r="M63" s="39">
        <v>1810</v>
      </c>
      <c r="N63" s="39">
        <v>1</v>
      </c>
      <c r="O63" s="28">
        <f t="shared" si="89"/>
        <v>3.0552800000000002</v>
      </c>
      <c r="P63" s="29">
        <f t="shared" si="90"/>
        <v>13.992000000000001</v>
      </c>
      <c r="Q63" s="30">
        <f t="shared" si="91"/>
        <v>235.25656000000001</v>
      </c>
      <c r="R63" s="30">
        <f t="shared" si="92"/>
        <v>1077.384</v>
      </c>
      <c r="T63" s="15"/>
    </row>
    <row r="64" spans="1:20" s="15" customFormat="1" ht="18" customHeight="1">
      <c r="A64" s="22" t="s">
        <v>93</v>
      </c>
      <c r="B64" s="31"/>
      <c r="C64" s="24"/>
      <c r="D64" s="24">
        <v>885</v>
      </c>
      <c r="E64" s="24">
        <v>1540</v>
      </c>
      <c r="F64" s="24">
        <v>4</v>
      </c>
      <c r="G64" s="25">
        <f t="shared" ref="G64:G67" si="94">D64*E64*F64/1000000</f>
        <v>5.4516</v>
      </c>
      <c r="H64" s="26">
        <f t="shared" ref="H64:H67" si="95">(D64+E64)*F64*4/1000</f>
        <v>38.799999999999997</v>
      </c>
      <c r="I64" s="26">
        <f t="shared" si="93"/>
        <v>77</v>
      </c>
      <c r="J64" s="25">
        <f t="shared" si="87"/>
        <v>419.77319999999997</v>
      </c>
      <c r="K64" s="25">
        <f t="shared" si="88"/>
        <v>2987.6</v>
      </c>
      <c r="L64" s="27">
        <v>738</v>
      </c>
      <c r="M64" s="27">
        <v>1310</v>
      </c>
      <c r="N64" s="27">
        <v>4</v>
      </c>
      <c r="O64" s="28">
        <f t="shared" si="89"/>
        <v>3.8671199999999999</v>
      </c>
      <c r="P64" s="29">
        <f t="shared" si="90"/>
        <v>32.768000000000001</v>
      </c>
      <c r="Q64" s="30">
        <f t="shared" si="91"/>
        <v>297.76823999999999</v>
      </c>
      <c r="R64" s="30">
        <f t="shared" si="92"/>
        <v>2523.136</v>
      </c>
    </row>
    <row r="65" spans="1:20" s="15" customFormat="1" ht="18" customHeight="1">
      <c r="A65" s="22" t="s">
        <v>107</v>
      </c>
      <c r="B65" s="31"/>
      <c r="C65" s="24"/>
      <c r="D65" s="24">
        <v>585</v>
      </c>
      <c r="E65" s="24">
        <v>1140</v>
      </c>
      <c r="F65" s="24">
        <v>2</v>
      </c>
      <c r="G65" s="25">
        <f t="shared" ref="G65" si="96">D65*E65*F65/1000000</f>
        <v>1.3338000000000001</v>
      </c>
      <c r="H65" s="26">
        <f t="shared" ref="H65" si="97">(D65+E65)*F65*4/1000</f>
        <v>13.8</v>
      </c>
      <c r="I65" s="26">
        <f t="shared" si="93"/>
        <v>77</v>
      </c>
      <c r="J65" s="25">
        <f t="shared" ref="J65" si="98">G65*I65</f>
        <v>102.7026</v>
      </c>
      <c r="K65" s="25">
        <f t="shared" ref="K65" si="99">H65*I65</f>
        <v>1062.6000000000001</v>
      </c>
      <c r="L65" s="27">
        <v>438</v>
      </c>
      <c r="M65" s="27">
        <v>910</v>
      </c>
      <c r="N65" s="27">
        <v>2</v>
      </c>
      <c r="O65" s="28">
        <f t="shared" ref="O65" si="100">L65*M65*N65/1000000</f>
        <v>0.79715999999999998</v>
      </c>
      <c r="P65" s="29">
        <f t="shared" ref="P65" si="101">(L65+M65)*N65*4/1000</f>
        <v>10.784000000000001</v>
      </c>
      <c r="Q65" s="30">
        <f t="shared" ref="Q65" si="102">O65*I65</f>
        <v>61.381319999999995</v>
      </c>
      <c r="R65" s="30">
        <f t="shared" ref="R65" si="103">P65*I65</f>
        <v>830.36800000000005</v>
      </c>
    </row>
    <row r="66" spans="1:20" s="15" customFormat="1" ht="18" customHeight="1">
      <c r="A66" s="22" t="s">
        <v>97</v>
      </c>
      <c r="B66" s="31"/>
      <c r="C66" s="24"/>
      <c r="D66" s="24">
        <v>375</v>
      </c>
      <c r="E66" s="24">
        <v>1140</v>
      </c>
      <c r="F66" s="24">
        <v>2</v>
      </c>
      <c r="G66" s="25">
        <f t="shared" si="94"/>
        <v>0.85499999999999998</v>
      </c>
      <c r="H66" s="26">
        <f t="shared" si="95"/>
        <v>12.12</v>
      </c>
      <c r="I66" s="26">
        <f t="shared" si="93"/>
        <v>77</v>
      </c>
      <c r="J66" s="25">
        <f t="shared" si="87"/>
        <v>65.834999999999994</v>
      </c>
      <c r="K66" s="25">
        <f t="shared" si="88"/>
        <v>933.2399999999999</v>
      </c>
      <c r="L66" s="27">
        <v>228</v>
      </c>
      <c r="M66" s="27">
        <v>910</v>
      </c>
      <c r="N66" s="27">
        <v>2</v>
      </c>
      <c r="O66" s="28">
        <f t="shared" si="89"/>
        <v>0.41496</v>
      </c>
      <c r="P66" s="29">
        <f t="shared" si="90"/>
        <v>9.1039999999999992</v>
      </c>
      <c r="Q66" s="30">
        <f t="shared" si="91"/>
        <v>31.951920000000001</v>
      </c>
      <c r="R66" s="30">
        <f t="shared" si="92"/>
        <v>701.00799999999992</v>
      </c>
    </row>
    <row r="67" spans="1:20" s="15" customFormat="1" ht="18" customHeight="1">
      <c r="A67" s="22" t="s">
        <v>99</v>
      </c>
      <c r="B67" s="31"/>
      <c r="C67" s="24"/>
      <c r="D67" s="24">
        <v>585</v>
      </c>
      <c r="E67" s="24">
        <v>500</v>
      </c>
      <c r="F67" s="24">
        <v>2</v>
      </c>
      <c r="G67" s="25">
        <f t="shared" si="94"/>
        <v>0.58499999999999996</v>
      </c>
      <c r="H67" s="26">
        <f t="shared" si="95"/>
        <v>8.68</v>
      </c>
      <c r="I67" s="26">
        <f t="shared" si="93"/>
        <v>77</v>
      </c>
      <c r="J67" s="25">
        <f t="shared" si="87"/>
        <v>45.044999999999995</v>
      </c>
      <c r="K67" s="25">
        <f t="shared" si="88"/>
        <v>668.36</v>
      </c>
      <c r="L67" s="27">
        <v>438</v>
      </c>
      <c r="M67" s="27">
        <v>270</v>
      </c>
      <c r="N67" s="27">
        <v>2</v>
      </c>
      <c r="O67" s="28">
        <f t="shared" si="89"/>
        <v>0.23652000000000001</v>
      </c>
      <c r="P67" s="29">
        <f t="shared" si="90"/>
        <v>5.6639999999999997</v>
      </c>
      <c r="Q67" s="30">
        <f t="shared" si="91"/>
        <v>18.212040000000002</v>
      </c>
      <c r="R67" s="30">
        <f t="shared" si="92"/>
        <v>436.12799999999999</v>
      </c>
    </row>
    <row r="68" spans="1:20" s="15" customFormat="1" ht="18" customHeight="1">
      <c r="A68" s="22"/>
      <c r="B68" s="31"/>
      <c r="C68" s="24"/>
      <c r="D68" s="24"/>
      <c r="E68" s="24"/>
      <c r="F68" s="24"/>
      <c r="G68" s="25"/>
      <c r="H68" s="26"/>
      <c r="I68" s="26"/>
      <c r="J68" s="25">
        <f t="shared" si="87"/>
        <v>0</v>
      </c>
      <c r="K68" s="25">
        <f t="shared" si="88"/>
        <v>0</v>
      </c>
      <c r="L68" s="27"/>
      <c r="M68" s="27"/>
      <c r="N68" s="27"/>
      <c r="O68" s="28">
        <f t="shared" si="89"/>
        <v>0</v>
      </c>
      <c r="P68" s="29">
        <f t="shared" si="90"/>
        <v>0</v>
      </c>
      <c r="Q68" s="30">
        <f t="shared" si="91"/>
        <v>0</v>
      </c>
      <c r="R68" s="30">
        <f t="shared" si="92"/>
        <v>0</v>
      </c>
    </row>
    <row r="69" spans="1:20" s="15" customFormat="1" ht="18" customHeight="1">
      <c r="A69" s="32"/>
      <c r="B69" s="33"/>
      <c r="C69" s="34" t="s">
        <v>24</v>
      </c>
      <c r="D69" s="34"/>
      <c r="E69" s="34"/>
      <c r="F69" s="34">
        <f>SUM(F62:F68)</f>
        <v>13</v>
      </c>
      <c r="G69" s="35">
        <f>SUM(G62:G68)</f>
        <v>15.508200000000002</v>
      </c>
      <c r="H69" s="35">
        <f>SUM(H62:H68)</f>
        <v>112.16</v>
      </c>
      <c r="I69" s="35"/>
      <c r="J69" s="35">
        <f>SUM(J62:J68)</f>
        <v>1194.1314</v>
      </c>
      <c r="K69" s="35">
        <f>SUM(K62:K68)</f>
        <v>8636.32</v>
      </c>
      <c r="L69" s="35"/>
      <c r="M69" s="35"/>
      <c r="N69" s="35">
        <f>SUM(N62:N68)</f>
        <v>13</v>
      </c>
      <c r="O69" s="35">
        <f>SUM(O62:O68)</f>
        <v>11.125860000000001</v>
      </c>
      <c r="P69" s="35">
        <f>SUM(P62:P68)</f>
        <v>92.88000000000001</v>
      </c>
      <c r="Q69" s="35">
        <f>SUM(Q62:Q68)</f>
        <v>856.69121999999993</v>
      </c>
      <c r="R69" s="35">
        <f>SUM(R62:R68)</f>
        <v>7151.7599999999993</v>
      </c>
    </row>
    <row r="70" spans="1:20" s="15" customFormat="1" ht="18" customHeight="1">
      <c r="A70" s="22" t="s">
        <v>103</v>
      </c>
      <c r="B70" s="23" t="s">
        <v>198</v>
      </c>
      <c r="C70" s="24">
        <v>22</v>
      </c>
      <c r="D70" s="24">
        <v>900</v>
      </c>
      <c r="E70" s="24">
        <v>2040</v>
      </c>
      <c r="F70" s="24">
        <v>2</v>
      </c>
      <c r="G70" s="25">
        <f t="shared" ref="G70:G75" si="104">D70*E70*F70/1000000</f>
        <v>3.6720000000000002</v>
      </c>
      <c r="H70" s="26">
        <f t="shared" ref="H70:H75" si="105">(D70+E70)*F70*4/1000</f>
        <v>23.52</v>
      </c>
      <c r="I70" s="26">
        <f t="shared" si="93"/>
        <v>77</v>
      </c>
      <c r="J70" s="25">
        <f t="shared" ref="J70:J76" si="106">G70*I70</f>
        <v>282.74400000000003</v>
      </c>
      <c r="K70" s="25">
        <f t="shared" ref="K70:K76" si="107">H70*I70</f>
        <v>1811.04</v>
      </c>
      <c r="L70" s="27">
        <v>761</v>
      </c>
      <c r="M70" s="27">
        <v>1810</v>
      </c>
      <c r="N70" s="27">
        <v>2</v>
      </c>
      <c r="O70" s="28">
        <f t="shared" ref="O70:O76" si="108">L70*M70*N70/1000000</f>
        <v>2.75482</v>
      </c>
      <c r="P70" s="29">
        <f t="shared" ref="P70:P76" si="109">(L70+M70)*N70*4/1000</f>
        <v>20.568000000000001</v>
      </c>
      <c r="Q70" s="30">
        <f t="shared" ref="Q70:Q76" si="110">O70*I70</f>
        <v>212.12114</v>
      </c>
      <c r="R70" s="30">
        <f t="shared" ref="R70:R76" si="111">P70*I70</f>
        <v>1583.7360000000001</v>
      </c>
    </row>
    <row r="71" spans="1:20" s="15" customFormat="1" ht="18" customHeight="1">
      <c r="A71" s="22" t="s">
        <v>102</v>
      </c>
      <c r="B71" s="31"/>
      <c r="C71" s="24"/>
      <c r="D71" s="24">
        <v>1770</v>
      </c>
      <c r="E71" s="24">
        <v>2040</v>
      </c>
      <c r="F71" s="24">
        <v>1</v>
      </c>
      <c r="G71" s="25">
        <f t="shared" si="104"/>
        <v>3.6107999999999998</v>
      </c>
      <c r="H71" s="26">
        <f t="shared" si="105"/>
        <v>15.24</v>
      </c>
      <c r="I71" s="26">
        <f t="shared" si="93"/>
        <v>77</v>
      </c>
      <c r="J71" s="25">
        <f t="shared" si="106"/>
        <v>278.03159999999997</v>
      </c>
      <c r="K71" s="25">
        <f t="shared" si="107"/>
        <v>1173.48</v>
      </c>
      <c r="L71" s="39">
        <v>1688</v>
      </c>
      <c r="M71" s="39">
        <v>1810</v>
      </c>
      <c r="N71" s="39">
        <v>1</v>
      </c>
      <c r="O71" s="28">
        <f t="shared" si="108"/>
        <v>3.0552800000000002</v>
      </c>
      <c r="P71" s="29">
        <f t="shared" si="109"/>
        <v>13.992000000000001</v>
      </c>
      <c r="Q71" s="30">
        <f t="shared" si="110"/>
        <v>235.25656000000001</v>
      </c>
      <c r="R71" s="30">
        <f t="shared" si="111"/>
        <v>1077.384</v>
      </c>
    </row>
    <row r="72" spans="1:20" s="15" customFormat="1" ht="18" customHeight="1">
      <c r="A72" s="22" t="s">
        <v>95</v>
      </c>
      <c r="B72" s="31"/>
      <c r="C72" s="24"/>
      <c r="D72" s="24">
        <v>885</v>
      </c>
      <c r="E72" s="24">
        <v>1540</v>
      </c>
      <c r="F72" s="24">
        <v>4</v>
      </c>
      <c r="G72" s="25">
        <f t="shared" si="104"/>
        <v>5.4516</v>
      </c>
      <c r="H72" s="26">
        <f t="shared" si="105"/>
        <v>38.799999999999997</v>
      </c>
      <c r="I72" s="26">
        <f t="shared" si="93"/>
        <v>77</v>
      </c>
      <c r="J72" s="25">
        <f t="shared" si="106"/>
        <v>419.77319999999997</v>
      </c>
      <c r="K72" s="25">
        <f t="shared" si="107"/>
        <v>2987.6</v>
      </c>
      <c r="L72" s="27">
        <v>738</v>
      </c>
      <c r="M72" s="27">
        <v>1310</v>
      </c>
      <c r="N72" s="27">
        <v>4</v>
      </c>
      <c r="O72" s="28">
        <f t="shared" si="108"/>
        <v>3.8671199999999999</v>
      </c>
      <c r="P72" s="29">
        <f t="shared" si="109"/>
        <v>32.768000000000001</v>
      </c>
      <c r="Q72" s="30">
        <f t="shared" si="110"/>
        <v>297.76823999999999</v>
      </c>
      <c r="R72" s="30">
        <f t="shared" si="111"/>
        <v>2523.136</v>
      </c>
    </row>
    <row r="73" spans="1:20" s="15" customFormat="1" ht="18" customHeight="1">
      <c r="A73" s="22" t="s">
        <v>108</v>
      </c>
      <c r="B73" s="31"/>
      <c r="C73" s="24"/>
      <c r="D73" s="24">
        <v>585</v>
      </c>
      <c r="E73" s="24">
        <v>1140</v>
      </c>
      <c r="F73" s="24">
        <v>2</v>
      </c>
      <c r="G73" s="25">
        <f t="shared" ref="G73" si="112">D73*E73*F73/1000000</f>
        <v>1.3338000000000001</v>
      </c>
      <c r="H73" s="26">
        <f t="shared" ref="H73" si="113">(D73+E73)*F73*4/1000</f>
        <v>13.8</v>
      </c>
      <c r="I73" s="26">
        <f t="shared" si="93"/>
        <v>77</v>
      </c>
      <c r="J73" s="25">
        <f t="shared" ref="J73" si="114">G73*I73</f>
        <v>102.7026</v>
      </c>
      <c r="K73" s="25">
        <f t="shared" ref="K73" si="115">H73*I73</f>
        <v>1062.6000000000001</v>
      </c>
      <c r="L73" s="27">
        <v>438</v>
      </c>
      <c r="M73" s="27">
        <v>910</v>
      </c>
      <c r="N73" s="27">
        <v>2</v>
      </c>
      <c r="O73" s="28">
        <f t="shared" ref="O73" si="116">L73*M73*N73/1000000</f>
        <v>0.79715999999999998</v>
      </c>
      <c r="P73" s="29">
        <f t="shared" ref="P73" si="117">(L73+M73)*N73*4/1000</f>
        <v>10.784000000000001</v>
      </c>
      <c r="Q73" s="30">
        <f t="shared" ref="Q73" si="118">O73*I73</f>
        <v>61.381319999999995</v>
      </c>
      <c r="R73" s="30">
        <f t="shared" ref="R73" si="119">P73*I73</f>
        <v>830.36800000000005</v>
      </c>
    </row>
    <row r="74" spans="1:20" s="15" customFormat="1" ht="18" customHeight="1">
      <c r="A74" s="22" t="s">
        <v>98</v>
      </c>
      <c r="B74" s="31"/>
      <c r="C74" s="24"/>
      <c r="D74" s="24">
        <v>375</v>
      </c>
      <c r="E74" s="24">
        <v>1140</v>
      </c>
      <c r="F74" s="24">
        <v>2</v>
      </c>
      <c r="G74" s="25">
        <f t="shared" si="104"/>
        <v>0.85499999999999998</v>
      </c>
      <c r="H74" s="26">
        <f t="shared" si="105"/>
        <v>12.12</v>
      </c>
      <c r="I74" s="26">
        <f t="shared" si="93"/>
        <v>77</v>
      </c>
      <c r="J74" s="25">
        <f t="shared" si="106"/>
        <v>65.834999999999994</v>
      </c>
      <c r="K74" s="25">
        <f t="shared" si="107"/>
        <v>933.2399999999999</v>
      </c>
      <c r="L74" s="27">
        <v>228</v>
      </c>
      <c r="M74" s="27">
        <v>910</v>
      </c>
      <c r="N74" s="27">
        <v>2</v>
      </c>
      <c r="O74" s="28">
        <f t="shared" si="108"/>
        <v>0.41496</v>
      </c>
      <c r="P74" s="29">
        <f t="shared" si="109"/>
        <v>9.1039999999999992</v>
      </c>
      <c r="Q74" s="30">
        <f t="shared" si="110"/>
        <v>31.951920000000001</v>
      </c>
      <c r="R74" s="30">
        <f t="shared" si="111"/>
        <v>701.00799999999992</v>
      </c>
    </row>
    <row r="75" spans="1:20" s="15" customFormat="1" ht="18" customHeight="1">
      <c r="A75" s="22" t="s">
        <v>100</v>
      </c>
      <c r="B75" s="31"/>
      <c r="C75" s="24"/>
      <c r="D75" s="24">
        <v>585</v>
      </c>
      <c r="E75" s="24">
        <v>500</v>
      </c>
      <c r="F75" s="24">
        <v>2</v>
      </c>
      <c r="G75" s="25">
        <f t="shared" si="104"/>
        <v>0.58499999999999996</v>
      </c>
      <c r="H75" s="26">
        <f t="shared" si="105"/>
        <v>8.68</v>
      </c>
      <c r="I75" s="26">
        <f t="shared" si="93"/>
        <v>77</v>
      </c>
      <c r="J75" s="25">
        <f t="shared" si="106"/>
        <v>45.044999999999995</v>
      </c>
      <c r="K75" s="25">
        <f t="shared" si="107"/>
        <v>668.36</v>
      </c>
      <c r="L75" s="27">
        <v>438</v>
      </c>
      <c r="M75" s="27">
        <v>270</v>
      </c>
      <c r="N75" s="27">
        <v>2</v>
      </c>
      <c r="O75" s="28">
        <f t="shared" si="108"/>
        <v>0.23652000000000001</v>
      </c>
      <c r="P75" s="29">
        <f t="shared" si="109"/>
        <v>5.6639999999999997</v>
      </c>
      <c r="Q75" s="30">
        <f t="shared" si="110"/>
        <v>18.212040000000002</v>
      </c>
      <c r="R75" s="30">
        <f t="shared" si="111"/>
        <v>436.12799999999999</v>
      </c>
    </row>
    <row r="76" spans="1:20" s="15" customFormat="1" ht="18" customHeight="1">
      <c r="A76" s="22"/>
      <c r="B76" s="31"/>
      <c r="C76" s="24"/>
      <c r="D76" s="24"/>
      <c r="E76" s="24"/>
      <c r="F76" s="24"/>
      <c r="G76" s="25"/>
      <c r="H76" s="26"/>
      <c r="I76" s="26"/>
      <c r="J76" s="25">
        <f t="shared" si="106"/>
        <v>0</v>
      </c>
      <c r="K76" s="25">
        <f t="shared" si="107"/>
        <v>0</v>
      </c>
      <c r="L76" s="27"/>
      <c r="M76" s="27"/>
      <c r="N76" s="27"/>
      <c r="O76" s="28">
        <f t="shared" si="108"/>
        <v>0</v>
      </c>
      <c r="P76" s="29">
        <f t="shared" si="109"/>
        <v>0</v>
      </c>
      <c r="Q76" s="30">
        <f t="shared" si="110"/>
        <v>0</v>
      </c>
      <c r="R76" s="30">
        <f t="shared" si="111"/>
        <v>0</v>
      </c>
    </row>
    <row r="77" spans="1:20" s="15" customFormat="1" ht="18" customHeight="1">
      <c r="A77" s="32"/>
      <c r="B77" s="33"/>
      <c r="C77" s="34" t="s">
        <v>24</v>
      </c>
      <c r="D77" s="34"/>
      <c r="E77" s="34"/>
      <c r="F77" s="34">
        <f>SUM(F70:F76)</f>
        <v>13</v>
      </c>
      <c r="G77" s="35">
        <f>SUM(G70:G76)</f>
        <v>15.508200000000002</v>
      </c>
      <c r="H77" s="35">
        <f>SUM(H70:H76)</f>
        <v>112.16</v>
      </c>
      <c r="I77" s="35"/>
      <c r="J77" s="35">
        <f>SUM(J70:J76)</f>
        <v>1194.1314</v>
      </c>
      <c r="K77" s="35">
        <f>SUM(K70:K76)</f>
        <v>8636.32</v>
      </c>
      <c r="L77" s="35"/>
      <c r="M77" s="35"/>
      <c r="N77" s="35">
        <f>SUM(N70:N76)</f>
        <v>13</v>
      </c>
      <c r="O77" s="35">
        <f>SUM(O70:O76)</f>
        <v>11.125860000000001</v>
      </c>
      <c r="P77" s="35">
        <f>SUM(P70:P76)</f>
        <v>92.88000000000001</v>
      </c>
      <c r="Q77" s="35">
        <f>SUM(Q70:Q76)</f>
        <v>856.69121999999993</v>
      </c>
      <c r="R77" s="35">
        <f>SUM(R70:R76)</f>
        <v>7151.7599999999993</v>
      </c>
    </row>
    <row r="78" spans="1:20" ht="18" customHeight="1">
      <c r="A78" s="22" t="s">
        <v>91</v>
      </c>
      <c r="B78" s="23" t="s">
        <v>200</v>
      </c>
      <c r="C78" s="24">
        <v>22</v>
      </c>
      <c r="D78" s="24">
        <v>885</v>
      </c>
      <c r="E78" s="24">
        <v>2040</v>
      </c>
      <c r="F78" s="24">
        <v>2</v>
      </c>
      <c r="G78" s="38">
        <f>D78*E78*F78/1000000</f>
        <v>3.6107999999999998</v>
      </c>
      <c r="H78" s="26">
        <f>(D78+E78)*F78*4/1000</f>
        <v>23.4</v>
      </c>
      <c r="I78" s="26">
        <f t="shared" si="93"/>
        <v>77</v>
      </c>
      <c r="J78" s="25">
        <f t="shared" ref="J78:J79" si="120">G78*I78</f>
        <v>278.03159999999997</v>
      </c>
      <c r="K78" s="25">
        <f t="shared" ref="K78:K79" si="121">H78*I78</f>
        <v>1801.8</v>
      </c>
      <c r="L78" s="39">
        <v>738</v>
      </c>
      <c r="M78" s="39">
        <v>1810</v>
      </c>
      <c r="N78" s="39">
        <v>2</v>
      </c>
      <c r="O78" s="28">
        <f t="shared" ref="O78:O79" si="122">L78*M78*N78/1000000</f>
        <v>2.6715599999999999</v>
      </c>
      <c r="P78" s="29">
        <f t="shared" ref="P78:P79" si="123">(L78+M78)*N78*4/1000</f>
        <v>20.384</v>
      </c>
      <c r="Q78" s="30">
        <f t="shared" ref="Q78:Q79" si="124">O78*I78</f>
        <v>205.71011999999999</v>
      </c>
      <c r="R78" s="30">
        <f t="shared" ref="R78:R79" si="125">P78*I78</f>
        <v>1569.568</v>
      </c>
      <c r="T78" s="15"/>
    </row>
    <row r="79" spans="1:20" ht="18" customHeight="1">
      <c r="A79" s="174" t="s">
        <v>101</v>
      </c>
      <c r="B79" s="175"/>
      <c r="C79" s="176"/>
      <c r="D79" s="176">
        <v>435</v>
      </c>
      <c r="E79" s="176">
        <v>1140</v>
      </c>
      <c r="F79" s="176">
        <v>2</v>
      </c>
      <c r="G79" s="38">
        <f>D79*E79*F79/1000000</f>
        <v>0.99180000000000001</v>
      </c>
      <c r="H79" s="26">
        <f>(D79+E79)*F79*4/1000</f>
        <v>12.6</v>
      </c>
      <c r="I79" s="26">
        <f t="shared" si="93"/>
        <v>77</v>
      </c>
      <c r="J79" s="25">
        <f t="shared" si="120"/>
        <v>76.368600000000001</v>
      </c>
      <c r="K79" s="25">
        <f t="shared" si="121"/>
        <v>970.19999999999993</v>
      </c>
      <c r="L79" s="39">
        <v>250</v>
      </c>
      <c r="M79" s="39">
        <v>930</v>
      </c>
      <c r="N79" s="39">
        <v>2</v>
      </c>
      <c r="O79" s="28">
        <f t="shared" si="122"/>
        <v>0.46500000000000002</v>
      </c>
      <c r="P79" s="29">
        <f t="shared" si="123"/>
        <v>9.44</v>
      </c>
      <c r="Q79" s="30">
        <f t="shared" si="124"/>
        <v>35.805</v>
      </c>
      <c r="R79" s="30">
        <f t="shared" si="125"/>
        <v>726.88</v>
      </c>
      <c r="T79" s="15"/>
    </row>
    <row r="80" spans="1:20" s="15" customFormat="1" ht="18" customHeight="1">
      <c r="A80" s="36"/>
      <c r="B80" s="31"/>
      <c r="C80" s="24"/>
      <c r="D80" s="24"/>
      <c r="E80" s="24"/>
      <c r="F80" s="24"/>
      <c r="G80" s="25"/>
      <c r="H80" s="26"/>
      <c r="I80" s="26"/>
      <c r="J80" s="25"/>
      <c r="K80" s="25"/>
      <c r="L80" s="39"/>
      <c r="M80" s="39"/>
      <c r="N80" s="39"/>
      <c r="O80" s="28"/>
      <c r="P80" s="29"/>
      <c r="Q80" s="30"/>
      <c r="R80" s="30"/>
    </row>
    <row r="81" spans="1:20" ht="18" customHeight="1">
      <c r="A81" s="32"/>
      <c r="B81" s="40"/>
      <c r="C81" s="34" t="s">
        <v>25</v>
      </c>
      <c r="D81" s="34"/>
      <c r="E81" s="34"/>
      <c r="F81" s="34">
        <f>SUM(F78:F80)</f>
        <v>4</v>
      </c>
      <c r="G81" s="35">
        <f>SUM(G78:G80)</f>
        <v>4.6025999999999998</v>
      </c>
      <c r="H81" s="35">
        <f>SUM(H78:H80)</f>
        <v>36</v>
      </c>
      <c r="I81" s="35"/>
      <c r="J81" s="35">
        <f>SUM(J78:J80)</f>
        <v>354.40019999999998</v>
      </c>
      <c r="K81" s="35">
        <f>SUM(K78:K80)</f>
        <v>2772</v>
      </c>
      <c r="L81" s="35"/>
      <c r="M81" s="35"/>
      <c r="N81" s="35">
        <f>SUM(N78:N80)</f>
        <v>4</v>
      </c>
      <c r="O81" s="35">
        <f>SUM(O78:O80)</f>
        <v>3.1365599999999998</v>
      </c>
      <c r="P81" s="35">
        <f>SUM(P78:P80)</f>
        <v>29.823999999999998</v>
      </c>
      <c r="Q81" s="41">
        <f>SUM(Q78:Q80)</f>
        <v>241.51512</v>
      </c>
      <c r="R81" s="41">
        <f>SUM(R78:R80)</f>
        <v>2296.4479999999999</v>
      </c>
      <c r="T81" s="15"/>
    </row>
    <row r="82" spans="1:20" s="15" customFormat="1" ht="18" customHeight="1">
      <c r="A82" s="36" t="s">
        <v>89</v>
      </c>
      <c r="B82" s="23" t="s">
        <v>90</v>
      </c>
      <c r="C82" s="24">
        <v>22</v>
      </c>
      <c r="D82" s="24">
        <v>885</v>
      </c>
      <c r="E82" s="24">
        <v>2490</v>
      </c>
      <c r="F82" s="24">
        <v>2</v>
      </c>
      <c r="G82" s="25">
        <f>D82*E82*F82/1000000</f>
        <v>4.4073000000000002</v>
      </c>
      <c r="H82" s="26">
        <f>(D82+E82)*F82*4/1000</f>
        <v>27</v>
      </c>
      <c r="I82" s="26">
        <f t="shared" ref="I82" si="126">$C$60</f>
        <v>77</v>
      </c>
      <c r="J82" s="25">
        <f>G82*I82</f>
        <v>339.3621</v>
      </c>
      <c r="K82" s="25">
        <f t="shared" ref="K82:K83" si="127">H82*I82</f>
        <v>2079</v>
      </c>
      <c r="L82" s="27"/>
      <c r="M82" s="27"/>
      <c r="N82" s="27"/>
      <c r="O82" s="28">
        <f>L82*M82*N82/1000000</f>
        <v>0</v>
      </c>
      <c r="P82" s="29">
        <f>(L82+M82)*N82*4/1000</f>
        <v>0</v>
      </c>
      <c r="Q82" s="30">
        <f>O82*I82</f>
        <v>0</v>
      </c>
      <c r="R82" s="30">
        <f t="shared" ref="R82:R83" si="128">P82*I82</f>
        <v>0</v>
      </c>
    </row>
    <row r="83" spans="1:20" s="15" customFormat="1" ht="18" customHeight="1">
      <c r="A83" s="36"/>
      <c r="B83" s="31"/>
      <c r="C83" s="24"/>
      <c r="D83" s="24"/>
      <c r="E83" s="24"/>
      <c r="F83" s="24"/>
      <c r="G83" s="25">
        <f t="shared" ref="G83" si="129">D83*E83*F83/1000000</f>
        <v>0</v>
      </c>
      <c r="H83" s="25">
        <f t="shared" ref="H83" si="130">(D83+E83)*F83*4/1000</f>
        <v>0</v>
      </c>
      <c r="I83" s="26"/>
      <c r="J83" s="25">
        <f>G83*I83</f>
        <v>0</v>
      </c>
      <c r="K83" s="25">
        <f t="shared" si="127"/>
        <v>0</v>
      </c>
      <c r="L83" s="27"/>
      <c r="M83" s="27"/>
      <c r="N83" s="27"/>
      <c r="O83" s="28">
        <f t="shared" ref="O83" si="131">L83*M83*N83/1000000</f>
        <v>0</v>
      </c>
      <c r="P83" s="29">
        <f t="shared" ref="P83" si="132">(L83+M83)*N83*4/1000</f>
        <v>0</v>
      </c>
      <c r="Q83" s="30">
        <f t="shared" ref="Q83" si="133">O83*I83</f>
        <v>0</v>
      </c>
      <c r="R83" s="30">
        <f t="shared" si="128"/>
        <v>0</v>
      </c>
    </row>
    <row r="84" spans="1:20" s="15" customFormat="1" ht="18" customHeight="1">
      <c r="A84" s="32"/>
      <c r="B84" s="33"/>
      <c r="C84" s="34" t="s">
        <v>25</v>
      </c>
      <c r="D84" s="34"/>
      <c r="E84" s="34"/>
      <c r="F84" s="34">
        <f>SUM(F82:F83)</f>
        <v>2</v>
      </c>
      <c r="G84" s="35">
        <f>SUM(G82:G83)</f>
        <v>4.4073000000000002</v>
      </c>
      <c r="H84" s="35">
        <f>SUM(H82:H83)</f>
        <v>27</v>
      </c>
      <c r="I84" s="35"/>
      <c r="J84" s="35">
        <f>SUM(J82:J83)</f>
        <v>339.3621</v>
      </c>
      <c r="K84" s="35">
        <f>SUM(K82:K83)</f>
        <v>2079</v>
      </c>
      <c r="L84" s="35"/>
      <c r="M84" s="35"/>
      <c r="N84" s="35">
        <f>SUM(N82:N83)</f>
        <v>0</v>
      </c>
      <c r="O84" s="35">
        <f>SUM(O82:O83)</f>
        <v>0</v>
      </c>
      <c r="P84" s="35">
        <f>SUM(P82:P83)</f>
        <v>0</v>
      </c>
      <c r="Q84" s="35">
        <f>SUM(Q82:Q83)</f>
        <v>0</v>
      </c>
      <c r="R84" s="35">
        <f>SUM(R82:R83)</f>
        <v>0</v>
      </c>
    </row>
    <row r="85" spans="1:20" s="15" customFormat="1" ht="18" customHeight="1">
      <c r="A85" s="36" t="s">
        <v>89</v>
      </c>
      <c r="B85" s="23" t="s">
        <v>90</v>
      </c>
      <c r="C85" s="24">
        <v>22</v>
      </c>
      <c r="D85" s="24">
        <v>885</v>
      </c>
      <c r="E85" s="24">
        <v>2490</v>
      </c>
      <c r="F85" s="24">
        <v>2</v>
      </c>
      <c r="G85" s="25">
        <f>D85*E85*F85/1000000</f>
        <v>4.4073000000000002</v>
      </c>
      <c r="H85" s="26">
        <f>(D85+E85)*F85*4/1000</f>
        <v>27</v>
      </c>
      <c r="I85" s="26">
        <f t="shared" ref="I85" si="134">$C$60</f>
        <v>77</v>
      </c>
      <c r="J85" s="25">
        <f>G85*I85</f>
        <v>339.3621</v>
      </c>
      <c r="K85" s="25">
        <f t="shared" ref="K85" si="135">H85*I85</f>
        <v>2079</v>
      </c>
      <c r="L85" s="27"/>
      <c r="M85" s="27"/>
      <c r="N85" s="27"/>
      <c r="O85" s="28">
        <f>L85*M85*N85/1000000</f>
        <v>0</v>
      </c>
      <c r="P85" s="29">
        <f>(L85+M85)*N85*4/1000</f>
        <v>0</v>
      </c>
      <c r="Q85" s="30">
        <f>O85*I85</f>
        <v>0</v>
      </c>
      <c r="R85" s="30">
        <f t="shared" ref="R85" si="136">P85*I85</f>
        <v>0</v>
      </c>
    </row>
    <row r="86" spans="1:20" s="15" customFormat="1" ht="18" customHeight="1">
      <c r="A86" s="36"/>
      <c r="B86" s="31"/>
      <c r="C86" s="24"/>
      <c r="D86" s="24"/>
      <c r="E86" s="24"/>
      <c r="F86" s="24"/>
      <c r="G86" s="25"/>
      <c r="H86" s="26"/>
      <c r="I86" s="26"/>
      <c r="J86" s="25"/>
      <c r="K86" s="25"/>
      <c r="L86" s="39"/>
      <c r="M86" s="39"/>
      <c r="N86" s="39"/>
      <c r="O86" s="28"/>
      <c r="P86" s="29"/>
      <c r="Q86" s="30"/>
      <c r="R86" s="30"/>
    </row>
    <row r="87" spans="1:20" ht="18" customHeight="1">
      <c r="A87" s="32"/>
      <c r="B87" s="40"/>
      <c r="C87" s="34" t="s">
        <v>25</v>
      </c>
      <c r="D87" s="34"/>
      <c r="E87" s="34"/>
      <c r="F87" s="34">
        <f>SUM(F85:F86)</f>
        <v>2</v>
      </c>
      <c r="G87" s="35">
        <f>SUM(G85:G86)</f>
        <v>4.4073000000000002</v>
      </c>
      <c r="H87" s="35">
        <f>SUM(H85:H86)</f>
        <v>27</v>
      </c>
      <c r="I87" s="35"/>
      <c r="J87" s="35">
        <f>SUM(J85:J86)</f>
        <v>339.3621</v>
      </c>
      <c r="K87" s="35">
        <f>SUM(K85:K86)</f>
        <v>2079</v>
      </c>
      <c r="L87" s="35"/>
      <c r="M87" s="35"/>
      <c r="N87" s="35">
        <f>SUM(N85:N86)</f>
        <v>0</v>
      </c>
      <c r="O87" s="35">
        <f>SUM(O85:O86)</f>
        <v>0</v>
      </c>
      <c r="P87" s="35">
        <f>SUM(P85:P86)</f>
        <v>0</v>
      </c>
      <c r="Q87" s="41">
        <f>SUM(Q85:Q86)</f>
        <v>0</v>
      </c>
      <c r="R87" s="41">
        <f>SUM(R85:R86)</f>
        <v>0</v>
      </c>
      <c r="T87" s="15"/>
    </row>
    <row r="88" spans="1:20" s="15" customFormat="1" ht="18" customHeight="1">
      <c r="A88" s="14"/>
      <c r="B88" s="14" t="s">
        <v>58</v>
      </c>
      <c r="C88" s="14">
        <f>26+29+29+29+27+41</f>
        <v>181</v>
      </c>
      <c r="D88" s="313" t="s">
        <v>7</v>
      </c>
      <c r="E88" s="314"/>
      <c r="F88" s="314"/>
      <c r="G88" s="314"/>
      <c r="H88" s="314"/>
      <c r="I88" s="314"/>
      <c r="J88" s="314"/>
      <c r="K88" s="314"/>
      <c r="L88" s="313" t="s">
        <v>8</v>
      </c>
      <c r="M88" s="314"/>
      <c r="N88" s="314"/>
      <c r="O88" s="314"/>
      <c r="P88" s="314"/>
      <c r="Q88" s="314"/>
      <c r="R88" s="315"/>
    </row>
    <row r="89" spans="1:20" s="15" customFormat="1" ht="18" customHeight="1">
      <c r="A89" s="16" t="s">
        <v>9</v>
      </c>
      <c r="B89" s="16" t="s">
        <v>10</v>
      </c>
      <c r="C89" s="16" t="s">
        <v>11</v>
      </c>
      <c r="D89" s="16" t="s">
        <v>12</v>
      </c>
      <c r="E89" s="16" t="s">
        <v>13</v>
      </c>
      <c r="F89" s="16" t="s">
        <v>14</v>
      </c>
      <c r="G89" s="17" t="s">
        <v>15</v>
      </c>
      <c r="H89" s="17" t="s">
        <v>16</v>
      </c>
      <c r="I89" s="17" t="s">
        <v>17</v>
      </c>
      <c r="J89" s="18" t="s">
        <v>18</v>
      </c>
      <c r="K89" s="18" t="s">
        <v>19</v>
      </c>
      <c r="L89" s="16" t="s">
        <v>20</v>
      </c>
      <c r="M89" s="16" t="s">
        <v>21</v>
      </c>
      <c r="N89" s="16" t="s">
        <v>22</v>
      </c>
      <c r="O89" s="19" t="s">
        <v>23</v>
      </c>
      <c r="P89" s="20" t="s">
        <v>16</v>
      </c>
      <c r="Q89" s="21" t="s">
        <v>18</v>
      </c>
      <c r="R89" s="21" t="s">
        <v>19</v>
      </c>
    </row>
    <row r="90" spans="1:20" s="15" customFormat="1" ht="18" customHeight="1">
      <c r="A90" s="22" t="s">
        <v>104</v>
      </c>
      <c r="B90" s="23" t="s">
        <v>201</v>
      </c>
      <c r="C90" s="24">
        <v>22</v>
      </c>
      <c r="D90" s="24">
        <v>1000</v>
      </c>
      <c r="E90" s="24">
        <v>2040</v>
      </c>
      <c r="F90" s="24">
        <v>1</v>
      </c>
      <c r="G90" s="25">
        <f t="shared" ref="G90" si="137">D90*E90*F90/1000000</f>
        <v>2.04</v>
      </c>
      <c r="H90" s="26">
        <f t="shared" ref="H90" si="138">(D90+E90)*F90*4/1000</f>
        <v>12.16</v>
      </c>
      <c r="I90" s="26">
        <f>$C$88</f>
        <v>181</v>
      </c>
      <c r="J90" s="25">
        <f t="shared" ref="J90:J94" si="139">G90*I90</f>
        <v>369.24</v>
      </c>
      <c r="K90" s="25">
        <f t="shared" ref="K90:K94" si="140">H90*I90</f>
        <v>2200.96</v>
      </c>
      <c r="L90" s="27">
        <v>861</v>
      </c>
      <c r="M90" s="27">
        <v>1810</v>
      </c>
      <c r="N90" s="27">
        <v>1</v>
      </c>
      <c r="O90" s="28">
        <f t="shared" ref="O90:O94" si="141">L90*M90*N90/1000000</f>
        <v>1.5584100000000001</v>
      </c>
      <c r="P90" s="29">
        <f t="shared" ref="P90:P94" si="142">(L90+M90)*N90*4/1000</f>
        <v>10.683999999999999</v>
      </c>
      <c r="Q90" s="30">
        <f t="shared" ref="Q90:Q94" si="143">O90*I90</f>
        <v>282.07221000000004</v>
      </c>
      <c r="R90" s="30">
        <f t="shared" ref="R90:R94" si="144">P90*I90</f>
        <v>1933.8039999999999</v>
      </c>
    </row>
    <row r="91" spans="1:20" s="15" customFormat="1" ht="18" customHeight="1">
      <c r="A91" s="22" t="s">
        <v>93</v>
      </c>
      <c r="B91" s="31"/>
      <c r="C91" s="24"/>
      <c r="D91" s="24">
        <v>885</v>
      </c>
      <c r="E91" s="24">
        <v>1540</v>
      </c>
      <c r="F91" s="24">
        <v>4</v>
      </c>
      <c r="G91" s="25">
        <f t="shared" ref="G91:G93" si="145">D91*E91*F91/1000000</f>
        <v>5.4516</v>
      </c>
      <c r="H91" s="26">
        <f t="shared" ref="H91:H93" si="146">(D91+E91)*F91*4/1000</f>
        <v>38.799999999999997</v>
      </c>
      <c r="I91" s="26">
        <f t="shared" ref="I91:I93" si="147">$C$88</f>
        <v>181</v>
      </c>
      <c r="J91" s="25">
        <f t="shared" si="139"/>
        <v>986.7396</v>
      </c>
      <c r="K91" s="25">
        <f t="shared" si="140"/>
        <v>7022.7999999999993</v>
      </c>
      <c r="L91" s="27">
        <v>738</v>
      </c>
      <c r="M91" s="27">
        <v>1310</v>
      </c>
      <c r="N91" s="27">
        <v>4</v>
      </c>
      <c r="O91" s="28">
        <f t="shared" si="141"/>
        <v>3.8671199999999999</v>
      </c>
      <c r="P91" s="29">
        <f t="shared" si="142"/>
        <v>32.768000000000001</v>
      </c>
      <c r="Q91" s="30">
        <f t="shared" si="143"/>
        <v>699.94871999999998</v>
      </c>
      <c r="R91" s="30">
        <f t="shared" si="144"/>
        <v>5931.0079999999998</v>
      </c>
    </row>
    <row r="92" spans="1:20" s="15" customFormat="1" ht="18" customHeight="1">
      <c r="A92" s="22" t="s">
        <v>97</v>
      </c>
      <c r="B92" s="31"/>
      <c r="C92" s="24"/>
      <c r="D92" s="24">
        <v>375</v>
      </c>
      <c r="E92" s="24">
        <v>1140</v>
      </c>
      <c r="F92" s="24">
        <v>2</v>
      </c>
      <c r="G92" s="25">
        <f t="shared" si="145"/>
        <v>0.85499999999999998</v>
      </c>
      <c r="H92" s="26">
        <f t="shared" si="146"/>
        <v>12.12</v>
      </c>
      <c r="I92" s="26">
        <f t="shared" si="147"/>
        <v>181</v>
      </c>
      <c r="J92" s="25">
        <f t="shared" si="139"/>
        <v>154.755</v>
      </c>
      <c r="K92" s="25">
        <f t="shared" si="140"/>
        <v>2193.7199999999998</v>
      </c>
      <c r="L92" s="27">
        <v>228</v>
      </c>
      <c r="M92" s="27">
        <v>910</v>
      </c>
      <c r="N92" s="27">
        <v>2</v>
      </c>
      <c r="O92" s="28">
        <f t="shared" si="141"/>
        <v>0.41496</v>
      </c>
      <c r="P92" s="29">
        <f t="shared" si="142"/>
        <v>9.1039999999999992</v>
      </c>
      <c r="Q92" s="30">
        <f t="shared" si="143"/>
        <v>75.107759999999999</v>
      </c>
      <c r="R92" s="30">
        <f t="shared" si="144"/>
        <v>1647.8239999999998</v>
      </c>
    </row>
    <row r="93" spans="1:20" s="15" customFormat="1" ht="18" customHeight="1">
      <c r="A93" s="22" t="s">
        <v>99</v>
      </c>
      <c r="B93" s="31"/>
      <c r="C93" s="24"/>
      <c r="D93" s="24">
        <v>585</v>
      </c>
      <c r="E93" s="24">
        <v>500</v>
      </c>
      <c r="F93" s="24">
        <v>2</v>
      </c>
      <c r="G93" s="25">
        <f t="shared" si="145"/>
        <v>0.58499999999999996</v>
      </c>
      <c r="H93" s="26">
        <f t="shared" si="146"/>
        <v>8.68</v>
      </c>
      <c r="I93" s="26">
        <f t="shared" si="147"/>
        <v>181</v>
      </c>
      <c r="J93" s="25">
        <f t="shared" si="139"/>
        <v>105.88499999999999</v>
      </c>
      <c r="K93" s="25">
        <f t="shared" si="140"/>
        <v>1571.08</v>
      </c>
      <c r="L93" s="27">
        <v>438</v>
      </c>
      <c r="M93" s="27">
        <v>270</v>
      </c>
      <c r="N93" s="27">
        <v>2</v>
      </c>
      <c r="O93" s="28">
        <f t="shared" si="141"/>
        <v>0.23652000000000001</v>
      </c>
      <c r="P93" s="29">
        <f t="shared" si="142"/>
        <v>5.6639999999999997</v>
      </c>
      <c r="Q93" s="30">
        <f t="shared" si="143"/>
        <v>42.810120000000005</v>
      </c>
      <c r="R93" s="30">
        <f t="shared" si="144"/>
        <v>1025.184</v>
      </c>
    </row>
    <row r="94" spans="1:20" s="15" customFormat="1" ht="18" customHeight="1">
      <c r="A94" s="22"/>
      <c r="B94" s="31"/>
      <c r="C94" s="24"/>
      <c r="D94" s="24"/>
      <c r="E94" s="24"/>
      <c r="F94" s="24"/>
      <c r="G94" s="25"/>
      <c r="H94" s="26"/>
      <c r="I94" s="26"/>
      <c r="J94" s="25">
        <f t="shared" si="139"/>
        <v>0</v>
      </c>
      <c r="K94" s="25">
        <f t="shared" si="140"/>
        <v>0</v>
      </c>
      <c r="L94" s="27"/>
      <c r="M94" s="27"/>
      <c r="N94" s="27"/>
      <c r="O94" s="28">
        <f t="shared" si="141"/>
        <v>0</v>
      </c>
      <c r="P94" s="29">
        <f t="shared" si="142"/>
        <v>0</v>
      </c>
      <c r="Q94" s="30">
        <f t="shared" si="143"/>
        <v>0</v>
      </c>
      <c r="R94" s="30">
        <f t="shared" si="144"/>
        <v>0</v>
      </c>
    </row>
    <row r="95" spans="1:20" s="15" customFormat="1" ht="18" customHeight="1">
      <c r="A95" s="32"/>
      <c r="B95" s="33"/>
      <c r="C95" s="34" t="s">
        <v>24</v>
      </c>
      <c r="D95" s="34"/>
      <c r="E95" s="34"/>
      <c r="F95" s="34">
        <f>SUM(F90:F94)</f>
        <v>9</v>
      </c>
      <c r="G95" s="35">
        <f>SUM(G90:G94)</f>
        <v>8.9315999999999995</v>
      </c>
      <c r="H95" s="35">
        <f>SUM(H90:H94)</f>
        <v>71.759999999999991</v>
      </c>
      <c r="I95" s="35"/>
      <c r="J95" s="35">
        <f>SUM(J90:J94)</f>
        <v>1616.6196000000002</v>
      </c>
      <c r="K95" s="35">
        <f>SUM(K90:K94)</f>
        <v>12988.559999999998</v>
      </c>
      <c r="L95" s="35"/>
      <c r="M95" s="35"/>
      <c r="N95" s="35">
        <f>SUM(N90:N94)</f>
        <v>9</v>
      </c>
      <c r="O95" s="35">
        <f>SUM(O90:O94)</f>
        <v>6.0770099999999996</v>
      </c>
      <c r="P95" s="35">
        <f>SUM(P90:P94)</f>
        <v>58.22</v>
      </c>
      <c r="Q95" s="35">
        <f>SUM(Q90:Q94)</f>
        <v>1099.9388100000001</v>
      </c>
      <c r="R95" s="35">
        <f>SUM(R90:R94)</f>
        <v>10537.82</v>
      </c>
    </row>
    <row r="96" spans="1:20" s="15" customFormat="1" ht="18" customHeight="1">
      <c r="A96" s="22" t="s">
        <v>103</v>
      </c>
      <c r="B96" s="23" t="s">
        <v>198</v>
      </c>
      <c r="C96" s="24">
        <v>22</v>
      </c>
      <c r="D96" s="24">
        <v>1000</v>
      </c>
      <c r="E96" s="24">
        <v>2040</v>
      </c>
      <c r="F96" s="24">
        <v>1</v>
      </c>
      <c r="G96" s="25">
        <f t="shared" ref="G96:G100" si="148">D96*E96*F96/1000000</f>
        <v>2.04</v>
      </c>
      <c r="H96" s="26">
        <f t="shared" ref="H96:H100" si="149">(D96+E96)*F96*4/1000</f>
        <v>12.16</v>
      </c>
      <c r="I96" s="26">
        <f t="shared" ref="I96:I100" si="150">$C$88</f>
        <v>181</v>
      </c>
      <c r="J96" s="25">
        <f t="shared" ref="J96:J101" si="151">G96*I96</f>
        <v>369.24</v>
      </c>
      <c r="K96" s="25">
        <f t="shared" ref="K96:K101" si="152">H96*I96</f>
        <v>2200.96</v>
      </c>
      <c r="L96" s="27">
        <v>861</v>
      </c>
      <c r="M96" s="27">
        <v>1810</v>
      </c>
      <c r="N96" s="27">
        <v>1</v>
      </c>
      <c r="O96" s="28">
        <f t="shared" ref="O96:O101" si="153">L96*M96*N96/1000000</f>
        <v>1.5584100000000001</v>
      </c>
      <c r="P96" s="29">
        <f t="shared" ref="P96:P101" si="154">(L96+M96)*N96*4/1000</f>
        <v>10.683999999999999</v>
      </c>
      <c r="Q96" s="30">
        <f t="shared" ref="Q96:Q101" si="155">O96*I96</f>
        <v>282.07221000000004</v>
      </c>
      <c r="R96" s="30">
        <f t="shared" ref="R96:R101" si="156">P96*I96</f>
        <v>1933.8039999999999</v>
      </c>
    </row>
    <row r="97" spans="1:20" s="15" customFormat="1" ht="18" customHeight="1">
      <c r="A97" s="22" t="s">
        <v>102</v>
      </c>
      <c r="B97" s="31"/>
      <c r="C97" s="24"/>
      <c r="D97" s="24">
        <v>2270</v>
      </c>
      <c r="E97" s="24">
        <v>2040</v>
      </c>
      <c r="F97" s="24">
        <v>1</v>
      </c>
      <c r="G97" s="25">
        <f t="shared" si="148"/>
        <v>4.6307999999999998</v>
      </c>
      <c r="H97" s="26">
        <f t="shared" si="149"/>
        <v>17.239999999999998</v>
      </c>
      <c r="I97" s="26">
        <f t="shared" si="150"/>
        <v>181</v>
      </c>
      <c r="J97" s="25">
        <f t="shared" si="151"/>
        <v>838.1748</v>
      </c>
      <c r="K97" s="25">
        <f t="shared" si="152"/>
        <v>3120.4399999999996</v>
      </c>
      <c r="L97" s="39">
        <v>2114</v>
      </c>
      <c r="M97" s="39">
        <v>1810</v>
      </c>
      <c r="N97" s="39">
        <v>1</v>
      </c>
      <c r="O97" s="28">
        <f t="shared" si="153"/>
        <v>3.8263400000000001</v>
      </c>
      <c r="P97" s="29">
        <f t="shared" si="154"/>
        <v>15.696</v>
      </c>
      <c r="Q97" s="30">
        <f t="shared" si="155"/>
        <v>692.56754000000001</v>
      </c>
      <c r="R97" s="30">
        <f t="shared" si="156"/>
        <v>2840.9760000000001</v>
      </c>
    </row>
    <row r="98" spans="1:20" s="15" customFormat="1" ht="18" customHeight="1">
      <c r="A98" s="22" t="s">
        <v>95</v>
      </c>
      <c r="B98" s="31"/>
      <c r="C98" s="24"/>
      <c r="D98" s="24">
        <v>885</v>
      </c>
      <c r="E98" s="24">
        <v>1540</v>
      </c>
      <c r="F98" s="24">
        <v>4</v>
      </c>
      <c r="G98" s="25">
        <f t="shared" si="148"/>
        <v>5.4516</v>
      </c>
      <c r="H98" s="26">
        <f t="shared" si="149"/>
        <v>38.799999999999997</v>
      </c>
      <c r="I98" s="26">
        <f t="shared" si="150"/>
        <v>181</v>
      </c>
      <c r="J98" s="25">
        <f t="shared" si="151"/>
        <v>986.7396</v>
      </c>
      <c r="K98" s="25">
        <f t="shared" si="152"/>
        <v>7022.7999999999993</v>
      </c>
      <c r="L98" s="27">
        <v>738</v>
      </c>
      <c r="M98" s="27">
        <v>1310</v>
      </c>
      <c r="N98" s="27">
        <v>4</v>
      </c>
      <c r="O98" s="28">
        <f t="shared" si="153"/>
        <v>3.8671199999999999</v>
      </c>
      <c r="P98" s="29">
        <f t="shared" si="154"/>
        <v>32.768000000000001</v>
      </c>
      <c r="Q98" s="30">
        <f t="shared" si="155"/>
        <v>699.94871999999998</v>
      </c>
      <c r="R98" s="30">
        <f t="shared" si="156"/>
        <v>5931.0079999999998</v>
      </c>
    </row>
    <row r="99" spans="1:20" s="15" customFormat="1" ht="18" customHeight="1">
      <c r="A99" s="22" t="s">
        <v>98</v>
      </c>
      <c r="B99" s="31"/>
      <c r="C99" s="24"/>
      <c r="D99" s="24">
        <v>375</v>
      </c>
      <c r="E99" s="24">
        <v>1140</v>
      </c>
      <c r="F99" s="24">
        <v>2</v>
      </c>
      <c r="G99" s="25">
        <f t="shared" si="148"/>
        <v>0.85499999999999998</v>
      </c>
      <c r="H99" s="26">
        <f t="shared" si="149"/>
        <v>12.12</v>
      </c>
      <c r="I99" s="26">
        <f t="shared" si="150"/>
        <v>181</v>
      </c>
      <c r="J99" s="25">
        <f t="shared" si="151"/>
        <v>154.755</v>
      </c>
      <c r="K99" s="25">
        <f t="shared" si="152"/>
        <v>2193.7199999999998</v>
      </c>
      <c r="L99" s="27">
        <v>228</v>
      </c>
      <c r="M99" s="27">
        <v>910</v>
      </c>
      <c r="N99" s="27">
        <v>2</v>
      </c>
      <c r="O99" s="28">
        <f t="shared" si="153"/>
        <v>0.41496</v>
      </c>
      <c r="P99" s="29">
        <f t="shared" si="154"/>
        <v>9.1039999999999992</v>
      </c>
      <c r="Q99" s="30">
        <f t="shared" si="155"/>
        <v>75.107759999999999</v>
      </c>
      <c r="R99" s="30">
        <f t="shared" si="156"/>
        <v>1647.8239999999998</v>
      </c>
    </row>
    <row r="100" spans="1:20" s="15" customFormat="1" ht="18" customHeight="1">
      <c r="A100" s="22" t="s">
        <v>100</v>
      </c>
      <c r="B100" s="31"/>
      <c r="C100" s="24"/>
      <c r="D100" s="24">
        <v>585</v>
      </c>
      <c r="E100" s="24">
        <v>500</v>
      </c>
      <c r="F100" s="24">
        <v>2</v>
      </c>
      <c r="G100" s="25">
        <f t="shared" si="148"/>
        <v>0.58499999999999996</v>
      </c>
      <c r="H100" s="26">
        <f t="shared" si="149"/>
        <v>8.68</v>
      </c>
      <c r="I100" s="26">
        <f t="shared" si="150"/>
        <v>181</v>
      </c>
      <c r="J100" s="25">
        <f t="shared" si="151"/>
        <v>105.88499999999999</v>
      </c>
      <c r="K100" s="25">
        <f t="shared" si="152"/>
        <v>1571.08</v>
      </c>
      <c r="L100" s="27">
        <v>438</v>
      </c>
      <c r="M100" s="27">
        <v>270</v>
      </c>
      <c r="N100" s="27">
        <v>2</v>
      </c>
      <c r="O100" s="28">
        <f t="shared" si="153"/>
        <v>0.23652000000000001</v>
      </c>
      <c r="P100" s="29">
        <f t="shared" si="154"/>
        <v>5.6639999999999997</v>
      </c>
      <c r="Q100" s="30">
        <f t="shared" si="155"/>
        <v>42.810120000000005</v>
      </c>
      <c r="R100" s="30">
        <f t="shared" si="156"/>
        <v>1025.184</v>
      </c>
    </row>
    <row r="101" spans="1:20" s="15" customFormat="1" ht="18" customHeight="1">
      <c r="A101" s="22"/>
      <c r="B101" s="31"/>
      <c r="C101" s="24"/>
      <c r="D101" s="24"/>
      <c r="E101" s="24"/>
      <c r="F101" s="24"/>
      <c r="G101" s="25"/>
      <c r="H101" s="26"/>
      <c r="I101" s="26"/>
      <c r="J101" s="25">
        <f t="shared" si="151"/>
        <v>0</v>
      </c>
      <c r="K101" s="25">
        <f t="shared" si="152"/>
        <v>0</v>
      </c>
      <c r="L101" s="27"/>
      <c r="M101" s="27"/>
      <c r="N101" s="27"/>
      <c r="O101" s="28">
        <f t="shared" si="153"/>
        <v>0</v>
      </c>
      <c r="P101" s="29">
        <f t="shared" si="154"/>
        <v>0</v>
      </c>
      <c r="Q101" s="30">
        <f t="shared" si="155"/>
        <v>0</v>
      </c>
      <c r="R101" s="30">
        <f t="shared" si="156"/>
        <v>0</v>
      </c>
    </row>
    <row r="102" spans="1:20" s="15" customFormat="1" ht="18" customHeight="1">
      <c r="A102" s="32"/>
      <c r="B102" s="33"/>
      <c r="C102" s="34" t="s">
        <v>24</v>
      </c>
      <c r="D102" s="34"/>
      <c r="E102" s="34"/>
      <c r="F102" s="34">
        <f>SUM(F96:F101)</f>
        <v>10</v>
      </c>
      <c r="G102" s="35">
        <f>SUM(G96:G101)</f>
        <v>13.5624</v>
      </c>
      <c r="H102" s="35">
        <f>SUM(H96:H101)</f>
        <v>89</v>
      </c>
      <c r="I102" s="35"/>
      <c r="J102" s="35">
        <f>SUM(J96:J101)</f>
        <v>2454.7943999999998</v>
      </c>
      <c r="K102" s="35">
        <f>SUM(K96:K101)</f>
        <v>16108.999999999998</v>
      </c>
      <c r="L102" s="35"/>
      <c r="M102" s="35"/>
      <c r="N102" s="35">
        <f>SUM(N96:N101)</f>
        <v>10</v>
      </c>
      <c r="O102" s="35">
        <f>SUM(O96:O101)</f>
        <v>9.9033500000000014</v>
      </c>
      <c r="P102" s="35">
        <f>SUM(P96:P101)</f>
        <v>73.915999999999997</v>
      </c>
      <c r="Q102" s="35">
        <f>SUM(Q96:Q101)</f>
        <v>1792.5063500000003</v>
      </c>
      <c r="R102" s="35">
        <f>SUM(R96:R101)</f>
        <v>13378.796</v>
      </c>
    </row>
    <row r="103" spans="1:20" ht="18" customHeight="1">
      <c r="A103" s="22" t="s">
        <v>92</v>
      </c>
      <c r="B103" s="23" t="s">
        <v>237</v>
      </c>
      <c r="C103" s="24">
        <v>22</v>
      </c>
      <c r="D103" s="24">
        <v>2270</v>
      </c>
      <c r="E103" s="24">
        <v>2040</v>
      </c>
      <c r="F103" s="24">
        <v>1</v>
      </c>
      <c r="G103" s="38">
        <f>D103*E103*F103/1000000</f>
        <v>4.6307999999999998</v>
      </c>
      <c r="H103" s="26">
        <f>(D103+E103)*F103*4/1000</f>
        <v>17.239999999999998</v>
      </c>
      <c r="I103" s="26">
        <f t="shared" ref="I103" si="157">$C$88</f>
        <v>181</v>
      </c>
      <c r="J103" s="25">
        <f t="shared" ref="J103" si="158">G103*I103</f>
        <v>838.1748</v>
      </c>
      <c r="K103" s="25">
        <f t="shared" ref="K103" si="159">H103*I103</f>
        <v>3120.4399999999996</v>
      </c>
      <c r="L103" s="39">
        <v>2114</v>
      </c>
      <c r="M103" s="39">
        <v>1810</v>
      </c>
      <c r="N103" s="39">
        <v>1</v>
      </c>
      <c r="O103" s="28">
        <f t="shared" ref="O103" si="160">L103*M103*N103/1000000</f>
        <v>3.8263400000000001</v>
      </c>
      <c r="P103" s="29">
        <f t="shared" ref="P103" si="161">(L103+M103)*N103*4/1000</f>
        <v>15.696</v>
      </c>
      <c r="Q103" s="30">
        <f t="shared" ref="Q103" si="162">O103*I103</f>
        <v>692.56754000000001</v>
      </c>
      <c r="R103" s="30">
        <f t="shared" ref="R103" si="163">P103*I103</f>
        <v>2840.9760000000001</v>
      </c>
      <c r="T103" s="15"/>
    </row>
    <row r="104" spans="1:20" s="15" customFormat="1" ht="18" customHeight="1">
      <c r="A104" s="36"/>
      <c r="B104" s="31"/>
      <c r="C104" s="24"/>
      <c r="D104" s="24"/>
      <c r="E104" s="24"/>
      <c r="F104" s="24"/>
      <c r="G104" s="25"/>
      <c r="H104" s="26"/>
      <c r="I104" s="26"/>
      <c r="J104" s="25"/>
      <c r="K104" s="25"/>
      <c r="L104" s="39"/>
      <c r="M104" s="39"/>
      <c r="N104" s="39"/>
      <c r="O104" s="28"/>
      <c r="P104" s="29"/>
      <c r="Q104" s="30"/>
      <c r="R104" s="30"/>
    </row>
    <row r="105" spans="1:20" ht="18" customHeight="1">
      <c r="A105" s="32"/>
      <c r="B105" s="40"/>
      <c r="C105" s="34" t="s">
        <v>25</v>
      </c>
      <c r="D105" s="34"/>
      <c r="E105" s="34"/>
      <c r="F105" s="34">
        <f>SUM(F103:F104)</f>
        <v>1</v>
      </c>
      <c r="G105" s="35">
        <f>SUM(G103:G104)</f>
        <v>4.6307999999999998</v>
      </c>
      <c r="H105" s="35">
        <f>SUM(H103:H104)</f>
        <v>17.239999999999998</v>
      </c>
      <c r="I105" s="35"/>
      <c r="J105" s="35">
        <f>SUM(J103:J104)</f>
        <v>838.1748</v>
      </c>
      <c r="K105" s="35">
        <f>SUM(K103:K104)</f>
        <v>3120.4399999999996</v>
      </c>
      <c r="L105" s="35"/>
      <c r="M105" s="35"/>
      <c r="N105" s="35">
        <f>SUM(N103:N104)</f>
        <v>1</v>
      </c>
      <c r="O105" s="35">
        <f>SUM(O103:O104)</f>
        <v>3.8263400000000001</v>
      </c>
      <c r="P105" s="35">
        <f>SUM(P103:P104)</f>
        <v>15.696</v>
      </c>
      <c r="Q105" s="41">
        <f>SUM(Q103:Q104)</f>
        <v>692.56754000000001</v>
      </c>
      <c r="R105" s="41">
        <f>SUM(R103:R104)</f>
        <v>2840.9760000000001</v>
      </c>
      <c r="T105" s="15"/>
    </row>
    <row r="106" spans="1:20" ht="18" customHeight="1">
      <c r="A106" s="22" t="s">
        <v>91</v>
      </c>
      <c r="B106" s="23" t="s">
        <v>203</v>
      </c>
      <c r="C106" s="24">
        <v>22</v>
      </c>
      <c r="D106" s="24">
        <v>885</v>
      </c>
      <c r="E106" s="24">
        <v>2040</v>
      </c>
      <c r="F106" s="24">
        <v>2</v>
      </c>
      <c r="G106" s="38">
        <f>D106*E106*F106/1000000</f>
        <v>3.6107999999999998</v>
      </c>
      <c r="H106" s="26">
        <f>(D106+E106)*F106*4/1000</f>
        <v>23.4</v>
      </c>
      <c r="I106" s="26">
        <f t="shared" ref="I106:I107" si="164">$C$88</f>
        <v>181</v>
      </c>
      <c r="J106" s="25">
        <f t="shared" ref="J106:J107" si="165">G106*I106</f>
        <v>653.5548</v>
      </c>
      <c r="K106" s="25">
        <f t="shared" ref="K106:K107" si="166">H106*I106</f>
        <v>4235.3999999999996</v>
      </c>
      <c r="L106" s="39">
        <v>738</v>
      </c>
      <c r="M106" s="39">
        <v>1810</v>
      </c>
      <c r="N106" s="39">
        <v>2</v>
      </c>
      <c r="O106" s="28">
        <f t="shared" ref="O106:O107" si="167">L106*M106*N106/1000000</f>
        <v>2.6715599999999999</v>
      </c>
      <c r="P106" s="29">
        <f t="shared" ref="P106:P107" si="168">(L106+M106)*N106*4/1000</f>
        <v>20.384</v>
      </c>
      <c r="Q106" s="30">
        <f t="shared" ref="Q106:Q107" si="169">O106*I106</f>
        <v>483.55235999999996</v>
      </c>
      <c r="R106" s="30">
        <f t="shared" ref="R106:R107" si="170">P106*I106</f>
        <v>3689.5039999999999</v>
      </c>
      <c r="T106" s="15"/>
    </row>
    <row r="107" spans="1:20" ht="18" customHeight="1">
      <c r="A107" s="174" t="s">
        <v>101</v>
      </c>
      <c r="B107" s="175"/>
      <c r="C107" s="176"/>
      <c r="D107" s="176">
        <v>435</v>
      </c>
      <c r="E107" s="176">
        <v>1140</v>
      </c>
      <c r="F107" s="176">
        <v>2</v>
      </c>
      <c r="G107" s="38">
        <f>D107*E107*F107/1000000</f>
        <v>0.99180000000000001</v>
      </c>
      <c r="H107" s="26">
        <f>(D107+E107)*F107*4/1000</f>
        <v>12.6</v>
      </c>
      <c r="I107" s="26">
        <f t="shared" si="164"/>
        <v>181</v>
      </c>
      <c r="J107" s="25">
        <f t="shared" si="165"/>
        <v>179.51580000000001</v>
      </c>
      <c r="K107" s="25">
        <f t="shared" si="166"/>
        <v>2280.6</v>
      </c>
      <c r="L107" s="39">
        <v>250</v>
      </c>
      <c r="M107" s="39">
        <v>930</v>
      </c>
      <c r="N107" s="39">
        <v>2</v>
      </c>
      <c r="O107" s="28">
        <f t="shared" si="167"/>
        <v>0.46500000000000002</v>
      </c>
      <c r="P107" s="29">
        <f t="shared" si="168"/>
        <v>9.44</v>
      </c>
      <c r="Q107" s="30">
        <f t="shared" si="169"/>
        <v>84.165000000000006</v>
      </c>
      <c r="R107" s="30">
        <f t="shared" si="170"/>
        <v>1708.6399999999999</v>
      </c>
      <c r="T107" s="15"/>
    </row>
    <row r="108" spans="1:20" s="15" customFormat="1" ht="18" customHeight="1">
      <c r="A108" s="36"/>
      <c r="B108" s="31"/>
      <c r="C108" s="24"/>
      <c r="D108" s="24"/>
      <c r="E108" s="24"/>
      <c r="F108" s="24"/>
      <c r="G108" s="25"/>
      <c r="H108" s="26"/>
      <c r="I108" s="26"/>
      <c r="J108" s="25"/>
      <c r="K108" s="25"/>
      <c r="L108" s="39"/>
      <c r="M108" s="39"/>
      <c r="N108" s="39"/>
      <c r="O108" s="28"/>
      <c r="P108" s="29"/>
      <c r="Q108" s="30"/>
      <c r="R108" s="30"/>
    </row>
    <row r="109" spans="1:20" ht="18" customHeight="1">
      <c r="A109" s="32"/>
      <c r="B109" s="40"/>
      <c r="C109" s="34" t="s">
        <v>25</v>
      </c>
      <c r="D109" s="34"/>
      <c r="E109" s="34"/>
      <c r="F109" s="34">
        <f>SUM(F106:F108)</f>
        <v>4</v>
      </c>
      <c r="G109" s="35">
        <f>SUM(G106:G108)</f>
        <v>4.6025999999999998</v>
      </c>
      <c r="H109" s="35">
        <f>SUM(H106:H108)</f>
        <v>36</v>
      </c>
      <c r="I109" s="35"/>
      <c r="J109" s="35">
        <f>SUM(J106:J108)</f>
        <v>833.07060000000001</v>
      </c>
      <c r="K109" s="35">
        <f>SUM(K106:K108)</f>
        <v>6516</v>
      </c>
      <c r="L109" s="35"/>
      <c r="M109" s="35"/>
      <c r="N109" s="35">
        <f>SUM(N106:N108)</f>
        <v>4</v>
      </c>
      <c r="O109" s="35">
        <f>SUM(O106:O108)</f>
        <v>3.1365599999999998</v>
      </c>
      <c r="P109" s="35">
        <f>SUM(P106:P108)</f>
        <v>29.823999999999998</v>
      </c>
      <c r="Q109" s="41">
        <f>SUM(Q106:Q108)</f>
        <v>567.71735999999999</v>
      </c>
      <c r="R109" s="41">
        <f>SUM(R106:R108)</f>
        <v>5398.1440000000002</v>
      </c>
      <c r="T109" s="15"/>
    </row>
    <row r="110" spans="1:20" s="15" customFormat="1" ht="18" customHeight="1">
      <c r="A110" s="36" t="s">
        <v>89</v>
      </c>
      <c r="B110" s="23" t="s">
        <v>90</v>
      </c>
      <c r="C110" s="24">
        <v>22</v>
      </c>
      <c r="D110" s="24">
        <v>885</v>
      </c>
      <c r="E110" s="24">
        <v>2490</v>
      </c>
      <c r="F110" s="24">
        <v>2</v>
      </c>
      <c r="G110" s="25">
        <f>D110*E110*F110/1000000</f>
        <v>4.4073000000000002</v>
      </c>
      <c r="H110" s="26">
        <f>(D110+E110)*F110*4/1000</f>
        <v>27</v>
      </c>
      <c r="I110" s="26">
        <f t="shared" ref="I110" si="171">$C$88</f>
        <v>181</v>
      </c>
      <c r="J110" s="25">
        <f>G110*I110</f>
        <v>797.72130000000004</v>
      </c>
      <c r="K110" s="25">
        <f t="shared" ref="K110:K111" si="172">H110*I110</f>
        <v>4887</v>
      </c>
      <c r="L110" s="27"/>
      <c r="M110" s="27"/>
      <c r="N110" s="27"/>
      <c r="O110" s="28">
        <f>L110*M110*N110/1000000</f>
        <v>0</v>
      </c>
      <c r="P110" s="29">
        <f>(L110+M110)*N110*4/1000</f>
        <v>0</v>
      </c>
      <c r="Q110" s="30">
        <f>O110*I110</f>
        <v>0</v>
      </c>
      <c r="R110" s="30">
        <f t="shared" ref="R110:R111" si="173">P110*I110</f>
        <v>0</v>
      </c>
    </row>
    <row r="111" spans="1:20" s="15" customFormat="1" ht="18" customHeight="1">
      <c r="A111" s="36"/>
      <c r="B111" s="31"/>
      <c r="C111" s="24"/>
      <c r="D111" s="24"/>
      <c r="E111" s="24"/>
      <c r="F111" s="24"/>
      <c r="G111" s="25">
        <f t="shared" ref="G111" si="174">D111*E111*F111/1000000</f>
        <v>0</v>
      </c>
      <c r="H111" s="25">
        <f t="shared" ref="H111" si="175">(D111+E111)*F111*4/1000</f>
        <v>0</v>
      </c>
      <c r="I111" s="26"/>
      <c r="J111" s="25">
        <f>G111*I111</f>
        <v>0</v>
      </c>
      <c r="K111" s="25">
        <f t="shared" si="172"/>
        <v>0</v>
      </c>
      <c r="L111" s="27"/>
      <c r="M111" s="27"/>
      <c r="N111" s="27"/>
      <c r="O111" s="28">
        <f t="shared" ref="O111" si="176">L111*M111*N111/1000000</f>
        <v>0</v>
      </c>
      <c r="P111" s="29">
        <f t="shared" ref="P111" si="177">(L111+M111)*N111*4/1000</f>
        <v>0</v>
      </c>
      <c r="Q111" s="30">
        <f t="shared" ref="Q111" si="178">O111*I111</f>
        <v>0</v>
      </c>
      <c r="R111" s="30">
        <f t="shared" si="173"/>
        <v>0</v>
      </c>
    </row>
    <row r="112" spans="1:20" s="15" customFormat="1" ht="18" customHeight="1">
      <c r="A112" s="32"/>
      <c r="B112" s="33"/>
      <c r="C112" s="34" t="s">
        <v>25</v>
      </c>
      <c r="D112" s="34"/>
      <c r="E112" s="34"/>
      <c r="F112" s="34">
        <f>SUM(F110:F111)</f>
        <v>2</v>
      </c>
      <c r="G112" s="35">
        <f>SUM(G110:G111)</f>
        <v>4.4073000000000002</v>
      </c>
      <c r="H112" s="35">
        <f>SUM(H110:H111)</f>
        <v>27</v>
      </c>
      <c r="I112" s="35"/>
      <c r="J112" s="35">
        <f>SUM(J110:J111)</f>
        <v>797.72130000000004</v>
      </c>
      <c r="K112" s="35">
        <f>SUM(K110:K111)</f>
        <v>4887</v>
      </c>
      <c r="L112" s="35"/>
      <c r="M112" s="35"/>
      <c r="N112" s="35">
        <f>SUM(N110:N111)</f>
        <v>0</v>
      </c>
      <c r="O112" s="35">
        <f>SUM(O110:O111)</f>
        <v>0</v>
      </c>
      <c r="P112" s="35">
        <f>SUM(P110:P111)</f>
        <v>0</v>
      </c>
      <c r="Q112" s="35">
        <f>SUM(Q110:Q111)</f>
        <v>0</v>
      </c>
      <c r="R112" s="35">
        <f>SUM(R110:R111)</f>
        <v>0</v>
      </c>
    </row>
    <row r="113" spans="1:20" s="15" customFormat="1" ht="18" customHeight="1">
      <c r="A113" s="36" t="s">
        <v>89</v>
      </c>
      <c r="B113" s="23" t="s">
        <v>90</v>
      </c>
      <c r="C113" s="24">
        <v>22</v>
      </c>
      <c r="D113" s="24">
        <v>885</v>
      </c>
      <c r="E113" s="24">
        <v>2490</v>
      </c>
      <c r="F113" s="24">
        <v>2</v>
      </c>
      <c r="G113" s="25">
        <f>D113*E113*F113/1000000</f>
        <v>4.4073000000000002</v>
      </c>
      <c r="H113" s="26">
        <f>(D113+E113)*F113*4/1000</f>
        <v>27</v>
      </c>
      <c r="I113" s="26">
        <f t="shared" ref="I113" si="179">$C$88</f>
        <v>181</v>
      </c>
      <c r="J113" s="25">
        <f>G113*I113</f>
        <v>797.72130000000004</v>
      </c>
      <c r="K113" s="25">
        <f t="shared" ref="K113" si="180">H113*I113</f>
        <v>4887</v>
      </c>
      <c r="L113" s="27"/>
      <c r="M113" s="27"/>
      <c r="N113" s="27"/>
      <c r="O113" s="28">
        <f>L113*M113*N113/1000000</f>
        <v>0</v>
      </c>
      <c r="P113" s="29">
        <f>(L113+M113)*N113*4/1000</f>
        <v>0</v>
      </c>
      <c r="Q113" s="30">
        <f>O113*I113</f>
        <v>0</v>
      </c>
      <c r="R113" s="30">
        <f t="shared" ref="R113" si="181">P113*I113</f>
        <v>0</v>
      </c>
    </row>
    <row r="114" spans="1:20" s="15" customFormat="1" ht="18" customHeight="1">
      <c r="A114" s="36"/>
      <c r="B114" s="31"/>
      <c r="C114" s="24"/>
      <c r="D114" s="24"/>
      <c r="E114" s="24"/>
      <c r="F114" s="24"/>
      <c r="G114" s="25"/>
      <c r="H114" s="26"/>
      <c r="I114" s="26"/>
      <c r="J114" s="25"/>
      <c r="K114" s="25"/>
      <c r="L114" s="39"/>
      <c r="M114" s="39"/>
      <c r="N114" s="39"/>
      <c r="O114" s="28"/>
      <c r="P114" s="29"/>
      <c r="Q114" s="30"/>
      <c r="R114" s="30"/>
    </row>
    <row r="115" spans="1:20" ht="18" customHeight="1">
      <c r="A115" s="32"/>
      <c r="B115" s="40"/>
      <c r="C115" s="34" t="s">
        <v>25</v>
      </c>
      <c r="D115" s="34"/>
      <c r="E115" s="34"/>
      <c r="F115" s="34">
        <f>SUM(F113:F114)</f>
        <v>2</v>
      </c>
      <c r="G115" s="35">
        <f>SUM(G113:G114)</f>
        <v>4.4073000000000002</v>
      </c>
      <c r="H115" s="35">
        <f>SUM(H113:H114)</f>
        <v>27</v>
      </c>
      <c r="I115" s="35"/>
      <c r="J115" s="35">
        <f>SUM(J113:J114)</f>
        <v>797.72130000000004</v>
      </c>
      <c r="K115" s="35">
        <f>SUM(K113:K114)</f>
        <v>4887</v>
      </c>
      <c r="L115" s="35"/>
      <c r="M115" s="35"/>
      <c r="N115" s="35">
        <f>SUM(N113:N114)</f>
        <v>0</v>
      </c>
      <c r="O115" s="35">
        <f>SUM(O113:O114)</f>
        <v>0</v>
      </c>
      <c r="P115" s="35">
        <f>SUM(P113:P114)</f>
        <v>0</v>
      </c>
      <c r="Q115" s="41">
        <f>SUM(Q113:Q114)</f>
        <v>0</v>
      </c>
      <c r="R115" s="41">
        <f>SUM(R113:R114)</f>
        <v>0</v>
      </c>
      <c r="T115" s="15"/>
    </row>
    <row r="116" spans="1:20" ht="18" customHeight="1">
      <c r="A116" s="42"/>
      <c r="B116" s="37"/>
      <c r="C116" s="24"/>
      <c r="D116" s="24"/>
      <c r="E116" s="24"/>
      <c r="F116" s="24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30"/>
      <c r="R116" s="30"/>
    </row>
    <row r="117" spans="1:20" ht="18" customHeight="1">
      <c r="A117" s="42"/>
      <c r="B117" s="37"/>
      <c r="C117" s="24"/>
      <c r="D117" s="24"/>
      <c r="E117" s="24"/>
      <c r="F117" s="24"/>
      <c r="G117" s="25"/>
      <c r="H117" s="25"/>
      <c r="I117" s="25"/>
      <c r="J117" s="25"/>
      <c r="K117" s="25"/>
      <c r="L117" s="43"/>
      <c r="M117" s="25"/>
      <c r="N117" s="25"/>
      <c r="O117" s="25"/>
      <c r="P117" s="25"/>
      <c r="Q117" s="30"/>
      <c r="R117" s="30"/>
    </row>
    <row r="118" spans="1:20" ht="18" customHeight="1">
      <c r="A118" s="42"/>
      <c r="B118" s="37"/>
      <c r="C118" s="24"/>
      <c r="D118" s="24"/>
      <c r="E118" s="24"/>
      <c r="F118" s="24"/>
      <c r="G118" s="25"/>
      <c r="H118" s="25"/>
      <c r="I118" s="25"/>
      <c r="J118" s="25"/>
      <c r="K118" s="25"/>
      <c r="L118" s="43" t="s">
        <v>26</v>
      </c>
      <c r="M118" s="43"/>
      <c r="N118" s="25"/>
      <c r="O118" s="25"/>
      <c r="P118" s="25"/>
      <c r="Q118" s="30" t="s">
        <v>27</v>
      </c>
      <c r="R118" s="30"/>
    </row>
    <row r="119" spans="1:20" ht="18" customHeight="1">
      <c r="A119" s="44" t="s">
        <v>59</v>
      </c>
      <c r="B119" s="23" t="s">
        <v>201</v>
      </c>
      <c r="C119" s="24">
        <v>22</v>
      </c>
      <c r="D119" s="9"/>
      <c r="E119" s="9"/>
      <c r="F119" s="9"/>
      <c r="G119" s="45"/>
      <c r="H119" s="45"/>
      <c r="I119" s="45"/>
      <c r="J119" s="46">
        <f>J95+J69+J41+J10</f>
        <v>12580.946999999998</v>
      </c>
      <c r="K119" s="46">
        <f>K95+K69+K41+K10</f>
        <v>97695.84</v>
      </c>
      <c r="L119" s="47">
        <f>1112+8660+1195+1617</f>
        <v>12584</v>
      </c>
      <c r="M119" s="177">
        <f>L119/J119</f>
        <v>1.0002426685367962</v>
      </c>
      <c r="N119" s="48"/>
      <c r="O119" s="46"/>
      <c r="P119" s="178">
        <f>Q119/L119</f>
        <v>0.69798082565162112</v>
      </c>
      <c r="Q119" s="46">
        <f>Q95+Q69+Q41+Q10</f>
        <v>8783.3907099999997</v>
      </c>
      <c r="R119" s="178">
        <f>R95+R69+R41+R10</f>
        <v>79821.835999999996</v>
      </c>
      <c r="T119" s="172">
        <f>Q119/(L119)</f>
        <v>0.69798082565162112</v>
      </c>
    </row>
    <row r="120" spans="1:20" ht="18" customHeight="1">
      <c r="A120" s="44" t="s">
        <v>60</v>
      </c>
      <c r="B120" s="23" t="s">
        <v>198</v>
      </c>
      <c r="C120" s="24">
        <v>22</v>
      </c>
      <c r="D120" s="9"/>
      <c r="E120" s="9"/>
      <c r="F120" s="9"/>
      <c r="G120" s="45"/>
      <c r="H120" s="45"/>
      <c r="I120" s="45"/>
      <c r="J120" s="46">
        <f>J102+J77+J49+J18</f>
        <v>13937.771399999998</v>
      </c>
      <c r="K120" s="46">
        <f>K102+K77+K49+K18</f>
        <v>102747.15999999999</v>
      </c>
      <c r="L120" s="47">
        <f>1631+8660+1195+2455</f>
        <v>13941</v>
      </c>
      <c r="M120" s="177">
        <f t="shared" ref="M120:M123" si="182">L120/J120</f>
        <v>1.0002316439197734</v>
      </c>
      <c r="N120" s="48"/>
      <c r="O120" s="46"/>
      <c r="P120" s="178">
        <f t="shared" ref="P120:P122" si="183">Q120/L120</f>
        <v>0.71045895775052004</v>
      </c>
      <c r="Q120" s="46">
        <f>Q102+Q77+Q49+Q18</f>
        <v>9904.5083300000006</v>
      </c>
      <c r="R120" s="178">
        <f>R102+R77+R49+R18</f>
        <v>84420.76400000001</v>
      </c>
      <c r="T120" s="172">
        <f>Q120/(L120+L125)</f>
        <v>0.71045895775052004</v>
      </c>
    </row>
    <row r="121" spans="1:20" ht="18" customHeight="1">
      <c r="A121" s="44" t="s">
        <v>109</v>
      </c>
      <c r="B121" s="23" t="s">
        <v>238</v>
      </c>
      <c r="C121" s="24">
        <v>22</v>
      </c>
      <c r="D121" s="9"/>
      <c r="E121" s="9"/>
      <c r="F121" s="9"/>
      <c r="G121" s="45"/>
      <c r="H121" s="45"/>
      <c r="I121" s="45"/>
      <c r="J121" s="46">
        <f>J105+J21</f>
        <v>1356.8244</v>
      </c>
      <c r="K121" s="46">
        <f>K105+K21</f>
        <v>5051.32</v>
      </c>
      <c r="L121" s="47">
        <f>519+839</f>
        <v>1358</v>
      </c>
      <c r="M121" s="177">
        <f t="shared" si="182"/>
        <v>1.0008664348901746</v>
      </c>
      <c r="N121" s="48"/>
      <c r="O121" s="46"/>
      <c r="P121" s="178">
        <f t="shared" si="183"/>
        <v>0.82556525773195877</v>
      </c>
      <c r="Q121" s="46">
        <f>Q105+Q21</f>
        <v>1121.11762</v>
      </c>
      <c r="R121" s="178">
        <f>R105+R21</f>
        <v>4598.9279999999999</v>
      </c>
      <c r="T121" s="172">
        <f>Q121/L121</f>
        <v>0.82556525773195877</v>
      </c>
    </row>
    <row r="122" spans="1:20" ht="18" customHeight="1">
      <c r="A122" s="44" t="s">
        <v>110</v>
      </c>
      <c r="B122" s="23" t="s">
        <v>203</v>
      </c>
      <c r="C122" s="24">
        <v>22</v>
      </c>
      <c r="D122" s="9"/>
      <c r="E122" s="9"/>
      <c r="F122" s="9"/>
      <c r="G122" s="45"/>
      <c r="H122" s="45"/>
      <c r="I122" s="45"/>
      <c r="J122" s="49">
        <f>J109+J81+J53+J25</f>
        <v>4151.8752000000004</v>
      </c>
      <c r="K122" s="49">
        <f>K109+K81+K53+K25</f>
        <v>32742.400000000001</v>
      </c>
      <c r="L122" s="47">
        <f>112+538+77+180+359+1958+278+654</f>
        <v>4156</v>
      </c>
      <c r="M122" s="177">
        <f t="shared" si="182"/>
        <v>1.0009934788020602</v>
      </c>
      <c r="N122" s="50"/>
      <c r="O122" s="49"/>
      <c r="P122" s="178">
        <f t="shared" si="183"/>
        <v>0.67853674687199228</v>
      </c>
      <c r="Q122" s="49">
        <f>Q109+Q81+Q53+Q25</f>
        <v>2819.99872</v>
      </c>
      <c r="R122" s="278">
        <f>R109+R81+R53+R25</f>
        <v>27109.887999999999</v>
      </c>
      <c r="T122" s="172">
        <f t="shared" ref="T122:T123" si="184">Q122/L122</f>
        <v>0.67853674687199228</v>
      </c>
    </row>
    <row r="123" spans="1:20" ht="18" customHeight="1">
      <c r="A123" s="44" t="s">
        <v>111</v>
      </c>
      <c r="B123" s="23" t="s">
        <v>90</v>
      </c>
      <c r="C123" s="24">
        <v>22</v>
      </c>
      <c r="D123" s="9"/>
      <c r="E123" s="9"/>
      <c r="F123" s="9"/>
      <c r="G123" s="45"/>
      <c r="H123" s="45"/>
      <c r="I123" s="45"/>
      <c r="J123" s="46">
        <f>J115+J112+J87+J84+J59+J56+J31+J28</f>
        <v>7927.3631999999998</v>
      </c>
      <c r="K123" s="46">
        <f>K115+K112+K87+K84+K59+K56+K31+K28</f>
        <v>49068.800000000003</v>
      </c>
      <c r="L123" s="47">
        <f>876+4779+679+1596</f>
        <v>7930</v>
      </c>
      <c r="M123" s="177">
        <f t="shared" si="182"/>
        <v>1.0003326200570701</v>
      </c>
      <c r="N123" s="48"/>
      <c r="O123" s="46"/>
      <c r="P123" s="46"/>
      <c r="Q123" s="46">
        <f>Q115+Q112+Q87+Q84+Q59+Q56+Q31+Q28</f>
        <v>0</v>
      </c>
      <c r="R123" s="46">
        <f>R115+R112+R87+R84+R59+R56+R31+R28</f>
        <v>0</v>
      </c>
      <c r="T123" s="172">
        <f t="shared" si="184"/>
        <v>0</v>
      </c>
    </row>
    <row r="124" spans="1:20" ht="18" customHeight="1">
      <c r="A124" s="44"/>
      <c r="B124" s="23"/>
      <c r="C124" s="24"/>
      <c r="D124" s="123"/>
      <c r="E124" s="9"/>
      <c r="F124" s="9"/>
      <c r="G124" s="45"/>
      <c r="H124" s="45"/>
      <c r="I124" s="45" t="s">
        <v>112</v>
      </c>
      <c r="J124" s="45"/>
      <c r="K124" s="45">
        <f>SUM(K119:K123)</f>
        <v>287305.52</v>
      </c>
      <c r="L124" s="51">
        <f>7280+36098+5129+12055+25290+137083+17818+36454</f>
        <v>277207</v>
      </c>
      <c r="M124" s="177">
        <f>L124/K124</f>
        <v>0.96485093638298347</v>
      </c>
      <c r="N124" s="9"/>
      <c r="O124" s="45"/>
      <c r="P124" s="45"/>
      <c r="Q124" s="45">
        <f>SUM(Q119:Q123)</f>
        <v>22629.015380000001</v>
      </c>
      <c r="R124" s="284">
        <f>SUM(R119:R123)</f>
        <v>195951.416</v>
      </c>
    </row>
    <row r="125" spans="1:20" ht="18" customHeight="1">
      <c r="A125" s="44"/>
      <c r="B125" s="23"/>
      <c r="C125" s="24"/>
      <c r="D125" s="123"/>
      <c r="E125" s="9"/>
      <c r="F125" s="9"/>
      <c r="G125" s="45"/>
      <c r="H125" s="45"/>
      <c r="I125" s="45"/>
      <c r="J125" s="45"/>
      <c r="K125" s="45"/>
      <c r="L125" s="52"/>
      <c r="M125" s="9"/>
      <c r="N125" s="9"/>
      <c r="O125" s="9"/>
      <c r="P125" s="9"/>
      <c r="Q125" s="10"/>
      <c r="R125" s="9"/>
    </row>
    <row r="126" spans="1:20" ht="18" customHeight="1">
      <c r="A126" s="9"/>
      <c r="B126" s="9"/>
      <c r="C126" s="9"/>
      <c r="D126" s="9"/>
      <c r="E126" s="9"/>
      <c r="F126" s="9"/>
      <c r="G126" s="45"/>
      <c r="H126" s="45"/>
      <c r="I126" s="45"/>
      <c r="J126" s="45"/>
      <c r="K126" s="45"/>
      <c r="L126" s="53"/>
      <c r="M126" s="54"/>
      <c r="N126" s="54"/>
      <c r="O126" s="9"/>
      <c r="P126" s="9"/>
      <c r="Q126" s="10"/>
      <c r="R126" s="9"/>
    </row>
  </sheetData>
  <mergeCells count="9">
    <mergeCell ref="D88:K88"/>
    <mergeCell ref="L88:R88"/>
    <mergeCell ref="D60:K60"/>
    <mergeCell ref="L60:R60"/>
    <mergeCell ref="P1:Q1"/>
    <mergeCell ref="D2:K2"/>
    <mergeCell ref="L2:R2"/>
    <mergeCell ref="D32:K32"/>
    <mergeCell ref="L32:R32"/>
  </mergeCells>
  <phoneticPr fontId="4" type="noConversion"/>
  <pageMargins left="0.32" right="0.17" top="0.75" bottom="0.75" header="0.3" footer="0.3"/>
  <pageSetup paperSize="9" scale="67" fitToHeight="0" orientation="landscape" r:id="rId1"/>
  <rowBreaks count="3" manualBreakCount="3">
    <brk id="31" max="17" man="1"/>
    <brk id="59" max="17" man="1"/>
    <brk id="87" max="1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437"/>
  <sheetViews>
    <sheetView workbookViewId="0">
      <pane ySplit="5" topLeftCell="A6" activePane="bottomLeft" state="frozen"/>
      <selection pane="bottomLeft" activeCell="A191" sqref="A191"/>
    </sheetView>
  </sheetViews>
  <sheetFormatPr defaultRowHeight="16.5"/>
  <cols>
    <col min="1" max="1" width="12.5" customWidth="1"/>
    <col min="2" max="2" width="24.875" style="152" customWidth="1"/>
    <col min="3" max="3" width="5.875" customWidth="1"/>
    <col min="4" max="4" width="21.875" customWidth="1"/>
    <col min="5" max="5" width="6.5" customWidth="1"/>
    <col min="9" max="10" width="9" style="125"/>
    <col min="11" max="19" width="14.125" style="126" customWidth="1"/>
    <col min="20" max="20" width="17.875" style="125" customWidth="1"/>
  </cols>
  <sheetData>
    <row r="1" spans="1:22" ht="41.25">
      <c r="A1" s="124" t="s">
        <v>61</v>
      </c>
    </row>
    <row r="3" spans="1:22" ht="20.25">
      <c r="A3" s="11" t="s">
        <v>85</v>
      </c>
      <c r="K3" s="127"/>
      <c r="L3" s="127"/>
      <c r="M3" s="127"/>
      <c r="N3" s="127"/>
      <c r="O3" s="127"/>
      <c r="P3" s="127"/>
      <c r="Q3" s="127"/>
      <c r="R3" s="127"/>
      <c r="S3" s="127"/>
    </row>
    <row r="4" spans="1:22">
      <c r="A4" s="317" t="s">
        <v>62</v>
      </c>
      <c r="B4" s="323" t="s">
        <v>10</v>
      </c>
      <c r="C4" s="317" t="s">
        <v>11</v>
      </c>
      <c r="D4" s="317" t="s">
        <v>63</v>
      </c>
      <c r="E4" s="317" t="s">
        <v>64</v>
      </c>
      <c r="F4" s="317" t="s">
        <v>20</v>
      </c>
      <c r="G4" s="317" t="s">
        <v>13</v>
      </c>
      <c r="H4" s="317" t="s">
        <v>14</v>
      </c>
      <c r="I4" s="319" t="s">
        <v>23</v>
      </c>
      <c r="J4" s="319" t="s">
        <v>16</v>
      </c>
      <c r="K4" s="128" t="s">
        <v>69</v>
      </c>
      <c r="L4" s="128" t="s">
        <v>71</v>
      </c>
      <c r="M4" s="129" t="s">
        <v>73</v>
      </c>
      <c r="N4" s="128" t="s">
        <v>77</v>
      </c>
      <c r="O4" s="128" t="s">
        <v>65</v>
      </c>
      <c r="P4" s="128" t="s">
        <v>83</v>
      </c>
      <c r="Q4" s="128" t="s">
        <v>81</v>
      </c>
      <c r="R4" s="130" t="s">
        <v>75</v>
      </c>
      <c r="S4" s="130" t="s">
        <v>75</v>
      </c>
      <c r="T4" s="131"/>
    </row>
    <row r="5" spans="1:22" ht="57.75" customHeight="1">
      <c r="A5" s="318"/>
      <c r="B5" s="324"/>
      <c r="C5" s="318"/>
      <c r="D5" s="318"/>
      <c r="E5" s="318"/>
      <c r="F5" s="318"/>
      <c r="G5" s="318"/>
      <c r="H5" s="318"/>
      <c r="I5" s="320"/>
      <c r="J5" s="320"/>
      <c r="K5" s="132" t="s">
        <v>70</v>
      </c>
      <c r="L5" s="133" t="s">
        <v>72</v>
      </c>
      <c r="M5" s="133" t="s">
        <v>74</v>
      </c>
      <c r="N5" s="134" t="s">
        <v>78</v>
      </c>
      <c r="O5" s="134" t="s">
        <v>79</v>
      </c>
      <c r="P5" s="135" t="s">
        <v>84</v>
      </c>
      <c r="Q5" s="134" t="s">
        <v>82</v>
      </c>
      <c r="R5" s="134" t="s">
        <v>80</v>
      </c>
      <c r="S5" s="134" t="s">
        <v>76</v>
      </c>
      <c r="T5" s="132" t="s">
        <v>66</v>
      </c>
      <c r="V5" s="136" t="s">
        <v>67</v>
      </c>
    </row>
    <row r="6" spans="1:22" s="15" customFormat="1" ht="22.5" customHeight="1">
      <c r="A6" s="151"/>
      <c r="B6" s="153"/>
      <c r="C6" s="144"/>
      <c r="D6" s="144"/>
      <c r="E6" s="144"/>
      <c r="F6" s="144"/>
      <c r="G6" s="144"/>
      <c r="H6" s="144"/>
      <c r="I6" s="145"/>
      <c r="J6" s="145"/>
      <c r="K6" s="146"/>
      <c r="L6" s="147"/>
      <c r="M6" s="147"/>
      <c r="N6" s="148"/>
      <c r="O6" s="148"/>
      <c r="P6" s="149"/>
      <c r="Q6" s="149"/>
      <c r="R6" s="148"/>
      <c r="S6" s="148"/>
      <c r="T6" s="146"/>
      <c r="V6" s="150"/>
    </row>
    <row r="7" spans="1:22">
      <c r="A7" s="9"/>
      <c r="B7" s="154"/>
      <c r="C7" s="9"/>
      <c r="D7" s="9"/>
      <c r="E7" s="9"/>
      <c r="F7" s="9"/>
      <c r="G7" s="9"/>
      <c r="H7" s="9"/>
      <c r="I7" s="137">
        <f>F7*G7*H7*E7/91809/10.89</f>
        <v>0</v>
      </c>
      <c r="J7" s="137">
        <f>(F7+G7)*H7*4/1000*E7</f>
        <v>0</v>
      </c>
      <c r="K7" s="138">
        <f>I7</f>
        <v>0</v>
      </c>
      <c r="L7" s="138"/>
      <c r="M7" s="138"/>
      <c r="N7" s="138"/>
      <c r="O7" s="138"/>
      <c r="P7" s="138"/>
      <c r="Q7" s="138"/>
      <c r="R7" s="138"/>
      <c r="S7" s="138"/>
      <c r="T7" s="137"/>
      <c r="V7">
        <f>H7*E7</f>
        <v>0</v>
      </c>
    </row>
    <row r="8" spans="1:22">
      <c r="A8" s="9"/>
      <c r="B8" s="154"/>
      <c r="C8" s="9"/>
      <c r="D8" s="9"/>
      <c r="E8" s="9"/>
      <c r="F8" s="9"/>
      <c r="G8" s="9"/>
      <c r="H8" s="9"/>
      <c r="I8" s="137">
        <f t="shared" ref="I8:I17" si="0">F8*G8*H8*E8/91809/10.89</f>
        <v>0</v>
      </c>
      <c r="J8" s="137">
        <f t="shared" ref="J8:J17" si="1">(F8+G8)*H8*4/1000*E8</f>
        <v>0</v>
      </c>
      <c r="K8" s="138">
        <f t="shared" ref="K8:K10" si="2">I8</f>
        <v>0</v>
      </c>
      <c r="L8" s="138"/>
      <c r="M8" s="138"/>
      <c r="N8" s="138"/>
      <c r="O8" s="138"/>
      <c r="P8" s="138"/>
      <c r="Q8" s="138"/>
      <c r="R8" s="138"/>
      <c r="S8" s="138"/>
      <c r="T8" s="137"/>
      <c r="V8">
        <f t="shared" ref="V8:V31" si="3">H8*E8</f>
        <v>0</v>
      </c>
    </row>
    <row r="9" spans="1:22">
      <c r="A9" s="9"/>
      <c r="B9" s="154"/>
      <c r="C9" s="9"/>
      <c r="D9" s="9"/>
      <c r="E9" s="9"/>
      <c r="F9" s="9"/>
      <c r="G9" s="9"/>
      <c r="H9" s="9"/>
      <c r="I9" s="137">
        <f t="shared" si="0"/>
        <v>0</v>
      </c>
      <c r="J9" s="137">
        <f t="shared" si="1"/>
        <v>0</v>
      </c>
      <c r="K9" s="138"/>
      <c r="L9" s="138">
        <f>I9</f>
        <v>0</v>
      </c>
      <c r="M9" s="138"/>
      <c r="N9" s="138"/>
      <c r="O9" s="138"/>
      <c r="P9" s="138"/>
      <c r="Q9" s="138"/>
      <c r="R9" s="138"/>
      <c r="S9" s="138"/>
      <c r="T9" s="137"/>
      <c r="V9">
        <f t="shared" si="3"/>
        <v>0</v>
      </c>
    </row>
    <row r="10" spans="1:22">
      <c r="A10" s="9"/>
      <c r="B10" s="154"/>
      <c r="C10" s="9"/>
      <c r="D10" s="9"/>
      <c r="E10" s="9"/>
      <c r="F10" s="9"/>
      <c r="G10" s="9"/>
      <c r="H10" s="9"/>
      <c r="I10" s="137">
        <f t="shared" si="0"/>
        <v>0</v>
      </c>
      <c r="J10" s="137">
        <f t="shared" si="1"/>
        <v>0</v>
      </c>
      <c r="K10" s="138">
        <f t="shared" si="2"/>
        <v>0</v>
      </c>
      <c r="L10" s="138"/>
      <c r="M10" s="138"/>
      <c r="N10" s="138"/>
      <c r="O10" s="138"/>
      <c r="P10" s="138"/>
      <c r="Q10" s="138"/>
      <c r="R10" s="138"/>
      <c r="S10" s="138"/>
      <c r="T10" s="137"/>
      <c r="V10">
        <f t="shared" si="3"/>
        <v>0</v>
      </c>
    </row>
    <row r="11" spans="1:22">
      <c r="A11" s="9"/>
      <c r="B11" s="154"/>
      <c r="C11" s="9"/>
      <c r="D11" s="9"/>
      <c r="E11" s="9"/>
      <c r="F11" s="9"/>
      <c r="G11" s="9"/>
      <c r="H11" s="9"/>
      <c r="I11" s="137">
        <f t="shared" si="0"/>
        <v>0</v>
      </c>
      <c r="J11" s="137">
        <f t="shared" si="1"/>
        <v>0</v>
      </c>
      <c r="K11" s="138"/>
      <c r="L11" s="138">
        <f t="shared" ref="L11:L16" si="4">I11</f>
        <v>0</v>
      </c>
      <c r="M11" s="138"/>
      <c r="N11" s="138"/>
      <c r="O11" s="138"/>
      <c r="P11" s="138"/>
      <c r="Q11" s="138"/>
      <c r="R11" s="138"/>
      <c r="S11" s="138"/>
      <c r="T11" s="137"/>
      <c r="V11">
        <f t="shared" si="3"/>
        <v>0</v>
      </c>
    </row>
    <row r="12" spans="1:22">
      <c r="A12" s="9"/>
      <c r="B12" s="154"/>
      <c r="C12" s="9"/>
      <c r="D12" s="9"/>
      <c r="E12" s="9"/>
      <c r="F12" s="9"/>
      <c r="G12" s="9"/>
      <c r="H12" s="9"/>
      <c r="I12" s="137">
        <f t="shared" si="0"/>
        <v>0</v>
      </c>
      <c r="J12" s="137">
        <f t="shared" si="1"/>
        <v>0</v>
      </c>
      <c r="K12" s="138"/>
      <c r="L12" s="138">
        <f t="shared" si="4"/>
        <v>0</v>
      </c>
      <c r="M12" s="138"/>
      <c r="N12" s="138"/>
      <c r="O12" s="138"/>
      <c r="P12" s="138"/>
      <c r="Q12" s="138"/>
      <c r="R12" s="138"/>
      <c r="S12" s="138"/>
      <c r="T12" s="137"/>
      <c r="V12">
        <f t="shared" si="3"/>
        <v>0</v>
      </c>
    </row>
    <row r="13" spans="1:22">
      <c r="A13" s="9"/>
      <c r="B13" s="154"/>
      <c r="C13" s="9"/>
      <c r="D13" s="9"/>
      <c r="E13" s="9"/>
      <c r="F13" s="9"/>
      <c r="G13" s="9"/>
      <c r="H13" s="9"/>
      <c r="I13" s="137">
        <f t="shared" si="0"/>
        <v>0</v>
      </c>
      <c r="J13" s="137">
        <f t="shared" si="1"/>
        <v>0</v>
      </c>
      <c r="K13" s="138"/>
      <c r="L13" s="138">
        <f t="shared" si="4"/>
        <v>0</v>
      </c>
      <c r="M13" s="138"/>
      <c r="N13" s="138"/>
      <c r="O13" s="138"/>
      <c r="P13" s="138"/>
      <c r="Q13" s="138"/>
      <c r="R13" s="138"/>
      <c r="S13" s="138"/>
      <c r="T13" s="137"/>
      <c r="V13">
        <f t="shared" si="3"/>
        <v>0</v>
      </c>
    </row>
    <row r="14" spans="1:22">
      <c r="A14" s="9"/>
      <c r="B14" s="154"/>
      <c r="C14" s="9"/>
      <c r="D14" s="9"/>
      <c r="E14" s="9"/>
      <c r="F14" s="9"/>
      <c r="G14" s="9"/>
      <c r="H14" s="9"/>
      <c r="I14" s="137">
        <f t="shared" si="0"/>
        <v>0</v>
      </c>
      <c r="J14" s="137">
        <f t="shared" si="1"/>
        <v>0</v>
      </c>
      <c r="K14" s="138"/>
      <c r="L14" s="138">
        <f t="shared" si="4"/>
        <v>0</v>
      </c>
      <c r="M14" s="138"/>
      <c r="N14" s="138"/>
      <c r="O14" s="138"/>
      <c r="P14" s="138"/>
      <c r="Q14" s="138"/>
      <c r="R14" s="138"/>
      <c r="S14" s="138"/>
      <c r="T14" s="137"/>
      <c r="V14">
        <f t="shared" si="3"/>
        <v>0</v>
      </c>
    </row>
    <row r="15" spans="1:22">
      <c r="A15" s="9"/>
      <c r="B15" s="154"/>
      <c r="C15" s="9"/>
      <c r="D15" s="9"/>
      <c r="E15" s="9"/>
      <c r="F15" s="9"/>
      <c r="G15" s="9"/>
      <c r="H15" s="9"/>
      <c r="I15" s="137">
        <f t="shared" si="0"/>
        <v>0</v>
      </c>
      <c r="J15" s="137">
        <f t="shared" si="1"/>
        <v>0</v>
      </c>
      <c r="K15" s="138"/>
      <c r="L15" s="138">
        <f t="shared" si="4"/>
        <v>0</v>
      </c>
      <c r="M15" s="138"/>
      <c r="N15" s="138"/>
      <c r="O15" s="138"/>
      <c r="P15" s="138"/>
      <c r="Q15" s="138"/>
      <c r="R15" s="138"/>
      <c r="S15" s="138"/>
      <c r="T15" s="137"/>
      <c r="V15">
        <f t="shared" si="3"/>
        <v>0</v>
      </c>
    </row>
    <row r="16" spans="1:22">
      <c r="A16" s="9"/>
      <c r="B16" s="154"/>
      <c r="C16" s="9"/>
      <c r="D16" s="9"/>
      <c r="E16" s="9"/>
      <c r="F16" s="9"/>
      <c r="G16" s="9"/>
      <c r="H16" s="9"/>
      <c r="I16" s="137">
        <f t="shared" si="0"/>
        <v>0</v>
      </c>
      <c r="J16" s="137">
        <f t="shared" si="1"/>
        <v>0</v>
      </c>
      <c r="K16" s="138"/>
      <c r="L16" s="138">
        <f t="shared" si="4"/>
        <v>0</v>
      </c>
      <c r="M16" s="138"/>
      <c r="N16" s="138"/>
      <c r="O16" s="138"/>
      <c r="P16" s="138"/>
      <c r="Q16" s="138"/>
      <c r="R16" s="138"/>
      <c r="S16" s="138"/>
      <c r="T16" s="137"/>
      <c r="V16">
        <f t="shared" si="3"/>
        <v>0</v>
      </c>
    </row>
    <row r="17" spans="1:22">
      <c r="A17" s="9"/>
      <c r="B17" s="154"/>
      <c r="C17" s="9"/>
      <c r="D17" s="9"/>
      <c r="E17" s="9"/>
      <c r="F17" s="9"/>
      <c r="G17" s="9"/>
      <c r="H17" s="9"/>
      <c r="I17" s="137">
        <f t="shared" si="0"/>
        <v>0</v>
      </c>
      <c r="J17" s="137">
        <f t="shared" si="1"/>
        <v>0</v>
      </c>
      <c r="K17" s="138"/>
      <c r="L17" s="138">
        <f>I17</f>
        <v>0</v>
      </c>
      <c r="M17" s="138"/>
      <c r="N17" s="138"/>
      <c r="O17" s="138"/>
      <c r="P17" s="138"/>
      <c r="Q17" s="138"/>
      <c r="R17" s="138"/>
      <c r="S17" s="138"/>
      <c r="T17" s="137"/>
      <c r="V17">
        <f t="shared" si="3"/>
        <v>0</v>
      </c>
    </row>
    <row r="18" spans="1:22">
      <c r="A18" s="9"/>
      <c r="B18" s="154"/>
      <c r="C18" s="9"/>
      <c r="D18" s="9"/>
      <c r="E18" s="9"/>
      <c r="F18" s="9"/>
      <c r="G18" s="9"/>
      <c r="H18" s="9"/>
      <c r="I18" s="137">
        <f>F18*G18*H18*E18/91809/10.89</f>
        <v>0</v>
      </c>
      <c r="J18" s="137">
        <f>(F18+G18)*H18*4/1000*E18</f>
        <v>0</v>
      </c>
      <c r="K18" s="138">
        <f>I18</f>
        <v>0</v>
      </c>
      <c r="L18" s="138"/>
      <c r="M18" s="138"/>
      <c r="N18" s="138"/>
      <c r="O18" s="138"/>
      <c r="P18" s="138"/>
      <c r="Q18" s="138"/>
      <c r="R18" s="138"/>
      <c r="S18" s="138"/>
      <c r="T18" s="137"/>
      <c r="V18">
        <f t="shared" si="3"/>
        <v>0</v>
      </c>
    </row>
    <row r="19" spans="1:22">
      <c r="A19" s="9"/>
      <c r="B19" s="154"/>
      <c r="C19" s="9"/>
      <c r="D19" s="9"/>
      <c r="E19" s="9"/>
      <c r="F19" s="9"/>
      <c r="G19" s="9"/>
      <c r="H19" s="9"/>
      <c r="I19" s="137">
        <f t="shared" ref="I19:I31" si="5">F19*G19*H19*E19/91809/10.89</f>
        <v>0</v>
      </c>
      <c r="J19" s="137">
        <f t="shared" ref="J19:J31" si="6">(F19+G19)*H19*4/1000*E19</f>
        <v>0</v>
      </c>
      <c r="K19" s="138">
        <f t="shared" ref="K19" si="7">I19</f>
        <v>0</v>
      </c>
      <c r="L19" s="138"/>
      <c r="M19" s="138"/>
      <c r="N19" s="138"/>
      <c r="O19" s="138"/>
      <c r="P19" s="138"/>
      <c r="Q19" s="138"/>
      <c r="R19" s="138"/>
      <c r="S19" s="138"/>
      <c r="T19" s="137"/>
      <c r="V19">
        <f t="shared" si="3"/>
        <v>0</v>
      </c>
    </row>
    <row r="20" spans="1:22">
      <c r="A20" s="9"/>
      <c r="B20" s="154"/>
      <c r="C20" s="9"/>
      <c r="D20" s="9"/>
      <c r="E20" s="9"/>
      <c r="F20" s="9"/>
      <c r="G20" s="9"/>
      <c r="H20" s="9"/>
      <c r="I20" s="137">
        <f t="shared" si="5"/>
        <v>0</v>
      </c>
      <c r="J20" s="137">
        <f t="shared" si="6"/>
        <v>0</v>
      </c>
      <c r="K20" s="138"/>
      <c r="L20" s="138">
        <f>I20</f>
        <v>0</v>
      </c>
      <c r="M20" s="138"/>
      <c r="N20" s="138"/>
      <c r="O20" s="138"/>
      <c r="P20" s="138"/>
      <c r="Q20" s="138"/>
      <c r="R20" s="138"/>
      <c r="S20" s="138"/>
      <c r="T20" s="137"/>
      <c r="V20">
        <f t="shared" si="3"/>
        <v>0</v>
      </c>
    </row>
    <row r="21" spans="1:22">
      <c r="A21" s="9"/>
      <c r="B21" s="154"/>
      <c r="C21" s="9"/>
      <c r="D21" s="9"/>
      <c r="E21" s="9"/>
      <c r="F21" s="9"/>
      <c r="G21" s="9"/>
      <c r="H21" s="9"/>
      <c r="I21" s="137">
        <f t="shared" si="5"/>
        <v>0</v>
      </c>
      <c r="J21" s="137">
        <f t="shared" si="6"/>
        <v>0</v>
      </c>
      <c r="K21" s="138"/>
      <c r="L21" s="138">
        <f t="shared" ref="L21:L23" si="8">I21</f>
        <v>0</v>
      </c>
      <c r="M21" s="138"/>
      <c r="N21" s="138"/>
      <c r="O21" s="138"/>
      <c r="P21" s="138"/>
      <c r="Q21" s="138"/>
      <c r="R21" s="138"/>
      <c r="S21" s="138"/>
      <c r="T21" s="137"/>
      <c r="V21">
        <f t="shared" si="3"/>
        <v>0</v>
      </c>
    </row>
    <row r="22" spans="1:22">
      <c r="A22" s="9"/>
      <c r="B22" s="154"/>
      <c r="C22" s="9"/>
      <c r="D22" s="9"/>
      <c r="E22" s="9"/>
      <c r="F22" s="9"/>
      <c r="G22" s="9"/>
      <c r="H22" s="9"/>
      <c r="I22" s="137">
        <f t="shared" si="5"/>
        <v>0</v>
      </c>
      <c r="J22" s="137">
        <f t="shared" si="6"/>
        <v>0</v>
      </c>
      <c r="K22" s="138"/>
      <c r="L22" s="138">
        <f t="shared" si="8"/>
        <v>0</v>
      </c>
      <c r="M22" s="138"/>
      <c r="N22" s="138"/>
      <c r="O22" s="138"/>
      <c r="P22" s="138"/>
      <c r="Q22" s="138"/>
      <c r="R22" s="138"/>
      <c r="S22" s="138"/>
      <c r="T22" s="137"/>
      <c r="V22">
        <f t="shared" si="3"/>
        <v>0</v>
      </c>
    </row>
    <row r="23" spans="1:22">
      <c r="A23" s="9"/>
      <c r="B23" s="154"/>
      <c r="C23" s="9"/>
      <c r="D23" s="9"/>
      <c r="E23" s="9"/>
      <c r="F23" s="9"/>
      <c r="G23" s="9"/>
      <c r="H23" s="9"/>
      <c r="I23" s="137">
        <f t="shared" si="5"/>
        <v>0</v>
      </c>
      <c r="J23" s="137">
        <f t="shared" si="6"/>
        <v>0</v>
      </c>
      <c r="K23" s="138"/>
      <c r="L23" s="138">
        <f t="shared" si="8"/>
        <v>0</v>
      </c>
      <c r="M23" s="138"/>
      <c r="N23" s="138"/>
      <c r="O23" s="138"/>
      <c r="P23" s="138"/>
      <c r="Q23" s="138"/>
      <c r="R23" s="138"/>
      <c r="S23" s="138"/>
      <c r="T23" s="137"/>
      <c r="V23">
        <f t="shared" si="3"/>
        <v>0</v>
      </c>
    </row>
    <row r="24" spans="1:22">
      <c r="A24" s="9"/>
      <c r="B24" s="154"/>
      <c r="C24" s="9"/>
      <c r="D24" s="9"/>
      <c r="E24" s="9"/>
      <c r="F24" s="9"/>
      <c r="G24" s="9"/>
      <c r="H24" s="9"/>
      <c r="I24" s="137">
        <f t="shared" si="5"/>
        <v>0</v>
      </c>
      <c r="J24" s="137">
        <f t="shared" si="6"/>
        <v>0</v>
      </c>
      <c r="K24" s="138">
        <f t="shared" ref="K24" si="9">I24</f>
        <v>0</v>
      </c>
      <c r="L24" s="138"/>
      <c r="M24" s="138"/>
      <c r="N24" s="138"/>
      <c r="O24" s="138"/>
      <c r="P24" s="138"/>
      <c r="Q24" s="138"/>
      <c r="R24" s="138"/>
      <c r="S24" s="138"/>
      <c r="T24" s="137"/>
      <c r="V24">
        <f t="shared" si="3"/>
        <v>0</v>
      </c>
    </row>
    <row r="25" spans="1:22">
      <c r="A25" s="9"/>
      <c r="B25" s="154"/>
      <c r="C25" s="9"/>
      <c r="D25" s="9"/>
      <c r="E25" s="9"/>
      <c r="F25" s="9"/>
      <c r="G25" s="9"/>
      <c r="H25" s="9"/>
      <c r="I25" s="137">
        <f t="shared" si="5"/>
        <v>0</v>
      </c>
      <c r="J25" s="137">
        <f t="shared" si="6"/>
        <v>0</v>
      </c>
      <c r="K25" s="138"/>
      <c r="L25" s="138">
        <f t="shared" ref="L25:L30" si="10">I25</f>
        <v>0</v>
      </c>
      <c r="M25" s="138"/>
      <c r="N25" s="138"/>
      <c r="O25" s="138"/>
      <c r="P25" s="138"/>
      <c r="Q25" s="138"/>
      <c r="R25" s="138"/>
      <c r="S25" s="138"/>
      <c r="T25" s="137"/>
      <c r="V25">
        <f t="shared" si="3"/>
        <v>0</v>
      </c>
    </row>
    <row r="26" spans="1:22">
      <c r="A26" s="9"/>
      <c r="B26" s="154"/>
      <c r="C26" s="9"/>
      <c r="D26" s="9"/>
      <c r="E26" s="9"/>
      <c r="F26" s="9"/>
      <c r="G26" s="9"/>
      <c r="H26" s="9"/>
      <c r="I26" s="137">
        <f t="shared" si="5"/>
        <v>0</v>
      </c>
      <c r="J26" s="137">
        <f t="shared" si="6"/>
        <v>0</v>
      </c>
      <c r="K26" s="138"/>
      <c r="L26" s="138">
        <f t="shared" si="10"/>
        <v>0</v>
      </c>
      <c r="M26" s="138"/>
      <c r="N26" s="138"/>
      <c r="O26" s="138"/>
      <c r="P26" s="138"/>
      <c r="Q26" s="138"/>
      <c r="R26" s="138"/>
      <c r="S26" s="138"/>
      <c r="T26" s="137"/>
      <c r="V26">
        <f t="shared" si="3"/>
        <v>0</v>
      </c>
    </row>
    <row r="27" spans="1:22">
      <c r="A27" s="9"/>
      <c r="B27" s="154"/>
      <c r="C27" s="9"/>
      <c r="D27" s="9"/>
      <c r="E27" s="9"/>
      <c r="F27" s="9"/>
      <c r="G27" s="9"/>
      <c r="H27" s="9"/>
      <c r="I27" s="137">
        <f t="shared" si="5"/>
        <v>0</v>
      </c>
      <c r="J27" s="137">
        <f t="shared" si="6"/>
        <v>0</v>
      </c>
      <c r="K27" s="138"/>
      <c r="L27" s="138">
        <f t="shared" si="10"/>
        <v>0</v>
      </c>
      <c r="M27" s="138"/>
      <c r="N27" s="138"/>
      <c r="O27" s="138"/>
      <c r="P27" s="138"/>
      <c r="Q27" s="138"/>
      <c r="R27" s="138"/>
      <c r="S27" s="138"/>
      <c r="T27" s="137"/>
      <c r="V27">
        <f t="shared" si="3"/>
        <v>0</v>
      </c>
    </row>
    <row r="28" spans="1:22">
      <c r="A28" s="9"/>
      <c r="B28" s="154"/>
      <c r="C28" s="9"/>
      <c r="D28" s="9"/>
      <c r="E28" s="9"/>
      <c r="F28" s="9"/>
      <c r="G28" s="9"/>
      <c r="H28" s="9"/>
      <c r="I28" s="137">
        <f t="shared" si="5"/>
        <v>0</v>
      </c>
      <c r="J28" s="137">
        <f t="shared" si="6"/>
        <v>0</v>
      </c>
      <c r="K28" s="138"/>
      <c r="L28" s="138">
        <f t="shared" si="10"/>
        <v>0</v>
      </c>
      <c r="M28" s="138"/>
      <c r="N28" s="138"/>
      <c r="O28" s="138"/>
      <c r="P28" s="138"/>
      <c r="Q28" s="138"/>
      <c r="R28" s="138"/>
      <c r="S28" s="138"/>
      <c r="T28" s="137"/>
      <c r="V28">
        <f t="shared" si="3"/>
        <v>0</v>
      </c>
    </row>
    <row r="29" spans="1:22">
      <c r="A29" s="9"/>
      <c r="B29" s="154"/>
      <c r="C29" s="9"/>
      <c r="D29" s="9"/>
      <c r="E29" s="9"/>
      <c r="F29" s="9"/>
      <c r="G29" s="9"/>
      <c r="H29" s="9"/>
      <c r="I29" s="137">
        <f t="shared" si="5"/>
        <v>0</v>
      </c>
      <c r="J29" s="137">
        <f t="shared" si="6"/>
        <v>0</v>
      </c>
      <c r="K29" s="138"/>
      <c r="L29" s="138">
        <f t="shared" si="10"/>
        <v>0</v>
      </c>
      <c r="M29" s="138"/>
      <c r="N29" s="138"/>
      <c r="O29" s="138"/>
      <c r="P29" s="138"/>
      <c r="Q29" s="138"/>
      <c r="R29" s="138"/>
      <c r="S29" s="138"/>
      <c r="T29" s="137"/>
      <c r="V29">
        <f t="shared" si="3"/>
        <v>0</v>
      </c>
    </row>
    <row r="30" spans="1:22">
      <c r="A30" s="9"/>
      <c r="B30" s="154"/>
      <c r="C30" s="9"/>
      <c r="D30" s="9"/>
      <c r="E30" s="9"/>
      <c r="F30" s="9"/>
      <c r="G30" s="9"/>
      <c r="H30" s="9"/>
      <c r="I30" s="137">
        <f t="shared" si="5"/>
        <v>0</v>
      </c>
      <c r="J30" s="137">
        <f t="shared" si="6"/>
        <v>0</v>
      </c>
      <c r="K30" s="138"/>
      <c r="L30" s="138">
        <f t="shared" si="10"/>
        <v>0</v>
      </c>
      <c r="M30" s="138"/>
      <c r="N30" s="138"/>
      <c r="O30" s="138"/>
      <c r="P30" s="138"/>
      <c r="Q30" s="138"/>
      <c r="R30" s="138"/>
      <c r="S30" s="138"/>
      <c r="T30" s="137"/>
      <c r="V30">
        <f t="shared" si="3"/>
        <v>0</v>
      </c>
    </row>
    <row r="31" spans="1:22">
      <c r="A31" s="9"/>
      <c r="B31" s="154"/>
      <c r="C31" s="9"/>
      <c r="D31" s="9"/>
      <c r="E31" s="9"/>
      <c r="F31" s="9"/>
      <c r="G31" s="9"/>
      <c r="H31" s="9"/>
      <c r="I31" s="137">
        <f t="shared" si="5"/>
        <v>0</v>
      </c>
      <c r="J31" s="137">
        <f t="shared" si="6"/>
        <v>0</v>
      </c>
      <c r="K31" s="138"/>
      <c r="L31" s="138">
        <f>I31</f>
        <v>0</v>
      </c>
      <c r="M31" s="138"/>
      <c r="N31" s="138"/>
      <c r="O31" s="138"/>
      <c r="P31" s="138"/>
      <c r="Q31" s="138"/>
      <c r="R31" s="138"/>
      <c r="S31" s="138"/>
      <c r="T31" s="137"/>
      <c r="V31">
        <f t="shared" si="3"/>
        <v>0</v>
      </c>
    </row>
    <row r="32" spans="1:22">
      <c r="A32" s="9"/>
      <c r="B32" s="154"/>
      <c r="C32" s="9"/>
      <c r="D32" s="9"/>
      <c r="E32" s="9"/>
      <c r="F32" s="9"/>
      <c r="G32" s="9"/>
      <c r="H32" s="9"/>
      <c r="I32" s="137">
        <f>F32*G32*H32*E32/91809/10.89</f>
        <v>0</v>
      </c>
      <c r="J32" s="137">
        <f>(F32+G32)*H32*4/1000*E32</f>
        <v>0</v>
      </c>
      <c r="K32" s="138">
        <f>I32</f>
        <v>0</v>
      </c>
      <c r="L32" s="138"/>
      <c r="M32" s="138"/>
      <c r="N32" s="138"/>
      <c r="O32" s="138"/>
      <c r="P32" s="138"/>
      <c r="Q32" s="138"/>
      <c r="R32" s="138"/>
      <c r="S32" s="138"/>
      <c r="T32" s="137"/>
      <c r="V32">
        <f>H32*E32</f>
        <v>0</v>
      </c>
    </row>
    <row r="33" spans="1:22">
      <c r="A33" s="9"/>
      <c r="B33" s="154"/>
      <c r="C33" s="9"/>
      <c r="D33" s="9"/>
      <c r="E33" s="9"/>
      <c r="F33" s="9"/>
      <c r="G33" s="9"/>
      <c r="H33" s="9"/>
      <c r="I33" s="137">
        <f t="shared" ref="I33:I45" si="11">F33*G33*H33*E33/91809/10.89</f>
        <v>0</v>
      </c>
      <c r="J33" s="137">
        <f t="shared" ref="J33:J45" si="12">(F33+G33)*H33*4/1000*E33</f>
        <v>0</v>
      </c>
      <c r="K33" s="138">
        <f t="shared" ref="K33" si="13">I33</f>
        <v>0</v>
      </c>
      <c r="L33" s="138"/>
      <c r="M33" s="138"/>
      <c r="N33" s="138"/>
      <c r="O33" s="138"/>
      <c r="P33" s="138"/>
      <c r="Q33" s="138"/>
      <c r="R33" s="138"/>
      <c r="S33" s="138"/>
      <c r="T33" s="137"/>
      <c r="V33">
        <f t="shared" ref="V33:V59" si="14">H33*E33</f>
        <v>0</v>
      </c>
    </row>
    <row r="34" spans="1:22">
      <c r="A34" s="9"/>
      <c r="B34" s="154"/>
      <c r="C34" s="9"/>
      <c r="D34" s="9"/>
      <c r="E34" s="9"/>
      <c r="F34" s="9"/>
      <c r="G34" s="9"/>
      <c r="H34" s="9"/>
      <c r="I34" s="137">
        <f t="shared" si="11"/>
        <v>0</v>
      </c>
      <c r="J34" s="137">
        <f t="shared" si="12"/>
        <v>0</v>
      </c>
      <c r="K34" s="138"/>
      <c r="L34" s="138">
        <f>I34</f>
        <v>0</v>
      </c>
      <c r="M34" s="138"/>
      <c r="N34" s="138"/>
      <c r="O34" s="138"/>
      <c r="P34" s="138"/>
      <c r="Q34" s="138"/>
      <c r="R34" s="138"/>
      <c r="S34" s="138"/>
      <c r="T34" s="137"/>
      <c r="V34">
        <f t="shared" si="14"/>
        <v>0</v>
      </c>
    </row>
    <row r="35" spans="1:22">
      <c r="A35" s="9"/>
      <c r="B35" s="154"/>
      <c r="C35" s="9"/>
      <c r="D35" s="9"/>
      <c r="E35" s="9"/>
      <c r="F35" s="9"/>
      <c r="G35" s="9"/>
      <c r="H35" s="9"/>
      <c r="I35" s="137">
        <f t="shared" ref="I35:I37" si="15">F35*G35*H35*E35/91809/10.89</f>
        <v>0</v>
      </c>
      <c r="J35" s="137">
        <f t="shared" ref="J35:J37" si="16">(F35+G35)*H35*4/1000*E35</f>
        <v>0</v>
      </c>
      <c r="K35" s="138"/>
      <c r="L35" s="138">
        <f t="shared" ref="L35:L37" si="17">I35</f>
        <v>0</v>
      </c>
      <c r="M35" s="138"/>
      <c r="N35" s="138"/>
      <c r="O35" s="138"/>
      <c r="P35" s="138"/>
      <c r="Q35" s="138"/>
      <c r="R35" s="138"/>
      <c r="S35" s="138"/>
      <c r="T35" s="137"/>
    </row>
    <row r="36" spans="1:22">
      <c r="A36" s="9"/>
      <c r="B36" s="154"/>
      <c r="C36" s="9"/>
      <c r="D36" s="9"/>
      <c r="E36" s="9"/>
      <c r="F36" s="9"/>
      <c r="G36" s="9"/>
      <c r="H36" s="9"/>
      <c r="I36" s="137">
        <f t="shared" si="15"/>
        <v>0</v>
      </c>
      <c r="J36" s="137">
        <f t="shared" si="16"/>
        <v>0</v>
      </c>
      <c r="K36" s="138"/>
      <c r="L36" s="138">
        <f t="shared" si="17"/>
        <v>0</v>
      </c>
      <c r="M36" s="138"/>
      <c r="N36" s="138"/>
      <c r="O36" s="138"/>
      <c r="P36" s="138"/>
      <c r="Q36" s="138"/>
      <c r="R36" s="138"/>
      <c r="S36" s="138"/>
      <c r="T36" s="137"/>
    </row>
    <row r="37" spans="1:22">
      <c r="A37" s="9"/>
      <c r="B37" s="154"/>
      <c r="C37" s="9"/>
      <c r="D37" s="9"/>
      <c r="E37" s="9"/>
      <c r="F37" s="9"/>
      <c r="G37" s="9"/>
      <c r="H37" s="9"/>
      <c r="I37" s="137">
        <f t="shared" si="15"/>
        <v>0</v>
      </c>
      <c r="J37" s="137">
        <f t="shared" si="16"/>
        <v>0</v>
      </c>
      <c r="K37" s="138"/>
      <c r="L37" s="138">
        <f t="shared" si="17"/>
        <v>0</v>
      </c>
      <c r="M37" s="138"/>
      <c r="N37" s="138"/>
      <c r="O37" s="138"/>
      <c r="P37" s="138"/>
      <c r="Q37" s="138"/>
      <c r="R37" s="138"/>
      <c r="S37" s="138"/>
      <c r="T37" s="137"/>
    </row>
    <row r="38" spans="1:22">
      <c r="A38" s="9"/>
      <c r="B38" s="154"/>
      <c r="C38" s="9"/>
      <c r="D38" s="9"/>
      <c r="E38" s="9"/>
      <c r="F38" s="9"/>
      <c r="G38" s="9"/>
      <c r="H38" s="9"/>
      <c r="I38" s="137">
        <f t="shared" si="11"/>
        <v>0</v>
      </c>
      <c r="J38" s="137">
        <f t="shared" si="12"/>
        <v>0</v>
      </c>
      <c r="K38" s="138">
        <f t="shared" ref="K38" si="18">I38</f>
        <v>0</v>
      </c>
      <c r="L38" s="138"/>
      <c r="M38" s="138"/>
      <c r="N38" s="138"/>
      <c r="O38" s="138"/>
      <c r="P38" s="138"/>
      <c r="Q38" s="138"/>
      <c r="R38" s="138"/>
      <c r="S38" s="138"/>
      <c r="T38" s="137"/>
      <c r="V38">
        <f t="shared" si="14"/>
        <v>0</v>
      </c>
    </row>
    <row r="39" spans="1:22">
      <c r="A39" s="9"/>
      <c r="B39" s="154"/>
      <c r="C39" s="9"/>
      <c r="D39" s="9"/>
      <c r="E39" s="9"/>
      <c r="F39" s="9"/>
      <c r="G39" s="9"/>
      <c r="H39" s="9"/>
      <c r="I39" s="137">
        <f t="shared" si="11"/>
        <v>0</v>
      </c>
      <c r="J39" s="137">
        <f t="shared" si="12"/>
        <v>0</v>
      </c>
      <c r="K39" s="138"/>
      <c r="L39" s="138">
        <f t="shared" ref="L39:L44" si="19">I39</f>
        <v>0</v>
      </c>
      <c r="M39" s="138"/>
      <c r="N39" s="138"/>
      <c r="O39" s="138"/>
      <c r="P39" s="138"/>
      <c r="Q39" s="138"/>
      <c r="R39" s="138"/>
      <c r="S39" s="138"/>
      <c r="T39" s="137"/>
      <c r="V39">
        <f t="shared" si="14"/>
        <v>0</v>
      </c>
    </row>
    <row r="40" spans="1:22">
      <c r="A40" s="9"/>
      <c r="B40" s="154"/>
      <c r="C40" s="9"/>
      <c r="D40" s="9"/>
      <c r="E40" s="9"/>
      <c r="F40" s="9"/>
      <c r="G40" s="9"/>
      <c r="H40" s="9"/>
      <c r="I40" s="137">
        <f t="shared" si="11"/>
        <v>0</v>
      </c>
      <c r="J40" s="137">
        <f t="shared" si="12"/>
        <v>0</v>
      </c>
      <c r="K40" s="138"/>
      <c r="L40" s="138">
        <f t="shared" si="19"/>
        <v>0</v>
      </c>
      <c r="M40" s="138"/>
      <c r="N40" s="138"/>
      <c r="O40" s="138"/>
      <c r="P40" s="138"/>
      <c r="Q40" s="138"/>
      <c r="R40" s="138"/>
      <c r="S40" s="138"/>
      <c r="T40" s="137"/>
      <c r="V40">
        <f t="shared" si="14"/>
        <v>0</v>
      </c>
    </row>
    <row r="41" spans="1:22">
      <c r="A41" s="9"/>
      <c r="B41" s="154"/>
      <c r="C41" s="9"/>
      <c r="D41" s="9"/>
      <c r="E41" s="9"/>
      <c r="F41" s="9"/>
      <c r="G41" s="9"/>
      <c r="H41" s="9"/>
      <c r="I41" s="137">
        <f t="shared" si="11"/>
        <v>0</v>
      </c>
      <c r="J41" s="137">
        <f t="shared" si="12"/>
        <v>0</v>
      </c>
      <c r="K41" s="138"/>
      <c r="L41" s="138">
        <f t="shared" si="19"/>
        <v>0</v>
      </c>
      <c r="M41" s="138"/>
      <c r="N41" s="138"/>
      <c r="O41" s="138"/>
      <c r="P41" s="138"/>
      <c r="Q41" s="138"/>
      <c r="R41" s="138"/>
      <c r="S41" s="138"/>
      <c r="T41" s="137"/>
      <c r="V41">
        <f t="shared" si="14"/>
        <v>0</v>
      </c>
    </row>
    <row r="42" spans="1:22">
      <c r="A42" s="9"/>
      <c r="B42" s="154"/>
      <c r="C42" s="9"/>
      <c r="D42" s="9"/>
      <c r="E42" s="9"/>
      <c r="F42" s="9"/>
      <c r="G42" s="9"/>
      <c r="H42" s="9"/>
      <c r="I42" s="137">
        <f t="shared" si="11"/>
        <v>0</v>
      </c>
      <c r="J42" s="137">
        <f t="shared" si="12"/>
        <v>0</v>
      </c>
      <c r="K42" s="138"/>
      <c r="L42" s="138">
        <f t="shared" si="19"/>
        <v>0</v>
      </c>
      <c r="M42" s="138"/>
      <c r="N42" s="138"/>
      <c r="O42" s="138"/>
      <c r="P42" s="138"/>
      <c r="Q42" s="138"/>
      <c r="R42" s="138"/>
      <c r="S42" s="138"/>
      <c r="T42" s="137"/>
      <c r="V42">
        <f t="shared" si="14"/>
        <v>0</v>
      </c>
    </row>
    <row r="43" spans="1:22">
      <c r="A43" s="9"/>
      <c r="B43" s="154"/>
      <c r="C43" s="9"/>
      <c r="D43" s="9"/>
      <c r="E43" s="9"/>
      <c r="F43" s="9"/>
      <c r="G43" s="9"/>
      <c r="H43" s="9"/>
      <c r="I43" s="137">
        <f t="shared" si="11"/>
        <v>0</v>
      </c>
      <c r="J43" s="137">
        <f t="shared" si="12"/>
        <v>0</v>
      </c>
      <c r="K43" s="138"/>
      <c r="L43" s="138">
        <f t="shared" si="19"/>
        <v>0</v>
      </c>
      <c r="M43" s="138"/>
      <c r="N43" s="138"/>
      <c r="O43" s="138"/>
      <c r="P43" s="138"/>
      <c r="Q43" s="138"/>
      <c r="R43" s="138"/>
      <c r="S43" s="138"/>
      <c r="T43" s="137"/>
      <c r="V43">
        <f t="shared" si="14"/>
        <v>0</v>
      </c>
    </row>
    <row r="44" spans="1:22">
      <c r="A44" s="9"/>
      <c r="B44" s="154"/>
      <c r="C44" s="9"/>
      <c r="D44" s="9"/>
      <c r="E44" s="9"/>
      <c r="F44" s="9"/>
      <c r="G44" s="9"/>
      <c r="H44" s="9"/>
      <c r="I44" s="137">
        <f t="shared" si="11"/>
        <v>0</v>
      </c>
      <c r="J44" s="137">
        <f t="shared" si="12"/>
        <v>0</v>
      </c>
      <c r="K44" s="138"/>
      <c r="L44" s="138">
        <f t="shared" si="19"/>
        <v>0</v>
      </c>
      <c r="M44" s="138"/>
      <c r="N44" s="138"/>
      <c r="O44" s="138"/>
      <c r="P44" s="138"/>
      <c r="Q44" s="138"/>
      <c r="R44" s="138"/>
      <c r="S44" s="138"/>
      <c r="T44" s="137"/>
      <c r="V44">
        <f t="shared" si="14"/>
        <v>0</v>
      </c>
    </row>
    <row r="45" spans="1:22">
      <c r="A45" s="9"/>
      <c r="B45" s="154"/>
      <c r="C45" s="9"/>
      <c r="D45" s="9"/>
      <c r="E45" s="9"/>
      <c r="F45" s="9"/>
      <c r="G45" s="9"/>
      <c r="H45" s="9"/>
      <c r="I45" s="137">
        <f t="shared" si="11"/>
        <v>0</v>
      </c>
      <c r="J45" s="137">
        <f t="shared" si="12"/>
        <v>0</v>
      </c>
      <c r="K45" s="138"/>
      <c r="L45" s="138">
        <f>I45</f>
        <v>0</v>
      </c>
      <c r="M45" s="138"/>
      <c r="N45" s="138"/>
      <c r="O45" s="138"/>
      <c r="P45" s="138"/>
      <c r="Q45" s="138"/>
      <c r="R45" s="138"/>
      <c r="S45" s="138"/>
      <c r="T45" s="137"/>
      <c r="V45">
        <f t="shared" si="14"/>
        <v>0</v>
      </c>
    </row>
    <row r="46" spans="1:22">
      <c r="A46" s="9"/>
      <c r="B46" s="154"/>
      <c r="C46" s="9"/>
      <c r="D46" s="9"/>
      <c r="E46" s="9"/>
      <c r="F46" s="9"/>
      <c r="G46" s="9"/>
      <c r="H46" s="9"/>
      <c r="I46" s="137">
        <f>F46*G46*H46*E46/91809/10.89</f>
        <v>0</v>
      </c>
      <c r="J46" s="137">
        <f>(F46+G46)*H46*4/1000*E46</f>
        <v>0</v>
      </c>
      <c r="K46" s="138">
        <f>I46</f>
        <v>0</v>
      </c>
      <c r="L46" s="138"/>
      <c r="M46" s="138"/>
      <c r="N46" s="138"/>
      <c r="O46" s="138"/>
      <c r="P46" s="138"/>
      <c r="Q46" s="138"/>
      <c r="R46" s="138"/>
      <c r="S46" s="138"/>
      <c r="T46" s="137"/>
      <c r="V46">
        <f t="shared" si="14"/>
        <v>0</v>
      </c>
    </row>
    <row r="47" spans="1:22">
      <c r="A47" s="9"/>
      <c r="B47" s="154"/>
      <c r="C47" s="9"/>
      <c r="D47" s="9"/>
      <c r="E47" s="9"/>
      <c r="F47" s="9"/>
      <c r="G47" s="9"/>
      <c r="H47" s="9"/>
      <c r="I47" s="137">
        <f t="shared" ref="I47:I59" si="20">F47*G47*H47*E47/91809/10.89</f>
        <v>0</v>
      </c>
      <c r="J47" s="137">
        <f t="shared" ref="J47:J59" si="21">(F47+G47)*H47*4/1000*E47</f>
        <v>0</v>
      </c>
      <c r="K47" s="138">
        <f t="shared" ref="K47" si="22">I47</f>
        <v>0</v>
      </c>
      <c r="L47" s="138"/>
      <c r="M47" s="138"/>
      <c r="N47" s="138"/>
      <c r="O47" s="138"/>
      <c r="P47" s="138"/>
      <c r="Q47" s="138"/>
      <c r="R47" s="138"/>
      <c r="S47" s="138"/>
      <c r="T47" s="137"/>
      <c r="V47">
        <f t="shared" si="14"/>
        <v>0</v>
      </c>
    </row>
    <row r="48" spans="1:22">
      <c r="A48" s="9"/>
      <c r="B48" s="154"/>
      <c r="C48" s="9"/>
      <c r="D48" s="9"/>
      <c r="E48" s="9"/>
      <c r="F48" s="9"/>
      <c r="G48" s="9"/>
      <c r="H48" s="9"/>
      <c r="I48" s="137">
        <f t="shared" si="20"/>
        <v>0</v>
      </c>
      <c r="J48" s="137">
        <f t="shared" si="21"/>
        <v>0</v>
      </c>
      <c r="K48" s="138"/>
      <c r="L48" s="138">
        <f>I48</f>
        <v>0</v>
      </c>
      <c r="M48" s="138"/>
      <c r="N48" s="138"/>
      <c r="O48" s="138"/>
      <c r="P48" s="138"/>
      <c r="Q48" s="138"/>
      <c r="R48" s="138"/>
      <c r="S48" s="138"/>
      <c r="T48" s="137"/>
      <c r="V48">
        <f t="shared" si="14"/>
        <v>0</v>
      </c>
    </row>
    <row r="49" spans="1:22">
      <c r="A49" s="9"/>
      <c r="B49" s="154"/>
      <c r="C49" s="9"/>
      <c r="D49" s="9"/>
      <c r="E49" s="9"/>
      <c r="F49" s="9"/>
      <c r="G49" s="9"/>
      <c r="H49" s="9"/>
      <c r="I49" s="137">
        <f t="shared" si="20"/>
        <v>0</v>
      </c>
      <c r="J49" s="137">
        <f t="shared" si="21"/>
        <v>0</v>
      </c>
      <c r="K49" s="138"/>
      <c r="L49" s="138">
        <f t="shared" ref="L49:L51" si="23">I49</f>
        <v>0</v>
      </c>
      <c r="M49" s="138"/>
      <c r="N49" s="138"/>
      <c r="O49" s="138"/>
      <c r="P49" s="138"/>
      <c r="Q49" s="138"/>
      <c r="R49" s="138"/>
      <c r="S49" s="138"/>
      <c r="T49" s="137"/>
      <c r="V49">
        <f t="shared" si="14"/>
        <v>0</v>
      </c>
    </row>
    <row r="50" spans="1:22">
      <c r="A50" s="9"/>
      <c r="B50" s="154"/>
      <c r="C50" s="9"/>
      <c r="D50" s="9"/>
      <c r="E50" s="9"/>
      <c r="F50" s="9"/>
      <c r="G50" s="9"/>
      <c r="H50" s="9"/>
      <c r="I50" s="137">
        <f t="shared" si="20"/>
        <v>0</v>
      </c>
      <c r="J50" s="137">
        <f t="shared" si="21"/>
        <v>0</v>
      </c>
      <c r="K50" s="138"/>
      <c r="L50" s="138">
        <f t="shared" si="23"/>
        <v>0</v>
      </c>
      <c r="M50" s="138"/>
      <c r="N50" s="138"/>
      <c r="O50" s="138"/>
      <c r="P50" s="138"/>
      <c r="Q50" s="138"/>
      <c r="R50" s="138"/>
      <c r="S50" s="138"/>
      <c r="T50" s="137"/>
      <c r="V50">
        <f t="shared" si="14"/>
        <v>0</v>
      </c>
    </row>
    <row r="51" spans="1:22">
      <c r="A51" s="9"/>
      <c r="B51" s="154"/>
      <c r="C51" s="9"/>
      <c r="D51" s="9"/>
      <c r="E51" s="9"/>
      <c r="F51" s="9"/>
      <c r="G51" s="9"/>
      <c r="H51" s="9"/>
      <c r="I51" s="137">
        <f t="shared" si="20"/>
        <v>0</v>
      </c>
      <c r="J51" s="137">
        <f t="shared" si="21"/>
        <v>0</v>
      </c>
      <c r="K51" s="138"/>
      <c r="L51" s="138">
        <f t="shared" si="23"/>
        <v>0</v>
      </c>
      <c r="M51" s="138"/>
      <c r="N51" s="138"/>
      <c r="O51" s="138"/>
      <c r="P51" s="138"/>
      <c r="Q51" s="138"/>
      <c r="R51" s="138"/>
      <c r="S51" s="138"/>
      <c r="T51" s="137"/>
      <c r="V51">
        <f t="shared" si="14"/>
        <v>0</v>
      </c>
    </row>
    <row r="52" spans="1:22">
      <c r="A52" s="9"/>
      <c r="B52" s="154"/>
      <c r="C52" s="9"/>
      <c r="D52" s="9"/>
      <c r="E52" s="9"/>
      <c r="F52" s="9"/>
      <c r="G52" s="9"/>
      <c r="H52" s="9"/>
      <c r="I52" s="137">
        <f t="shared" si="20"/>
        <v>0</v>
      </c>
      <c r="J52" s="137">
        <f t="shared" si="21"/>
        <v>0</v>
      </c>
      <c r="K52" s="138">
        <f t="shared" ref="K52" si="24">I52</f>
        <v>0</v>
      </c>
      <c r="L52" s="138"/>
      <c r="M52" s="138"/>
      <c r="N52" s="138"/>
      <c r="O52" s="138"/>
      <c r="P52" s="138"/>
      <c r="Q52" s="138"/>
      <c r="R52" s="138"/>
      <c r="S52" s="138"/>
      <c r="T52" s="137"/>
      <c r="V52">
        <f t="shared" si="14"/>
        <v>0</v>
      </c>
    </row>
    <row r="53" spans="1:22">
      <c r="A53" s="9"/>
      <c r="B53" s="154"/>
      <c r="C53" s="9"/>
      <c r="D53" s="9"/>
      <c r="E53" s="9"/>
      <c r="F53" s="9"/>
      <c r="G53" s="9"/>
      <c r="H53" s="9"/>
      <c r="I53" s="137">
        <f t="shared" si="20"/>
        <v>0</v>
      </c>
      <c r="J53" s="137">
        <f t="shared" si="21"/>
        <v>0</v>
      </c>
      <c r="K53" s="138"/>
      <c r="L53" s="138">
        <f t="shared" ref="L53:L58" si="25">I53</f>
        <v>0</v>
      </c>
      <c r="M53" s="138"/>
      <c r="N53" s="138"/>
      <c r="O53" s="138"/>
      <c r="P53" s="138"/>
      <c r="Q53" s="138"/>
      <c r="R53" s="138"/>
      <c r="S53" s="138"/>
      <c r="T53" s="137"/>
      <c r="V53">
        <f t="shared" si="14"/>
        <v>0</v>
      </c>
    </row>
    <row r="54" spans="1:22">
      <c r="A54" s="9"/>
      <c r="B54" s="154"/>
      <c r="C54" s="9"/>
      <c r="D54" s="9"/>
      <c r="E54" s="9"/>
      <c r="F54" s="9"/>
      <c r="G54" s="9"/>
      <c r="H54" s="9"/>
      <c r="I54" s="137">
        <f t="shared" si="20"/>
        <v>0</v>
      </c>
      <c r="J54" s="137">
        <f t="shared" si="21"/>
        <v>0</v>
      </c>
      <c r="K54" s="138"/>
      <c r="L54" s="138">
        <f t="shared" si="25"/>
        <v>0</v>
      </c>
      <c r="M54" s="138"/>
      <c r="N54" s="138"/>
      <c r="O54" s="138"/>
      <c r="P54" s="138"/>
      <c r="Q54" s="138"/>
      <c r="R54" s="138"/>
      <c r="S54" s="138"/>
      <c r="T54" s="137"/>
      <c r="V54">
        <f t="shared" si="14"/>
        <v>0</v>
      </c>
    </row>
    <row r="55" spans="1:22">
      <c r="A55" s="9"/>
      <c r="B55" s="154"/>
      <c r="C55" s="9"/>
      <c r="D55" s="9"/>
      <c r="E55" s="9"/>
      <c r="F55" s="9"/>
      <c r="G55" s="9"/>
      <c r="H55" s="9"/>
      <c r="I55" s="137">
        <f t="shared" si="20"/>
        <v>0</v>
      </c>
      <c r="J55" s="137">
        <f t="shared" si="21"/>
        <v>0</v>
      </c>
      <c r="K55" s="138"/>
      <c r="L55" s="138">
        <f t="shared" si="25"/>
        <v>0</v>
      </c>
      <c r="M55" s="138"/>
      <c r="N55" s="138"/>
      <c r="O55" s="138"/>
      <c r="P55" s="138"/>
      <c r="Q55" s="138"/>
      <c r="R55" s="138"/>
      <c r="S55" s="138"/>
      <c r="T55" s="137"/>
      <c r="V55">
        <f t="shared" si="14"/>
        <v>0</v>
      </c>
    </row>
    <row r="56" spans="1:22">
      <c r="A56" s="9"/>
      <c r="B56" s="154"/>
      <c r="C56" s="9"/>
      <c r="D56" s="9"/>
      <c r="E56" s="9"/>
      <c r="F56" s="9"/>
      <c r="G56" s="9"/>
      <c r="H56" s="9"/>
      <c r="I56" s="137">
        <f t="shared" si="20"/>
        <v>0</v>
      </c>
      <c r="J56" s="137">
        <f t="shared" si="21"/>
        <v>0</v>
      </c>
      <c r="K56" s="138"/>
      <c r="L56" s="138">
        <f t="shared" si="25"/>
        <v>0</v>
      </c>
      <c r="M56" s="138"/>
      <c r="N56" s="138"/>
      <c r="O56" s="138"/>
      <c r="P56" s="138"/>
      <c r="Q56" s="138"/>
      <c r="R56" s="138"/>
      <c r="S56" s="138"/>
      <c r="T56" s="137"/>
      <c r="V56">
        <f t="shared" si="14"/>
        <v>0</v>
      </c>
    </row>
    <row r="57" spans="1:22">
      <c r="A57" s="9"/>
      <c r="B57" s="154"/>
      <c r="C57" s="9"/>
      <c r="D57" s="9"/>
      <c r="E57" s="9"/>
      <c r="F57" s="9"/>
      <c r="G57" s="9"/>
      <c r="H57" s="9"/>
      <c r="I57" s="137">
        <f t="shared" si="20"/>
        <v>0</v>
      </c>
      <c r="J57" s="137">
        <f t="shared" si="21"/>
        <v>0</v>
      </c>
      <c r="K57" s="138"/>
      <c r="L57" s="138">
        <f t="shared" si="25"/>
        <v>0</v>
      </c>
      <c r="M57" s="138"/>
      <c r="N57" s="138"/>
      <c r="O57" s="138"/>
      <c r="P57" s="138"/>
      <c r="Q57" s="138"/>
      <c r="R57" s="138"/>
      <c r="S57" s="138"/>
      <c r="T57" s="137"/>
      <c r="V57">
        <f t="shared" si="14"/>
        <v>0</v>
      </c>
    </row>
    <row r="58" spans="1:22">
      <c r="A58" s="9"/>
      <c r="B58" s="154"/>
      <c r="C58" s="9"/>
      <c r="D58" s="9"/>
      <c r="E58" s="9"/>
      <c r="F58" s="9"/>
      <c r="G58" s="9"/>
      <c r="H58" s="9"/>
      <c r="I58" s="137">
        <f t="shared" si="20"/>
        <v>0</v>
      </c>
      <c r="J58" s="137">
        <f t="shared" si="21"/>
        <v>0</v>
      </c>
      <c r="K58" s="138"/>
      <c r="L58" s="138">
        <f t="shared" si="25"/>
        <v>0</v>
      </c>
      <c r="M58" s="138"/>
      <c r="N58" s="138"/>
      <c r="O58" s="138"/>
      <c r="P58" s="138"/>
      <c r="Q58" s="138"/>
      <c r="R58" s="138"/>
      <c r="S58" s="138"/>
      <c r="T58" s="137"/>
      <c r="V58">
        <f t="shared" si="14"/>
        <v>0</v>
      </c>
    </row>
    <row r="59" spans="1:22">
      <c r="A59" s="9"/>
      <c r="B59" s="154"/>
      <c r="C59" s="9"/>
      <c r="D59" s="9"/>
      <c r="E59" s="9"/>
      <c r="F59" s="9"/>
      <c r="G59" s="9"/>
      <c r="H59" s="9"/>
      <c r="I59" s="137">
        <f t="shared" si="20"/>
        <v>0</v>
      </c>
      <c r="J59" s="137">
        <f t="shared" si="21"/>
        <v>0</v>
      </c>
      <c r="K59" s="138"/>
      <c r="L59" s="138">
        <f>I59</f>
        <v>0</v>
      </c>
      <c r="M59" s="138"/>
      <c r="N59" s="138"/>
      <c r="O59" s="138"/>
      <c r="P59" s="138"/>
      <c r="Q59" s="138"/>
      <c r="R59" s="138"/>
      <c r="S59" s="138"/>
      <c r="T59" s="137"/>
      <c r="V59">
        <f t="shared" si="14"/>
        <v>0</v>
      </c>
    </row>
    <row r="60" spans="1:22">
      <c r="A60" s="9"/>
      <c r="B60" s="154"/>
      <c r="C60" s="9"/>
      <c r="D60" s="9"/>
      <c r="E60" s="9"/>
      <c r="F60" s="9"/>
      <c r="G60" s="9"/>
      <c r="H60" s="9"/>
      <c r="I60" s="137">
        <f>F60*G60*H60*E60/91809/10.89</f>
        <v>0</v>
      </c>
      <c r="J60" s="137">
        <f>(F60+G60)*H60*4/1000*E60</f>
        <v>0</v>
      </c>
      <c r="K60" s="138">
        <f>I60</f>
        <v>0</v>
      </c>
      <c r="L60" s="138"/>
      <c r="M60" s="138"/>
      <c r="N60" s="138"/>
      <c r="O60" s="138"/>
      <c r="P60" s="138"/>
      <c r="Q60" s="138"/>
      <c r="R60" s="138"/>
      <c r="S60" s="138"/>
      <c r="T60" s="137"/>
      <c r="V60">
        <f>H60*E60</f>
        <v>0</v>
      </c>
    </row>
    <row r="61" spans="1:22">
      <c r="A61" s="9"/>
      <c r="B61" s="154"/>
      <c r="C61" s="9"/>
      <c r="D61" s="9"/>
      <c r="E61" s="9"/>
      <c r="F61" s="9"/>
      <c r="G61" s="9"/>
      <c r="H61" s="9"/>
      <c r="I61" s="137">
        <f t="shared" ref="I61:I73" si="26">F61*G61*H61*E61/91809/10.89</f>
        <v>0</v>
      </c>
      <c r="J61" s="137">
        <f t="shared" ref="J61:J73" si="27">(F61+G61)*H61*4/1000*E61</f>
        <v>0</v>
      </c>
      <c r="K61" s="138">
        <f t="shared" ref="K61" si="28">I61</f>
        <v>0</v>
      </c>
      <c r="L61" s="138"/>
      <c r="M61" s="138"/>
      <c r="N61" s="138"/>
      <c r="O61" s="138"/>
      <c r="P61" s="138"/>
      <c r="Q61" s="138"/>
      <c r="R61" s="138"/>
      <c r="S61" s="138"/>
      <c r="T61" s="137"/>
      <c r="V61">
        <f t="shared" ref="V61:V62" si="29">H61*E61</f>
        <v>0</v>
      </c>
    </row>
    <row r="62" spans="1:22">
      <c r="A62" s="9"/>
      <c r="B62" s="154"/>
      <c r="C62" s="9"/>
      <c r="D62" s="9"/>
      <c r="E62" s="9"/>
      <c r="F62" s="9"/>
      <c r="G62" s="9"/>
      <c r="H62" s="9"/>
      <c r="I62" s="137">
        <f t="shared" si="26"/>
        <v>0</v>
      </c>
      <c r="J62" s="137">
        <f t="shared" si="27"/>
        <v>0</v>
      </c>
      <c r="K62" s="138"/>
      <c r="L62" s="138">
        <f>I62</f>
        <v>0</v>
      </c>
      <c r="M62" s="138"/>
      <c r="N62" s="138"/>
      <c r="O62" s="138"/>
      <c r="P62" s="138"/>
      <c r="Q62" s="138"/>
      <c r="R62" s="138"/>
      <c r="S62" s="138"/>
      <c r="T62" s="137"/>
      <c r="V62">
        <f t="shared" si="29"/>
        <v>0</v>
      </c>
    </row>
    <row r="63" spans="1:22">
      <c r="A63" s="9"/>
      <c r="B63" s="154"/>
      <c r="C63" s="9"/>
      <c r="D63" s="9"/>
      <c r="E63" s="9"/>
      <c r="F63" s="9"/>
      <c r="G63" s="9"/>
      <c r="H63" s="9"/>
      <c r="I63" s="137">
        <f t="shared" si="26"/>
        <v>0</v>
      </c>
      <c r="J63" s="137">
        <f t="shared" si="27"/>
        <v>0</v>
      </c>
      <c r="K63" s="138"/>
      <c r="L63" s="138">
        <f t="shared" ref="L63:L65" si="30">I63</f>
        <v>0</v>
      </c>
      <c r="M63" s="138"/>
      <c r="N63" s="138"/>
      <c r="O63" s="138"/>
      <c r="P63" s="138"/>
      <c r="Q63" s="138"/>
      <c r="R63" s="138"/>
      <c r="S63" s="138"/>
      <c r="T63" s="137"/>
    </row>
    <row r="64" spans="1:22">
      <c r="A64" s="9"/>
      <c r="B64" s="154"/>
      <c r="C64" s="9"/>
      <c r="D64" s="9"/>
      <c r="E64" s="9"/>
      <c r="F64" s="9"/>
      <c r="G64" s="9"/>
      <c r="H64" s="9"/>
      <c r="I64" s="137">
        <f t="shared" si="26"/>
        <v>0</v>
      </c>
      <c r="J64" s="137">
        <f t="shared" si="27"/>
        <v>0</v>
      </c>
      <c r="K64" s="138"/>
      <c r="L64" s="138">
        <f t="shared" si="30"/>
        <v>0</v>
      </c>
      <c r="M64" s="138"/>
      <c r="N64" s="138"/>
      <c r="O64" s="138"/>
      <c r="P64" s="138"/>
      <c r="Q64" s="138"/>
      <c r="R64" s="138"/>
      <c r="S64" s="138"/>
      <c r="T64" s="137"/>
    </row>
    <row r="65" spans="1:22">
      <c r="A65" s="9"/>
      <c r="B65" s="154"/>
      <c r="C65" s="9"/>
      <c r="D65" s="9"/>
      <c r="E65" s="9"/>
      <c r="F65" s="9"/>
      <c r="G65" s="9"/>
      <c r="H65" s="9"/>
      <c r="I65" s="137">
        <f t="shared" si="26"/>
        <v>0</v>
      </c>
      <c r="J65" s="137">
        <f t="shared" si="27"/>
        <v>0</v>
      </c>
      <c r="K65" s="138"/>
      <c r="L65" s="138">
        <f t="shared" si="30"/>
        <v>0</v>
      </c>
      <c r="M65" s="138"/>
      <c r="N65" s="138"/>
      <c r="O65" s="138"/>
      <c r="P65" s="138"/>
      <c r="Q65" s="138"/>
      <c r="R65" s="138"/>
      <c r="S65" s="138"/>
      <c r="T65" s="137"/>
    </row>
    <row r="66" spans="1:22">
      <c r="A66" s="9"/>
      <c r="B66" s="154"/>
      <c r="C66" s="9"/>
      <c r="D66" s="9"/>
      <c r="E66" s="9"/>
      <c r="F66" s="9"/>
      <c r="G66" s="9"/>
      <c r="H66" s="9"/>
      <c r="I66" s="137">
        <f t="shared" si="26"/>
        <v>0</v>
      </c>
      <c r="J66" s="137">
        <f t="shared" si="27"/>
        <v>0</v>
      </c>
      <c r="K66" s="138">
        <f t="shared" ref="K66" si="31">I66</f>
        <v>0</v>
      </c>
      <c r="L66" s="138"/>
      <c r="M66" s="138"/>
      <c r="N66" s="138"/>
      <c r="O66" s="138"/>
      <c r="P66" s="138"/>
      <c r="Q66" s="138"/>
      <c r="R66" s="138"/>
      <c r="S66" s="138"/>
      <c r="T66" s="137"/>
      <c r="V66">
        <f t="shared" ref="V66:V87" si="32">H66*E66</f>
        <v>0</v>
      </c>
    </row>
    <row r="67" spans="1:22">
      <c r="A67" s="9"/>
      <c r="B67" s="154"/>
      <c r="C67" s="9"/>
      <c r="D67" s="9"/>
      <c r="E67" s="9"/>
      <c r="F67" s="9"/>
      <c r="G67" s="9"/>
      <c r="H67" s="9"/>
      <c r="I67" s="137">
        <f t="shared" si="26"/>
        <v>0</v>
      </c>
      <c r="J67" s="137">
        <f t="shared" si="27"/>
        <v>0</v>
      </c>
      <c r="K67" s="138"/>
      <c r="L67" s="138">
        <f t="shared" ref="L67:L72" si="33">I67</f>
        <v>0</v>
      </c>
      <c r="M67" s="138"/>
      <c r="N67" s="138"/>
      <c r="O67" s="138"/>
      <c r="P67" s="138"/>
      <c r="Q67" s="138"/>
      <c r="R67" s="138"/>
      <c r="S67" s="138"/>
      <c r="T67" s="137"/>
      <c r="V67">
        <f t="shared" si="32"/>
        <v>0</v>
      </c>
    </row>
    <row r="68" spans="1:22">
      <c r="A68" s="9"/>
      <c r="B68" s="154"/>
      <c r="C68" s="9"/>
      <c r="D68" s="9"/>
      <c r="E68" s="9"/>
      <c r="F68" s="9"/>
      <c r="G68" s="9"/>
      <c r="H68" s="9"/>
      <c r="I68" s="137">
        <f t="shared" si="26"/>
        <v>0</v>
      </c>
      <c r="J68" s="137">
        <f t="shared" si="27"/>
        <v>0</v>
      </c>
      <c r="K68" s="138"/>
      <c r="L68" s="138">
        <f t="shared" si="33"/>
        <v>0</v>
      </c>
      <c r="M68" s="138"/>
      <c r="N68" s="138"/>
      <c r="O68" s="138"/>
      <c r="P68" s="138"/>
      <c r="Q68" s="138"/>
      <c r="R68" s="138"/>
      <c r="S68" s="138"/>
      <c r="T68" s="137"/>
      <c r="V68">
        <f t="shared" si="32"/>
        <v>0</v>
      </c>
    </row>
    <row r="69" spans="1:22">
      <c r="A69" s="9"/>
      <c r="B69" s="154"/>
      <c r="C69" s="9"/>
      <c r="D69" s="9"/>
      <c r="E69" s="9"/>
      <c r="F69" s="9"/>
      <c r="G69" s="9"/>
      <c r="H69" s="9"/>
      <c r="I69" s="137">
        <f t="shared" si="26"/>
        <v>0</v>
      </c>
      <c r="J69" s="137">
        <f t="shared" si="27"/>
        <v>0</v>
      </c>
      <c r="K69" s="138"/>
      <c r="L69" s="138">
        <f t="shared" si="33"/>
        <v>0</v>
      </c>
      <c r="M69" s="138"/>
      <c r="N69" s="138"/>
      <c r="O69" s="138"/>
      <c r="P69" s="138"/>
      <c r="Q69" s="138"/>
      <c r="R69" s="138"/>
      <c r="S69" s="138"/>
      <c r="T69" s="137"/>
      <c r="V69">
        <f t="shared" si="32"/>
        <v>0</v>
      </c>
    </row>
    <row r="70" spans="1:22">
      <c r="A70" s="9"/>
      <c r="B70" s="154"/>
      <c r="C70" s="9"/>
      <c r="D70" s="9"/>
      <c r="E70" s="9"/>
      <c r="F70" s="9"/>
      <c r="G70" s="9"/>
      <c r="H70" s="9"/>
      <c r="I70" s="137">
        <f t="shared" si="26"/>
        <v>0</v>
      </c>
      <c r="J70" s="137">
        <f t="shared" si="27"/>
        <v>0</v>
      </c>
      <c r="K70" s="138"/>
      <c r="L70" s="138">
        <f t="shared" si="33"/>
        <v>0</v>
      </c>
      <c r="M70" s="138"/>
      <c r="N70" s="138"/>
      <c r="O70" s="138"/>
      <c r="P70" s="138"/>
      <c r="Q70" s="138"/>
      <c r="R70" s="138"/>
      <c r="S70" s="138"/>
      <c r="T70" s="137"/>
      <c r="V70">
        <f t="shared" si="32"/>
        <v>0</v>
      </c>
    </row>
    <row r="71" spans="1:22">
      <c r="A71" s="9"/>
      <c r="B71" s="154"/>
      <c r="C71" s="9"/>
      <c r="D71" s="9"/>
      <c r="E71" s="9"/>
      <c r="F71" s="9"/>
      <c r="G71" s="9"/>
      <c r="H71" s="9"/>
      <c r="I71" s="137">
        <f t="shared" si="26"/>
        <v>0</v>
      </c>
      <c r="J71" s="137">
        <f t="shared" si="27"/>
        <v>0</v>
      </c>
      <c r="K71" s="138"/>
      <c r="L71" s="138">
        <f t="shared" si="33"/>
        <v>0</v>
      </c>
      <c r="M71" s="138"/>
      <c r="N71" s="138"/>
      <c r="O71" s="138"/>
      <c r="P71" s="138"/>
      <c r="Q71" s="138"/>
      <c r="R71" s="138"/>
      <c r="S71" s="138"/>
      <c r="T71" s="137"/>
      <c r="V71">
        <f t="shared" si="32"/>
        <v>0</v>
      </c>
    </row>
    <row r="72" spans="1:22">
      <c r="A72" s="9"/>
      <c r="B72" s="154"/>
      <c r="C72" s="9"/>
      <c r="D72" s="9"/>
      <c r="E72" s="9"/>
      <c r="F72" s="9"/>
      <c r="G72" s="9"/>
      <c r="H72" s="9"/>
      <c r="I72" s="137">
        <f t="shared" si="26"/>
        <v>0</v>
      </c>
      <c r="J72" s="137">
        <f t="shared" si="27"/>
        <v>0</v>
      </c>
      <c r="K72" s="138"/>
      <c r="L72" s="138">
        <f t="shared" si="33"/>
        <v>0</v>
      </c>
      <c r="M72" s="138"/>
      <c r="N72" s="138"/>
      <c r="O72" s="138"/>
      <c r="P72" s="138"/>
      <c r="Q72" s="138"/>
      <c r="R72" s="138"/>
      <c r="S72" s="138"/>
      <c r="T72" s="137"/>
      <c r="V72">
        <f t="shared" si="32"/>
        <v>0</v>
      </c>
    </row>
    <row r="73" spans="1:22">
      <c r="A73" s="9"/>
      <c r="B73" s="154"/>
      <c r="C73" s="9"/>
      <c r="D73" s="9"/>
      <c r="E73" s="9"/>
      <c r="F73" s="9"/>
      <c r="G73" s="9"/>
      <c r="H73" s="9"/>
      <c r="I73" s="137">
        <f t="shared" si="26"/>
        <v>0</v>
      </c>
      <c r="J73" s="137">
        <f t="shared" si="27"/>
        <v>0</v>
      </c>
      <c r="K73" s="138"/>
      <c r="L73" s="138">
        <f>I73</f>
        <v>0</v>
      </c>
      <c r="M73" s="138"/>
      <c r="N73" s="138"/>
      <c r="O73" s="138"/>
      <c r="P73" s="138"/>
      <c r="Q73" s="138"/>
      <c r="R73" s="138"/>
      <c r="S73" s="138"/>
      <c r="T73" s="137"/>
      <c r="V73">
        <f t="shared" si="32"/>
        <v>0</v>
      </c>
    </row>
    <row r="74" spans="1:22">
      <c r="A74" s="9"/>
      <c r="B74" s="154"/>
      <c r="C74" s="9"/>
      <c r="D74" s="9"/>
      <c r="E74" s="9"/>
      <c r="F74" s="9"/>
      <c r="G74" s="9"/>
      <c r="H74" s="9"/>
      <c r="I74" s="137">
        <f>F74*G74*H74*E74/91809/10.89</f>
        <v>0</v>
      </c>
      <c r="J74" s="137">
        <f>(F74+G74)*H74*4/1000*E74</f>
        <v>0</v>
      </c>
      <c r="K74" s="138">
        <f>I74</f>
        <v>0</v>
      </c>
      <c r="L74" s="138"/>
      <c r="M74" s="138"/>
      <c r="N74" s="138"/>
      <c r="O74" s="138"/>
      <c r="P74" s="138"/>
      <c r="Q74" s="138"/>
      <c r="R74" s="138"/>
      <c r="S74" s="138"/>
      <c r="T74" s="137"/>
      <c r="V74">
        <f t="shared" si="32"/>
        <v>0</v>
      </c>
    </row>
    <row r="75" spans="1:22">
      <c r="A75" s="9"/>
      <c r="B75" s="154"/>
      <c r="C75" s="9"/>
      <c r="D75" s="9"/>
      <c r="E75" s="9"/>
      <c r="F75" s="9"/>
      <c r="G75" s="9"/>
      <c r="H75" s="9"/>
      <c r="I75" s="137">
        <f t="shared" ref="I75:I87" si="34">F75*G75*H75*E75/91809/10.89</f>
        <v>0</v>
      </c>
      <c r="J75" s="137">
        <f t="shared" ref="J75:J87" si="35">(F75+G75)*H75*4/1000*E75</f>
        <v>0</v>
      </c>
      <c r="K75" s="138">
        <f t="shared" ref="K75" si="36">I75</f>
        <v>0</v>
      </c>
      <c r="L75" s="138"/>
      <c r="M75" s="138"/>
      <c r="N75" s="138"/>
      <c r="O75" s="138"/>
      <c r="P75" s="138"/>
      <c r="Q75" s="138"/>
      <c r="R75" s="138"/>
      <c r="S75" s="138"/>
      <c r="T75" s="137"/>
      <c r="V75">
        <f t="shared" si="32"/>
        <v>0</v>
      </c>
    </row>
    <row r="76" spans="1:22">
      <c r="A76" s="9"/>
      <c r="B76" s="154"/>
      <c r="C76" s="9"/>
      <c r="D76" s="9"/>
      <c r="E76" s="9"/>
      <c r="F76" s="9"/>
      <c r="G76" s="9"/>
      <c r="H76" s="9"/>
      <c r="I76" s="137">
        <f t="shared" si="34"/>
        <v>0</v>
      </c>
      <c r="J76" s="137">
        <f t="shared" si="35"/>
        <v>0</v>
      </c>
      <c r="K76" s="138"/>
      <c r="L76" s="138">
        <f>I76</f>
        <v>0</v>
      </c>
      <c r="M76" s="138"/>
      <c r="N76" s="138"/>
      <c r="O76" s="138"/>
      <c r="P76" s="138"/>
      <c r="Q76" s="138"/>
      <c r="R76" s="138"/>
      <c r="S76" s="138"/>
      <c r="T76" s="137"/>
      <c r="V76">
        <f t="shared" si="32"/>
        <v>0</v>
      </c>
    </row>
    <row r="77" spans="1:22">
      <c r="A77" s="9"/>
      <c r="B77" s="154"/>
      <c r="C77" s="9"/>
      <c r="D77" s="9"/>
      <c r="E77" s="9"/>
      <c r="F77" s="9"/>
      <c r="G77" s="9"/>
      <c r="H77" s="9"/>
      <c r="I77" s="137">
        <f t="shared" si="34"/>
        <v>0</v>
      </c>
      <c r="J77" s="137">
        <f t="shared" si="35"/>
        <v>0</v>
      </c>
      <c r="K77" s="138"/>
      <c r="L77" s="138">
        <f t="shared" ref="L77:L79" si="37">I77</f>
        <v>0</v>
      </c>
      <c r="M77" s="138"/>
      <c r="N77" s="138"/>
      <c r="O77" s="138"/>
      <c r="P77" s="138"/>
      <c r="Q77" s="138"/>
      <c r="R77" s="138"/>
      <c r="S77" s="138"/>
      <c r="T77" s="137"/>
      <c r="V77">
        <f t="shared" si="32"/>
        <v>0</v>
      </c>
    </row>
    <row r="78" spans="1:22">
      <c r="A78" s="9"/>
      <c r="B78" s="154"/>
      <c r="C78" s="9"/>
      <c r="D78" s="9"/>
      <c r="E78" s="9"/>
      <c r="F78" s="9"/>
      <c r="G78" s="9"/>
      <c r="H78" s="9"/>
      <c r="I78" s="137">
        <f t="shared" si="34"/>
        <v>0</v>
      </c>
      <c r="J78" s="137">
        <f t="shared" si="35"/>
        <v>0</v>
      </c>
      <c r="K78" s="138"/>
      <c r="L78" s="138">
        <f t="shared" si="37"/>
        <v>0</v>
      </c>
      <c r="M78" s="138"/>
      <c r="N78" s="138"/>
      <c r="O78" s="138"/>
      <c r="P78" s="138"/>
      <c r="Q78" s="138"/>
      <c r="R78" s="138"/>
      <c r="S78" s="138"/>
      <c r="T78" s="137"/>
      <c r="V78">
        <f t="shared" si="32"/>
        <v>0</v>
      </c>
    </row>
    <row r="79" spans="1:22">
      <c r="A79" s="9"/>
      <c r="B79" s="154"/>
      <c r="C79" s="9"/>
      <c r="D79" s="9"/>
      <c r="E79" s="9"/>
      <c r="F79" s="9"/>
      <c r="G79" s="9"/>
      <c r="H79" s="9"/>
      <c r="I79" s="137">
        <f t="shared" si="34"/>
        <v>0</v>
      </c>
      <c r="J79" s="137">
        <f t="shared" si="35"/>
        <v>0</v>
      </c>
      <c r="K79" s="138"/>
      <c r="L79" s="138">
        <f t="shared" si="37"/>
        <v>0</v>
      </c>
      <c r="M79" s="138"/>
      <c r="N79" s="138"/>
      <c r="O79" s="138"/>
      <c r="P79" s="138"/>
      <c r="Q79" s="138"/>
      <c r="R79" s="138"/>
      <c r="S79" s="138"/>
      <c r="T79" s="137"/>
      <c r="V79">
        <f t="shared" si="32"/>
        <v>0</v>
      </c>
    </row>
    <row r="80" spans="1:22">
      <c r="A80" s="9"/>
      <c r="B80" s="154"/>
      <c r="C80" s="9"/>
      <c r="D80" s="9"/>
      <c r="E80" s="9"/>
      <c r="F80" s="9"/>
      <c r="G80" s="9"/>
      <c r="H80" s="9"/>
      <c r="I80" s="137">
        <f t="shared" si="34"/>
        <v>0</v>
      </c>
      <c r="J80" s="137">
        <f t="shared" si="35"/>
        <v>0</v>
      </c>
      <c r="K80" s="138">
        <f t="shared" ref="K80" si="38">I80</f>
        <v>0</v>
      </c>
      <c r="L80" s="138"/>
      <c r="M80" s="138"/>
      <c r="N80" s="138"/>
      <c r="O80" s="138"/>
      <c r="P80" s="138"/>
      <c r="Q80" s="138"/>
      <c r="R80" s="138"/>
      <c r="S80" s="138"/>
      <c r="T80" s="137"/>
      <c r="V80">
        <f t="shared" si="32"/>
        <v>0</v>
      </c>
    </row>
    <row r="81" spans="1:22">
      <c r="A81" s="9"/>
      <c r="B81" s="154"/>
      <c r="C81" s="9"/>
      <c r="D81" s="9"/>
      <c r="E81" s="9"/>
      <c r="F81" s="9"/>
      <c r="G81" s="9"/>
      <c r="H81" s="9"/>
      <c r="I81" s="137">
        <f t="shared" si="34"/>
        <v>0</v>
      </c>
      <c r="J81" s="137">
        <f t="shared" si="35"/>
        <v>0</v>
      </c>
      <c r="K81" s="138"/>
      <c r="L81" s="138">
        <f t="shared" ref="L81:L86" si="39">I81</f>
        <v>0</v>
      </c>
      <c r="M81" s="138"/>
      <c r="N81" s="138"/>
      <c r="O81" s="138"/>
      <c r="P81" s="138"/>
      <c r="Q81" s="138"/>
      <c r="R81" s="138"/>
      <c r="S81" s="138"/>
      <c r="T81" s="137"/>
      <c r="V81">
        <f t="shared" si="32"/>
        <v>0</v>
      </c>
    </row>
    <row r="82" spans="1:22">
      <c r="A82" s="9"/>
      <c r="B82" s="154"/>
      <c r="C82" s="9"/>
      <c r="D82" s="9"/>
      <c r="E82" s="9"/>
      <c r="F82" s="9"/>
      <c r="G82" s="9"/>
      <c r="H82" s="9"/>
      <c r="I82" s="137">
        <f t="shared" si="34"/>
        <v>0</v>
      </c>
      <c r="J82" s="137">
        <f t="shared" si="35"/>
        <v>0</v>
      </c>
      <c r="K82" s="138"/>
      <c r="L82" s="138">
        <f t="shared" si="39"/>
        <v>0</v>
      </c>
      <c r="M82" s="138"/>
      <c r="N82" s="138"/>
      <c r="O82" s="138"/>
      <c r="P82" s="138"/>
      <c r="Q82" s="138"/>
      <c r="R82" s="138"/>
      <c r="S82" s="138"/>
      <c r="T82" s="137"/>
      <c r="V82">
        <f t="shared" si="32"/>
        <v>0</v>
      </c>
    </row>
    <row r="83" spans="1:22">
      <c r="A83" s="9"/>
      <c r="B83" s="154"/>
      <c r="C83" s="9"/>
      <c r="D83" s="9"/>
      <c r="E83" s="9"/>
      <c r="F83" s="9"/>
      <c r="G83" s="9"/>
      <c r="H83" s="9"/>
      <c r="I83" s="137">
        <f t="shared" si="34"/>
        <v>0</v>
      </c>
      <c r="J83" s="137">
        <f t="shared" si="35"/>
        <v>0</v>
      </c>
      <c r="K83" s="138"/>
      <c r="L83" s="138">
        <f t="shared" si="39"/>
        <v>0</v>
      </c>
      <c r="M83" s="138"/>
      <c r="N83" s="138"/>
      <c r="O83" s="138"/>
      <c r="P83" s="138"/>
      <c r="Q83" s="138"/>
      <c r="R83" s="138"/>
      <c r="S83" s="138"/>
      <c r="T83" s="137"/>
      <c r="V83">
        <f t="shared" si="32"/>
        <v>0</v>
      </c>
    </row>
    <row r="84" spans="1:22">
      <c r="A84" s="9"/>
      <c r="B84" s="154"/>
      <c r="C84" s="9"/>
      <c r="D84" s="9"/>
      <c r="E84" s="9"/>
      <c r="F84" s="9"/>
      <c r="G84" s="9"/>
      <c r="H84" s="9"/>
      <c r="I84" s="137">
        <f t="shared" si="34"/>
        <v>0</v>
      </c>
      <c r="J84" s="137">
        <f t="shared" si="35"/>
        <v>0</v>
      </c>
      <c r="K84" s="138"/>
      <c r="L84" s="138">
        <f t="shared" si="39"/>
        <v>0</v>
      </c>
      <c r="M84" s="138"/>
      <c r="N84" s="138"/>
      <c r="O84" s="138"/>
      <c r="P84" s="138"/>
      <c r="Q84" s="138"/>
      <c r="R84" s="138"/>
      <c r="S84" s="138"/>
      <c r="T84" s="137"/>
      <c r="V84">
        <f t="shared" si="32"/>
        <v>0</v>
      </c>
    </row>
    <row r="85" spans="1:22">
      <c r="A85" s="9"/>
      <c r="B85" s="154"/>
      <c r="C85" s="9"/>
      <c r="D85" s="9"/>
      <c r="E85" s="9"/>
      <c r="F85" s="9"/>
      <c r="G85" s="9"/>
      <c r="H85" s="9"/>
      <c r="I85" s="137">
        <f t="shared" si="34"/>
        <v>0</v>
      </c>
      <c r="J85" s="137">
        <f t="shared" si="35"/>
        <v>0</v>
      </c>
      <c r="K85" s="138"/>
      <c r="L85" s="138">
        <f t="shared" si="39"/>
        <v>0</v>
      </c>
      <c r="M85" s="138"/>
      <c r="N85" s="138"/>
      <c r="O85" s="138"/>
      <c r="P85" s="138"/>
      <c r="Q85" s="138"/>
      <c r="R85" s="138"/>
      <c r="S85" s="138"/>
      <c r="T85" s="137"/>
      <c r="V85">
        <f t="shared" si="32"/>
        <v>0</v>
      </c>
    </row>
    <row r="86" spans="1:22">
      <c r="A86" s="9"/>
      <c r="B86" s="154"/>
      <c r="C86" s="9"/>
      <c r="D86" s="9"/>
      <c r="E86" s="9"/>
      <c r="F86" s="9"/>
      <c r="G86" s="9"/>
      <c r="H86" s="9"/>
      <c r="I86" s="137">
        <f t="shared" si="34"/>
        <v>0</v>
      </c>
      <c r="J86" s="137">
        <f t="shared" si="35"/>
        <v>0</v>
      </c>
      <c r="K86" s="138"/>
      <c r="L86" s="138">
        <f t="shared" si="39"/>
        <v>0</v>
      </c>
      <c r="M86" s="138"/>
      <c r="N86" s="138"/>
      <c r="O86" s="138"/>
      <c r="P86" s="138"/>
      <c r="Q86" s="138"/>
      <c r="R86" s="138"/>
      <c r="S86" s="138"/>
      <c r="T86" s="137"/>
      <c r="V86">
        <f t="shared" si="32"/>
        <v>0</v>
      </c>
    </row>
    <row r="87" spans="1:22">
      <c r="A87" s="9"/>
      <c r="B87" s="154"/>
      <c r="C87" s="9"/>
      <c r="D87" s="9"/>
      <c r="E87" s="9"/>
      <c r="F87" s="9"/>
      <c r="G87" s="9"/>
      <c r="H87" s="9"/>
      <c r="I87" s="137">
        <f t="shared" si="34"/>
        <v>0</v>
      </c>
      <c r="J87" s="137">
        <f t="shared" si="35"/>
        <v>0</v>
      </c>
      <c r="K87" s="138"/>
      <c r="L87" s="138">
        <f>I87</f>
        <v>0</v>
      </c>
      <c r="M87" s="138"/>
      <c r="N87" s="138"/>
      <c r="O87" s="138"/>
      <c r="P87" s="138"/>
      <c r="Q87" s="138"/>
      <c r="R87" s="138"/>
      <c r="S87" s="138"/>
      <c r="T87" s="137"/>
      <c r="V87">
        <f t="shared" si="32"/>
        <v>0</v>
      </c>
    </row>
    <row r="88" spans="1:22">
      <c r="A88" s="9"/>
      <c r="B88" s="154"/>
      <c r="C88" s="9"/>
      <c r="D88" s="9"/>
      <c r="E88" s="9"/>
      <c r="F88" s="9"/>
      <c r="G88" s="9"/>
      <c r="H88" s="9"/>
      <c r="I88" s="137">
        <f>F88*G88*H88*E88/91809/10.89</f>
        <v>0</v>
      </c>
      <c r="J88" s="137">
        <f>(F88+G88)*H88*4/1000*E88</f>
        <v>0</v>
      </c>
      <c r="K88" s="138">
        <f>I88</f>
        <v>0</v>
      </c>
      <c r="L88" s="138"/>
      <c r="M88" s="138"/>
      <c r="N88" s="138"/>
      <c r="O88" s="138"/>
      <c r="P88" s="138"/>
      <c r="Q88" s="138"/>
      <c r="R88" s="138"/>
      <c r="S88" s="138"/>
      <c r="T88" s="137"/>
      <c r="V88">
        <f>H88*E88</f>
        <v>0</v>
      </c>
    </row>
    <row r="89" spans="1:22">
      <c r="A89" s="9"/>
      <c r="B89" s="154"/>
      <c r="C89" s="9"/>
      <c r="D89" s="9"/>
      <c r="E89" s="9"/>
      <c r="F89" s="9"/>
      <c r="G89" s="9"/>
      <c r="H89" s="9"/>
      <c r="I89" s="137">
        <f t="shared" ref="I89:I104" si="40">F89*G89*H89*E89/91809/10.89</f>
        <v>0</v>
      </c>
      <c r="J89" s="137">
        <f t="shared" ref="J89:J104" si="41">(F89+G89)*H89*4/1000*E89</f>
        <v>0</v>
      </c>
      <c r="K89" s="138">
        <f t="shared" ref="K89:K96" si="42">I89</f>
        <v>0</v>
      </c>
      <c r="L89" s="138"/>
      <c r="M89" s="138"/>
      <c r="N89" s="138"/>
      <c r="O89" s="138"/>
      <c r="P89" s="138"/>
      <c r="Q89" s="138"/>
      <c r="R89" s="138"/>
      <c r="S89" s="138"/>
      <c r="T89" s="137"/>
      <c r="V89">
        <f t="shared" ref="V89:V90" si="43">H89*E89</f>
        <v>0</v>
      </c>
    </row>
    <row r="90" spans="1:22">
      <c r="A90" s="9"/>
      <c r="B90" s="154"/>
      <c r="C90" s="9"/>
      <c r="D90" s="9"/>
      <c r="E90" s="9"/>
      <c r="F90" s="9"/>
      <c r="G90" s="9"/>
      <c r="H90" s="9"/>
      <c r="I90" s="137">
        <f t="shared" si="40"/>
        <v>0</v>
      </c>
      <c r="J90" s="137">
        <f t="shared" si="41"/>
        <v>0</v>
      </c>
      <c r="K90" s="138"/>
      <c r="L90" s="138">
        <f>I90</f>
        <v>0</v>
      </c>
      <c r="M90" s="138"/>
      <c r="N90" s="138"/>
      <c r="O90" s="138"/>
      <c r="P90" s="138"/>
      <c r="Q90" s="138"/>
      <c r="R90" s="138"/>
      <c r="S90" s="138"/>
      <c r="T90" s="137"/>
      <c r="V90">
        <f t="shared" si="43"/>
        <v>0</v>
      </c>
    </row>
    <row r="91" spans="1:22">
      <c r="A91" s="9"/>
      <c r="B91" s="154"/>
      <c r="C91" s="9"/>
      <c r="D91" s="9"/>
      <c r="E91" s="9"/>
      <c r="F91" s="9"/>
      <c r="G91" s="9"/>
      <c r="H91" s="9"/>
      <c r="I91" s="137">
        <f t="shared" si="40"/>
        <v>0</v>
      </c>
      <c r="J91" s="137">
        <f t="shared" si="41"/>
        <v>0</v>
      </c>
      <c r="K91" s="138"/>
      <c r="L91" s="138">
        <f t="shared" ref="L91:L93" si="44">I91</f>
        <v>0</v>
      </c>
      <c r="M91" s="138"/>
      <c r="N91" s="138"/>
      <c r="O91" s="138"/>
      <c r="P91" s="138"/>
      <c r="Q91" s="138"/>
      <c r="R91" s="138"/>
      <c r="S91" s="138"/>
      <c r="T91" s="137"/>
    </row>
    <row r="92" spans="1:22">
      <c r="A92" s="9"/>
      <c r="B92" s="154"/>
      <c r="C92" s="9"/>
      <c r="D92" s="9"/>
      <c r="E92" s="9"/>
      <c r="F92" s="9"/>
      <c r="G92" s="9"/>
      <c r="H92" s="9"/>
      <c r="I92" s="137">
        <f t="shared" si="40"/>
        <v>0</v>
      </c>
      <c r="J92" s="137">
        <f t="shared" si="41"/>
        <v>0</v>
      </c>
      <c r="K92" s="138"/>
      <c r="L92" s="138">
        <f t="shared" si="44"/>
        <v>0</v>
      </c>
      <c r="M92" s="138"/>
      <c r="N92" s="138"/>
      <c r="O92" s="138"/>
      <c r="P92" s="138"/>
      <c r="Q92" s="138"/>
      <c r="R92" s="138"/>
      <c r="S92" s="138"/>
      <c r="T92" s="137"/>
    </row>
    <row r="93" spans="1:22">
      <c r="A93" s="9"/>
      <c r="B93" s="154"/>
      <c r="C93" s="9"/>
      <c r="D93" s="9"/>
      <c r="E93" s="9"/>
      <c r="F93" s="9"/>
      <c r="G93" s="9"/>
      <c r="H93" s="9"/>
      <c r="I93" s="137">
        <f t="shared" si="40"/>
        <v>0</v>
      </c>
      <c r="J93" s="137">
        <f t="shared" si="41"/>
        <v>0</v>
      </c>
      <c r="K93" s="138"/>
      <c r="L93" s="138">
        <f t="shared" si="44"/>
        <v>0</v>
      </c>
      <c r="M93" s="138"/>
      <c r="N93" s="138"/>
      <c r="O93" s="138"/>
      <c r="P93" s="138"/>
      <c r="Q93" s="138"/>
      <c r="R93" s="138"/>
      <c r="S93" s="138"/>
      <c r="T93" s="137"/>
    </row>
    <row r="94" spans="1:22">
      <c r="A94" s="9"/>
      <c r="B94" s="154"/>
      <c r="C94" s="9"/>
      <c r="D94" s="9"/>
      <c r="E94" s="9"/>
      <c r="F94" s="9"/>
      <c r="G94" s="9"/>
      <c r="H94" s="9"/>
      <c r="I94" s="137">
        <f t="shared" ref="I94:I96" si="45">F94*G94*H94*E94/91809/10.89</f>
        <v>0</v>
      </c>
      <c r="J94" s="137">
        <f t="shared" ref="J94:J96" si="46">(F94+G94)*H94*4/1000*E94</f>
        <v>0</v>
      </c>
      <c r="K94" s="138">
        <f t="shared" si="42"/>
        <v>0</v>
      </c>
      <c r="L94" s="138"/>
      <c r="M94" s="138"/>
      <c r="N94" s="138"/>
      <c r="O94" s="138"/>
      <c r="P94" s="138"/>
      <c r="Q94" s="138"/>
      <c r="R94" s="138"/>
      <c r="S94" s="138"/>
      <c r="T94" s="137"/>
    </row>
    <row r="95" spans="1:22">
      <c r="A95" s="9"/>
      <c r="B95" s="154"/>
      <c r="C95" s="9"/>
      <c r="D95" s="9"/>
      <c r="E95" s="9"/>
      <c r="F95" s="9"/>
      <c r="G95" s="9"/>
      <c r="H95" s="9"/>
      <c r="I95" s="137">
        <f t="shared" si="45"/>
        <v>0</v>
      </c>
      <c r="J95" s="137">
        <f t="shared" si="46"/>
        <v>0</v>
      </c>
      <c r="K95" s="138">
        <f t="shared" si="42"/>
        <v>0</v>
      </c>
      <c r="L95" s="138"/>
      <c r="M95" s="138"/>
      <c r="N95" s="138"/>
      <c r="O95" s="138"/>
      <c r="P95" s="138"/>
      <c r="Q95" s="138"/>
      <c r="R95" s="138"/>
      <c r="S95" s="138"/>
      <c r="T95" s="137"/>
    </row>
    <row r="96" spans="1:22">
      <c r="A96" s="9"/>
      <c r="B96" s="154"/>
      <c r="C96" s="9"/>
      <c r="D96" s="9"/>
      <c r="E96" s="9"/>
      <c r="F96" s="9"/>
      <c r="G96" s="9"/>
      <c r="H96" s="9"/>
      <c r="I96" s="137">
        <f t="shared" si="45"/>
        <v>0</v>
      </c>
      <c r="J96" s="137">
        <f t="shared" si="46"/>
        <v>0</v>
      </c>
      <c r="K96" s="138">
        <f t="shared" si="42"/>
        <v>0</v>
      </c>
      <c r="L96" s="138"/>
      <c r="M96" s="138"/>
      <c r="N96" s="138"/>
      <c r="O96" s="138"/>
      <c r="P96" s="138"/>
      <c r="Q96" s="138"/>
      <c r="R96" s="138"/>
      <c r="S96" s="138"/>
      <c r="T96" s="137"/>
    </row>
    <row r="97" spans="1:22">
      <c r="A97" s="9"/>
      <c r="B97" s="154"/>
      <c r="C97" s="9"/>
      <c r="D97" s="9"/>
      <c r="E97" s="9"/>
      <c r="F97" s="9"/>
      <c r="G97" s="9"/>
      <c r="H97" s="9"/>
      <c r="I97" s="137">
        <f t="shared" si="40"/>
        <v>0</v>
      </c>
      <c r="J97" s="137">
        <f t="shared" si="41"/>
        <v>0</v>
      </c>
      <c r="K97" s="138">
        <f t="shared" ref="K97" si="47">I97</f>
        <v>0</v>
      </c>
      <c r="L97" s="138"/>
      <c r="M97" s="138"/>
      <c r="N97" s="138"/>
      <c r="O97" s="138"/>
      <c r="P97" s="138"/>
      <c r="Q97" s="138"/>
      <c r="R97" s="138"/>
      <c r="S97" s="138"/>
      <c r="T97" s="137"/>
      <c r="V97">
        <f t="shared" ref="V97:V118" si="48">H97*E97</f>
        <v>0</v>
      </c>
    </row>
    <row r="98" spans="1:22">
      <c r="A98" s="9"/>
      <c r="B98" s="154"/>
      <c r="C98" s="9"/>
      <c r="D98" s="9"/>
      <c r="E98" s="9"/>
      <c r="F98" s="9"/>
      <c r="G98" s="9"/>
      <c r="H98" s="9"/>
      <c r="I98" s="137">
        <f t="shared" si="40"/>
        <v>0</v>
      </c>
      <c r="J98" s="137">
        <f t="shared" si="41"/>
        <v>0</v>
      </c>
      <c r="K98" s="138"/>
      <c r="L98" s="138">
        <f t="shared" ref="L98:L103" si="49">I98</f>
        <v>0</v>
      </c>
      <c r="M98" s="138"/>
      <c r="N98" s="138"/>
      <c r="O98" s="138"/>
      <c r="P98" s="138"/>
      <c r="Q98" s="138"/>
      <c r="R98" s="138"/>
      <c r="S98" s="138"/>
      <c r="T98" s="137"/>
      <c r="V98">
        <f t="shared" si="48"/>
        <v>0</v>
      </c>
    </row>
    <row r="99" spans="1:22">
      <c r="A99" s="9"/>
      <c r="B99" s="154"/>
      <c r="C99" s="9"/>
      <c r="D99" s="9"/>
      <c r="E99" s="9"/>
      <c r="F99" s="9"/>
      <c r="G99" s="9"/>
      <c r="H99" s="9"/>
      <c r="I99" s="137">
        <f t="shared" si="40"/>
        <v>0</v>
      </c>
      <c r="J99" s="137">
        <f t="shared" si="41"/>
        <v>0</v>
      </c>
      <c r="K99" s="138"/>
      <c r="L99" s="138">
        <f t="shared" si="49"/>
        <v>0</v>
      </c>
      <c r="M99" s="138"/>
      <c r="N99" s="138"/>
      <c r="O99" s="138"/>
      <c r="P99" s="138"/>
      <c r="Q99" s="138"/>
      <c r="R99" s="138"/>
      <c r="S99" s="138"/>
      <c r="T99" s="137"/>
      <c r="V99">
        <f t="shared" si="48"/>
        <v>0</v>
      </c>
    </row>
    <row r="100" spans="1:22">
      <c r="A100" s="9"/>
      <c r="B100" s="154"/>
      <c r="C100" s="9"/>
      <c r="D100" s="9"/>
      <c r="E100" s="9"/>
      <c r="F100" s="9"/>
      <c r="G100" s="9"/>
      <c r="H100" s="9"/>
      <c r="I100" s="137">
        <f t="shared" si="40"/>
        <v>0</v>
      </c>
      <c r="J100" s="137">
        <f t="shared" si="41"/>
        <v>0</v>
      </c>
      <c r="K100" s="138"/>
      <c r="L100" s="138">
        <f t="shared" si="49"/>
        <v>0</v>
      </c>
      <c r="M100" s="138"/>
      <c r="N100" s="138"/>
      <c r="O100" s="138"/>
      <c r="P100" s="138"/>
      <c r="Q100" s="138"/>
      <c r="R100" s="138"/>
      <c r="S100" s="138"/>
      <c r="T100" s="137"/>
      <c r="V100">
        <f t="shared" si="48"/>
        <v>0</v>
      </c>
    </row>
    <row r="101" spans="1:22">
      <c r="A101" s="9"/>
      <c r="B101" s="154"/>
      <c r="C101" s="9"/>
      <c r="D101" s="9"/>
      <c r="E101" s="9"/>
      <c r="F101" s="9"/>
      <c r="G101" s="9"/>
      <c r="H101" s="9"/>
      <c r="I101" s="137">
        <f t="shared" si="40"/>
        <v>0</v>
      </c>
      <c r="J101" s="137">
        <f t="shared" si="41"/>
        <v>0</v>
      </c>
      <c r="K101" s="138"/>
      <c r="L101" s="138">
        <f t="shared" si="49"/>
        <v>0</v>
      </c>
      <c r="M101" s="138"/>
      <c r="N101" s="138"/>
      <c r="O101" s="138"/>
      <c r="P101" s="138"/>
      <c r="Q101" s="138"/>
      <c r="R101" s="138"/>
      <c r="S101" s="138"/>
      <c r="T101" s="137"/>
      <c r="V101">
        <f t="shared" si="48"/>
        <v>0</v>
      </c>
    </row>
    <row r="102" spans="1:22">
      <c r="A102" s="9"/>
      <c r="B102" s="154"/>
      <c r="C102" s="9"/>
      <c r="D102" s="9"/>
      <c r="E102" s="9"/>
      <c r="F102" s="9"/>
      <c r="G102" s="9"/>
      <c r="H102" s="9"/>
      <c r="I102" s="137">
        <f t="shared" si="40"/>
        <v>0</v>
      </c>
      <c r="J102" s="137">
        <f t="shared" si="41"/>
        <v>0</v>
      </c>
      <c r="K102" s="138"/>
      <c r="L102" s="138">
        <f t="shared" si="49"/>
        <v>0</v>
      </c>
      <c r="M102" s="138"/>
      <c r="N102" s="138"/>
      <c r="O102" s="138"/>
      <c r="P102" s="138"/>
      <c r="Q102" s="138"/>
      <c r="R102" s="138"/>
      <c r="S102" s="138"/>
      <c r="T102" s="137"/>
      <c r="V102">
        <f t="shared" si="48"/>
        <v>0</v>
      </c>
    </row>
    <row r="103" spans="1:22">
      <c r="A103" s="9"/>
      <c r="B103" s="154"/>
      <c r="C103" s="9"/>
      <c r="D103" s="9"/>
      <c r="E103" s="9"/>
      <c r="F103" s="9"/>
      <c r="G103" s="9"/>
      <c r="H103" s="9"/>
      <c r="I103" s="137">
        <f t="shared" si="40"/>
        <v>0</v>
      </c>
      <c r="J103" s="137">
        <f t="shared" si="41"/>
        <v>0</v>
      </c>
      <c r="K103" s="138"/>
      <c r="L103" s="138">
        <f t="shared" si="49"/>
        <v>0</v>
      </c>
      <c r="M103" s="138"/>
      <c r="N103" s="138"/>
      <c r="O103" s="138"/>
      <c r="P103" s="138"/>
      <c r="Q103" s="138"/>
      <c r="R103" s="138"/>
      <c r="S103" s="138"/>
      <c r="T103" s="137"/>
      <c r="V103">
        <f t="shared" si="48"/>
        <v>0</v>
      </c>
    </row>
    <row r="104" spans="1:22">
      <c r="A104" s="9"/>
      <c r="B104" s="154"/>
      <c r="C104" s="9"/>
      <c r="D104" s="9"/>
      <c r="E104" s="9"/>
      <c r="F104" s="9"/>
      <c r="G104" s="9"/>
      <c r="H104" s="9"/>
      <c r="I104" s="137">
        <f t="shared" si="40"/>
        <v>0</v>
      </c>
      <c r="J104" s="137">
        <f t="shared" si="41"/>
        <v>0</v>
      </c>
      <c r="K104" s="138"/>
      <c r="L104" s="138">
        <f>I104</f>
        <v>0</v>
      </c>
      <c r="M104" s="138"/>
      <c r="N104" s="138"/>
      <c r="O104" s="138"/>
      <c r="P104" s="138"/>
      <c r="Q104" s="138"/>
      <c r="R104" s="138"/>
      <c r="S104" s="138"/>
      <c r="T104" s="137"/>
      <c r="V104">
        <f t="shared" si="48"/>
        <v>0</v>
      </c>
    </row>
    <row r="105" spans="1:22">
      <c r="A105" s="9"/>
      <c r="B105" s="154"/>
      <c r="C105" s="9"/>
      <c r="D105" s="9"/>
      <c r="E105" s="9"/>
      <c r="F105" s="9"/>
      <c r="G105" s="9"/>
      <c r="H105" s="9"/>
      <c r="I105" s="137">
        <f>F105*G105*H105*E105/91809/10.89</f>
        <v>0</v>
      </c>
      <c r="J105" s="137">
        <f>(F105+G105)*H105*4/1000*E105</f>
        <v>0</v>
      </c>
      <c r="K105" s="138">
        <f>I105</f>
        <v>0</v>
      </c>
      <c r="L105" s="138"/>
      <c r="M105" s="138"/>
      <c r="N105" s="138"/>
      <c r="O105" s="138"/>
      <c r="P105" s="138"/>
      <c r="Q105" s="138"/>
      <c r="R105" s="138"/>
      <c r="S105" s="138"/>
      <c r="T105" s="137"/>
      <c r="V105">
        <f t="shared" si="48"/>
        <v>0</v>
      </c>
    </row>
    <row r="106" spans="1:22">
      <c r="A106" s="9"/>
      <c r="B106" s="154"/>
      <c r="C106" s="9"/>
      <c r="D106" s="9"/>
      <c r="E106" s="9"/>
      <c r="F106" s="9"/>
      <c r="G106" s="9"/>
      <c r="H106" s="9"/>
      <c r="I106" s="137">
        <f t="shared" ref="I106:I118" si="50">F106*G106*H106*E106/91809/10.89</f>
        <v>0</v>
      </c>
      <c r="J106" s="137">
        <f t="shared" ref="J106:J118" si="51">(F106+G106)*H106*4/1000*E106</f>
        <v>0</v>
      </c>
      <c r="K106" s="138">
        <f t="shared" ref="K106" si="52">I106</f>
        <v>0</v>
      </c>
      <c r="L106" s="138"/>
      <c r="M106" s="138"/>
      <c r="N106" s="138"/>
      <c r="O106" s="138"/>
      <c r="P106" s="138"/>
      <c r="Q106" s="138"/>
      <c r="R106" s="138"/>
      <c r="S106" s="138"/>
      <c r="T106" s="137"/>
      <c r="V106">
        <f t="shared" si="48"/>
        <v>0</v>
      </c>
    </row>
    <row r="107" spans="1:22">
      <c r="A107" s="9"/>
      <c r="B107" s="154"/>
      <c r="C107" s="9"/>
      <c r="D107" s="9"/>
      <c r="E107" s="9"/>
      <c r="F107" s="9"/>
      <c r="G107" s="9"/>
      <c r="H107" s="9"/>
      <c r="I107" s="137">
        <f t="shared" si="50"/>
        <v>0</v>
      </c>
      <c r="J107" s="137">
        <f t="shared" si="51"/>
        <v>0</v>
      </c>
      <c r="K107" s="138"/>
      <c r="L107" s="138">
        <f>I107</f>
        <v>0</v>
      </c>
      <c r="M107" s="138"/>
      <c r="N107" s="138"/>
      <c r="O107" s="138"/>
      <c r="P107" s="138"/>
      <c r="Q107" s="138"/>
      <c r="R107" s="138"/>
      <c r="S107" s="138"/>
      <c r="T107" s="137"/>
      <c r="V107">
        <f t="shared" si="48"/>
        <v>0</v>
      </c>
    </row>
    <row r="108" spans="1:22">
      <c r="A108" s="9"/>
      <c r="B108" s="154"/>
      <c r="C108" s="9"/>
      <c r="D108" s="9"/>
      <c r="E108" s="9"/>
      <c r="F108" s="9"/>
      <c r="G108" s="9"/>
      <c r="H108" s="9"/>
      <c r="I108" s="137">
        <f t="shared" si="50"/>
        <v>0</v>
      </c>
      <c r="J108" s="137">
        <f t="shared" si="51"/>
        <v>0</v>
      </c>
      <c r="K108" s="138"/>
      <c r="L108" s="138">
        <f t="shared" ref="L108:L110" si="53">I108</f>
        <v>0</v>
      </c>
      <c r="M108" s="138"/>
      <c r="N108" s="138"/>
      <c r="O108" s="138"/>
      <c r="P108" s="138"/>
      <c r="Q108" s="138"/>
      <c r="R108" s="138"/>
      <c r="S108" s="138"/>
      <c r="T108" s="137"/>
      <c r="V108">
        <f t="shared" si="48"/>
        <v>0</v>
      </c>
    </row>
    <row r="109" spans="1:22">
      <c r="A109" s="9"/>
      <c r="B109" s="154"/>
      <c r="C109" s="9"/>
      <c r="D109" s="9"/>
      <c r="E109" s="9"/>
      <c r="F109" s="9"/>
      <c r="G109" s="9"/>
      <c r="H109" s="9"/>
      <c r="I109" s="137">
        <f t="shared" si="50"/>
        <v>0</v>
      </c>
      <c r="J109" s="137">
        <f t="shared" si="51"/>
        <v>0</v>
      </c>
      <c r="K109" s="138"/>
      <c r="L109" s="138">
        <f t="shared" si="53"/>
        <v>0</v>
      </c>
      <c r="M109" s="138"/>
      <c r="N109" s="138"/>
      <c r="O109" s="138"/>
      <c r="P109" s="138"/>
      <c r="Q109" s="138"/>
      <c r="R109" s="138"/>
      <c r="S109" s="138"/>
      <c r="T109" s="137"/>
      <c r="V109">
        <f t="shared" si="48"/>
        <v>0</v>
      </c>
    </row>
    <row r="110" spans="1:22">
      <c r="A110" s="9"/>
      <c r="B110" s="154"/>
      <c r="C110" s="9"/>
      <c r="D110" s="9"/>
      <c r="E110" s="9"/>
      <c r="F110" s="9"/>
      <c r="G110" s="9"/>
      <c r="H110" s="9"/>
      <c r="I110" s="137">
        <f t="shared" si="50"/>
        <v>0</v>
      </c>
      <c r="J110" s="137">
        <f t="shared" si="51"/>
        <v>0</v>
      </c>
      <c r="K110" s="138"/>
      <c r="L110" s="138">
        <f t="shared" si="53"/>
        <v>0</v>
      </c>
      <c r="M110" s="138"/>
      <c r="N110" s="138"/>
      <c r="O110" s="138"/>
      <c r="P110" s="138"/>
      <c r="Q110" s="138"/>
      <c r="R110" s="138"/>
      <c r="S110" s="138"/>
      <c r="T110" s="137"/>
      <c r="V110">
        <f t="shared" si="48"/>
        <v>0</v>
      </c>
    </row>
    <row r="111" spans="1:22">
      <c r="A111" s="9"/>
      <c r="B111" s="154"/>
      <c r="C111" s="9"/>
      <c r="D111" s="9"/>
      <c r="E111" s="9"/>
      <c r="F111" s="9"/>
      <c r="G111" s="9"/>
      <c r="H111" s="9"/>
      <c r="I111" s="137">
        <f t="shared" si="50"/>
        <v>0</v>
      </c>
      <c r="J111" s="137">
        <f t="shared" si="51"/>
        <v>0</v>
      </c>
      <c r="K111" s="138">
        <f t="shared" ref="K111" si="54">I111</f>
        <v>0</v>
      </c>
      <c r="L111" s="138"/>
      <c r="M111" s="138"/>
      <c r="N111" s="138"/>
      <c r="O111" s="138"/>
      <c r="P111" s="138"/>
      <c r="Q111" s="138"/>
      <c r="R111" s="138"/>
      <c r="S111" s="138"/>
      <c r="T111" s="137"/>
      <c r="V111">
        <f t="shared" si="48"/>
        <v>0</v>
      </c>
    </row>
    <row r="112" spans="1:22">
      <c r="A112" s="9"/>
      <c r="B112" s="154"/>
      <c r="C112" s="9"/>
      <c r="D112" s="9"/>
      <c r="E112" s="9"/>
      <c r="F112" s="9"/>
      <c r="G112" s="9"/>
      <c r="H112" s="9"/>
      <c r="I112" s="137">
        <f t="shared" si="50"/>
        <v>0</v>
      </c>
      <c r="J112" s="137">
        <f t="shared" si="51"/>
        <v>0</v>
      </c>
      <c r="K112" s="138"/>
      <c r="L112" s="138">
        <f t="shared" ref="L112:L117" si="55">I112</f>
        <v>0</v>
      </c>
      <c r="M112" s="138"/>
      <c r="N112" s="138"/>
      <c r="O112" s="138"/>
      <c r="P112" s="138"/>
      <c r="Q112" s="138"/>
      <c r="R112" s="138"/>
      <c r="S112" s="138"/>
      <c r="T112" s="137"/>
      <c r="V112">
        <f t="shared" si="48"/>
        <v>0</v>
      </c>
    </row>
    <row r="113" spans="1:22">
      <c r="A113" s="9"/>
      <c r="B113" s="154"/>
      <c r="C113" s="9"/>
      <c r="D113" s="9"/>
      <c r="E113" s="9"/>
      <c r="F113" s="9"/>
      <c r="G113" s="9"/>
      <c r="H113" s="9"/>
      <c r="I113" s="137">
        <f t="shared" si="50"/>
        <v>0</v>
      </c>
      <c r="J113" s="137">
        <f t="shared" si="51"/>
        <v>0</v>
      </c>
      <c r="K113" s="138"/>
      <c r="L113" s="138">
        <f t="shared" si="55"/>
        <v>0</v>
      </c>
      <c r="M113" s="138"/>
      <c r="N113" s="138"/>
      <c r="O113" s="138"/>
      <c r="P113" s="138"/>
      <c r="Q113" s="138"/>
      <c r="R113" s="138"/>
      <c r="S113" s="138"/>
      <c r="T113" s="137"/>
      <c r="V113">
        <f t="shared" si="48"/>
        <v>0</v>
      </c>
    </row>
    <row r="114" spans="1:22">
      <c r="A114" s="9"/>
      <c r="B114" s="154"/>
      <c r="C114" s="9"/>
      <c r="D114" s="9"/>
      <c r="E114" s="9"/>
      <c r="F114" s="9"/>
      <c r="G114" s="9"/>
      <c r="H114" s="9"/>
      <c r="I114" s="137">
        <f t="shared" si="50"/>
        <v>0</v>
      </c>
      <c r="J114" s="137">
        <f t="shared" si="51"/>
        <v>0</v>
      </c>
      <c r="K114" s="138"/>
      <c r="L114" s="138">
        <f t="shared" si="55"/>
        <v>0</v>
      </c>
      <c r="M114" s="138"/>
      <c r="N114" s="138"/>
      <c r="O114" s="138"/>
      <c r="P114" s="138"/>
      <c r="Q114" s="138"/>
      <c r="R114" s="138"/>
      <c r="S114" s="138"/>
      <c r="T114" s="137"/>
      <c r="V114">
        <f t="shared" si="48"/>
        <v>0</v>
      </c>
    </row>
    <row r="115" spans="1:22">
      <c r="A115" s="9"/>
      <c r="B115" s="154"/>
      <c r="C115" s="9"/>
      <c r="D115" s="9"/>
      <c r="E115" s="9"/>
      <c r="F115" s="9"/>
      <c r="G115" s="9"/>
      <c r="H115" s="9"/>
      <c r="I115" s="137">
        <f t="shared" si="50"/>
        <v>0</v>
      </c>
      <c r="J115" s="137">
        <f t="shared" si="51"/>
        <v>0</v>
      </c>
      <c r="K115" s="138"/>
      <c r="L115" s="138">
        <f t="shared" si="55"/>
        <v>0</v>
      </c>
      <c r="M115" s="138"/>
      <c r="N115" s="138"/>
      <c r="O115" s="138"/>
      <c r="P115" s="138"/>
      <c r="Q115" s="138"/>
      <c r="R115" s="138"/>
      <c r="S115" s="138"/>
      <c r="T115" s="137"/>
      <c r="V115">
        <f t="shared" si="48"/>
        <v>0</v>
      </c>
    </row>
    <row r="116" spans="1:22">
      <c r="A116" s="9"/>
      <c r="B116" s="154"/>
      <c r="C116" s="9"/>
      <c r="D116" s="9"/>
      <c r="E116" s="9"/>
      <c r="F116" s="9"/>
      <c r="G116" s="9"/>
      <c r="H116" s="9"/>
      <c r="I116" s="137">
        <f t="shared" si="50"/>
        <v>0</v>
      </c>
      <c r="J116" s="137">
        <f t="shared" si="51"/>
        <v>0</v>
      </c>
      <c r="K116" s="138"/>
      <c r="L116" s="138">
        <f t="shared" si="55"/>
        <v>0</v>
      </c>
      <c r="M116" s="138"/>
      <c r="N116" s="138"/>
      <c r="O116" s="138"/>
      <c r="P116" s="138"/>
      <c r="Q116" s="138"/>
      <c r="R116" s="138"/>
      <c r="S116" s="138"/>
      <c r="T116" s="137"/>
      <c r="V116">
        <f t="shared" si="48"/>
        <v>0</v>
      </c>
    </row>
    <row r="117" spans="1:22">
      <c r="A117" s="9"/>
      <c r="B117" s="154"/>
      <c r="C117" s="9"/>
      <c r="D117" s="9"/>
      <c r="E117" s="9"/>
      <c r="F117" s="9"/>
      <c r="G117" s="9"/>
      <c r="H117" s="9"/>
      <c r="I117" s="137">
        <f t="shared" si="50"/>
        <v>0</v>
      </c>
      <c r="J117" s="137">
        <f t="shared" si="51"/>
        <v>0</v>
      </c>
      <c r="K117" s="138"/>
      <c r="L117" s="138">
        <f t="shared" si="55"/>
        <v>0</v>
      </c>
      <c r="M117" s="138"/>
      <c r="N117" s="138"/>
      <c r="O117" s="138"/>
      <c r="P117" s="138"/>
      <c r="Q117" s="138"/>
      <c r="R117" s="138"/>
      <c r="S117" s="138"/>
      <c r="T117" s="137"/>
      <c r="V117">
        <f t="shared" si="48"/>
        <v>0</v>
      </c>
    </row>
    <row r="118" spans="1:22">
      <c r="A118" s="9"/>
      <c r="B118" s="154"/>
      <c r="C118" s="9"/>
      <c r="D118" s="9"/>
      <c r="E118" s="9"/>
      <c r="F118" s="9"/>
      <c r="G118" s="9"/>
      <c r="H118" s="9"/>
      <c r="I118" s="137">
        <f t="shared" si="50"/>
        <v>0</v>
      </c>
      <c r="J118" s="137">
        <f t="shared" si="51"/>
        <v>0</v>
      </c>
      <c r="K118" s="138"/>
      <c r="L118" s="138">
        <f>I118</f>
        <v>0</v>
      </c>
      <c r="M118" s="138"/>
      <c r="N118" s="138"/>
      <c r="O118" s="138"/>
      <c r="P118" s="138"/>
      <c r="Q118" s="138"/>
      <c r="R118" s="138"/>
      <c r="S118" s="138"/>
      <c r="T118" s="137"/>
      <c r="V118">
        <f t="shared" si="48"/>
        <v>0</v>
      </c>
    </row>
    <row r="119" spans="1:22">
      <c r="A119" s="9"/>
      <c r="B119" s="154"/>
      <c r="C119" s="9"/>
      <c r="D119" s="9"/>
      <c r="E119" s="9"/>
      <c r="F119" s="9"/>
      <c r="G119" s="9"/>
      <c r="H119" s="9"/>
      <c r="I119" s="137">
        <f>F119*G119*H119*E119/91809/10.89</f>
        <v>0</v>
      </c>
      <c r="J119" s="137">
        <f>(F119+G119)*H119*4/1000*E119</f>
        <v>0</v>
      </c>
      <c r="K119" s="138">
        <f>I119</f>
        <v>0</v>
      </c>
      <c r="L119" s="138"/>
      <c r="M119" s="138"/>
      <c r="N119" s="138"/>
      <c r="O119" s="138"/>
      <c r="P119" s="138"/>
      <c r="Q119" s="138"/>
      <c r="R119" s="138"/>
      <c r="S119" s="138"/>
      <c r="T119" s="137"/>
      <c r="V119">
        <f>H119*E119</f>
        <v>0</v>
      </c>
    </row>
    <row r="120" spans="1:22">
      <c r="A120" s="9"/>
      <c r="B120" s="154"/>
      <c r="C120" s="9"/>
      <c r="D120" s="9"/>
      <c r="E120" s="9"/>
      <c r="F120" s="9"/>
      <c r="G120" s="9"/>
      <c r="H120" s="9"/>
      <c r="I120" s="137">
        <f t="shared" ref="I120:I132" si="56">F120*G120*H120*E120/91809/10.89</f>
        <v>0</v>
      </c>
      <c r="J120" s="137">
        <f t="shared" ref="J120:J132" si="57">(F120+G120)*H120*4/1000*E120</f>
        <v>0</v>
      </c>
      <c r="K120" s="138">
        <f t="shared" ref="K120" si="58">I120</f>
        <v>0</v>
      </c>
      <c r="L120" s="138"/>
      <c r="M120" s="138"/>
      <c r="N120" s="138"/>
      <c r="O120" s="138"/>
      <c r="P120" s="138"/>
      <c r="Q120" s="138"/>
      <c r="R120" s="138"/>
      <c r="S120" s="138"/>
      <c r="T120" s="137"/>
      <c r="V120">
        <f t="shared" ref="V120:V121" si="59">H120*E120</f>
        <v>0</v>
      </c>
    </row>
    <row r="121" spans="1:22">
      <c r="A121" s="9"/>
      <c r="B121" s="154"/>
      <c r="C121" s="9"/>
      <c r="D121" s="9"/>
      <c r="E121" s="9"/>
      <c r="F121" s="9"/>
      <c r="G121" s="9"/>
      <c r="H121" s="9"/>
      <c r="I121" s="137">
        <f t="shared" si="56"/>
        <v>0</v>
      </c>
      <c r="J121" s="137">
        <f t="shared" si="57"/>
        <v>0</v>
      </c>
      <c r="K121" s="138"/>
      <c r="L121" s="138">
        <f>I121</f>
        <v>0</v>
      </c>
      <c r="M121" s="138"/>
      <c r="N121" s="138"/>
      <c r="O121" s="138"/>
      <c r="P121" s="138"/>
      <c r="Q121" s="138"/>
      <c r="R121" s="138"/>
      <c r="S121" s="138"/>
      <c r="T121" s="137"/>
      <c r="V121">
        <f t="shared" si="59"/>
        <v>0</v>
      </c>
    </row>
    <row r="122" spans="1:22">
      <c r="A122" s="9"/>
      <c r="B122" s="154"/>
      <c r="C122" s="9"/>
      <c r="D122" s="9"/>
      <c r="E122" s="9"/>
      <c r="F122" s="9"/>
      <c r="G122" s="9"/>
      <c r="H122" s="9"/>
      <c r="I122" s="137">
        <f t="shared" si="56"/>
        <v>0</v>
      </c>
      <c r="J122" s="137">
        <f t="shared" si="57"/>
        <v>0</v>
      </c>
      <c r="K122" s="138"/>
      <c r="L122" s="138">
        <f t="shared" ref="L122:L124" si="60">I122</f>
        <v>0</v>
      </c>
      <c r="M122" s="138"/>
      <c r="N122" s="138"/>
      <c r="O122" s="138"/>
      <c r="P122" s="138"/>
      <c r="Q122" s="138"/>
      <c r="R122" s="138"/>
      <c r="S122" s="138"/>
      <c r="T122" s="137"/>
    </row>
    <row r="123" spans="1:22">
      <c r="A123" s="9"/>
      <c r="B123" s="154"/>
      <c r="C123" s="9"/>
      <c r="D123" s="9"/>
      <c r="E123" s="9"/>
      <c r="F123" s="9"/>
      <c r="G123" s="9"/>
      <c r="H123" s="9"/>
      <c r="I123" s="137">
        <f t="shared" si="56"/>
        <v>0</v>
      </c>
      <c r="J123" s="137">
        <f t="shared" si="57"/>
        <v>0</v>
      </c>
      <c r="K123" s="138"/>
      <c r="L123" s="138">
        <f t="shared" si="60"/>
        <v>0</v>
      </c>
      <c r="M123" s="138"/>
      <c r="N123" s="138"/>
      <c r="O123" s="138"/>
      <c r="P123" s="138"/>
      <c r="Q123" s="138"/>
      <c r="R123" s="138"/>
      <c r="S123" s="138"/>
      <c r="T123" s="137"/>
    </row>
    <row r="124" spans="1:22">
      <c r="A124" s="9"/>
      <c r="B124" s="154"/>
      <c r="C124" s="9"/>
      <c r="D124" s="9"/>
      <c r="E124" s="9"/>
      <c r="F124" s="9"/>
      <c r="G124" s="9"/>
      <c r="H124" s="9"/>
      <c r="I124" s="137">
        <f t="shared" si="56"/>
        <v>0</v>
      </c>
      <c r="J124" s="137">
        <f t="shared" si="57"/>
        <v>0</v>
      </c>
      <c r="K124" s="138"/>
      <c r="L124" s="138">
        <f t="shared" si="60"/>
        <v>0</v>
      </c>
      <c r="M124" s="138"/>
      <c r="N124" s="138"/>
      <c r="O124" s="138"/>
      <c r="P124" s="138"/>
      <c r="Q124" s="138"/>
      <c r="R124" s="138"/>
      <c r="S124" s="138"/>
      <c r="T124" s="137"/>
    </row>
    <row r="125" spans="1:22">
      <c r="A125" s="9"/>
      <c r="B125" s="154"/>
      <c r="C125" s="9"/>
      <c r="D125" s="9"/>
      <c r="E125" s="9"/>
      <c r="F125" s="9"/>
      <c r="G125" s="9"/>
      <c r="H125" s="9"/>
      <c r="I125" s="137">
        <f t="shared" si="56"/>
        <v>0</v>
      </c>
      <c r="J125" s="137">
        <f t="shared" si="57"/>
        <v>0</v>
      </c>
      <c r="K125" s="138">
        <f t="shared" ref="K125" si="61">I125</f>
        <v>0</v>
      </c>
      <c r="L125" s="138"/>
      <c r="M125" s="138"/>
      <c r="N125" s="138"/>
      <c r="O125" s="138"/>
      <c r="P125" s="138"/>
      <c r="Q125" s="138"/>
      <c r="R125" s="138"/>
      <c r="S125" s="138"/>
      <c r="T125" s="137"/>
      <c r="V125">
        <f t="shared" ref="V125:V132" si="62">H125*E125</f>
        <v>0</v>
      </c>
    </row>
    <row r="126" spans="1:22">
      <c r="A126" s="9"/>
      <c r="B126" s="154"/>
      <c r="C126" s="9"/>
      <c r="D126" s="9"/>
      <c r="E126" s="9"/>
      <c r="F126" s="9"/>
      <c r="G126" s="9"/>
      <c r="H126" s="9"/>
      <c r="I126" s="137">
        <f t="shared" si="56"/>
        <v>0</v>
      </c>
      <c r="J126" s="137">
        <f t="shared" si="57"/>
        <v>0</v>
      </c>
      <c r="K126" s="138"/>
      <c r="L126" s="138">
        <f t="shared" ref="L126:L131" si="63">I126</f>
        <v>0</v>
      </c>
      <c r="M126" s="138"/>
      <c r="N126" s="138"/>
      <c r="O126" s="138"/>
      <c r="P126" s="138"/>
      <c r="Q126" s="138"/>
      <c r="R126" s="138"/>
      <c r="S126" s="138"/>
      <c r="T126" s="137"/>
      <c r="V126">
        <f t="shared" si="62"/>
        <v>0</v>
      </c>
    </row>
    <row r="127" spans="1:22">
      <c r="A127" s="9"/>
      <c r="B127" s="154"/>
      <c r="C127" s="9"/>
      <c r="D127" s="9"/>
      <c r="E127" s="9"/>
      <c r="F127" s="9"/>
      <c r="G127" s="9"/>
      <c r="H127" s="9"/>
      <c r="I127" s="137">
        <f t="shared" si="56"/>
        <v>0</v>
      </c>
      <c r="J127" s="137">
        <f t="shared" si="57"/>
        <v>0</v>
      </c>
      <c r="K127" s="138"/>
      <c r="L127" s="138">
        <f t="shared" si="63"/>
        <v>0</v>
      </c>
      <c r="M127" s="138"/>
      <c r="N127" s="138"/>
      <c r="O127" s="138"/>
      <c r="P127" s="138"/>
      <c r="Q127" s="138"/>
      <c r="R127" s="138"/>
      <c r="S127" s="138"/>
      <c r="T127" s="137"/>
      <c r="V127">
        <f t="shared" si="62"/>
        <v>0</v>
      </c>
    </row>
    <row r="128" spans="1:22">
      <c r="A128" s="9"/>
      <c r="B128" s="154"/>
      <c r="C128" s="9"/>
      <c r="D128" s="9"/>
      <c r="E128" s="9"/>
      <c r="F128" s="9"/>
      <c r="G128" s="9"/>
      <c r="H128" s="9"/>
      <c r="I128" s="137">
        <f t="shared" si="56"/>
        <v>0</v>
      </c>
      <c r="J128" s="137">
        <f t="shared" si="57"/>
        <v>0</v>
      </c>
      <c r="K128" s="138"/>
      <c r="L128" s="138">
        <f t="shared" si="63"/>
        <v>0</v>
      </c>
      <c r="M128" s="138"/>
      <c r="N128" s="138"/>
      <c r="O128" s="138"/>
      <c r="P128" s="138"/>
      <c r="Q128" s="138"/>
      <c r="R128" s="138"/>
      <c r="S128" s="138"/>
      <c r="T128" s="137"/>
      <c r="V128">
        <f t="shared" si="62"/>
        <v>0</v>
      </c>
    </row>
    <row r="129" spans="1:22">
      <c r="A129" s="9"/>
      <c r="B129" s="154"/>
      <c r="C129" s="9"/>
      <c r="D129" s="9"/>
      <c r="E129" s="9"/>
      <c r="F129" s="9"/>
      <c r="G129" s="9"/>
      <c r="H129" s="9"/>
      <c r="I129" s="137">
        <f t="shared" si="56"/>
        <v>0</v>
      </c>
      <c r="J129" s="137">
        <f t="shared" si="57"/>
        <v>0</v>
      </c>
      <c r="K129" s="138"/>
      <c r="L129" s="138">
        <f t="shared" si="63"/>
        <v>0</v>
      </c>
      <c r="M129" s="138"/>
      <c r="N129" s="138"/>
      <c r="O129" s="138"/>
      <c r="P129" s="138"/>
      <c r="Q129" s="138"/>
      <c r="R129" s="138"/>
      <c r="S129" s="138"/>
      <c r="T129" s="137"/>
      <c r="V129">
        <f t="shared" si="62"/>
        <v>0</v>
      </c>
    </row>
    <row r="130" spans="1:22">
      <c r="A130" s="9"/>
      <c r="B130" s="154"/>
      <c r="C130" s="9"/>
      <c r="D130" s="9"/>
      <c r="E130" s="9"/>
      <c r="F130" s="9"/>
      <c r="G130" s="9"/>
      <c r="H130" s="9"/>
      <c r="I130" s="137">
        <f t="shared" si="56"/>
        <v>0</v>
      </c>
      <c r="J130" s="137">
        <f t="shared" si="57"/>
        <v>0</v>
      </c>
      <c r="K130" s="138"/>
      <c r="L130" s="138">
        <f t="shared" si="63"/>
        <v>0</v>
      </c>
      <c r="M130" s="138"/>
      <c r="N130" s="138"/>
      <c r="O130" s="138"/>
      <c r="P130" s="138"/>
      <c r="Q130" s="138"/>
      <c r="R130" s="138"/>
      <c r="S130" s="138"/>
      <c r="T130" s="137"/>
      <c r="V130">
        <f t="shared" si="62"/>
        <v>0</v>
      </c>
    </row>
    <row r="131" spans="1:22">
      <c r="A131" s="9"/>
      <c r="B131" s="154"/>
      <c r="C131" s="9"/>
      <c r="D131" s="9"/>
      <c r="E131" s="9"/>
      <c r="F131" s="9"/>
      <c r="G131" s="9"/>
      <c r="H131" s="9"/>
      <c r="I131" s="137">
        <f t="shared" si="56"/>
        <v>0</v>
      </c>
      <c r="J131" s="137">
        <f t="shared" si="57"/>
        <v>0</v>
      </c>
      <c r="K131" s="138"/>
      <c r="L131" s="138">
        <f t="shared" si="63"/>
        <v>0</v>
      </c>
      <c r="M131" s="138"/>
      <c r="N131" s="138"/>
      <c r="O131" s="138"/>
      <c r="P131" s="138"/>
      <c r="Q131" s="138"/>
      <c r="R131" s="138"/>
      <c r="S131" s="138"/>
      <c r="T131" s="137"/>
      <c r="V131">
        <f t="shared" si="62"/>
        <v>0</v>
      </c>
    </row>
    <row r="132" spans="1:22">
      <c r="A132" s="9"/>
      <c r="B132" s="154"/>
      <c r="C132" s="9"/>
      <c r="D132" s="9"/>
      <c r="E132" s="9"/>
      <c r="F132" s="9"/>
      <c r="G132" s="9"/>
      <c r="H132" s="9"/>
      <c r="I132" s="137">
        <f t="shared" si="56"/>
        <v>0</v>
      </c>
      <c r="J132" s="137">
        <f t="shared" si="57"/>
        <v>0</v>
      </c>
      <c r="K132" s="138"/>
      <c r="L132" s="138">
        <f>I132</f>
        <v>0</v>
      </c>
      <c r="M132" s="138"/>
      <c r="N132" s="138"/>
      <c r="O132" s="138"/>
      <c r="P132" s="138"/>
      <c r="Q132" s="138"/>
      <c r="R132" s="138"/>
      <c r="S132" s="138"/>
      <c r="T132" s="137"/>
      <c r="V132">
        <f t="shared" si="62"/>
        <v>0</v>
      </c>
    </row>
    <row r="133" spans="1:22">
      <c r="A133" s="14"/>
      <c r="B133" s="155"/>
      <c r="C133" s="120"/>
      <c r="D133" s="120"/>
      <c r="E133" s="120"/>
      <c r="F133" s="120"/>
      <c r="G133" s="120"/>
      <c r="H133" s="120"/>
      <c r="I133" s="139">
        <f t="shared" ref="I133:I146" si="64">F133*G133*H133*E133/91809/10.89</f>
        <v>0</v>
      </c>
      <c r="J133" s="139">
        <f t="shared" ref="J133:J146" si="65">(F133+G133)*H133*4/1000*E133</f>
        <v>0</v>
      </c>
      <c r="K133" s="140"/>
      <c r="L133" s="140">
        <f t="shared" ref="L133" si="66">I133</f>
        <v>0</v>
      </c>
      <c r="M133" s="138"/>
      <c r="N133" s="138"/>
      <c r="O133" s="138"/>
      <c r="P133" s="138"/>
      <c r="Q133" s="138"/>
      <c r="R133" s="138"/>
      <c r="S133" s="138"/>
      <c r="T133" s="137"/>
      <c r="V133">
        <f t="shared" ref="V133:V148" si="67">H133*E133</f>
        <v>0</v>
      </c>
    </row>
    <row r="134" spans="1:22">
      <c r="A134" s="120"/>
      <c r="B134" s="155"/>
      <c r="C134" s="120"/>
      <c r="D134" s="120"/>
      <c r="E134" s="120"/>
      <c r="F134" s="120"/>
      <c r="G134" s="120"/>
      <c r="H134" s="120"/>
      <c r="I134" s="139">
        <f t="shared" ref="I134" si="68">F134*G134*H134*E134/91809/10.89</f>
        <v>0</v>
      </c>
      <c r="J134" s="139">
        <f t="shared" ref="J134" si="69">(F134+G134)*H134*4/1000*E134</f>
        <v>0</v>
      </c>
      <c r="K134" s="140"/>
      <c r="L134" s="140"/>
      <c r="M134" s="140">
        <f>I134</f>
        <v>0</v>
      </c>
      <c r="N134" s="140"/>
      <c r="O134" s="140"/>
      <c r="P134" s="140"/>
      <c r="Q134" s="140"/>
      <c r="R134" s="140"/>
      <c r="S134" s="140"/>
      <c r="T134" s="139"/>
    </row>
    <row r="135" spans="1:22">
      <c r="A135" s="120"/>
      <c r="B135" s="155"/>
      <c r="C135" s="120"/>
      <c r="D135" s="120"/>
      <c r="E135" s="120"/>
      <c r="F135" s="120"/>
      <c r="G135" s="120"/>
      <c r="H135" s="120"/>
      <c r="I135" s="139">
        <f t="shared" si="64"/>
        <v>0</v>
      </c>
      <c r="J135" s="139">
        <f t="shared" si="65"/>
        <v>0</v>
      </c>
      <c r="K135" s="140"/>
      <c r="L135" s="140"/>
      <c r="M135" s="140">
        <f>I135</f>
        <v>0</v>
      </c>
      <c r="N135" s="140"/>
      <c r="O135" s="140"/>
      <c r="P135" s="140"/>
      <c r="Q135" s="140"/>
      <c r="R135" s="140"/>
      <c r="S135" s="140"/>
      <c r="T135" s="139"/>
      <c r="V135">
        <f t="shared" si="67"/>
        <v>0</v>
      </c>
    </row>
    <row r="136" spans="1:22">
      <c r="A136" s="9"/>
      <c r="B136" s="155"/>
      <c r="C136" s="120"/>
      <c r="D136" s="9"/>
      <c r="E136" s="9"/>
      <c r="F136" s="9"/>
      <c r="G136" s="9"/>
      <c r="H136" s="9"/>
      <c r="I136" s="137">
        <f t="shared" si="64"/>
        <v>0</v>
      </c>
      <c r="J136" s="137">
        <f t="shared" si="65"/>
        <v>0</v>
      </c>
      <c r="K136" s="138"/>
      <c r="L136" s="140"/>
      <c r="M136" s="140">
        <f t="shared" ref="M136:M137" si="70">I136</f>
        <v>0</v>
      </c>
      <c r="N136" s="140"/>
      <c r="O136" s="140"/>
      <c r="P136" s="140"/>
      <c r="Q136" s="140"/>
      <c r="R136" s="140"/>
      <c r="S136" s="140"/>
      <c r="T136" s="139"/>
      <c r="V136">
        <f t="shared" si="67"/>
        <v>0</v>
      </c>
    </row>
    <row r="137" spans="1:22">
      <c r="A137" s="9"/>
      <c r="B137" s="155"/>
      <c r="C137" s="120"/>
      <c r="D137" s="9"/>
      <c r="E137" s="9"/>
      <c r="F137" s="9"/>
      <c r="G137" s="9"/>
      <c r="H137" s="9"/>
      <c r="I137" s="137">
        <f t="shared" si="64"/>
        <v>0</v>
      </c>
      <c r="J137" s="137">
        <f t="shared" si="65"/>
        <v>0</v>
      </c>
      <c r="K137" s="138"/>
      <c r="L137" s="140"/>
      <c r="M137" s="140">
        <f t="shared" si="70"/>
        <v>0</v>
      </c>
      <c r="N137" s="140"/>
      <c r="O137" s="140"/>
      <c r="P137" s="140"/>
      <c r="Q137" s="140"/>
      <c r="R137" s="140"/>
      <c r="S137" s="140"/>
      <c r="T137" s="139"/>
      <c r="V137">
        <f t="shared" si="67"/>
        <v>0</v>
      </c>
    </row>
    <row r="138" spans="1:22">
      <c r="A138" s="9"/>
      <c r="B138" s="154"/>
      <c r="C138" s="9"/>
      <c r="D138" s="9"/>
      <c r="E138" s="9"/>
      <c r="F138" s="9"/>
      <c r="G138" s="9"/>
      <c r="H138" s="9"/>
      <c r="I138" s="137">
        <f t="shared" si="64"/>
        <v>0</v>
      </c>
      <c r="J138" s="137">
        <f t="shared" si="65"/>
        <v>0</v>
      </c>
      <c r="K138" s="138">
        <f>I138</f>
        <v>0</v>
      </c>
      <c r="L138" s="140"/>
      <c r="M138" s="140"/>
      <c r="N138" s="140"/>
      <c r="O138" s="140"/>
      <c r="P138" s="140"/>
      <c r="Q138" s="140"/>
      <c r="R138" s="140"/>
      <c r="S138" s="140"/>
      <c r="T138" s="139"/>
      <c r="V138">
        <f t="shared" si="67"/>
        <v>0</v>
      </c>
    </row>
    <row r="139" spans="1:22">
      <c r="A139" s="158"/>
      <c r="B139" s="157"/>
      <c r="C139" s="158"/>
      <c r="D139" s="123"/>
      <c r="E139" s="9"/>
      <c r="F139" s="9"/>
      <c r="G139" s="9"/>
      <c r="H139" s="9"/>
      <c r="I139" s="137">
        <f t="shared" si="64"/>
        <v>0</v>
      </c>
      <c r="J139" s="137">
        <f t="shared" si="65"/>
        <v>0</v>
      </c>
      <c r="K139" s="138"/>
      <c r="L139" s="140"/>
      <c r="M139" s="140"/>
      <c r="N139" s="140"/>
      <c r="O139" s="140"/>
      <c r="P139" s="140"/>
      <c r="Q139" s="140"/>
      <c r="R139" s="140"/>
      <c r="S139" s="140">
        <f>I139</f>
        <v>0</v>
      </c>
      <c r="T139" s="139"/>
      <c r="V139">
        <f t="shared" si="67"/>
        <v>0</v>
      </c>
    </row>
    <row r="140" spans="1:22">
      <c r="A140" s="9"/>
      <c r="B140" s="155"/>
      <c r="C140" s="120"/>
      <c r="D140" s="9"/>
      <c r="E140" s="9"/>
      <c r="F140" s="9"/>
      <c r="G140" s="9"/>
      <c r="H140" s="9"/>
      <c r="I140" s="137">
        <f t="shared" si="64"/>
        <v>0</v>
      </c>
      <c r="J140" s="137">
        <f t="shared" si="65"/>
        <v>0</v>
      </c>
      <c r="K140" s="138"/>
      <c r="L140" s="140"/>
      <c r="M140" s="140">
        <f>I140</f>
        <v>0</v>
      </c>
      <c r="N140" s="140"/>
      <c r="O140" s="140"/>
      <c r="P140" s="140"/>
      <c r="Q140" s="140"/>
      <c r="R140" s="140"/>
      <c r="S140" s="140"/>
      <c r="T140" s="139"/>
      <c r="V140">
        <f t="shared" si="67"/>
        <v>0</v>
      </c>
    </row>
    <row r="141" spans="1:22">
      <c r="A141" s="9"/>
      <c r="B141" s="155"/>
      <c r="C141" s="9"/>
      <c r="D141" s="9"/>
      <c r="E141" s="9"/>
      <c r="F141" s="9"/>
      <c r="G141" s="9"/>
      <c r="H141" s="9"/>
      <c r="I141" s="137">
        <f t="shared" si="64"/>
        <v>0</v>
      </c>
      <c r="J141" s="137">
        <f t="shared" si="65"/>
        <v>0</v>
      </c>
      <c r="K141" s="138"/>
      <c r="L141" s="140"/>
      <c r="M141" s="140"/>
      <c r="N141" s="140">
        <f>I141</f>
        <v>0</v>
      </c>
      <c r="O141" s="140"/>
      <c r="P141" s="140"/>
      <c r="Q141" s="140"/>
      <c r="R141" s="140"/>
      <c r="S141" s="140"/>
      <c r="T141" s="139"/>
      <c r="V141">
        <f t="shared" si="67"/>
        <v>0</v>
      </c>
    </row>
    <row r="142" spans="1:22">
      <c r="A142" s="9"/>
      <c r="B142" s="155"/>
      <c r="C142" s="120"/>
      <c r="D142" s="9"/>
      <c r="E142" s="9"/>
      <c r="F142" s="9"/>
      <c r="G142" s="9"/>
      <c r="H142" s="9"/>
      <c r="I142" s="137">
        <f t="shared" si="64"/>
        <v>0</v>
      </c>
      <c r="J142" s="137">
        <f t="shared" si="65"/>
        <v>0</v>
      </c>
      <c r="K142" s="138"/>
      <c r="L142" s="140"/>
      <c r="M142" s="140"/>
      <c r="N142" s="140"/>
      <c r="O142" s="140">
        <f>I142</f>
        <v>0</v>
      </c>
      <c r="P142" s="140"/>
      <c r="Q142" s="140"/>
      <c r="R142" s="140"/>
      <c r="S142" s="140"/>
      <c r="T142" s="139"/>
      <c r="V142">
        <f t="shared" si="67"/>
        <v>0</v>
      </c>
    </row>
    <row r="143" spans="1:22">
      <c r="A143" s="9"/>
      <c r="B143" s="155"/>
      <c r="C143" s="9"/>
      <c r="D143" s="9"/>
      <c r="E143" s="9"/>
      <c r="F143" s="9"/>
      <c r="G143" s="9"/>
      <c r="H143" s="9"/>
      <c r="I143" s="137">
        <f t="shared" si="64"/>
        <v>0</v>
      </c>
      <c r="J143" s="137">
        <f t="shared" si="65"/>
        <v>0</v>
      </c>
      <c r="K143" s="138"/>
      <c r="L143" s="140"/>
      <c r="M143" s="140"/>
      <c r="N143" s="140">
        <f>I143</f>
        <v>0</v>
      </c>
      <c r="O143" s="140"/>
      <c r="P143" s="140"/>
      <c r="Q143" s="140"/>
      <c r="R143" s="140"/>
      <c r="S143" s="140"/>
      <c r="T143" s="139"/>
      <c r="V143">
        <f t="shared" si="67"/>
        <v>0</v>
      </c>
    </row>
    <row r="144" spans="1:22">
      <c r="A144" s="9"/>
      <c r="B144" s="155"/>
      <c r="C144" s="9"/>
      <c r="D144" s="9"/>
      <c r="E144" s="9"/>
      <c r="F144" s="120"/>
      <c r="G144" s="120"/>
      <c r="H144" s="120"/>
      <c r="I144" s="137">
        <f t="shared" si="64"/>
        <v>0</v>
      </c>
      <c r="J144" s="137">
        <f t="shared" si="65"/>
        <v>0</v>
      </c>
      <c r="K144" s="138"/>
      <c r="L144" s="140"/>
      <c r="M144" s="140"/>
      <c r="N144" s="140">
        <f>I144</f>
        <v>0</v>
      </c>
      <c r="O144" s="140"/>
      <c r="P144" s="140"/>
      <c r="Q144" s="140"/>
      <c r="R144" s="140"/>
      <c r="S144" s="140"/>
      <c r="T144" s="139"/>
      <c r="V144">
        <f t="shared" si="67"/>
        <v>0</v>
      </c>
    </row>
    <row r="145" spans="1:22">
      <c r="A145" s="9"/>
      <c r="B145" s="155"/>
      <c r="C145" s="9"/>
      <c r="D145" s="9"/>
      <c r="E145" s="9"/>
      <c r="F145" s="9"/>
      <c r="G145" s="9"/>
      <c r="H145" s="9"/>
      <c r="I145" s="137">
        <f t="shared" si="64"/>
        <v>0</v>
      </c>
      <c r="J145" s="137">
        <f t="shared" si="65"/>
        <v>0</v>
      </c>
      <c r="K145" s="138"/>
      <c r="L145" s="140"/>
      <c r="M145" s="140"/>
      <c r="N145" s="140"/>
      <c r="O145" s="140">
        <f t="shared" ref="O145:O146" si="71">I145</f>
        <v>0</v>
      </c>
      <c r="P145" s="140"/>
      <c r="Q145" s="140"/>
      <c r="R145" s="140"/>
      <c r="S145" s="140"/>
      <c r="T145" s="139"/>
      <c r="V145">
        <f t="shared" si="67"/>
        <v>0</v>
      </c>
    </row>
    <row r="146" spans="1:22">
      <c r="A146" s="9"/>
      <c r="B146" s="155"/>
      <c r="C146" s="9"/>
      <c r="D146" s="9"/>
      <c r="E146" s="9"/>
      <c r="F146" s="120"/>
      <c r="G146" s="120"/>
      <c r="H146" s="120"/>
      <c r="I146" s="137">
        <f t="shared" si="64"/>
        <v>0</v>
      </c>
      <c r="J146" s="137">
        <f t="shared" si="65"/>
        <v>0</v>
      </c>
      <c r="K146" s="138"/>
      <c r="L146" s="140"/>
      <c r="M146" s="140"/>
      <c r="N146" s="140"/>
      <c r="O146" s="140">
        <f t="shared" si="71"/>
        <v>0</v>
      </c>
      <c r="P146" s="140"/>
      <c r="Q146" s="140"/>
      <c r="R146" s="140"/>
      <c r="S146" s="140"/>
      <c r="T146" s="139"/>
      <c r="V146">
        <f t="shared" si="67"/>
        <v>0</v>
      </c>
    </row>
    <row r="147" spans="1:22">
      <c r="A147" s="9"/>
      <c r="B147" s="155"/>
      <c r="C147" s="9"/>
      <c r="D147" s="9"/>
      <c r="E147" s="9"/>
      <c r="F147" s="9"/>
      <c r="G147" s="9"/>
      <c r="H147" s="9"/>
      <c r="I147" s="137">
        <f t="shared" ref="I147:I152" si="72">F147*G147*H147*E147/91809/10.89</f>
        <v>0</v>
      </c>
      <c r="J147" s="137">
        <f t="shared" ref="J147:J152" si="73">(F147+G147)*H147*4/1000*E147</f>
        <v>0</v>
      </c>
      <c r="K147" s="138"/>
      <c r="L147" s="140"/>
      <c r="M147" s="140"/>
      <c r="N147" s="140">
        <f>I147</f>
        <v>0</v>
      </c>
      <c r="O147" s="140"/>
      <c r="P147" s="140"/>
      <c r="Q147" s="140"/>
      <c r="R147" s="140"/>
      <c r="S147" s="140"/>
      <c r="T147" s="139"/>
      <c r="V147">
        <f t="shared" si="67"/>
        <v>0</v>
      </c>
    </row>
    <row r="148" spans="1:22">
      <c r="A148" s="9"/>
      <c r="B148" s="155"/>
      <c r="C148" s="9"/>
      <c r="D148" s="9"/>
      <c r="E148" s="9"/>
      <c r="F148" s="120"/>
      <c r="G148" s="120"/>
      <c r="H148" s="120"/>
      <c r="I148" s="137">
        <f t="shared" si="72"/>
        <v>0</v>
      </c>
      <c r="J148" s="137">
        <f t="shared" si="73"/>
        <v>0</v>
      </c>
      <c r="K148" s="138"/>
      <c r="L148" s="140"/>
      <c r="M148" s="140"/>
      <c r="N148" s="140">
        <f>I148</f>
        <v>0</v>
      </c>
      <c r="O148" s="140"/>
      <c r="P148" s="140"/>
      <c r="Q148" s="140"/>
      <c r="R148" s="140"/>
      <c r="S148" s="140"/>
      <c r="T148" s="139"/>
      <c r="V148">
        <f t="shared" si="67"/>
        <v>0</v>
      </c>
    </row>
    <row r="149" spans="1:22">
      <c r="A149" s="9"/>
      <c r="B149" s="155"/>
      <c r="C149" s="9"/>
      <c r="D149" s="9"/>
      <c r="E149" s="9"/>
      <c r="F149" s="9"/>
      <c r="G149" s="9"/>
      <c r="H149" s="9"/>
      <c r="I149" s="137">
        <f t="shared" si="72"/>
        <v>0</v>
      </c>
      <c r="J149" s="137">
        <f t="shared" si="73"/>
        <v>0</v>
      </c>
      <c r="K149" s="138"/>
      <c r="L149" s="140"/>
      <c r="M149" s="140"/>
      <c r="N149" s="140"/>
      <c r="O149" s="140">
        <f t="shared" ref="O149:O150" si="74">I149</f>
        <v>0</v>
      </c>
      <c r="P149" s="140"/>
      <c r="Q149" s="140"/>
      <c r="R149" s="140"/>
      <c r="S149" s="140"/>
      <c r="T149" s="139"/>
      <c r="V149">
        <f t="shared" ref="V149:V206" si="75">H149*E149</f>
        <v>0</v>
      </c>
    </row>
    <row r="150" spans="1:22">
      <c r="A150" s="9"/>
      <c r="B150" s="155"/>
      <c r="C150" s="9"/>
      <c r="D150" s="9"/>
      <c r="E150" s="9"/>
      <c r="F150" s="120"/>
      <c r="G150" s="120"/>
      <c r="H150" s="120"/>
      <c r="I150" s="137">
        <f t="shared" si="72"/>
        <v>0</v>
      </c>
      <c r="J150" s="137">
        <f t="shared" si="73"/>
        <v>0</v>
      </c>
      <c r="K150" s="138"/>
      <c r="L150" s="140"/>
      <c r="M150" s="140"/>
      <c r="N150" s="140"/>
      <c r="O150" s="140">
        <f t="shared" si="74"/>
        <v>0</v>
      </c>
      <c r="P150" s="140"/>
      <c r="Q150" s="140"/>
      <c r="R150" s="140"/>
      <c r="S150" s="140"/>
      <c r="T150" s="139"/>
      <c r="V150">
        <f t="shared" si="75"/>
        <v>0</v>
      </c>
    </row>
    <row r="151" spans="1:22">
      <c r="A151" s="9"/>
      <c r="B151" s="155"/>
      <c r="C151" s="9"/>
      <c r="D151" s="9"/>
      <c r="E151" s="9"/>
      <c r="F151" s="9"/>
      <c r="G151" s="9"/>
      <c r="H151" s="9"/>
      <c r="I151" s="137">
        <f t="shared" si="72"/>
        <v>0</v>
      </c>
      <c r="J151" s="137">
        <f t="shared" si="73"/>
        <v>0</v>
      </c>
      <c r="K151" s="138"/>
      <c r="L151" s="140"/>
      <c r="M151" s="140"/>
      <c r="N151" s="140">
        <f>I151</f>
        <v>0</v>
      </c>
      <c r="O151" s="140"/>
      <c r="P151" s="140"/>
      <c r="Q151" s="140"/>
      <c r="R151" s="140"/>
      <c r="S151" s="140"/>
      <c r="T151" s="139"/>
      <c r="V151">
        <f t="shared" si="75"/>
        <v>0</v>
      </c>
    </row>
    <row r="152" spans="1:22">
      <c r="A152" s="9"/>
      <c r="B152" s="155"/>
      <c r="C152" s="120"/>
      <c r="D152" s="9"/>
      <c r="E152" s="9"/>
      <c r="F152" s="9"/>
      <c r="G152" s="9"/>
      <c r="H152" s="9"/>
      <c r="I152" s="137">
        <f t="shared" si="72"/>
        <v>0</v>
      </c>
      <c r="J152" s="137">
        <f t="shared" si="73"/>
        <v>0</v>
      </c>
      <c r="K152" s="138"/>
      <c r="L152" s="140"/>
      <c r="M152" s="140"/>
      <c r="N152" s="140"/>
      <c r="O152" s="140">
        <f>I152</f>
        <v>0</v>
      </c>
      <c r="P152" s="140"/>
      <c r="Q152" s="140"/>
      <c r="R152" s="140"/>
      <c r="S152" s="140"/>
      <c r="T152" s="139"/>
      <c r="V152">
        <f t="shared" si="75"/>
        <v>0</v>
      </c>
    </row>
    <row r="153" spans="1:22">
      <c r="A153" s="9"/>
      <c r="B153" s="155"/>
      <c r="C153" s="120"/>
      <c r="D153" s="120"/>
      <c r="E153" s="120"/>
      <c r="F153" s="120"/>
      <c r="G153" s="120"/>
      <c r="H153" s="120"/>
      <c r="I153" s="137">
        <f t="shared" ref="I153:I216" si="76">F153*G153*H153*E153/91809/10.89</f>
        <v>0</v>
      </c>
      <c r="J153" s="137">
        <f t="shared" ref="J153:J216" si="77">(F153+G153)*H153*4/1000*E153</f>
        <v>0</v>
      </c>
      <c r="K153" s="138"/>
      <c r="L153" s="140"/>
      <c r="M153" s="140">
        <f>I153</f>
        <v>0</v>
      </c>
      <c r="N153" s="140"/>
      <c r="O153" s="140"/>
      <c r="P153" s="140"/>
      <c r="Q153" s="140"/>
      <c r="R153" s="140"/>
      <c r="S153" s="140"/>
      <c r="T153" s="139"/>
      <c r="V153">
        <f t="shared" si="75"/>
        <v>0</v>
      </c>
    </row>
    <row r="154" spans="1:22">
      <c r="A154" s="9"/>
      <c r="B154" s="155"/>
      <c r="C154" s="120"/>
      <c r="D154" s="120"/>
      <c r="E154" s="120"/>
      <c r="F154" s="120"/>
      <c r="G154" s="120"/>
      <c r="H154" s="120"/>
      <c r="I154" s="137">
        <f t="shared" si="76"/>
        <v>0</v>
      </c>
      <c r="J154" s="137">
        <f t="shared" si="77"/>
        <v>0</v>
      </c>
      <c r="K154" s="138"/>
      <c r="L154" s="140"/>
      <c r="M154" s="140">
        <f t="shared" ref="M154:M168" si="78">I154</f>
        <v>0</v>
      </c>
      <c r="N154" s="140"/>
      <c r="O154" s="140"/>
      <c r="P154" s="140"/>
      <c r="Q154" s="140"/>
      <c r="R154" s="140"/>
      <c r="S154" s="140"/>
      <c r="T154" s="139"/>
      <c r="V154">
        <f t="shared" si="75"/>
        <v>0</v>
      </c>
    </row>
    <row r="155" spans="1:22">
      <c r="A155" s="9"/>
      <c r="B155" s="155"/>
      <c r="C155" s="120"/>
      <c r="D155" s="120"/>
      <c r="E155" s="120"/>
      <c r="F155" s="120"/>
      <c r="G155" s="120"/>
      <c r="H155" s="120"/>
      <c r="I155" s="137">
        <f t="shared" si="76"/>
        <v>0</v>
      </c>
      <c r="J155" s="137">
        <f t="shared" si="77"/>
        <v>0</v>
      </c>
      <c r="K155" s="138"/>
      <c r="L155" s="140"/>
      <c r="M155" s="140">
        <f t="shared" si="78"/>
        <v>0</v>
      </c>
      <c r="N155" s="140"/>
      <c r="O155" s="140"/>
      <c r="P155" s="140"/>
      <c r="Q155" s="140"/>
      <c r="R155" s="140"/>
      <c r="S155" s="140"/>
      <c r="T155" s="139"/>
      <c r="V155">
        <f t="shared" si="75"/>
        <v>0</v>
      </c>
    </row>
    <row r="156" spans="1:22">
      <c r="A156" s="9"/>
      <c r="B156" s="155"/>
      <c r="C156" s="120"/>
      <c r="D156" s="120"/>
      <c r="E156" s="120"/>
      <c r="F156" s="120"/>
      <c r="G156" s="120"/>
      <c r="H156" s="120"/>
      <c r="I156" s="137">
        <f t="shared" si="76"/>
        <v>0</v>
      </c>
      <c r="J156" s="137">
        <f t="shared" si="77"/>
        <v>0</v>
      </c>
      <c r="K156" s="138"/>
      <c r="L156" s="140"/>
      <c r="M156" s="140">
        <f t="shared" si="78"/>
        <v>0</v>
      </c>
      <c r="N156" s="140"/>
      <c r="O156" s="140"/>
      <c r="P156" s="140"/>
      <c r="Q156" s="140"/>
      <c r="R156" s="140"/>
      <c r="S156" s="140"/>
      <c r="T156" s="139"/>
      <c r="V156">
        <f t="shared" si="75"/>
        <v>0</v>
      </c>
    </row>
    <row r="157" spans="1:22">
      <c r="A157" s="9"/>
      <c r="B157" s="155"/>
      <c r="C157" s="120"/>
      <c r="D157" s="120"/>
      <c r="E157" s="120"/>
      <c r="F157" s="120"/>
      <c r="G157" s="120"/>
      <c r="H157" s="120"/>
      <c r="I157" s="137">
        <f t="shared" si="76"/>
        <v>0</v>
      </c>
      <c r="J157" s="137">
        <f t="shared" si="77"/>
        <v>0</v>
      </c>
      <c r="K157" s="138"/>
      <c r="L157" s="140"/>
      <c r="M157" s="140">
        <f t="shared" si="78"/>
        <v>0</v>
      </c>
      <c r="N157" s="140"/>
      <c r="O157" s="140"/>
      <c r="P157" s="140"/>
      <c r="Q157" s="140"/>
      <c r="R157" s="140"/>
      <c r="S157" s="140"/>
      <c r="T157" s="139"/>
      <c r="V157">
        <f t="shared" si="75"/>
        <v>0</v>
      </c>
    </row>
    <row r="158" spans="1:22">
      <c r="A158" s="9"/>
      <c r="B158" s="155"/>
      <c r="C158" s="120"/>
      <c r="D158" s="120"/>
      <c r="E158" s="120"/>
      <c r="F158" s="120"/>
      <c r="G158" s="120"/>
      <c r="H158" s="120"/>
      <c r="I158" s="137">
        <f t="shared" si="76"/>
        <v>0</v>
      </c>
      <c r="J158" s="137">
        <f t="shared" si="77"/>
        <v>0</v>
      </c>
      <c r="K158" s="138"/>
      <c r="L158" s="140"/>
      <c r="M158" s="140">
        <f t="shared" si="78"/>
        <v>0</v>
      </c>
      <c r="N158" s="140"/>
      <c r="O158" s="140"/>
      <c r="P158" s="140"/>
      <c r="Q158" s="140"/>
      <c r="R158" s="140"/>
      <c r="S158" s="140"/>
      <c r="T158" s="139"/>
      <c r="V158">
        <f t="shared" si="75"/>
        <v>0</v>
      </c>
    </row>
    <row r="159" spans="1:22">
      <c r="A159" s="9"/>
      <c r="B159" s="155"/>
      <c r="C159" s="120"/>
      <c r="D159" s="120"/>
      <c r="E159" s="120"/>
      <c r="F159" s="120"/>
      <c r="G159" s="120"/>
      <c r="H159" s="120"/>
      <c r="I159" s="137">
        <f t="shared" si="76"/>
        <v>0</v>
      </c>
      <c r="J159" s="137">
        <f t="shared" si="77"/>
        <v>0</v>
      </c>
      <c r="K159" s="138"/>
      <c r="L159" s="140"/>
      <c r="M159" s="140">
        <f t="shared" si="78"/>
        <v>0</v>
      </c>
      <c r="N159" s="140"/>
      <c r="O159" s="140"/>
      <c r="P159" s="140"/>
      <c r="Q159" s="140"/>
      <c r="R159" s="140"/>
      <c r="S159" s="140"/>
      <c r="T159" s="139"/>
      <c r="V159">
        <f t="shared" si="75"/>
        <v>0</v>
      </c>
    </row>
    <row r="160" spans="1:22">
      <c r="A160" s="9"/>
      <c r="B160" s="155"/>
      <c r="C160" s="120"/>
      <c r="D160" s="120"/>
      <c r="E160" s="120"/>
      <c r="F160" s="120"/>
      <c r="G160" s="120"/>
      <c r="H160" s="120"/>
      <c r="I160" s="137">
        <f t="shared" si="76"/>
        <v>0</v>
      </c>
      <c r="J160" s="137">
        <f t="shared" si="77"/>
        <v>0</v>
      </c>
      <c r="K160" s="138"/>
      <c r="L160" s="140"/>
      <c r="M160" s="140">
        <f t="shared" si="78"/>
        <v>0</v>
      </c>
      <c r="N160" s="140"/>
      <c r="O160" s="140"/>
      <c r="P160" s="140"/>
      <c r="Q160" s="140"/>
      <c r="R160" s="140"/>
      <c r="S160" s="140"/>
      <c r="T160" s="139"/>
      <c r="V160">
        <f t="shared" si="75"/>
        <v>0</v>
      </c>
    </row>
    <row r="161" spans="1:22">
      <c r="A161" s="9"/>
      <c r="B161" s="155"/>
      <c r="C161" s="120"/>
      <c r="D161" s="120"/>
      <c r="E161" s="120"/>
      <c r="F161" s="120"/>
      <c r="G161" s="120"/>
      <c r="H161" s="120"/>
      <c r="I161" s="137">
        <f t="shared" si="76"/>
        <v>0</v>
      </c>
      <c r="J161" s="137">
        <f t="shared" si="77"/>
        <v>0</v>
      </c>
      <c r="K161" s="138"/>
      <c r="L161" s="140"/>
      <c r="M161" s="140">
        <f t="shared" si="78"/>
        <v>0</v>
      </c>
      <c r="N161" s="140"/>
      <c r="O161" s="140"/>
      <c r="P161" s="140"/>
      <c r="Q161" s="140"/>
      <c r="R161" s="140"/>
      <c r="S161" s="140"/>
      <c r="T161" s="139"/>
      <c r="V161">
        <f t="shared" si="75"/>
        <v>0</v>
      </c>
    </row>
    <row r="162" spans="1:22">
      <c r="A162" s="9"/>
      <c r="B162" s="155"/>
      <c r="C162" s="120"/>
      <c r="D162" s="120"/>
      <c r="E162" s="120"/>
      <c r="F162" s="120"/>
      <c r="G162" s="120"/>
      <c r="H162" s="120"/>
      <c r="I162" s="137">
        <f t="shared" si="76"/>
        <v>0</v>
      </c>
      <c r="J162" s="137">
        <f t="shared" si="77"/>
        <v>0</v>
      </c>
      <c r="K162" s="138"/>
      <c r="L162" s="140"/>
      <c r="M162" s="140">
        <f t="shared" si="78"/>
        <v>0</v>
      </c>
      <c r="N162" s="140"/>
      <c r="O162" s="140"/>
      <c r="P162" s="140"/>
      <c r="Q162" s="140"/>
      <c r="R162" s="140"/>
      <c r="S162" s="140"/>
      <c r="T162" s="139"/>
      <c r="V162">
        <f t="shared" si="75"/>
        <v>0</v>
      </c>
    </row>
    <row r="163" spans="1:22">
      <c r="A163" s="9"/>
      <c r="B163" s="155"/>
      <c r="C163" s="120"/>
      <c r="D163" s="120"/>
      <c r="E163" s="120"/>
      <c r="F163" s="120"/>
      <c r="G163" s="120"/>
      <c r="H163" s="120"/>
      <c r="I163" s="137">
        <f t="shared" si="76"/>
        <v>0</v>
      </c>
      <c r="J163" s="137">
        <f t="shared" si="77"/>
        <v>0</v>
      </c>
      <c r="K163" s="138"/>
      <c r="L163" s="140"/>
      <c r="M163" s="140">
        <f t="shared" si="78"/>
        <v>0</v>
      </c>
      <c r="N163" s="140"/>
      <c r="O163" s="140"/>
      <c r="P163" s="140"/>
      <c r="Q163" s="140"/>
      <c r="R163" s="140"/>
      <c r="S163" s="140"/>
      <c r="T163" s="139"/>
      <c r="V163">
        <f t="shared" si="75"/>
        <v>0</v>
      </c>
    </row>
    <row r="164" spans="1:22">
      <c r="A164" s="14"/>
      <c r="B164" s="156"/>
      <c r="C164" s="120"/>
      <c r="D164" s="120"/>
      <c r="E164" s="120"/>
      <c r="F164" s="120"/>
      <c r="G164" s="120"/>
      <c r="H164" s="120"/>
      <c r="I164" s="137">
        <f t="shared" si="76"/>
        <v>0</v>
      </c>
      <c r="J164" s="137">
        <f t="shared" si="77"/>
        <v>0</v>
      </c>
      <c r="K164" s="138"/>
      <c r="L164" s="140"/>
      <c r="M164" s="140"/>
      <c r="N164" s="140"/>
      <c r="O164" s="140"/>
      <c r="P164" s="140"/>
      <c r="Q164" s="140"/>
      <c r="R164" s="140"/>
      <c r="S164" s="140"/>
      <c r="T164" s="139"/>
      <c r="V164">
        <f t="shared" si="75"/>
        <v>0</v>
      </c>
    </row>
    <row r="165" spans="1:22">
      <c r="A165" s="9"/>
      <c r="B165" s="155"/>
      <c r="C165" s="120"/>
      <c r="D165" s="120"/>
      <c r="E165" s="120"/>
      <c r="F165" s="120"/>
      <c r="G165" s="120"/>
      <c r="H165" s="120"/>
      <c r="I165" s="137">
        <f t="shared" si="76"/>
        <v>0</v>
      </c>
      <c r="J165" s="137">
        <f t="shared" si="77"/>
        <v>0</v>
      </c>
      <c r="K165" s="138"/>
      <c r="L165" s="140"/>
      <c r="M165" s="140">
        <f t="shared" si="78"/>
        <v>0</v>
      </c>
      <c r="N165" s="140"/>
      <c r="O165" s="140"/>
      <c r="P165" s="140"/>
      <c r="Q165" s="140"/>
      <c r="R165" s="140"/>
      <c r="S165" s="140"/>
      <c r="T165" s="139"/>
      <c r="V165">
        <f t="shared" si="75"/>
        <v>0</v>
      </c>
    </row>
    <row r="166" spans="1:22">
      <c r="A166" s="9"/>
      <c r="B166" s="155"/>
      <c r="C166" s="120"/>
      <c r="D166" s="120"/>
      <c r="E166" s="120"/>
      <c r="F166" s="120"/>
      <c r="G166" s="120"/>
      <c r="H166" s="120"/>
      <c r="I166" s="137">
        <f t="shared" si="76"/>
        <v>0</v>
      </c>
      <c r="J166" s="137">
        <f t="shared" si="77"/>
        <v>0</v>
      </c>
      <c r="K166" s="138"/>
      <c r="L166" s="140"/>
      <c r="M166" s="140">
        <f t="shared" si="78"/>
        <v>0</v>
      </c>
      <c r="N166" s="140"/>
      <c r="O166" s="140"/>
      <c r="P166" s="140"/>
      <c r="Q166" s="140"/>
      <c r="R166" s="140"/>
      <c r="S166" s="140"/>
      <c r="T166" s="139"/>
      <c r="V166">
        <f t="shared" si="75"/>
        <v>0</v>
      </c>
    </row>
    <row r="167" spans="1:22">
      <c r="A167" s="9"/>
      <c r="B167" s="155"/>
      <c r="C167" s="120"/>
      <c r="D167" s="120"/>
      <c r="E167" s="120"/>
      <c r="F167" s="120"/>
      <c r="G167" s="120"/>
      <c r="H167" s="120"/>
      <c r="I167" s="137">
        <f t="shared" si="76"/>
        <v>0</v>
      </c>
      <c r="J167" s="137">
        <f t="shared" si="77"/>
        <v>0</v>
      </c>
      <c r="K167" s="138"/>
      <c r="L167" s="140"/>
      <c r="M167" s="140">
        <f t="shared" si="78"/>
        <v>0</v>
      </c>
      <c r="N167" s="140"/>
      <c r="O167" s="140"/>
      <c r="P167" s="140"/>
      <c r="Q167" s="140"/>
      <c r="R167" s="140"/>
      <c r="S167" s="140"/>
      <c r="T167" s="139"/>
      <c r="V167">
        <f t="shared" si="75"/>
        <v>0</v>
      </c>
    </row>
    <row r="168" spans="1:22">
      <c r="A168" s="9"/>
      <c r="B168" s="155"/>
      <c r="C168" s="120"/>
      <c r="D168" s="120"/>
      <c r="E168" s="120"/>
      <c r="F168" s="120"/>
      <c r="G168" s="120"/>
      <c r="H168" s="120"/>
      <c r="I168" s="137">
        <f t="shared" si="76"/>
        <v>0</v>
      </c>
      <c r="J168" s="137">
        <f t="shared" si="77"/>
        <v>0</v>
      </c>
      <c r="K168" s="138"/>
      <c r="L168" s="140"/>
      <c r="M168" s="140">
        <f t="shared" si="78"/>
        <v>0</v>
      </c>
      <c r="N168" s="140"/>
      <c r="O168" s="140"/>
      <c r="P168" s="140"/>
      <c r="Q168" s="140"/>
      <c r="R168" s="140"/>
      <c r="S168" s="140"/>
      <c r="T168" s="139"/>
      <c r="V168">
        <f t="shared" si="75"/>
        <v>0</v>
      </c>
    </row>
    <row r="169" spans="1:22">
      <c r="A169" s="158"/>
      <c r="B169" s="157"/>
      <c r="C169" s="158"/>
      <c r="D169" s="159"/>
      <c r="E169" s="120"/>
      <c r="F169" s="120"/>
      <c r="G169" s="120"/>
      <c r="H169" s="120"/>
      <c r="I169" s="137">
        <f t="shared" si="76"/>
        <v>0</v>
      </c>
      <c r="J169" s="137">
        <f t="shared" si="77"/>
        <v>0</v>
      </c>
      <c r="K169" s="138"/>
      <c r="L169" s="140"/>
      <c r="M169" s="140"/>
      <c r="N169" s="140"/>
      <c r="O169" s="140"/>
      <c r="P169" s="140"/>
      <c r="Q169" s="140"/>
      <c r="R169" s="140">
        <f>I169</f>
        <v>0</v>
      </c>
      <c r="S169" s="140"/>
      <c r="T169" s="139"/>
      <c r="V169">
        <f t="shared" si="75"/>
        <v>0</v>
      </c>
    </row>
    <row r="170" spans="1:22">
      <c r="A170" s="158"/>
      <c r="B170" s="157"/>
      <c r="C170" s="158"/>
      <c r="D170" s="123"/>
      <c r="E170" s="9"/>
      <c r="F170" s="9"/>
      <c r="G170" s="9"/>
      <c r="H170" s="9"/>
      <c r="I170" s="137">
        <f t="shared" si="76"/>
        <v>0</v>
      </c>
      <c r="J170" s="137">
        <f t="shared" si="77"/>
        <v>0</v>
      </c>
      <c r="K170" s="138"/>
      <c r="L170" s="140"/>
      <c r="M170" s="140"/>
      <c r="N170" s="140"/>
      <c r="O170" s="140"/>
      <c r="P170" s="140"/>
      <c r="Q170" s="140"/>
      <c r="R170" s="140"/>
      <c r="S170" s="140">
        <f>I170</f>
        <v>0</v>
      </c>
      <c r="T170" s="139"/>
      <c r="V170">
        <f t="shared" si="75"/>
        <v>0</v>
      </c>
    </row>
    <row r="171" spans="1:22">
      <c r="A171" s="9"/>
      <c r="B171" s="155"/>
      <c r="C171" s="120"/>
      <c r="D171" s="120"/>
      <c r="E171" s="120"/>
      <c r="F171" s="120"/>
      <c r="G171" s="120"/>
      <c r="H171" s="120"/>
      <c r="I171" s="137">
        <f t="shared" si="76"/>
        <v>0</v>
      </c>
      <c r="J171" s="137">
        <f t="shared" si="77"/>
        <v>0</v>
      </c>
      <c r="K171" s="138"/>
      <c r="L171" s="140"/>
      <c r="M171" s="140">
        <f t="shared" ref="M171:M176" si="79">I171</f>
        <v>0</v>
      </c>
      <c r="N171" s="140"/>
      <c r="O171" s="140"/>
      <c r="P171" s="140"/>
      <c r="Q171" s="140"/>
      <c r="R171" s="140"/>
      <c r="S171" s="140"/>
      <c r="T171" s="139"/>
      <c r="V171">
        <f t="shared" si="75"/>
        <v>0</v>
      </c>
    </row>
    <row r="172" spans="1:22">
      <c r="A172" s="9"/>
      <c r="B172" s="155"/>
      <c r="C172" s="120"/>
      <c r="D172" s="120"/>
      <c r="E172" s="120"/>
      <c r="F172" s="120"/>
      <c r="G172" s="120"/>
      <c r="H172" s="120"/>
      <c r="I172" s="137">
        <f t="shared" si="76"/>
        <v>0</v>
      </c>
      <c r="J172" s="137">
        <f t="shared" si="77"/>
        <v>0</v>
      </c>
      <c r="K172" s="138"/>
      <c r="L172" s="140"/>
      <c r="M172" s="140">
        <f t="shared" si="79"/>
        <v>0</v>
      </c>
      <c r="N172" s="140"/>
      <c r="O172" s="140"/>
      <c r="P172" s="140"/>
      <c r="Q172" s="140"/>
      <c r="R172" s="140"/>
      <c r="S172" s="140"/>
      <c r="T172" s="139"/>
      <c r="V172">
        <f t="shared" si="75"/>
        <v>0</v>
      </c>
    </row>
    <row r="173" spans="1:22">
      <c r="A173" s="9"/>
      <c r="B173" s="155"/>
      <c r="C173" s="120"/>
      <c r="D173" s="120"/>
      <c r="E173" s="120"/>
      <c r="F173" s="120"/>
      <c r="G173" s="120"/>
      <c r="H173" s="120"/>
      <c r="I173" s="137">
        <f t="shared" si="76"/>
        <v>0</v>
      </c>
      <c r="J173" s="137">
        <f t="shared" si="77"/>
        <v>0</v>
      </c>
      <c r="K173" s="138"/>
      <c r="L173" s="140"/>
      <c r="M173" s="140">
        <f t="shared" si="79"/>
        <v>0</v>
      </c>
      <c r="N173" s="140"/>
      <c r="O173" s="140"/>
      <c r="P173" s="140"/>
      <c r="Q173" s="140"/>
      <c r="R173" s="140"/>
      <c r="S173" s="140"/>
      <c r="T173" s="139"/>
      <c r="V173">
        <f t="shared" si="75"/>
        <v>0</v>
      </c>
    </row>
    <row r="174" spans="1:22">
      <c r="A174" s="9"/>
      <c r="B174" s="155"/>
      <c r="C174" s="120"/>
      <c r="D174" s="120"/>
      <c r="E174" s="120"/>
      <c r="F174" s="120"/>
      <c r="G174" s="120"/>
      <c r="H174" s="120"/>
      <c r="I174" s="137">
        <f t="shared" si="76"/>
        <v>0</v>
      </c>
      <c r="J174" s="137">
        <f t="shared" si="77"/>
        <v>0</v>
      </c>
      <c r="K174" s="138"/>
      <c r="L174" s="140"/>
      <c r="M174" s="140">
        <f t="shared" si="79"/>
        <v>0</v>
      </c>
      <c r="N174" s="140"/>
      <c r="O174" s="140"/>
      <c r="P174" s="140"/>
      <c r="Q174" s="140"/>
      <c r="R174" s="140"/>
      <c r="S174" s="140"/>
      <c r="T174" s="139"/>
      <c r="V174">
        <f t="shared" si="75"/>
        <v>0</v>
      </c>
    </row>
    <row r="175" spans="1:22">
      <c r="A175" s="9"/>
      <c r="B175" s="155"/>
      <c r="C175" s="120"/>
      <c r="D175" s="120"/>
      <c r="E175" s="120"/>
      <c r="F175" s="120"/>
      <c r="G175" s="120"/>
      <c r="H175" s="120"/>
      <c r="I175" s="137">
        <f t="shared" si="76"/>
        <v>0</v>
      </c>
      <c r="J175" s="137">
        <f t="shared" si="77"/>
        <v>0</v>
      </c>
      <c r="K175" s="138"/>
      <c r="L175" s="140"/>
      <c r="M175" s="140">
        <f t="shared" si="79"/>
        <v>0</v>
      </c>
      <c r="N175" s="140"/>
      <c r="O175" s="140"/>
      <c r="P175" s="140"/>
      <c r="Q175" s="140"/>
      <c r="R175" s="140"/>
      <c r="S175" s="140"/>
      <c r="T175" s="139"/>
      <c r="V175">
        <f t="shared" si="75"/>
        <v>0</v>
      </c>
    </row>
    <row r="176" spans="1:22">
      <c r="A176" s="9"/>
      <c r="B176" s="155"/>
      <c r="C176" s="120"/>
      <c r="D176" s="120"/>
      <c r="E176" s="120"/>
      <c r="F176" s="120"/>
      <c r="G176" s="120"/>
      <c r="H176" s="120"/>
      <c r="I176" s="137">
        <f t="shared" si="76"/>
        <v>0</v>
      </c>
      <c r="J176" s="137">
        <f t="shared" si="77"/>
        <v>0</v>
      </c>
      <c r="K176" s="138"/>
      <c r="L176" s="140"/>
      <c r="M176" s="140">
        <f t="shared" si="79"/>
        <v>0</v>
      </c>
      <c r="N176" s="140"/>
      <c r="O176" s="140"/>
      <c r="P176" s="140"/>
      <c r="Q176" s="140"/>
      <c r="R176" s="140"/>
      <c r="S176" s="140"/>
      <c r="T176" s="139"/>
      <c r="V176">
        <f t="shared" si="75"/>
        <v>0</v>
      </c>
    </row>
    <row r="177" spans="1:22">
      <c r="A177" s="14"/>
      <c r="B177" s="156"/>
      <c r="C177" s="120"/>
      <c r="D177" s="120"/>
      <c r="E177" s="120"/>
      <c r="F177" s="120"/>
      <c r="G177" s="120"/>
      <c r="H177" s="120"/>
      <c r="I177" s="137">
        <f t="shared" si="76"/>
        <v>0</v>
      </c>
      <c r="J177" s="137">
        <f t="shared" si="77"/>
        <v>0</v>
      </c>
      <c r="K177" s="138"/>
      <c r="L177" s="140"/>
      <c r="M177" s="140"/>
      <c r="N177" s="140"/>
      <c r="O177" s="140"/>
      <c r="P177" s="140"/>
      <c r="Q177" s="140"/>
      <c r="R177" s="140"/>
      <c r="S177" s="140"/>
      <c r="T177" s="139"/>
      <c r="V177">
        <f t="shared" si="75"/>
        <v>0</v>
      </c>
    </row>
    <row r="178" spans="1:22">
      <c r="A178" s="9"/>
      <c r="B178" s="155"/>
      <c r="C178" s="9"/>
      <c r="D178" s="120"/>
      <c r="E178" s="120"/>
      <c r="F178" s="120"/>
      <c r="G178" s="120"/>
      <c r="H178" s="120"/>
      <c r="I178" s="137">
        <f t="shared" si="76"/>
        <v>0</v>
      </c>
      <c r="J178" s="137">
        <f t="shared" si="77"/>
        <v>0</v>
      </c>
      <c r="K178" s="138"/>
      <c r="L178" s="140"/>
      <c r="M178" s="140"/>
      <c r="N178" s="140">
        <f>I178</f>
        <v>0</v>
      </c>
      <c r="O178" s="140"/>
      <c r="P178" s="140"/>
      <c r="Q178" s="140"/>
      <c r="R178" s="140"/>
      <c r="S178" s="140"/>
      <c r="T178" s="139"/>
      <c r="V178">
        <f t="shared" si="75"/>
        <v>0</v>
      </c>
    </row>
    <row r="179" spans="1:22">
      <c r="A179" s="9"/>
      <c r="B179" s="155"/>
      <c r="C179" s="120"/>
      <c r="D179" s="120"/>
      <c r="E179" s="120"/>
      <c r="F179" s="120"/>
      <c r="G179" s="120"/>
      <c r="H179" s="120"/>
      <c r="I179" s="137">
        <f t="shared" si="76"/>
        <v>0</v>
      </c>
      <c r="J179" s="137">
        <f t="shared" si="77"/>
        <v>0</v>
      </c>
      <c r="K179" s="138"/>
      <c r="L179" s="140"/>
      <c r="M179" s="140"/>
      <c r="N179" s="140"/>
      <c r="O179" s="140">
        <f>I179</f>
        <v>0</v>
      </c>
      <c r="P179" s="140"/>
      <c r="Q179" s="140"/>
      <c r="R179" s="140"/>
      <c r="S179" s="140"/>
      <c r="T179" s="139"/>
      <c r="V179">
        <f t="shared" si="75"/>
        <v>0</v>
      </c>
    </row>
    <row r="180" spans="1:22">
      <c r="A180" s="14"/>
      <c r="B180" s="156"/>
      <c r="C180" s="120"/>
      <c r="D180" s="120"/>
      <c r="E180" s="120"/>
      <c r="F180" s="120"/>
      <c r="G180" s="120"/>
      <c r="H180" s="120"/>
      <c r="I180" s="137">
        <f t="shared" si="76"/>
        <v>0</v>
      </c>
      <c r="J180" s="137">
        <f t="shared" si="77"/>
        <v>0</v>
      </c>
      <c r="K180" s="138"/>
      <c r="L180" s="140"/>
      <c r="M180" s="140"/>
      <c r="N180" s="140"/>
      <c r="O180" s="140"/>
      <c r="P180" s="140"/>
      <c r="Q180" s="140"/>
      <c r="R180" s="140"/>
      <c r="S180" s="140"/>
      <c r="T180" s="139"/>
      <c r="V180">
        <f t="shared" si="75"/>
        <v>0</v>
      </c>
    </row>
    <row r="181" spans="1:22">
      <c r="A181" s="9"/>
      <c r="B181" s="155"/>
      <c r="C181" s="120"/>
      <c r="D181" s="120"/>
      <c r="E181" s="120"/>
      <c r="F181" s="120"/>
      <c r="G181" s="120"/>
      <c r="H181" s="120"/>
      <c r="I181" s="137">
        <f t="shared" si="76"/>
        <v>0</v>
      </c>
      <c r="J181" s="137">
        <f t="shared" si="77"/>
        <v>0</v>
      </c>
      <c r="K181" s="138"/>
      <c r="L181" s="140"/>
      <c r="M181" s="140">
        <f>I181</f>
        <v>0</v>
      </c>
      <c r="N181" s="140"/>
      <c r="O181" s="140"/>
      <c r="P181" s="140"/>
      <c r="Q181" s="140"/>
      <c r="R181" s="140"/>
      <c r="S181" s="140"/>
      <c r="T181" s="139"/>
      <c r="V181">
        <f t="shared" si="75"/>
        <v>0</v>
      </c>
    </row>
    <row r="182" spans="1:22">
      <c r="A182" s="158"/>
      <c r="B182" s="157"/>
      <c r="C182" s="158"/>
      <c r="D182" s="123"/>
      <c r="E182" s="9"/>
      <c r="F182" s="9"/>
      <c r="G182" s="9"/>
      <c r="H182" s="9"/>
      <c r="I182" s="137">
        <f t="shared" ref="I182" si="80">F182*G182*H182*E182/91809/10.89</f>
        <v>0</v>
      </c>
      <c r="J182" s="137">
        <f t="shared" ref="J182" si="81">(F182+G182)*H182*4/1000*E182</f>
        <v>0</v>
      </c>
      <c r="K182" s="138"/>
      <c r="L182" s="140"/>
      <c r="M182" s="140"/>
      <c r="N182" s="140"/>
      <c r="O182" s="140"/>
      <c r="P182" s="140"/>
      <c r="Q182" s="140"/>
      <c r="R182" s="140"/>
      <c r="S182" s="140">
        <f>I182</f>
        <v>0</v>
      </c>
      <c r="T182" s="139"/>
      <c r="V182">
        <f t="shared" ref="V182" si="82">H182*E182</f>
        <v>0</v>
      </c>
    </row>
    <row r="183" spans="1:22">
      <c r="A183" s="9"/>
      <c r="B183" s="155"/>
      <c r="C183" s="9"/>
      <c r="D183" s="120"/>
      <c r="E183" s="120"/>
      <c r="F183" s="120"/>
      <c r="G183" s="120"/>
      <c r="H183" s="120"/>
      <c r="I183" s="137">
        <f t="shared" si="76"/>
        <v>0</v>
      </c>
      <c r="J183" s="137">
        <f t="shared" si="77"/>
        <v>0</v>
      </c>
      <c r="K183" s="138"/>
      <c r="L183" s="140"/>
      <c r="M183" s="140"/>
      <c r="N183" s="140">
        <f>I183</f>
        <v>0</v>
      </c>
      <c r="O183" s="140"/>
      <c r="P183" s="140"/>
      <c r="Q183" s="140"/>
      <c r="R183" s="140"/>
      <c r="S183" s="140"/>
      <c r="T183" s="139"/>
      <c r="V183">
        <f t="shared" si="75"/>
        <v>0</v>
      </c>
    </row>
    <row r="184" spans="1:22">
      <c r="A184" s="9"/>
      <c r="B184" s="155"/>
      <c r="C184" s="120"/>
      <c r="D184" s="120"/>
      <c r="E184" s="120"/>
      <c r="F184" s="120"/>
      <c r="G184" s="120"/>
      <c r="H184" s="120"/>
      <c r="I184" s="137">
        <f t="shared" si="76"/>
        <v>0</v>
      </c>
      <c r="J184" s="137">
        <f t="shared" si="77"/>
        <v>0</v>
      </c>
      <c r="K184" s="138"/>
      <c r="L184" s="140"/>
      <c r="M184" s="140"/>
      <c r="N184" s="140"/>
      <c r="O184" s="140">
        <f>I184</f>
        <v>0</v>
      </c>
      <c r="P184" s="140"/>
      <c r="Q184" s="140"/>
      <c r="R184" s="140"/>
      <c r="S184" s="140"/>
      <c r="T184" s="139"/>
      <c r="V184">
        <f t="shared" si="75"/>
        <v>0</v>
      </c>
    </row>
    <row r="185" spans="1:22">
      <c r="A185" s="9"/>
      <c r="B185" s="155"/>
      <c r="C185" s="9"/>
      <c r="D185" s="120"/>
      <c r="E185" s="120"/>
      <c r="F185" s="120"/>
      <c r="G185" s="120"/>
      <c r="H185" s="120"/>
      <c r="I185" s="137">
        <f t="shared" si="76"/>
        <v>0</v>
      </c>
      <c r="J185" s="137">
        <f t="shared" si="77"/>
        <v>0</v>
      </c>
      <c r="K185" s="138"/>
      <c r="L185" s="140"/>
      <c r="M185" s="140"/>
      <c r="N185" s="140">
        <f>I185</f>
        <v>0</v>
      </c>
      <c r="O185" s="140"/>
      <c r="P185" s="140"/>
      <c r="Q185" s="140"/>
      <c r="R185" s="140"/>
      <c r="S185" s="140"/>
      <c r="T185" s="139"/>
      <c r="V185">
        <f t="shared" si="75"/>
        <v>0</v>
      </c>
    </row>
    <row r="186" spans="1:22">
      <c r="A186" s="9"/>
      <c r="B186" s="155"/>
      <c r="C186" s="120"/>
      <c r="D186" s="120"/>
      <c r="E186" s="120"/>
      <c r="F186" s="120"/>
      <c r="G186" s="120"/>
      <c r="H186" s="120"/>
      <c r="I186" s="137">
        <f t="shared" si="76"/>
        <v>0</v>
      </c>
      <c r="J186" s="137">
        <f t="shared" si="77"/>
        <v>0</v>
      </c>
      <c r="K186" s="138"/>
      <c r="L186" s="140"/>
      <c r="M186" s="140"/>
      <c r="N186" s="140"/>
      <c r="O186" s="140">
        <f>I186</f>
        <v>0</v>
      </c>
      <c r="P186" s="140"/>
      <c r="Q186" s="140"/>
      <c r="R186" s="140"/>
      <c r="S186" s="140"/>
      <c r="T186" s="139"/>
      <c r="V186">
        <f t="shared" si="75"/>
        <v>0</v>
      </c>
    </row>
    <row r="187" spans="1:22">
      <c r="A187" s="9"/>
      <c r="B187" s="155"/>
      <c r="C187" s="9"/>
      <c r="D187" s="9"/>
      <c r="E187" s="9"/>
      <c r="F187" s="9"/>
      <c r="G187" s="9"/>
      <c r="H187" s="9"/>
      <c r="I187" s="137">
        <f t="shared" si="76"/>
        <v>0</v>
      </c>
      <c r="J187" s="137">
        <f t="shared" si="77"/>
        <v>0</v>
      </c>
      <c r="K187" s="138"/>
      <c r="L187" s="140"/>
      <c r="M187" s="140"/>
      <c r="N187" s="140">
        <f>I187</f>
        <v>0</v>
      </c>
      <c r="O187" s="140"/>
      <c r="P187" s="140"/>
      <c r="Q187" s="140"/>
      <c r="R187" s="140"/>
      <c r="S187" s="140"/>
      <c r="T187" s="139"/>
      <c r="V187">
        <f t="shared" si="75"/>
        <v>0</v>
      </c>
    </row>
    <row r="188" spans="1:22">
      <c r="A188" s="9"/>
      <c r="B188" s="155"/>
      <c r="C188" s="9"/>
      <c r="D188" s="9"/>
      <c r="E188" s="9"/>
      <c r="F188" s="120"/>
      <c r="G188" s="120"/>
      <c r="H188" s="120"/>
      <c r="I188" s="137">
        <f t="shared" si="76"/>
        <v>0</v>
      </c>
      <c r="J188" s="137">
        <f t="shared" si="77"/>
        <v>0</v>
      </c>
      <c r="K188" s="138"/>
      <c r="L188" s="140"/>
      <c r="M188" s="140"/>
      <c r="N188" s="140">
        <f>I188</f>
        <v>0</v>
      </c>
      <c r="O188" s="140"/>
      <c r="P188" s="140"/>
      <c r="Q188" s="140"/>
      <c r="R188" s="140"/>
      <c r="S188" s="140"/>
      <c r="T188" s="139"/>
      <c r="V188">
        <f t="shared" si="75"/>
        <v>0</v>
      </c>
    </row>
    <row r="189" spans="1:22">
      <c r="A189" s="9"/>
      <c r="B189" s="155"/>
      <c r="C189" s="9"/>
      <c r="D189" s="9"/>
      <c r="E189" s="9"/>
      <c r="F189" s="9"/>
      <c r="G189" s="9"/>
      <c r="H189" s="9"/>
      <c r="I189" s="137">
        <f t="shared" si="76"/>
        <v>0</v>
      </c>
      <c r="J189" s="137">
        <f t="shared" si="77"/>
        <v>0</v>
      </c>
      <c r="K189" s="138"/>
      <c r="L189" s="140"/>
      <c r="M189" s="140"/>
      <c r="N189" s="140"/>
      <c r="O189" s="140">
        <f t="shared" ref="O189:O190" si="83">I189</f>
        <v>0</v>
      </c>
      <c r="P189" s="140"/>
      <c r="Q189" s="140"/>
      <c r="R189" s="140"/>
      <c r="S189" s="140"/>
      <c r="T189" s="139"/>
      <c r="V189">
        <f t="shared" si="75"/>
        <v>0</v>
      </c>
    </row>
    <row r="190" spans="1:22">
      <c r="A190" s="9"/>
      <c r="B190" s="155"/>
      <c r="C190" s="9"/>
      <c r="D190" s="9"/>
      <c r="E190" s="9"/>
      <c r="F190" s="120"/>
      <c r="G190" s="120"/>
      <c r="H190" s="120"/>
      <c r="I190" s="137">
        <f t="shared" si="76"/>
        <v>0</v>
      </c>
      <c r="J190" s="137">
        <f t="shared" si="77"/>
        <v>0</v>
      </c>
      <c r="K190" s="138"/>
      <c r="L190" s="140"/>
      <c r="M190" s="140"/>
      <c r="N190" s="140"/>
      <c r="O190" s="140">
        <f t="shared" si="83"/>
        <v>0</v>
      </c>
      <c r="P190" s="140"/>
      <c r="Q190" s="140"/>
      <c r="R190" s="140"/>
      <c r="S190" s="140"/>
      <c r="T190" s="139"/>
      <c r="V190">
        <f t="shared" si="75"/>
        <v>0</v>
      </c>
    </row>
    <row r="191" spans="1:22">
      <c r="A191" s="9"/>
      <c r="B191" s="155"/>
      <c r="C191" s="9"/>
      <c r="D191" s="120"/>
      <c r="E191" s="120"/>
      <c r="F191" s="120"/>
      <c r="G191" s="120"/>
      <c r="H191" s="120"/>
      <c r="I191" s="137">
        <f t="shared" ref="I191:I193" si="84">F191*G191*H191*E191/91809/10.89</f>
        <v>0</v>
      </c>
      <c r="J191" s="137">
        <f t="shared" ref="J191:J193" si="85">(F191+G191)*H191*4/1000*E191</f>
        <v>0</v>
      </c>
      <c r="K191" s="138"/>
      <c r="L191" s="140"/>
      <c r="M191" s="140"/>
      <c r="N191" s="140">
        <f>I191</f>
        <v>0</v>
      </c>
      <c r="O191" s="140"/>
      <c r="P191" s="140"/>
      <c r="Q191" s="140"/>
      <c r="R191" s="140"/>
      <c r="S191" s="140"/>
      <c r="T191" s="139"/>
      <c r="V191">
        <f t="shared" ref="V191:V193" si="86">H191*E191</f>
        <v>0</v>
      </c>
    </row>
    <row r="192" spans="1:22">
      <c r="A192" s="9"/>
      <c r="B192" s="155"/>
      <c r="C192" s="120"/>
      <c r="D192" s="120"/>
      <c r="E192" s="120"/>
      <c r="F192" s="120"/>
      <c r="G192" s="120"/>
      <c r="H192" s="120"/>
      <c r="I192" s="137">
        <f t="shared" si="84"/>
        <v>0</v>
      </c>
      <c r="J192" s="137">
        <f t="shared" si="85"/>
        <v>0</v>
      </c>
      <c r="K192" s="138"/>
      <c r="L192" s="140"/>
      <c r="M192" s="140"/>
      <c r="N192" s="140"/>
      <c r="O192" s="140">
        <f>I192</f>
        <v>0</v>
      </c>
      <c r="P192" s="140"/>
      <c r="Q192" s="140"/>
      <c r="R192" s="140"/>
      <c r="S192" s="140"/>
      <c r="T192" s="139"/>
      <c r="V192">
        <f t="shared" si="86"/>
        <v>0</v>
      </c>
    </row>
    <row r="193" spans="1:22">
      <c r="A193" s="158"/>
      <c r="B193" s="157"/>
      <c r="C193" s="158"/>
      <c r="D193" s="159"/>
      <c r="E193" s="120"/>
      <c r="F193" s="120"/>
      <c r="G193" s="120"/>
      <c r="H193" s="120"/>
      <c r="I193" s="137">
        <f t="shared" si="84"/>
        <v>0</v>
      </c>
      <c r="J193" s="137">
        <f t="shared" si="85"/>
        <v>0</v>
      </c>
      <c r="K193" s="138"/>
      <c r="L193" s="140"/>
      <c r="M193" s="140"/>
      <c r="N193" s="140"/>
      <c r="O193" s="140"/>
      <c r="P193" s="140"/>
      <c r="Q193" s="140"/>
      <c r="R193" s="140">
        <f>I193</f>
        <v>0</v>
      </c>
      <c r="S193" s="140"/>
      <c r="T193" s="139"/>
      <c r="V193">
        <f t="shared" si="86"/>
        <v>0</v>
      </c>
    </row>
    <row r="194" spans="1:22">
      <c r="A194" s="14"/>
      <c r="B194" s="156"/>
      <c r="C194" s="120"/>
      <c r="D194" s="120"/>
      <c r="E194" s="120"/>
      <c r="F194" s="120"/>
      <c r="G194" s="120"/>
      <c r="H194" s="120"/>
      <c r="I194" s="137">
        <f t="shared" si="76"/>
        <v>0</v>
      </c>
      <c r="J194" s="137">
        <f t="shared" si="77"/>
        <v>0</v>
      </c>
      <c r="K194" s="138"/>
      <c r="L194" s="140"/>
      <c r="M194" s="140"/>
      <c r="N194" s="140"/>
      <c r="O194" s="140"/>
      <c r="P194" s="140"/>
      <c r="Q194" s="140"/>
      <c r="R194" s="140"/>
      <c r="S194" s="140"/>
      <c r="T194" s="139"/>
      <c r="V194">
        <f t="shared" si="75"/>
        <v>0</v>
      </c>
    </row>
    <row r="195" spans="1:22">
      <c r="A195" s="158"/>
      <c r="B195" s="157"/>
      <c r="C195" s="158"/>
      <c r="D195" s="123"/>
      <c r="E195" s="9"/>
      <c r="F195" s="9"/>
      <c r="G195" s="9"/>
      <c r="H195" s="9"/>
      <c r="I195" s="137">
        <f t="shared" si="76"/>
        <v>0</v>
      </c>
      <c r="J195" s="137">
        <f t="shared" si="77"/>
        <v>0</v>
      </c>
      <c r="K195" s="138"/>
      <c r="L195" s="140"/>
      <c r="M195" s="140"/>
      <c r="N195" s="140"/>
      <c r="O195" s="140"/>
      <c r="P195" s="140"/>
      <c r="Q195" s="140"/>
      <c r="R195" s="140"/>
      <c r="S195" s="140">
        <f>I195</f>
        <v>0</v>
      </c>
      <c r="T195" s="139"/>
      <c r="V195">
        <f t="shared" si="75"/>
        <v>0</v>
      </c>
    </row>
    <row r="196" spans="1:22">
      <c r="A196" s="158"/>
      <c r="B196" s="157"/>
      <c r="C196" s="158"/>
      <c r="D196" s="159"/>
      <c r="E196" s="120"/>
      <c r="F196" s="120"/>
      <c r="G196" s="120"/>
      <c r="H196" s="120"/>
      <c r="I196" s="137">
        <f t="shared" si="76"/>
        <v>0</v>
      </c>
      <c r="J196" s="137">
        <f t="shared" si="77"/>
        <v>0</v>
      </c>
      <c r="K196" s="138"/>
      <c r="L196" s="140"/>
      <c r="M196" s="140"/>
      <c r="N196" s="140"/>
      <c r="O196" s="140"/>
      <c r="P196" s="140"/>
      <c r="Q196" s="140"/>
      <c r="R196" s="140">
        <f>I196</f>
        <v>0</v>
      </c>
      <c r="S196" s="140"/>
      <c r="T196" s="139"/>
      <c r="V196">
        <f t="shared" si="75"/>
        <v>0</v>
      </c>
    </row>
    <row r="197" spans="1:22">
      <c r="A197" s="158"/>
      <c r="B197" s="157"/>
      <c r="C197" s="158"/>
      <c r="D197" s="159"/>
      <c r="E197" s="120"/>
      <c r="F197" s="120"/>
      <c r="G197" s="120"/>
      <c r="H197" s="120"/>
      <c r="I197" s="137">
        <f t="shared" ref="I197" si="87">F197*G197*H197*E197/91809/10.89</f>
        <v>0</v>
      </c>
      <c r="J197" s="137">
        <f t="shared" ref="J197" si="88">(F197+G197)*H197*4/1000*E197</f>
        <v>0</v>
      </c>
      <c r="K197" s="138"/>
      <c r="L197" s="140"/>
      <c r="M197" s="140"/>
      <c r="N197" s="140"/>
      <c r="O197" s="140"/>
      <c r="P197" s="140"/>
      <c r="Q197" s="140"/>
      <c r="R197" s="140">
        <f>I197</f>
        <v>0</v>
      </c>
      <c r="S197" s="140"/>
      <c r="T197" s="139"/>
      <c r="V197">
        <f t="shared" ref="V197" si="89">H197*E197</f>
        <v>0</v>
      </c>
    </row>
    <row r="198" spans="1:22">
      <c r="A198" s="158"/>
      <c r="B198" s="157"/>
      <c r="C198" s="158"/>
      <c r="D198" s="159"/>
      <c r="E198" s="120"/>
      <c r="F198" s="120"/>
      <c r="G198" s="120"/>
      <c r="H198" s="120"/>
      <c r="I198" s="137">
        <f t="shared" ref="I198" si="90">F198*G198*H198*E198/91809/10.89</f>
        <v>0</v>
      </c>
      <c r="J198" s="137">
        <f t="shared" ref="J198" si="91">(F198+G198)*H198*4/1000*E198</f>
        <v>0</v>
      </c>
      <c r="K198" s="138"/>
      <c r="L198" s="140"/>
      <c r="M198" s="140"/>
      <c r="N198" s="140"/>
      <c r="O198" s="140"/>
      <c r="P198" s="140"/>
      <c r="Q198" s="140"/>
      <c r="R198" s="140">
        <f>I198</f>
        <v>0</v>
      </c>
      <c r="S198" s="140"/>
      <c r="T198" s="139"/>
      <c r="V198">
        <f t="shared" ref="V198" si="92">H198*E198</f>
        <v>0</v>
      </c>
    </row>
    <row r="199" spans="1:22">
      <c r="A199" s="158"/>
      <c r="B199" s="157"/>
      <c r="C199" s="158"/>
      <c r="D199" s="159"/>
      <c r="E199" s="120"/>
      <c r="F199" s="120"/>
      <c r="G199" s="120"/>
      <c r="H199" s="120"/>
      <c r="I199" s="137">
        <f t="shared" si="76"/>
        <v>0</v>
      </c>
      <c r="J199" s="137">
        <f t="shared" si="77"/>
        <v>0</v>
      </c>
      <c r="K199" s="138"/>
      <c r="L199" s="140"/>
      <c r="M199" s="140"/>
      <c r="N199" s="140"/>
      <c r="O199" s="140"/>
      <c r="P199" s="140"/>
      <c r="Q199" s="140"/>
      <c r="R199" s="140">
        <f t="shared" ref="R199:R200" si="93">I199</f>
        <v>0</v>
      </c>
      <c r="S199" s="140"/>
      <c r="T199" s="139"/>
      <c r="V199">
        <f t="shared" si="75"/>
        <v>0</v>
      </c>
    </row>
    <row r="200" spans="1:22">
      <c r="A200" s="158"/>
      <c r="B200" s="157"/>
      <c r="C200" s="158"/>
      <c r="D200" s="159"/>
      <c r="E200" s="120"/>
      <c r="F200" s="120"/>
      <c r="G200" s="120"/>
      <c r="H200" s="120"/>
      <c r="I200" s="137">
        <f t="shared" si="76"/>
        <v>0</v>
      </c>
      <c r="J200" s="137">
        <f t="shared" si="77"/>
        <v>0</v>
      </c>
      <c r="K200" s="138"/>
      <c r="L200" s="140"/>
      <c r="M200" s="140"/>
      <c r="N200" s="140"/>
      <c r="O200" s="140"/>
      <c r="P200" s="140"/>
      <c r="Q200" s="140"/>
      <c r="R200" s="140">
        <f t="shared" si="93"/>
        <v>0</v>
      </c>
      <c r="S200" s="140"/>
      <c r="T200" s="139"/>
      <c r="V200">
        <f t="shared" si="75"/>
        <v>0</v>
      </c>
    </row>
    <row r="201" spans="1:22">
      <c r="A201" s="158"/>
      <c r="B201" s="157"/>
      <c r="C201" s="158"/>
      <c r="D201" s="159"/>
      <c r="E201" s="120"/>
      <c r="F201" s="120"/>
      <c r="G201" s="120"/>
      <c r="H201" s="120"/>
      <c r="I201" s="137">
        <f t="shared" si="76"/>
        <v>0</v>
      </c>
      <c r="J201" s="137">
        <f t="shared" si="77"/>
        <v>0</v>
      </c>
      <c r="K201" s="138"/>
      <c r="L201" s="140"/>
      <c r="M201" s="140"/>
      <c r="N201" s="140"/>
      <c r="O201" s="140"/>
      <c r="P201" s="140"/>
      <c r="Q201" s="140"/>
      <c r="R201" s="140">
        <f t="shared" ref="R201:R212" si="94">I201</f>
        <v>0</v>
      </c>
      <c r="S201" s="140"/>
      <c r="T201" s="139"/>
      <c r="V201">
        <f t="shared" si="75"/>
        <v>0</v>
      </c>
    </row>
    <row r="202" spans="1:22">
      <c r="A202" s="158"/>
      <c r="B202" s="157"/>
      <c r="C202" s="158"/>
      <c r="D202" s="159"/>
      <c r="E202" s="120"/>
      <c r="F202" s="120"/>
      <c r="G202" s="120"/>
      <c r="H202" s="120"/>
      <c r="I202" s="137">
        <f t="shared" si="76"/>
        <v>0</v>
      </c>
      <c r="J202" s="137">
        <f t="shared" si="77"/>
        <v>0</v>
      </c>
      <c r="K202" s="138"/>
      <c r="L202" s="140"/>
      <c r="M202" s="140"/>
      <c r="N202" s="140"/>
      <c r="O202" s="140"/>
      <c r="P202" s="140"/>
      <c r="Q202" s="140"/>
      <c r="R202" s="140">
        <f t="shared" si="94"/>
        <v>0</v>
      </c>
      <c r="S202" s="140"/>
      <c r="T202" s="139"/>
      <c r="V202">
        <f t="shared" si="75"/>
        <v>0</v>
      </c>
    </row>
    <row r="203" spans="1:22">
      <c r="A203" s="158"/>
      <c r="B203" s="157"/>
      <c r="C203" s="158"/>
      <c r="D203" s="159"/>
      <c r="E203" s="120"/>
      <c r="F203" s="120"/>
      <c r="G203" s="120"/>
      <c r="H203" s="120"/>
      <c r="I203" s="137">
        <f t="shared" ref="I203" si="95">F203*G203*H203*E203/91809/10.89</f>
        <v>0</v>
      </c>
      <c r="J203" s="137">
        <f t="shared" ref="J203" si="96">(F203+G203)*H203*4/1000*E203</f>
        <v>0</v>
      </c>
      <c r="K203" s="138"/>
      <c r="L203" s="140"/>
      <c r="M203" s="140"/>
      <c r="N203" s="140"/>
      <c r="O203" s="140"/>
      <c r="P203" s="140"/>
      <c r="Q203" s="140"/>
      <c r="R203" s="140">
        <f t="shared" si="94"/>
        <v>0</v>
      </c>
      <c r="S203" s="140"/>
      <c r="T203" s="139"/>
      <c r="V203">
        <f t="shared" ref="V203" si="97">H203*E203</f>
        <v>0</v>
      </c>
    </row>
    <row r="204" spans="1:22">
      <c r="A204" s="158"/>
      <c r="B204" s="157"/>
      <c r="C204" s="158"/>
      <c r="D204" s="159"/>
      <c r="E204" s="120"/>
      <c r="F204" s="120"/>
      <c r="G204" s="120"/>
      <c r="H204" s="120"/>
      <c r="I204" s="137">
        <f t="shared" si="76"/>
        <v>0</v>
      </c>
      <c r="J204" s="137">
        <f t="shared" si="77"/>
        <v>0</v>
      </c>
      <c r="K204" s="138"/>
      <c r="L204" s="140"/>
      <c r="M204" s="140"/>
      <c r="N204" s="140"/>
      <c r="O204" s="140"/>
      <c r="P204" s="140"/>
      <c r="Q204" s="140"/>
      <c r="R204" s="140">
        <f t="shared" si="94"/>
        <v>0</v>
      </c>
      <c r="S204" s="140"/>
      <c r="T204" s="139"/>
      <c r="V204">
        <f t="shared" si="75"/>
        <v>0</v>
      </c>
    </row>
    <row r="205" spans="1:22">
      <c r="A205" s="158"/>
      <c r="B205" s="157"/>
      <c r="C205" s="158"/>
      <c r="D205" s="159"/>
      <c r="E205" s="120"/>
      <c r="F205" s="120"/>
      <c r="G205" s="120"/>
      <c r="H205" s="120"/>
      <c r="I205" s="137">
        <f t="shared" si="76"/>
        <v>0</v>
      </c>
      <c r="J205" s="137">
        <f t="shared" si="77"/>
        <v>0</v>
      </c>
      <c r="K205" s="138"/>
      <c r="L205" s="140"/>
      <c r="M205" s="140"/>
      <c r="N205" s="140"/>
      <c r="O205" s="140"/>
      <c r="P205" s="140"/>
      <c r="Q205" s="140"/>
      <c r="R205" s="140">
        <f t="shared" si="94"/>
        <v>0</v>
      </c>
      <c r="S205" s="140"/>
      <c r="T205" s="139"/>
      <c r="V205">
        <f t="shared" si="75"/>
        <v>0</v>
      </c>
    </row>
    <row r="206" spans="1:22">
      <c r="A206" s="158"/>
      <c r="B206" s="157"/>
      <c r="C206" s="158"/>
      <c r="D206" s="159"/>
      <c r="E206" s="120"/>
      <c r="F206" s="120"/>
      <c r="G206" s="120"/>
      <c r="H206" s="120"/>
      <c r="I206" s="137">
        <f t="shared" si="76"/>
        <v>0</v>
      </c>
      <c r="J206" s="137">
        <f t="shared" si="77"/>
        <v>0</v>
      </c>
      <c r="K206" s="138"/>
      <c r="L206" s="140"/>
      <c r="M206" s="140"/>
      <c r="N206" s="140"/>
      <c r="O206" s="140"/>
      <c r="P206" s="140"/>
      <c r="Q206" s="140"/>
      <c r="R206" s="140">
        <f t="shared" si="94"/>
        <v>0</v>
      </c>
      <c r="S206" s="140"/>
      <c r="T206" s="139"/>
      <c r="V206">
        <f t="shared" si="75"/>
        <v>0</v>
      </c>
    </row>
    <row r="207" spans="1:22">
      <c r="A207" s="158"/>
      <c r="B207" s="157"/>
      <c r="C207" s="158"/>
      <c r="D207" s="159"/>
      <c r="E207" s="120"/>
      <c r="F207" s="120"/>
      <c r="G207" s="120"/>
      <c r="H207" s="120"/>
      <c r="I207" s="137">
        <f t="shared" ref="I207:I208" si="98">F207*G207*H207*E207/91809/10.89</f>
        <v>0</v>
      </c>
      <c r="J207" s="137">
        <f t="shared" ref="J207:J208" si="99">(F207+G207)*H207*4/1000*E207</f>
        <v>0</v>
      </c>
      <c r="K207" s="138"/>
      <c r="L207" s="140"/>
      <c r="M207" s="140"/>
      <c r="N207" s="140"/>
      <c r="O207" s="140"/>
      <c r="P207" s="140"/>
      <c r="Q207" s="140"/>
      <c r="R207" s="140">
        <f t="shared" si="94"/>
        <v>0</v>
      </c>
      <c r="S207" s="140"/>
      <c r="T207" s="139"/>
      <c r="V207">
        <f t="shared" ref="V207:V208" si="100">H207*E207</f>
        <v>0</v>
      </c>
    </row>
    <row r="208" spans="1:22">
      <c r="A208" s="158"/>
      <c r="B208" s="157"/>
      <c r="C208" s="158"/>
      <c r="D208" s="159"/>
      <c r="E208" s="120"/>
      <c r="F208" s="120"/>
      <c r="G208" s="120"/>
      <c r="H208" s="120"/>
      <c r="I208" s="137">
        <f t="shared" si="98"/>
        <v>0</v>
      </c>
      <c r="J208" s="137">
        <f t="shared" si="99"/>
        <v>0</v>
      </c>
      <c r="K208" s="138"/>
      <c r="L208" s="140"/>
      <c r="M208" s="140"/>
      <c r="N208" s="140"/>
      <c r="O208" s="140"/>
      <c r="P208" s="140"/>
      <c r="Q208" s="140"/>
      <c r="R208" s="140">
        <f t="shared" si="94"/>
        <v>0</v>
      </c>
      <c r="S208" s="140"/>
      <c r="T208" s="139"/>
      <c r="V208">
        <f t="shared" si="100"/>
        <v>0</v>
      </c>
    </row>
    <row r="209" spans="1:22">
      <c r="A209" s="158"/>
      <c r="B209" s="157"/>
      <c r="C209" s="158"/>
      <c r="D209" s="159"/>
      <c r="E209" s="120"/>
      <c r="F209" s="120"/>
      <c r="G209" s="120"/>
      <c r="H209" s="120"/>
      <c r="I209" s="137">
        <f t="shared" ref="I209:I210" si="101">F209*G209*H209*E209/91809/10.89</f>
        <v>0</v>
      </c>
      <c r="J209" s="137">
        <f t="shared" ref="J209:J210" si="102">(F209+G209)*H209*4/1000*E209</f>
        <v>0</v>
      </c>
      <c r="K209" s="138"/>
      <c r="L209" s="140"/>
      <c r="M209" s="140"/>
      <c r="N209" s="140"/>
      <c r="O209" s="140"/>
      <c r="P209" s="140"/>
      <c r="Q209" s="140"/>
      <c r="R209" s="140">
        <f t="shared" si="94"/>
        <v>0</v>
      </c>
      <c r="S209" s="140"/>
      <c r="T209" s="139"/>
      <c r="V209">
        <f t="shared" ref="V209:V210" si="103">H209*E209</f>
        <v>0</v>
      </c>
    </row>
    <row r="210" spans="1:22">
      <c r="A210" s="158"/>
      <c r="B210" s="157"/>
      <c r="C210" s="158"/>
      <c r="D210" s="159"/>
      <c r="E210" s="120"/>
      <c r="F210" s="120"/>
      <c r="G210" s="120"/>
      <c r="H210" s="120"/>
      <c r="I210" s="137">
        <f t="shared" si="101"/>
        <v>0</v>
      </c>
      <c r="J210" s="137">
        <f t="shared" si="102"/>
        <v>0</v>
      </c>
      <c r="K210" s="138"/>
      <c r="L210" s="140"/>
      <c r="M210" s="140"/>
      <c r="N210" s="140"/>
      <c r="O210" s="140"/>
      <c r="P210" s="140"/>
      <c r="Q210" s="140"/>
      <c r="R210" s="140">
        <f t="shared" si="94"/>
        <v>0</v>
      </c>
      <c r="S210" s="140"/>
      <c r="T210" s="139"/>
      <c r="V210">
        <f t="shared" si="103"/>
        <v>0</v>
      </c>
    </row>
    <row r="211" spans="1:22">
      <c r="A211" s="158"/>
      <c r="B211" s="157"/>
      <c r="C211" s="158"/>
      <c r="D211" s="159"/>
      <c r="E211" s="120"/>
      <c r="F211" s="120"/>
      <c r="G211" s="120"/>
      <c r="H211" s="120"/>
      <c r="I211" s="137">
        <f t="shared" ref="I211:I212" si="104">F211*G211*H211*E211/91809/10.89</f>
        <v>0</v>
      </c>
      <c r="J211" s="137">
        <f t="shared" ref="J211:J212" si="105">(F211+G211)*H211*4/1000*E211</f>
        <v>0</v>
      </c>
      <c r="K211" s="138"/>
      <c r="L211" s="140"/>
      <c r="M211" s="140"/>
      <c r="N211" s="140"/>
      <c r="O211" s="140"/>
      <c r="P211" s="140"/>
      <c r="Q211" s="140"/>
      <c r="R211" s="140">
        <f t="shared" si="94"/>
        <v>0</v>
      </c>
      <c r="S211" s="140"/>
      <c r="T211" s="139"/>
      <c r="V211">
        <f t="shared" ref="V211:V212" si="106">H211*E211</f>
        <v>0</v>
      </c>
    </row>
    <row r="212" spans="1:22">
      <c r="A212" s="158"/>
      <c r="B212" s="157"/>
      <c r="C212" s="158"/>
      <c r="D212" s="159"/>
      <c r="E212" s="120"/>
      <c r="F212" s="120"/>
      <c r="G212" s="120"/>
      <c r="H212" s="120"/>
      <c r="I212" s="137">
        <f t="shared" si="104"/>
        <v>0</v>
      </c>
      <c r="J212" s="137">
        <f t="shared" si="105"/>
        <v>0</v>
      </c>
      <c r="K212" s="138"/>
      <c r="L212" s="140"/>
      <c r="M212" s="140"/>
      <c r="N212" s="140"/>
      <c r="O212" s="140"/>
      <c r="P212" s="140"/>
      <c r="Q212" s="140"/>
      <c r="R212" s="140">
        <f t="shared" si="94"/>
        <v>0</v>
      </c>
      <c r="S212" s="140"/>
      <c r="T212" s="139"/>
      <c r="V212">
        <f t="shared" si="106"/>
        <v>0</v>
      </c>
    </row>
    <row r="213" spans="1:22">
      <c r="A213" s="158"/>
      <c r="B213" s="157"/>
      <c r="C213" s="158"/>
      <c r="D213" s="159"/>
      <c r="E213" s="120"/>
      <c r="F213" s="120"/>
      <c r="G213" s="120"/>
      <c r="H213" s="120"/>
      <c r="I213" s="137">
        <f t="shared" si="76"/>
        <v>0</v>
      </c>
      <c r="J213" s="137">
        <f t="shared" si="77"/>
        <v>0</v>
      </c>
      <c r="K213" s="138"/>
      <c r="L213" s="140"/>
      <c r="M213" s="140"/>
      <c r="N213" s="140"/>
      <c r="O213" s="140"/>
      <c r="P213" s="140"/>
      <c r="Q213" s="140"/>
      <c r="R213" s="140">
        <f t="shared" ref="R213:R218" si="107">I213</f>
        <v>0</v>
      </c>
      <c r="S213" s="140"/>
      <c r="T213" s="139"/>
      <c r="V213">
        <f t="shared" ref="V213:V276" si="108">H213*E213</f>
        <v>0</v>
      </c>
    </row>
    <row r="214" spans="1:22">
      <c r="A214" s="158"/>
      <c r="B214" s="157"/>
      <c r="C214" s="158"/>
      <c r="D214" s="159"/>
      <c r="E214" s="120"/>
      <c r="F214" s="120"/>
      <c r="G214" s="120"/>
      <c r="H214" s="120"/>
      <c r="I214" s="137">
        <f t="shared" si="76"/>
        <v>0</v>
      </c>
      <c r="J214" s="137">
        <f t="shared" si="77"/>
        <v>0</v>
      </c>
      <c r="K214" s="138"/>
      <c r="L214" s="140"/>
      <c r="M214" s="140"/>
      <c r="N214" s="140"/>
      <c r="O214" s="140"/>
      <c r="P214" s="140"/>
      <c r="Q214" s="140"/>
      <c r="R214" s="140">
        <f t="shared" si="107"/>
        <v>0</v>
      </c>
      <c r="S214" s="140"/>
      <c r="T214" s="139"/>
      <c r="V214">
        <f t="shared" si="108"/>
        <v>0</v>
      </c>
    </row>
    <row r="215" spans="1:22">
      <c r="A215" s="158"/>
      <c r="B215" s="157"/>
      <c r="C215" s="158"/>
      <c r="D215" s="159"/>
      <c r="E215" s="120"/>
      <c r="F215" s="120"/>
      <c r="G215" s="120"/>
      <c r="H215" s="120"/>
      <c r="I215" s="137">
        <f t="shared" si="76"/>
        <v>0</v>
      </c>
      <c r="J215" s="137">
        <f t="shared" si="77"/>
        <v>0</v>
      </c>
      <c r="K215" s="138"/>
      <c r="L215" s="140"/>
      <c r="M215" s="140"/>
      <c r="N215" s="140"/>
      <c r="O215" s="140"/>
      <c r="P215" s="140"/>
      <c r="Q215" s="140"/>
      <c r="R215" s="140">
        <f t="shared" si="107"/>
        <v>0</v>
      </c>
      <c r="S215" s="140"/>
      <c r="T215" s="139"/>
      <c r="V215">
        <f t="shared" si="108"/>
        <v>0</v>
      </c>
    </row>
    <row r="216" spans="1:22">
      <c r="A216" s="158"/>
      <c r="B216" s="157"/>
      <c r="C216" s="158"/>
      <c r="D216" s="159"/>
      <c r="E216" s="120"/>
      <c r="F216" s="120"/>
      <c r="G216" s="120"/>
      <c r="H216" s="120"/>
      <c r="I216" s="137">
        <f t="shared" si="76"/>
        <v>0</v>
      </c>
      <c r="J216" s="137">
        <f t="shared" si="77"/>
        <v>0</v>
      </c>
      <c r="K216" s="138"/>
      <c r="L216" s="140"/>
      <c r="M216" s="140"/>
      <c r="N216" s="140"/>
      <c r="O216" s="140"/>
      <c r="P216" s="140"/>
      <c r="Q216" s="140"/>
      <c r="R216" s="140">
        <f t="shared" si="107"/>
        <v>0</v>
      </c>
      <c r="S216" s="140"/>
      <c r="T216" s="139"/>
      <c r="V216">
        <f t="shared" si="108"/>
        <v>0</v>
      </c>
    </row>
    <row r="217" spans="1:22">
      <c r="A217" s="158"/>
      <c r="B217" s="157"/>
      <c r="C217" s="158"/>
      <c r="D217" s="159"/>
      <c r="E217" s="120"/>
      <c r="F217" s="120"/>
      <c r="G217" s="120"/>
      <c r="H217" s="120"/>
      <c r="I217" s="137">
        <f t="shared" ref="I217:I218" si="109">F217*G217*H217*E217/91809/10.89</f>
        <v>0</v>
      </c>
      <c r="J217" s="137">
        <f t="shared" ref="J217:J218" si="110">(F217+G217)*H217*4/1000*E217</f>
        <v>0</v>
      </c>
      <c r="K217" s="138"/>
      <c r="L217" s="140"/>
      <c r="M217" s="140"/>
      <c r="N217" s="140"/>
      <c r="O217" s="140"/>
      <c r="P217" s="140"/>
      <c r="Q217" s="140"/>
      <c r="R217" s="140">
        <f t="shared" si="107"/>
        <v>0</v>
      </c>
      <c r="S217" s="140"/>
      <c r="T217" s="139"/>
      <c r="V217">
        <f t="shared" si="108"/>
        <v>0</v>
      </c>
    </row>
    <row r="218" spans="1:22">
      <c r="A218" s="158"/>
      <c r="B218" s="157"/>
      <c r="C218" s="158"/>
      <c r="D218" s="159"/>
      <c r="E218" s="120"/>
      <c r="F218" s="120"/>
      <c r="G218" s="120"/>
      <c r="H218" s="120"/>
      <c r="I218" s="137">
        <f t="shared" si="109"/>
        <v>0</v>
      </c>
      <c r="J218" s="137">
        <f t="shared" si="110"/>
        <v>0</v>
      </c>
      <c r="K218" s="138"/>
      <c r="L218" s="140"/>
      <c r="M218" s="140"/>
      <c r="N218" s="140"/>
      <c r="O218" s="140"/>
      <c r="P218" s="140"/>
      <c r="Q218" s="140"/>
      <c r="R218" s="140">
        <f t="shared" si="107"/>
        <v>0</v>
      </c>
      <c r="S218" s="140"/>
      <c r="T218" s="139"/>
      <c r="V218">
        <f t="shared" ref="V218" si="111">H218*E218</f>
        <v>0</v>
      </c>
    </row>
    <row r="219" spans="1:22">
      <c r="A219" s="158"/>
      <c r="B219" s="157"/>
      <c r="C219" s="158"/>
      <c r="D219" s="120"/>
      <c r="E219" s="120"/>
      <c r="F219" s="120"/>
      <c r="G219" s="120"/>
      <c r="H219" s="120"/>
      <c r="I219" s="137">
        <f t="shared" ref="I219:I280" si="112">F219*G219*H219*E219/91809/10.89</f>
        <v>0</v>
      </c>
      <c r="J219" s="137">
        <f t="shared" ref="J219:J280" si="113">(F219+G219)*H219*4/1000*E219</f>
        <v>0</v>
      </c>
      <c r="K219" s="138"/>
      <c r="L219" s="140"/>
      <c r="M219" s="140"/>
      <c r="N219" s="140"/>
      <c r="O219" s="140"/>
      <c r="P219" s="140"/>
      <c r="Q219" s="140">
        <f>I219</f>
        <v>0</v>
      </c>
      <c r="R219" s="140"/>
      <c r="S219" s="140"/>
      <c r="T219" s="139"/>
      <c r="V219">
        <f t="shared" si="108"/>
        <v>0</v>
      </c>
    </row>
    <row r="220" spans="1:22">
      <c r="A220" s="9"/>
      <c r="B220" s="155"/>
      <c r="C220" s="120"/>
      <c r="D220" s="120"/>
      <c r="E220" s="120"/>
      <c r="F220" s="120"/>
      <c r="G220" s="120"/>
      <c r="H220" s="120"/>
      <c r="I220" s="137">
        <f t="shared" si="112"/>
        <v>0</v>
      </c>
      <c r="J220" s="137">
        <f t="shared" si="113"/>
        <v>0</v>
      </c>
      <c r="K220" s="138"/>
      <c r="L220" s="140"/>
      <c r="M220" s="140">
        <f>I220</f>
        <v>0</v>
      </c>
      <c r="N220" s="140"/>
      <c r="O220" s="140"/>
      <c r="P220" s="140"/>
      <c r="Q220" s="140"/>
      <c r="R220" s="140"/>
      <c r="S220" s="140"/>
      <c r="T220" s="139"/>
      <c r="V220">
        <f t="shared" si="108"/>
        <v>0</v>
      </c>
    </row>
    <row r="221" spans="1:22">
      <c r="A221" s="9"/>
      <c r="B221" s="155"/>
      <c r="C221" s="120"/>
      <c r="D221" s="120"/>
      <c r="E221" s="120"/>
      <c r="F221" s="120"/>
      <c r="G221" s="120"/>
      <c r="H221" s="120"/>
      <c r="I221" s="137">
        <f t="shared" si="112"/>
        <v>0</v>
      </c>
      <c r="J221" s="137">
        <f t="shared" si="113"/>
        <v>0</v>
      </c>
      <c r="K221" s="138"/>
      <c r="L221" s="140"/>
      <c r="M221" s="140">
        <f>I221</f>
        <v>0</v>
      </c>
      <c r="N221" s="140"/>
      <c r="O221" s="140"/>
      <c r="P221" s="140"/>
      <c r="Q221" s="140"/>
      <c r="R221" s="140"/>
      <c r="S221" s="140"/>
      <c r="T221" s="139"/>
      <c r="V221">
        <f t="shared" si="108"/>
        <v>0</v>
      </c>
    </row>
    <row r="222" spans="1:22">
      <c r="A222" s="9"/>
      <c r="B222" s="155"/>
      <c r="C222" s="120"/>
      <c r="D222" s="120"/>
      <c r="E222" s="120"/>
      <c r="F222" s="120"/>
      <c r="G222" s="120"/>
      <c r="H222" s="120"/>
      <c r="I222" s="137">
        <f t="shared" si="112"/>
        <v>0</v>
      </c>
      <c r="J222" s="137">
        <f t="shared" si="113"/>
        <v>0</v>
      </c>
      <c r="K222" s="138"/>
      <c r="L222" s="140"/>
      <c r="M222" s="140">
        <f t="shared" ref="M222:M238" si="114">I222</f>
        <v>0</v>
      </c>
      <c r="N222" s="140"/>
      <c r="O222" s="140"/>
      <c r="P222" s="140"/>
      <c r="Q222" s="140"/>
      <c r="R222" s="140"/>
      <c r="S222" s="140"/>
      <c r="T222" s="139"/>
      <c r="V222">
        <f t="shared" si="108"/>
        <v>0</v>
      </c>
    </row>
    <row r="223" spans="1:22">
      <c r="A223" s="9"/>
      <c r="B223" s="155"/>
      <c r="C223" s="120"/>
      <c r="D223" s="120"/>
      <c r="E223" s="120"/>
      <c r="F223" s="120"/>
      <c r="G223" s="120"/>
      <c r="H223" s="120"/>
      <c r="I223" s="137">
        <f t="shared" si="112"/>
        <v>0</v>
      </c>
      <c r="J223" s="137">
        <f t="shared" si="113"/>
        <v>0</v>
      </c>
      <c r="K223" s="138"/>
      <c r="L223" s="140"/>
      <c r="M223" s="140">
        <f t="shared" si="114"/>
        <v>0</v>
      </c>
      <c r="N223" s="140"/>
      <c r="O223" s="140"/>
      <c r="P223" s="140"/>
      <c r="Q223" s="140"/>
      <c r="R223" s="140"/>
      <c r="S223" s="140"/>
      <c r="T223" s="139"/>
      <c r="V223">
        <f t="shared" si="108"/>
        <v>0</v>
      </c>
    </row>
    <row r="224" spans="1:22">
      <c r="A224" s="9"/>
      <c r="B224" s="155"/>
      <c r="C224" s="120"/>
      <c r="D224" s="120"/>
      <c r="E224" s="120"/>
      <c r="F224" s="120"/>
      <c r="G224" s="120"/>
      <c r="H224" s="120"/>
      <c r="I224" s="137">
        <f t="shared" si="112"/>
        <v>0</v>
      </c>
      <c r="J224" s="137">
        <f t="shared" si="113"/>
        <v>0</v>
      </c>
      <c r="K224" s="138"/>
      <c r="L224" s="140"/>
      <c r="M224" s="140">
        <f t="shared" si="114"/>
        <v>0</v>
      </c>
      <c r="N224" s="140"/>
      <c r="O224" s="140"/>
      <c r="P224" s="140"/>
      <c r="Q224" s="140"/>
      <c r="R224" s="140"/>
      <c r="S224" s="140"/>
      <c r="T224" s="139"/>
      <c r="V224">
        <f t="shared" si="108"/>
        <v>0</v>
      </c>
    </row>
    <row r="225" spans="1:22">
      <c r="A225" s="9"/>
      <c r="B225" s="155"/>
      <c r="C225" s="120"/>
      <c r="D225" s="120"/>
      <c r="E225" s="120"/>
      <c r="F225" s="120"/>
      <c r="G225" s="120"/>
      <c r="H225" s="120"/>
      <c r="I225" s="137">
        <f t="shared" si="112"/>
        <v>0</v>
      </c>
      <c r="J225" s="137">
        <f t="shared" si="113"/>
        <v>0</v>
      </c>
      <c r="K225" s="138"/>
      <c r="L225" s="140"/>
      <c r="M225" s="140">
        <f t="shared" si="114"/>
        <v>0</v>
      </c>
      <c r="N225" s="140"/>
      <c r="O225" s="140"/>
      <c r="P225" s="140"/>
      <c r="Q225" s="140"/>
      <c r="R225" s="140"/>
      <c r="S225" s="140"/>
      <c r="T225" s="139"/>
      <c r="V225">
        <f t="shared" si="108"/>
        <v>0</v>
      </c>
    </row>
    <row r="226" spans="1:22">
      <c r="A226" s="9"/>
      <c r="B226" s="155"/>
      <c r="C226" s="120"/>
      <c r="D226" s="120"/>
      <c r="E226" s="120"/>
      <c r="F226" s="120"/>
      <c r="G226" s="120"/>
      <c r="H226" s="120"/>
      <c r="I226" s="137">
        <f t="shared" si="112"/>
        <v>0</v>
      </c>
      <c r="J226" s="137">
        <f t="shared" si="113"/>
        <v>0</v>
      </c>
      <c r="K226" s="138"/>
      <c r="L226" s="140"/>
      <c r="M226" s="140">
        <f t="shared" si="114"/>
        <v>0</v>
      </c>
      <c r="N226" s="140"/>
      <c r="O226" s="140"/>
      <c r="P226" s="140"/>
      <c r="Q226" s="140"/>
      <c r="R226" s="140"/>
      <c r="S226" s="140"/>
      <c r="T226" s="139"/>
      <c r="V226">
        <f t="shared" si="108"/>
        <v>0</v>
      </c>
    </row>
    <row r="227" spans="1:22">
      <c r="A227" s="9"/>
      <c r="B227" s="155"/>
      <c r="C227" s="120"/>
      <c r="D227" s="120"/>
      <c r="E227" s="120"/>
      <c r="F227" s="120"/>
      <c r="G227" s="120"/>
      <c r="H227" s="120"/>
      <c r="I227" s="137">
        <f t="shared" si="112"/>
        <v>0</v>
      </c>
      <c r="J227" s="137">
        <f t="shared" si="113"/>
        <v>0</v>
      </c>
      <c r="K227" s="138"/>
      <c r="L227" s="140"/>
      <c r="M227" s="140">
        <f t="shared" si="114"/>
        <v>0</v>
      </c>
      <c r="N227" s="140"/>
      <c r="O227" s="140"/>
      <c r="P227" s="140"/>
      <c r="Q227" s="140"/>
      <c r="R227" s="140"/>
      <c r="S227" s="140"/>
      <c r="T227" s="139"/>
      <c r="V227">
        <f t="shared" si="108"/>
        <v>0</v>
      </c>
    </row>
    <row r="228" spans="1:22">
      <c r="A228" s="9"/>
      <c r="B228" s="155"/>
      <c r="C228" s="120"/>
      <c r="D228" s="120"/>
      <c r="E228" s="120"/>
      <c r="F228" s="120"/>
      <c r="G228" s="120"/>
      <c r="H228" s="120"/>
      <c r="I228" s="137">
        <f t="shared" si="112"/>
        <v>0</v>
      </c>
      <c r="J228" s="137">
        <f t="shared" si="113"/>
        <v>0</v>
      </c>
      <c r="K228" s="138"/>
      <c r="L228" s="140"/>
      <c r="M228" s="140">
        <f t="shared" si="114"/>
        <v>0</v>
      </c>
      <c r="N228" s="140"/>
      <c r="O228" s="140"/>
      <c r="P228" s="140"/>
      <c r="Q228" s="140"/>
      <c r="R228" s="140"/>
      <c r="S228" s="140"/>
      <c r="T228" s="139"/>
      <c r="V228">
        <f t="shared" si="108"/>
        <v>0</v>
      </c>
    </row>
    <row r="229" spans="1:22">
      <c r="A229" s="9"/>
      <c r="B229" s="155"/>
      <c r="C229" s="120"/>
      <c r="D229" s="120"/>
      <c r="E229" s="120"/>
      <c r="F229" s="120"/>
      <c r="G229" s="120"/>
      <c r="H229" s="120"/>
      <c r="I229" s="137">
        <f t="shared" si="112"/>
        <v>0</v>
      </c>
      <c r="J229" s="137">
        <f t="shared" si="113"/>
        <v>0</v>
      </c>
      <c r="K229" s="138"/>
      <c r="L229" s="140"/>
      <c r="M229" s="140">
        <f t="shared" si="114"/>
        <v>0</v>
      </c>
      <c r="N229" s="140"/>
      <c r="O229" s="140"/>
      <c r="P229" s="140"/>
      <c r="Q229" s="140"/>
      <c r="R229" s="140"/>
      <c r="S229" s="140"/>
      <c r="T229" s="139"/>
      <c r="V229">
        <f t="shared" si="108"/>
        <v>0</v>
      </c>
    </row>
    <row r="230" spans="1:22">
      <c r="A230" s="9"/>
      <c r="B230" s="155"/>
      <c r="C230" s="120"/>
      <c r="D230" s="120"/>
      <c r="E230" s="120"/>
      <c r="F230" s="120"/>
      <c r="G230" s="120"/>
      <c r="H230" s="120"/>
      <c r="I230" s="137">
        <f t="shared" si="112"/>
        <v>0</v>
      </c>
      <c r="J230" s="137">
        <f t="shared" si="113"/>
        <v>0</v>
      </c>
      <c r="K230" s="138"/>
      <c r="L230" s="140"/>
      <c r="M230" s="140">
        <f t="shared" si="114"/>
        <v>0</v>
      </c>
      <c r="N230" s="140"/>
      <c r="O230" s="140"/>
      <c r="P230" s="140"/>
      <c r="Q230" s="140"/>
      <c r="R230" s="140"/>
      <c r="S230" s="140"/>
      <c r="T230" s="139"/>
      <c r="V230">
        <f t="shared" si="108"/>
        <v>0</v>
      </c>
    </row>
    <row r="231" spans="1:22">
      <c r="A231" s="9"/>
      <c r="B231" s="155"/>
      <c r="C231" s="120"/>
      <c r="D231" s="120"/>
      <c r="E231" s="120"/>
      <c r="F231" s="120"/>
      <c r="G231" s="120"/>
      <c r="H231" s="120"/>
      <c r="I231" s="137">
        <f t="shared" si="112"/>
        <v>0</v>
      </c>
      <c r="J231" s="137">
        <f t="shared" si="113"/>
        <v>0</v>
      </c>
      <c r="K231" s="138"/>
      <c r="L231" s="140"/>
      <c r="M231" s="140">
        <f t="shared" si="114"/>
        <v>0</v>
      </c>
      <c r="N231" s="140"/>
      <c r="O231" s="140"/>
      <c r="P231" s="140"/>
      <c r="Q231" s="140"/>
      <c r="R231" s="140"/>
      <c r="S231" s="140"/>
      <c r="T231" s="139"/>
      <c r="V231">
        <f t="shared" si="108"/>
        <v>0</v>
      </c>
    </row>
    <row r="232" spans="1:22">
      <c r="A232" s="9"/>
      <c r="B232" s="155"/>
      <c r="C232" s="120"/>
      <c r="D232" s="120"/>
      <c r="E232" s="120"/>
      <c r="F232" s="120"/>
      <c r="G232" s="120"/>
      <c r="H232" s="120"/>
      <c r="I232" s="137">
        <f t="shared" si="112"/>
        <v>0</v>
      </c>
      <c r="J232" s="137">
        <f t="shared" si="113"/>
        <v>0</v>
      </c>
      <c r="K232" s="138"/>
      <c r="L232" s="140"/>
      <c r="M232" s="140">
        <f t="shared" si="114"/>
        <v>0</v>
      </c>
      <c r="N232" s="140"/>
      <c r="O232" s="140"/>
      <c r="P232" s="140"/>
      <c r="Q232" s="140"/>
      <c r="R232" s="140"/>
      <c r="S232" s="140"/>
      <c r="T232" s="139"/>
      <c r="V232">
        <f t="shared" si="108"/>
        <v>0</v>
      </c>
    </row>
    <row r="233" spans="1:22">
      <c r="A233" s="9"/>
      <c r="B233" s="155"/>
      <c r="C233" s="120"/>
      <c r="D233" s="120"/>
      <c r="E233" s="120"/>
      <c r="F233" s="120"/>
      <c r="G233" s="120"/>
      <c r="H233" s="120"/>
      <c r="I233" s="137">
        <f t="shared" si="112"/>
        <v>0</v>
      </c>
      <c r="J233" s="137">
        <f t="shared" si="113"/>
        <v>0</v>
      </c>
      <c r="K233" s="138"/>
      <c r="L233" s="140"/>
      <c r="M233" s="140">
        <f t="shared" si="114"/>
        <v>0</v>
      </c>
      <c r="N233" s="140"/>
      <c r="O233" s="140"/>
      <c r="P233" s="140"/>
      <c r="Q233" s="140"/>
      <c r="R233" s="140"/>
      <c r="S233" s="140"/>
      <c r="T233" s="139"/>
      <c r="V233">
        <f t="shared" si="108"/>
        <v>0</v>
      </c>
    </row>
    <row r="234" spans="1:22">
      <c r="A234" s="9"/>
      <c r="B234" s="155"/>
      <c r="C234" s="120"/>
      <c r="D234" s="120"/>
      <c r="E234" s="120"/>
      <c r="F234" s="120"/>
      <c r="G234" s="120"/>
      <c r="H234" s="120"/>
      <c r="I234" s="137">
        <f t="shared" si="112"/>
        <v>0</v>
      </c>
      <c r="J234" s="137">
        <f t="shared" si="113"/>
        <v>0</v>
      </c>
      <c r="K234" s="138"/>
      <c r="L234" s="140"/>
      <c r="M234" s="140">
        <f t="shared" si="114"/>
        <v>0</v>
      </c>
      <c r="N234" s="140"/>
      <c r="O234" s="140"/>
      <c r="P234" s="140"/>
      <c r="Q234" s="140"/>
      <c r="R234" s="140"/>
      <c r="S234" s="140"/>
      <c r="T234" s="139"/>
      <c r="V234">
        <f t="shared" si="108"/>
        <v>0</v>
      </c>
    </row>
    <row r="235" spans="1:22">
      <c r="A235" s="9"/>
      <c r="B235" s="155"/>
      <c r="C235" s="120"/>
      <c r="D235" s="120"/>
      <c r="E235" s="120"/>
      <c r="F235" s="120"/>
      <c r="G235" s="120"/>
      <c r="H235" s="120"/>
      <c r="I235" s="137">
        <f t="shared" si="112"/>
        <v>0</v>
      </c>
      <c r="J235" s="137">
        <f t="shared" si="113"/>
        <v>0</v>
      </c>
      <c r="K235" s="138"/>
      <c r="L235" s="140"/>
      <c r="M235" s="140">
        <f t="shared" si="114"/>
        <v>0</v>
      </c>
      <c r="N235" s="140"/>
      <c r="O235" s="140"/>
      <c r="P235" s="140"/>
      <c r="Q235" s="140"/>
      <c r="R235" s="140"/>
      <c r="S235" s="140"/>
      <c r="T235" s="139"/>
      <c r="V235">
        <f t="shared" si="108"/>
        <v>0</v>
      </c>
    </row>
    <row r="236" spans="1:22">
      <c r="A236" s="9"/>
      <c r="B236" s="155"/>
      <c r="C236" s="120"/>
      <c r="D236" s="120"/>
      <c r="E236" s="120"/>
      <c r="F236" s="120"/>
      <c r="G236" s="120"/>
      <c r="H236" s="120"/>
      <c r="I236" s="137">
        <f t="shared" si="112"/>
        <v>0</v>
      </c>
      <c r="J236" s="137">
        <f t="shared" si="113"/>
        <v>0</v>
      </c>
      <c r="K236" s="138"/>
      <c r="L236" s="140"/>
      <c r="M236" s="140">
        <f t="shared" si="114"/>
        <v>0</v>
      </c>
      <c r="N236" s="140"/>
      <c r="O236" s="140"/>
      <c r="P236" s="140"/>
      <c r="Q236" s="140"/>
      <c r="R236" s="140"/>
      <c r="S236" s="140"/>
      <c r="T236" s="139"/>
      <c r="V236">
        <f t="shared" si="108"/>
        <v>0</v>
      </c>
    </row>
    <row r="237" spans="1:22">
      <c r="A237" s="9"/>
      <c r="B237" s="155"/>
      <c r="C237" s="120"/>
      <c r="D237" s="120"/>
      <c r="E237" s="120"/>
      <c r="F237" s="120"/>
      <c r="G237" s="120"/>
      <c r="H237" s="120"/>
      <c r="I237" s="137">
        <f t="shared" si="112"/>
        <v>0</v>
      </c>
      <c r="J237" s="137">
        <f t="shared" si="113"/>
        <v>0</v>
      </c>
      <c r="K237" s="138"/>
      <c r="L237" s="140"/>
      <c r="M237" s="140">
        <f t="shared" si="114"/>
        <v>0</v>
      </c>
      <c r="N237" s="140"/>
      <c r="O237" s="140"/>
      <c r="P237" s="140"/>
      <c r="Q237" s="140"/>
      <c r="R237" s="140"/>
      <c r="S237" s="140"/>
      <c r="T237" s="139"/>
      <c r="V237">
        <f t="shared" si="108"/>
        <v>0</v>
      </c>
    </row>
    <row r="238" spans="1:22">
      <c r="A238" s="9"/>
      <c r="B238" s="155"/>
      <c r="C238" s="120"/>
      <c r="D238" s="120"/>
      <c r="E238" s="120"/>
      <c r="F238" s="120"/>
      <c r="G238" s="120"/>
      <c r="H238" s="120"/>
      <c r="I238" s="137">
        <f t="shared" si="112"/>
        <v>0</v>
      </c>
      <c r="J238" s="137">
        <f t="shared" si="113"/>
        <v>0</v>
      </c>
      <c r="K238" s="138"/>
      <c r="L238" s="140"/>
      <c r="M238" s="140">
        <f t="shared" si="114"/>
        <v>0</v>
      </c>
      <c r="N238" s="140"/>
      <c r="O238" s="140"/>
      <c r="P238" s="140"/>
      <c r="Q238" s="140"/>
      <c r="R238" s="140"/>
      <c r="S238" s="140"/>
      <c r="T238" s="139"/>
      <c r="V238">
        <f t="shared" si="108"/>
        <v>0</v>
      </c>
    </row>
    <row r="239" spans="1:22">
      <c r="A239" s="9"/>
      <c r="B239" s="155"/>
      <c r="C239" s="120"/>
      <c r="D239" s="120"/>
      <c r="E239" s="120"/>
      <c r="F239" s="120"/>
      <c r="G239" s="120"/>
      <c r="H239" s="120"/>
      <c r="I239" s="137">
        <f t="shared" si="112"/>
        <v>0</v>
      </c>
      <c r="J239" s="137">
        <f t="shared" si="113"/>
        <v>0</v>
      </c>
      <c r="K239" s="138"/>
      <c r="L239" s="140"/>
      <c r="M239" s="140"/>
      <c r="N239" s="140"/>
      <c r="O239" s="140"/>
      <c r="P239" s="140">
        <f>I239</f>
        <v>0</v>
      </c>
      <c r="Q239" s="140"/>
      <c r="R239" s="140"/>
      <c r="S239" s="140"/>
      <c r="T239" s="139"/>
      <c r="V239">
        <f t="shared" si="108"/>
        <v>0</v>
      </c>
    </row>
    <row r="240" spans="1:22">
      <c r="A240" s="9"/>
      <c r="B240" s="155"/>
      <c r="C240" s="120"/>
      <c r="D240" s="120"/>
      <c r="E240" s="120"/>
      <c r="F240" s="120"/>
      <c r="G240" s="120"/>
      <c r="H240" s="120"/>
      <c r="I240" s="137">
        <f t="shared" si="112"/>
        <v>0</v>
      </c>
      <c r="J240" s="137">
        <f t="shared" si="113"/>
        <v>0</v>
      </c>
      <c r="K240" s="138"/>
      <c r="L240" s="140"/>
      <c r="M240" s="140"/>
      <c r="N240" s="140"/>
      <c r="O240" s="140"/>
      <c r="P240" s="140">
        <f>I240</f>
        <v>0</v>
      </c>
      <c r="Q240" s="140"/>
      <c r="R240" s="140"/>
      <c r="S240" s="140"/>
      <c r="T240" s="139"/>
      <c r="V240">
        <f t="shared" si="108"/>
        <v>0</v>
      </c>
    </row>
    <row r="241" spans="1:22">
      <c r="A241" s="9"/>
      <c r="B241" s="155"/>
      <c r="C241" s="120"/>
      <c r="D241" s="120"/>
      <c r="E241" s="120"/>
      <c r="F241" s="120"/>
      <c r="G241" s="120"/>
      <c r="H241" s="120"/>
      <c r="I241" s="137">
        <f t="shared" si="112"/>
        <v>0</v>
      </c>
      <c r="J241" s="137">
        <f t="shared" si="113"/>
        <v>0</v>
      </c>
      <c r="K241" s="138"/>
      <c r="L241" s="140"/>
      <c r="M241" s="140">
        <f t="shared" ref="M241:M304" si="115">I241</f>
        <v>0</v>
      </c>
      <c r="N241" s="140"/>
      <c r="O241" s="140"/>
      <c r="P241" s="140"/>
      <c r="Q241" s="140"/>
      <c r="R241" s="140"/>
      <c r="S241" s="140"/>
      <c r="T241" s="139"/>
      <c r="V241">
        <f t="shared" si="108"/>
        <v>0</v>
      </c>
    </row>
    <row r="242" spans="1:22">
      <c r="A242" s="9"/>
      <c r="B242" s="155"/>
      <c r="C242" s="120"/>
      <c r="D242" s="120"/>
      <c r="E242" s="120"/>
      <c r="F242" s="120"/>
      <c r="G242" s="120"/>
      <c r="H242" s="120"/>
      <c r="I242" s="137">
        <f t="shared" si="112"/>
        <v>0</v>
      </c>
      <c r="J242" s="137">
        <f t="shared" si="113"/>
        <v>0</v>
      </c>
      <c r="K242" s="138"/>
      <c r="L242" s="140"/>
      <c r="M242" s="140">
        <f t="shared" si="115"/>
        <v>0</v>
      </c>
      <c r="N242" s="140"/>
      <c r="O242" s="140"/>
      <c r="P242" s="140"/>
      <c r="Q242" s="140"/>
      <c r="R242" s="140"/>
      <c r="S242" s="140"/>
      <c r="T242" s="139"/>
      <c r="V242">
        <f t="shared" si="108"/>
        <v>0</v>
      </c>
    </row>
    <row r="243" spans="1:22">
      <c r="A243" s="9"/>
      <c r="B243" s="155"/>
      <c r="C243" s="120"/>
      <c r="D243" s="120"/>
      <c r="E243" s="120"/>
      <c r="F243" s="120"/>
      <c r="G243" s="120"/>
      <c r="H243" s="120"/>
      <c r="I243" s="137">
        <f t="shared" si="112"/>
        <v>0</v>
      </c>
      <c r="J243" s="137">
        <f t="shared" si="113"/>
        <v>0</v>
      </c>
      <c r="K243" s="138"/>
      <c r="L243" s="140"/>
      <c r="M243" s="140">
        <f t="shared" si="115"/>
        <v>0</v>
      </c>
      <c r="N243" s="140"/>
      <c r="O243" s="140"/>
      <c r="P243" s="140"/>
      <c r="Q243" s="140"/>
      <c r="R243" s="140"/>
      <c r="S243" s="140"/>
      <c r="T243" s="139"/>
      <c r="V243">
        <f t="shared" si="108"/>
        <v>0</v>
      </c>
    </row>
    <row r="244" spans="1:22">
      <c r="A244" s="9"/>
      <c r="B244" s="155"/>
      <c r="C244" s="120"/>
      <c r="D244" s="120"/>
      <c r="E244" s="120"/>
      <c r="F244" s="120"/>
      <c r="G244" s="120"/>
      <c r="H244" s="120"/>
      <c r="I244" s="137">
        <f t="shared" si="112"/>
        <v>0</v>
      </c>
      <c r="J244" s="137">
        <f t="shared" si="113"/>
        <v>0</v>
      </c>
      <c r="K244" s="138"/>
      <c r="L244" s="140"/>
      <c r="M244" s="140">
        <f t="shared" si="115"/>
        <v>0</v>
      </c>
      <c r="N244" s="140"/>
      <c r="O244" s="140"/>
      <c r="P244" s="140"/>
      <c r="Q244" s="140"/>
      <c r="R244" s="140"/>
      <c r="S244" s="140"/>
      <c r="T244" s="139"/>
      <c r="V244">
        <f t="shared" si="108"/>
        <v>0</v>
      </c>
    </row>
    <row r="245" spans="1:22">
      <c r="A245" s="9"/>
      <c r="B245" s="155"/>
      <c r="C245" s="120"/>
      <c r="D245" s="120"/>
      <c r="E245" s="120"/>
      <c r="F245" s="120"/>
      <c r="G245" s="120"/>
      <c r="H245" s="120"/>
      <c r="I245" s="137">
        <f t="shared" si="112"/>
        <v>0</v>
      </c>
      <c r="J245" s="137">
        <f t="shared" si="113"/>
        <v>0</v>
      </c>
      <c r="K245" s="138"/>
      <c r="L245" s="140"/>
      <c r="M245" s="140">
        <f t="shared" si="115"/>
        <v>0</v>
      </c>
      <c r="N245" s="140"/>
      <c r="O245" s="140"/>
      <c r="P245" s="140"/>
      <c r="Q245" s="140"/>
      <c r="R245" s="140"/>
      <c r="S245" s="140"/>
      <c r="T245" s="139"/>
      <c r="V245">
        <f t="shared" si="108"/>
        <v>0</v>
      </c>
    </row>
    <row r="246" spans="1:22">
      <c r="A246" s="9"/>
      <c r="B246" s="155"/>
      <c r="C246" s="120"/>
      <c r="D246" s="120"/>
      <c r="E246" s="120"/>
      <c r="F246" s="120"/>
      <c r="G246" s="120"/>
      <c r="H246" s="120"/>
      <c r="I246" s="137">
        <f t="shared" si="112"/>
        <v>0</v>
      </c>
      <c r="J246" s="137">
        <f t="shared" si="113"/>
        <v>0</v>
      </c>
      <c r="K246" s="138"/>
      <c r="L246" s="140"/>
      <c r="M246" s="140">
        <f t="shared" si="115"/>
        <v>0</v>
      </c>
      <c r="N246" s="140"/>
      <c r="O246" s="140"/>
      <c r="P246" s="140"/>
      <c r="Q246" s="140"/>
      <c r="R246" s="140"/>
      <c r="S246" s="140"/>
      <c r="T246" s="139"/>
      <c r="V246">
        <f t="shared" si="108"/>
        <v>0</v>
      </c>
    </row>
    <row r="247" spans="1:22">
      <c r="A247" s="9"/>
      <c r="B247" s="155"/>
      <c r="C247" s="120"/>
      <c r="D247" s="120"/>
      <c r="E247" s="120"/>
      <c r="F247" s="120"/>
      <c r="G247" s="120"/>
      <c r="H247" s="120"/>
      <c r="I247" s="137">
        <f t="shared" si="112"/>
        <v>0</v>
      </c>
      <c r="J247" s="137">
        <f t="shared" si="113"/>
        <v>0</v>
      </c>
      <c r="K247" s="138"/>
      <c r="L247" s="140"/>
      <c r="M247" s="140">
        <f t="shared" si="115"/>
        <v>0</v>
      </c>
      <c r="N247" s="140"/>
      <c r="O247" s="140"/>
      <c r="P247" s="140"/>
      <c r="Q247" s="140"/>
      <c r="R247" s="140"/>
      <c r="S247" s="140"/>
      <c r="T247" s="139"/>
      <c r="V247">
        <f t="shared" si="108"/>
        <v>0</v>
      </c>
    </row>
    <row r="248" spans="1:22">
      <c r="A248" s="9"/>
      <c r="B248" s="155"/>
      <c r="C248" s="120"/>
      <c r="D248" s="120"/>
      <c r="E248" s="120"/>
      <c r="F248" s="120"/>
      <c r="G248" s="120"/>
      <c r="H248" s="120"/>
      <c r="I248" s="137">
        <f t="shared" si="112"/>
        <v>0</v>
      </c>
      <c r="J248" s="137">
        <f t="shared" si="113"/>
        <v>0</v>
      </c>
      <c r="K248" s="138"/>
      <c r="L248" s="140"/>
      <c r="M248" s="140">
        <f t="shared" si="115"/>
        <v>0</v>
      </c>
      <c r="N248" s="140"/>
      <c r="O248" s="140"/>
      <c r="P248" s="140"/>
      <c r="Q248" s="140"/>
      <c r="R248" s="140"/>
      <c r="S248" s="140"/>
      <c r="T248" s="139"/>
      <c r="V248">
        <f t="shared" si="108"/>
        <v>0</v>
      </c>
    </row>
    <row r="249" spans="1:22">
      <c r="A249" s="9"/>
      <c r="B249" s="155"/>
      <c r="C249" s="120"/>
      <c r="D249" s="120"/>
      <c r="E249" s="120"/>
      <c r="F249" s="120"/>
      <c r="G249" s="120"/>
      <c r="H249" s="120"/>
      <c r="I249" s="137">
        <f t="shared" si="112"/>
        <v>0</v>
      </c>
      <c r="J249" s="137">
        <f t="shared" si="113"/>
        <v>0</v>
      </c>
      <c r="K249" s="138"/>
      <c r="L249" s="140"/>
      <c r="M249" s="140">
        <f t="shared" si="115"/>
        <v>0</v>
      </c>
      <c r="N249" s="140"/>
      <c r="O249" s="140"/>
      <c r="P249" s="140"/>
      <c r="Q249" s="140"/>
      <c r="R249" s="140"/>
      <c r="S249" s="140"/>
      <c r="T249" s="139"/>
      <c r="V249">
        <f t="shared" si="108"/>
        <v>0</v>
      </c>
    </row>
    <row r="250" spans="1:22">
      <c r="A250" s="14"/>
      <c r="B250" s="155"/>
      <c r="C250" s="120"/>
      <c r="D250" s="120"/>
      <c r="E250" s="120"/>
      <c r="F250" s="120"/>
      <c r="G250" s="120"/>
      <c r="H250" s="120"/>
      <c r="I250" s="137">
        <f t="shared" si="112"/>
        <v>0</v>
      </c>
      <c r="J250" s="137">
        <f t="shared" si="113"/>
        <v>0</v>
      </c>
      <c r="K250" s="138"/>
      <c r="L250" s="140"/>
      <c r="M250" s="140"/>
      <c r="N250" s="140"/>
      <c r="O250" s="140"/>
      <c r="P250" s="140"/>
      <c r="Q250" s="140"/>
      <c r="R250" s="140"/>
      <c r="S250" s="140"/>
      <c r="T250" s="139"/>
      <c r="V250">
        <f t="shared" si="108"/>
        <v>0</v>
      </c>
    </row>
    <row r="251" spans="1:22">
      <c r="A251" s="9"/>
      <c r="B251" s="155"/>
      <c r="C251" s="120"/>
      <c r="D251" s="120"/>
      <c r="E251" s="120"/>
      <c r="F251" s="120"/>
      <c r="G251" s="120"/>
      <c r="H251" s="120"/>
      <c r="I251" s="160">
        <f t="shared" si="112"/>
        <v>0</v>
      </c>
      <c r="J251" s="137">
        <f t="shared" si="113"/>
        <v>0</v>
      </c>
      <c r="K251" s="138"/>
      <c r="L251" s="140"/>
      <c r="M251" s="140">
        <f t="shared" si="115"/>
        <v>0</v>
      </c>
      <c r="N251" s="140"/>
      <c r="O251" s="140"/>
      <c r="P251" s="140"/>
      <c r="Q251" s="140"/>
      <c r="R251" s="140"/>
      <c r="S251" s="140"/>
      <c r="T251" s="139"/>
      <c r="V251">
        <f t="shared" si="108"/>
        <v>0</v>
      </c>
    </row>
    <row r="252" spans="1:22">
      <c r="A252" s="9"/>
      <c r="B252" s="155"/>
      <c r="C252" s="120"/>
      <c r="D252" s="120"/>
      <c r="E252" s="120"/>
      <c r="F252" s="120"/>
      <c r="G252" s="120"/>
      <c r="H252" s="120"/>
      <c r="I252" s="160">
        <f t="shared" si="112"/>
        <v>0</v>
      </c>
      <c r="J252" s="137">
        <f t="shared" si="113"/>
        <v>0</v>
      </c>
      <c r="K252" s="138"/>
      <c r="L252" s="140"/>
      <c r="M252" s="140">
        <f t="shared" si="115"/>
        <v>0</v>
      </c>
      <c r="N252" s="140"/>
      <c r="O252" s="140"/>
      <c r="P252" s="140"/>
      <c r="Q252" s="140"/>
      <c r="R252" s="140"/>
      <c r="S252" s="140"/>
      <c r="T252" s="139"/>
      <c r="V252">
        <f t="shared" si="108"/>
        <v>0</v>
      </c>
    </row>
    <row r="253" spans="1:22">
      <c r="A253" s="9"/>
      <c r="B253" s="155"/>
      <c r="C253" s="120"/>
      <c r="D253" s="120"/>
      <c r="E253" s="120"/>
      <c r="F253" s="120"/>
      <c r="G253" s="120"/>
      <c r="H253" s="120"/>
      <c r="I253" s="137">
        <f t="shared" si="112"/>
        <v>0</v>
      </c>
      <c r="J253" s="137">
        <f t="shared" si="113"/>
        <v>0</v>
      </c>
      <c r="K253" s="138"/>
      <c r="L253" s="140"/>
      <c r="M253" s="140">
        <f t="shared" si="115"/>
        <v>0</v>
      </c>
      <c r="N253" s="140"/>
      <c r="O253" s="140"/>
      <c r="P253" s="140"/>
      <c r="Q253" s="140"/>
      <c r="R253" s="140"/>
      <c r="S253" s="140"/>
      <c r="T253" s="139"/>
      <c r="V253">
        <f t="shared" si="108"/>
        <v>0</v>
      </c>
    </row>
    <row r="254" spans="1:22">
      <c r="A254" s="9"/>
      <c r="B254" s="155"/>
      <c r="C254" s="120"/>
      <c r="D254" s="120"/>
      <c r="E254" s="120"/>
      <c r="F254" s="120"/>
      <c r="G254" s="120"/>
      <c r="H254" s="120"/>
      <c r="I254" s="160">
        <f t="shared" si="112"/>
        <v>0</v>
      </c>
      <c r="J254" s="137">
        <f t="shared" si="113"/>
        <v>0</v>
      </c>
      <c r="K254" s="138"/>
      <c r="L254" s="140"/>
      <c r="M254" s="140">
        <f t="shared" si="115"/>
        <v>0</v>
      </c>
      <c r="N254" s="140"/>
      <c r="O254" s="140"/>
      <c r="P254" s="140"/>
      <c r="Q254" s="140"/>
      <c r="R254" s="140"/>
      <c r="S254" s="140"/>
      <c r="T254" s="139"/>
      <c r="V254">
        <f t="shared" si="108"/>
        <v>0</v>
      </c>
    </row>
    <row r="255" spans="1:22">
      <c r="A255" s="9"/>
      <c r="B255" s="155"/>
      <c r="C255" s="120"/>
      <c r="D255" s="120"/>
      <c r="E255" s="120"/>
      <c r="F255" s="120"/>
      <c r="G255" s="120"/>
      <c r="H255" s="120"/>
      <c r="I255" s="160">
        <f t="shared" si="112"/>
        <v>0</v>
      </c>
      <c r="J255" s="137">
        <f t="shared" si="113"/>
        <v>0</v>
      </c>
      <c r="K255" s="138"/>
      <c r="L255" s="140"/>
      <c r="M255" s="140">
        <f t="shared" si="115"/>
        <v>0</v>
      </c>
      <c r="N255" s="140"/>
      <c r="O255" s="140"/>
      <c r="P255" s="140"/>
      <c r="Q255" s="140"/>
      <c r="R255" s="140"/>
      <c r="S255" s="140"/>
      <c r="T255" s="139"/>
      <c r="V255">
        <f t="shared" si="108"/>
        <v>0</v>
      </c>
    </row>
    <row r="256" spans="1:22">
      <c r="A256" s="9"/>
      <c r="B256" s="155"/>
      <c r="C256" s="120"/>
      <c r="D256" s="120"/>
      <c r="E256" s="120"/>
      <c r="F256" s="120"/>
      <c r="G256" s="120"/>
      <c r="H256" s="120"/>
      <c r="I256" s="160">
        <f t="shared" si="112"/>
        <v>0</v>
      </c>
      <c r="J256" s="137">
        <f t="shared" si="113"/>
        <v>0</v>
      </c>
      <c r="K256" s="138"/>
      <c r="L256" s="140"/>
      <c r="M256" s="140">
        <f t="shared" si="115"/>
        <v>0</v>
      </c>
      <c r="N256" s="140"/>
      <c r="O256" s="140"/>
      <c r="P256" s="140"/>
      <c r="Q256" s="140"/>
      <c r="R256" s="140"/>
      <c r="S256" s="140"/>
      <c r="T256" s="139"/>
      <c r="V256">
        <f t="shared" si="108"/>
        <v>0</v>
      </c>
    </row>
    <row r="257" spans="1:22">
      <c r="A257" s="9"/>
      <c r="B257" s="155"/>
      <c r="C257" s="120"/>
      <c r="D257" s="120"/>
      <c r="E257" s="120"/>
      <c r="F257" s="120"/>
      <c r="G257" s="120"/>
      <c r="H257" s="120"/>
      <c r="I257" s="137">
        <f t="shared" si="112"/>
        <v>0</v>
      </c>
      <c r="J257" s="137">
        <f t="shared" si="113"/>
        <v>0</v>
      </c>
      <c r="K257" s="138"/>
      <c r="L257" s="140"/>
      <c r="M257" s="140">
        <f t="shared" si="115"/>
        <v>0</v>
      </c>
      <c r="N257" s="140"/>
      <c r="O257" s="140"/>
      <c r="P257" s="140"/>
      <c r="Q257" s="140"/>
      <c r="R257" s="140"/>
      <c r="S257" s="140"/>
      <c r="T257" s="139"/>
      <c r="V257">
        <f t="shared" si="108"/>
        <v>0</v>
      </c>
    </row>
    <row r="258" spans="1:22">
      <c r="A258" s="9"/>
      <c r="B258" s="155"/>
      <c r="C258" s="120"/>
      <c r="D258" s="120"/>
      <c r="E258" s="120"/>
      <c r="F258" s="120"/>
      <c r="G258" s="120"/>
      <c r="H258" s="120"/>
      <c r="I258" s="160">
        <f t="shared" si="112"/>
        <v>0</v>
      </c>
      <c r="J258" s="137">
        <f t="shared" si="113"/>
        <v>0</v>
      </c>
      <c r="K258" s="138"/>
      <c r="L258" s="140"/>
      <c r="M258" s="140">
        <f t="shared" si="115"/>
        <v>0</v>
      </c>
      <c r="N258" s="140"/>
      <c r="O258" s="140"/>
      <c r="P258" s="140"/>
      <c r="Q258" s="140"/>
      <c r="R258" s="140"/>
      <c r="S258" s="140"/>
      <c r="T258" s="139"/>
      <c r="V258">
        <f t="shared" si="108"/>
        <v>0</v>
      </c>
    </row>
    <row r="259" spans="1:22">
      <c r="A259" s="9"/>
      <c r="B259" s="155"/>
      <c r="C259" s="120"/>
      <c r="D259" s="120"/>
      <c r="E259" s="120"/>
      <c r="F259" s="120"/>
      <c r="G259" s="120"/>
      <c r="H259" s="120"/>
      <c r="I259" s="160">
        <f t="shared" si="112"/>
        <v>0</v>
      </c>
      <c r="J259" s="137">
        <f t="shared" si="113"/>
        <v>0</v>
      </c>
      <c r="K259" s="138"/>
      <c r="L259" s="140"/>
      <c r="M259" s="140">
        <f t="shared" si="115"/>
        <v>0</v>
      </c>
      <c r="N259" s="140"/>
      <c r="O259" s="140"/>
      <c r="P259" s="140"/>
      <c r="Q259" s="140"/>
      <c r="R259" s="140"/>
      <c r="S259" s="140"/>
      <c r="T259" s="139"/>
      <c r="V259">
        <f t="shared" si="108"/>
        <v>0</v>
      </c>
    </row>
    <row r="260" spans="1:22">
      <c r="A260" s="9"/>
      <c r="B260" s="155"/>
      <c r="C260" s="120"/>
      <c r="D260" s="120"/>
      <c r="E260" s="120"/>
      <c r="F260" s="120"/>
      <c r="G260" s="120"/>
      <c r="H260" s="120"/>
      <c r="I260" s="160">
        <f t="shared" si="112"/>
        <v>0</v>
      </c>
      <c r="J260" s="137">
        <f t="shared" si="113"/>
        <v>0</v>
      </c>
      <c r="K260" s="138"/>
      <c r="L260" s="140"/>
      <c r="M260" s="140">
        <f t="shared" si="115"/>
        <v>0</v>
      </c>
      <c r="N260" s="140"/>
      <c r="O260" s="140"/>
      <c r="P260" s="140"/>
      <c r="Q260" s="140"/>
      <c r="R260" s="140"/>
      <c r="S260" s="140"/>
      <c r="T260" s="139"/>
      <c r="V260">
        <f t="shared" si="108"/>
        <v>0</v>
      </c>
    </row>
    <row r="261" spans="1:22">
      <c r="A261" s="9"/>
      <c r="B261" s="155"/>
      <c r="C261" s="120"/>
      <c r="D261" s="120"/>
      <c r="E261" s="120"/>
      <c r="F261" s="120"/>
      <c r="G261" s="120"/>
      <c r="H261" s="120"/>
      <c r="I261" s="137">
        <f t="shared" si="112"/>
        <v>0</v>
      </c>
      <c r="J261" s="137">
        <f t="shared" si="113"/>
        <v>0</v>
      </c>
      <c r="K261" s="138"/>
      <c r="L261" s="140"/>
      <c r="M261" s="140">
        <f t="shared" si="115"/>
        <v>0</v>
      </c>
      <c r="N261" s="140"/>
      <c r="O261" s="140"/>
      <c r="P261" s="140"/>
      <c r="Q261" s="140"/>
      <c r="R261" s="140"/>
      <c r="S261" s="140"/>
      <c r="T261" s="139"/>
      <c r="V261">
        <f t="shared" si="108"/>
        <v>0</v>
      </c>
    </row>
    <row r="262" spans="1:22">
      <c r="A262" s="9"/>
      <c r="B262" s="155"/>
      <c r="C262" s="120"/>
      <c r="D262" s="120"/>
      <c r="E262" s="120"/>
      <c r="F262" s="120"/>
      <c r="G262" s="120"/>
      <c r="H262" s="120"/>
      <c r="I262" s="137">
        <f t="shared" si="112"/>
        <v>0</v>
      </c>
      <c r="J262" s="137">
        <f t="shared" si="113"/>
        <v>0</v>
      </c>
      <c r="K262" s="138"/>
      <c r="L262" s="140"/>
      <c r="M262" s="140">
        <f t="shared" si="115"/>
        <v>0</v>
      </c>
      <c r="N262" s="140"/>
      <c r="O262" s="140"/>
      <c r="P262" s="140"/>
      <c r="Q262" s="140"/>
      <c r="R262" s="140"/>
      <c r="S262" s="140"/>
      <c r="T262" s="139"/>
      <c r="V262">
        <f t="shared" si="108"/>
        <v>0</v>
      </c>
    </row>
    <row r="263" spans="1:22">
      <c r="A263" s="9"/>
      <c r="B263" s="155"/>
      <c r="C263" s="120"/>
      <c r="D263" s="120"/>
      <c r="E263" s="120"/>
      <c r="F263" s="120"/>
      <c r="G263" s="120"/>
      <c r="H263" s="120"/>
      <c r="I263" s="160">
        <f t="shared" si="112"/>
        <v>0</v>
      </c>
      <c r="J263" s="137">
        <f t="shared" si="113"/>
        <v>0</v>
      </c>
      <c r="K263" s="138"/>
      <c r="L263" s="140"/>
      <c r="M263" s="140">
        <f t="shared" si="115"/>
        <v>0</v>
      </c>
      <c r="N263" s="140"/>
      <c r="O263" s="140"/>
      <c r="P263" s="140"/>
      <c r="Q263" s="140"/>
      <c r="R263" s="140"/>
      <c r="S263" s="140"/>
      <c r="T263" s="139"/>
      <c r="V263">
        <f t="shared" si="108"/>
        <v>0</v>
      </c>
    </row>
    <row r="264" spans="1:22">
      <c r="A264" s="9"/>
      <c r="B264" s="155"/>
      <c r="C264" s="120"/>
      <c r="D264" s="120"/>
      <c r="E264" s="120"/>
      <c r="F264" s="120"/>
      <c r="G264" s="120"/>
      <c r="H264" s="120"/>
      <c r="I264" s="160">
        <f t="shared" si="112"/>
        <v>0</v>
      </c>
      <c r="J264" s="137">
        <f t="shared" si="113"/>
        <v>0</v>
      </c>
      <c r="K264" s="138"/>
      <c r="L264" s="140"/>
      <c r="M264" s="140">
        <f t="shared" si="115"/>
        <v>0</v>
      </c>
      <c r="N264" s="140"/>
      <c r="O264" s="140"/>
      <c r="P264" s="140"/>
      <c r="Q264" s="140"/>
      <c r="R264" s="140"/>
      <c r="S264" s="140"/>
      <c r="T264" s="139"/>
      <c r="V264">
        <f t="shared" si="108"/>
        <v>0</v>
      </c>
    </row>
    <row r="265" spans="1:22">
      <c r="A265" s="9"/>
      <c r="B265" s="155"/>
      <c r="C265" s="120"/>
      <c r="D265" s="120"/>
      <c r="E265" s="120"/>
      <c r="F265" s="120"/>
      <c r="G265" s="120"/>
      <c r="H265" s="120"/>
      <c r="I265" s="160">
        <f t="shared" si="112"/>
        <v>0</v>
      </c>
      <c r="J265" s="137">
        <f t="shared" si="113"/>
        <v>0</v>
      </c>
      <c r="K265" s="138"/>
      <c r="L265" s="140"/>
      <c r="M265" s="140">
        <f t="shared" si="115"/>
        <v>0</v>
      </c>
      <c r="N265" s="140"/>
      <c r="O265" s="140"/>
      <c r="P265" s="140"/>
      <c r="Q265" s="140"/>
      <c r="R265" s="140"/>
      <c r="S265" s="140"/>
      <c r="T265" s="139"/>
      <c r="V265">
        <f t="shared" si="108"/>
        <v>0</v>
      </c>
    </row>
    <row r="266" spans="1:22">
      <c r="A266" s="9"/>
      <c r="B266" s="155"/>
      <c r="C266" s="120"/>
      <c r="D266" s="120"/>
      <c r="E266" s="120"/>
      <c r="F266" s="120"/>
      <c r="G266" s="120"/>
      <c r="H266" s="120"/>
      <c r="I266" s="137">
        <f>F266*G266*H266*E268/91809/10.89</f>
        <v>0</v>
      </c>
      <c r="J266" s="137">
        <f>(F266+G266)*H266*4/1000*E268</f>
        <v>0</v>
      </c>
      <c r="K266" s="138"/>
      <c r="L266" s="140"/>
      <c r="M266" s="140">
        <f t="shared" si="115"/>
        <v>0</v>
      </c>
      <c r="N266" s="140"/>
      <c r="O266" s="140"/>
      <c r="P266" s="140"/>
      <c r="Q266" s="140"/>
      <c r="R266" s="140"/>
      <c r="S266" s="140"/>
      <c r="T266" s="139"/>
      <c r="V266">
        <f t="shared" si="108"/>
        <v>0</v>
      </c>
    </row>
    <row r="267" spans="1:22">
      <c r="A267" s="9"/>
      <c r="B267" s="155"/>
      <c r="C267" s="120"/>
      <c r="D267" s="120"/>
      <c r="E267" s="120"/>
      <c r="F267" s="120"/>
      <c r="G267" s="120"/>
      <c r="H267" s="120"/>
      <c r="I267" s="160">
        <f t="shared" si="112"/>
        <v>0</v>
      </c>
      <c r="J267" s="137">
        <f t="shared" si="113"/>
        <v>0</v>
      </c>
      <c r="K267" s="138"/>
      <c r="L267" s="140"/>
      <c r="M267" s="140">
        <f t="shared" si="115"/>
        <v>0</v>
      </c>
      <c r="N267" s="140"/>
      <c r="O267" s="140"/>
      <c r="P267" s="140"/>
      <c r="Q267" s="140"/>
      <c r="R267" s="140"/>
      <c r="S267" s="140"/>
      <c r="T267" s="139"/>
      <c r="V267">
        <f t="shared" si="108"/>
        <v>0</v>
      </c>
    </row>
    <row r="268" spans="1:22">
      <c r="A268" s="9"/>
      <c r="B268" s="155"/>
      <c r="C268" s="120"/>
      <c r="D268" s="120"/>
      <c r="E268" s="120"/>
      <c r="F268" s="120"/>
      <c r="G268" s="120"/>
      <c r="H268" s="120"/>
      <c r="I268" s="160">
        <f t="shared" si="112"/>
        <v>0</v>
      </c>
      <c r="J268" s="137">
        <f t="shared" si="113"/>
        <v>0</v>
      </c>
      <c r="K268" s="138"/>
      <c r="L268" s="140"/>
      <c r="M268" s="140">
        <f t="shared" si="115"/>
        <v>0</v>
      </c>
      <c r="N268" s="140"/>
      <c r="O268" s="140"/>
      <c r="P268" s="140"/>
      <c r="Q268" s="140"/>
      <c r="R268" s="140"/>
      <c r="S268" s="140"/>
      <c r="T268" s="139"/>
      <c r="V268">
        <f t="shared" si="108"/>
        <v>0</v>
      </c>
    </row>
    <row r="269" spans="1:22">
      <c r="A269" s="9"/>
      <c r="B269" s="155"/>
      <c r="C269" s="120"/>
      <c r="D269" s="120"/>
      <c r="E269" s="120"/>
      <c r="F269" s="120"/>
      <c r="G269" s="120"/>
      <c r="H269" s="120"/>
      <c r="I269" s="160">
        <f t="shared" si="112"/>
        <v>0</v>
      </c>
      <c r="J269" s="137">
        <f t="shared" si="113"/>
        <v>0</v>
      </c>
      <c r="K269" s="138"/>
      <c r="L269" s="140"/>
      <c r="M269" s="140">
        <f t="shared" si="115"/>
        <v>0</v>
      </c>
      <c r="N269" s="140"/>
      <c r="O269" s="140"/>
      <c r="P269" s="140"/>
      <c r="Q269" s="140"/>
      <c r="R269" s="140"/>
      <c r="S269" s="140"/>
      <c r="T269" s="139"/>
      <c r="V269">
        <f t="shared" si="108"/>
        <v>0</v>
      </c>
    </row>
    <row r="270" spans="1:22">
      <c r="A270" s="9"/>
      <c r="B270" s="155"/>
      <c r="C270" s="120"/>
      <c r="D270" s="120"/>
      <c r="E270" s="120"/>
      <c r="F270" s="120"/>
      <c r="G270" s="120"/>
      <c r="H270" s="120"/>
      <c r="I270" s="137">
        <f t="shared" si="112"/>
        <v>0</v>
      </c>
      <c r="J270" s="137">
        <f t="shared" si="113"/>
        <v>0</v>
      </c>
      <c r="K270" s="138"/>
      <c r="L270" s="140"/>
      <c r="M270" s="140">
        <f t="shared" si="115"/>
        <v>0</v>
      </c>
      <c r="N270" s="140"/>
      <c r="O270" s="140"/>
      <c r="P270" s="140"/>
      <c r="Q270" s="140"/>
      <c r="R270" s="140"/>
      <c r="S270" s="140"/>
      <c r="T270" s="139"/>
      <c r="V270">
        <f t="shared" si="108"/>
        <v>0</v>
      </c>
    </row>
    <row r="271" spans="1:22">
      <c r="A271" s="9"/>
      <c r="B271" s="155"/>
      <c r="C271" s="120"/>
      <c r="D271" s="120"/>
      <c r="E271" s="120"/>
      <c r="F271" s="120"/>
      <c r="G271" s="120"/>
      <c r="H271" s="120"/>
      <c r="I271" s="160">
        <f t="shared" si="112"/>
        <v>0</v>
      </c>
      <c r="J271" s="137">
        <f t="shared" si="113"/>
        <v>0</v>
      </c>
      <c r="K271" s="138"/>
      <c r="L271" s="140"/>
      <c r="M271" s="140">
        <f t="shared" si="115"/>
        <v>0</v>
      </c>
      <c r="N271" s="140"/>
      <c r="O271" s="140"/>
      <c r="P271" s="140"/>
      <c r="Q271" s="140"/>
      <c r="R271" s="140"/>
      <c r="S271" s="140"/>
      <c r="T271" s="139"/>
      <c r="V271">
        <f t="shared" si="108"/>
        <v>0</v>
      </c>
    </row>
    <row r="272" spans="1:22">
      <c r="A272" s="9"/>
      <c r="B272" s="155"/>
      <c r="C272" s="120"/>
      <c r="D272" s="120"/>
      <c r="E272" s="120"/>
      <c r="F272" s="120"/>
      <c r="G272" s="120"/>
      <c r="H272" s="120"/>
      <c r="I272" s="160">
        <f t="shared" si="112"/>
        <v>0</v>
      </c>
      <c r="J272" s="137">
        <f t="shared" si="113"/>
        <v>0</v>
      </c>
      <c r="K272" s="138"/>
      <c r="L272" s="140"/>
      <c r="M272" s="140">
        <f t="shared" si="115"/>
        <v>0</v>
      </c>
      <c r="N272" s="140"/>
      <c r="O272" s="140"/>
      <c r="P272" s="140"/>
      <c r="Q272" s="140"/>
      <c r="R272" s="140"/>
      <c r="S272" s="140"/>
      <c r="T272" s="139"/>
      <c r="V272">
        <f t="shared" si="108"/>
        <v>0</v>
      </c>
    </row>
    <row r="273" spans="1:22">
      <c r="A273" s="9"/>
      <c r="B273" s="155"/>
      <c r="C273" s="120"/>
      <c r="D273" s="120"/>
      <c r="E273" s="120"/>
      <c r="F273" s="120"/>
      <c r="G273" s="120"/>
      <c r="H273" s="120"/>
      <c r="I273" s="160">
        <f t="shared" si="112"/>
        <v>0</v>
      </c>
      <c r="J273" s="137">
        <f t="shared" si="113"/>
        <v>0</v>
      </c>
      <c r="K273" s="138"/>
      <c r="L273" s="140"/>
      <c r="M273" s="140">
        <f t="shared" si="115"/>
        <v>0</v>
      </c>
      <c r="N273" s="140"/>
      <c r="O273" s="140"/>
      <c r="P273" s="140"/>
      <c r="Q273" s="140"/>
      <c r="R273" s="140"/>
      <c r="S273" s="140"/>
      <c r="T273" s="139"/>
      <c r="V273">
        <f t="shared" si="108"/>
        <v>0</v>
      </c>
    </row>
    <row r="274" spans="1:22">
      <c r="A274" s="9"/>
      <c r="B274" s="155"/>
      <c r="C274" s="120"/>
      <c r="D274" s="120"/>
      <c r="E274" s="120"/>
      <c r="F274" s="120"/>
      <c r="G274" s="120"/>
      <c r="H274" s="120"/>
      <c r="I274" s="137">
        <f t="shared" si="112"/>
        <v>0</v>
      </c>
      <c r="J274" s="137">
        <f t="shared" si="113"/>
        <v>0</v>
      </c>
      <c r="K274" s="138"/>
      <c r="L274" s="140"/>
      <c r="M274" s="140">
        <f t="shared" si="115"/>
        <v>0</v>
      </c>
      <c r="N274" s="140"/>
      <c r="O274" s="140"/>
      <c r="P274" s="140"/>
      <c r="Q274" s="140"/>
      <c r="R274" s="140"/>
      <c r="S274" s="140"/>
      <c r="T274" s="139"/>
      <c r="V274">
        <f t="shared" si="108"/>
        <v>0</v>
      </c>
    </row>
    <row r="275" spans="1:22">
      <c r="A275" s="9"/>
      <c r="B275" s="155"/>
      <c r="C275" s="120"/>
      <c r="D275" s="120"/>
      <c r="E275" s="120"/>
      <c r="F275" s="120"/>
      <c r="G275" s="120"/>
      <c r="H275" s="120"/>
      <c r="I275" s="137">
        <f t="shared" si="112"/>
        <v>0</v>
      </c>
      <c r="J275" s="137">
        <f t="shared" si="113"/>
        <v>0</v>
      </c>
      <c r="K275" s="138"/>
      <c r="L275" s="140"/>
      <c r="M275" s="140">
        <f t="shared" si="115"/>
        <v>0</v>
      </c>
      <c r="N275" s="140"/>
      <c r="O275" s="140"/>
      <c r="P275" s="140"/>
      <c r="Q275" s="140"/>
      <c r="R275" s="140"/>
      <c r="S275" s="140"/>
      <c r="T275" s="139"/>
      <c r="V275">
        <f t="shared" si="108"/>
        <v>0</v>
      </c>
    </row>
    <row r="276" spans="1:22">
      <c r="A276" s="9"/>
      <c r="B276" s="155"/>
      <c r="C276" s="120"/>
      <c r="D276" s="120"/>
      <c r="E276" s="120"/>
      <c r="F276" s="120"/>
      <c r="G276" s="120"/>
      <c r="H276" s="120"/>
      <c r="I276" s="137">
        <f t="shared" si="112"/>
        <v>0</v>
      </c>
      <c r="J276" s="137">
        <f t="shared" si="113"/>
        <v>0</v>
      </c>
      <c r="K276" s="138"/>
      <c r="L276" s="140"/>
      <c r="M276" s="140">
        <f t="shared" si="115"/>
        <v>0</v>
      </c>
      <c r="N276" s="140"/>
      <c r="O276" s="140"/>
      <c r="P276" s="140"/>
      <c r="Q276" s="140"/>
      <c r="R276" s="140"/>
      <c r="S276" s="140"/>
      <c r="T276" s="139"/>
      <c r="V276">
        <f t="shared" si="108"/>
        <v>0</v>
      </c>
    </row>
    <row r="277" spans="1:22">
      <c r="A277" s="9"/>
      <c r="B277" s="155"/>
      <c r="C277" s="120"/>
      <c r="D277" s="120"/>
      <c r="E277" s="120"/>
      <c r="F277" s="120"/>
      <c r="G277" s="120"/>
      <c r="H277" s="120"/>
      <c r="I277" s="137">
        <f t="shared" si="112"/>
        <v>0</v>
      </c>
      <c r="J277" s="137">
        <f t="shared" si="113"/>
        <v>0</v>
      </c>
      <c r="K277" s="138"/>
      <c r="L277" s="140"/>
      <c r="M277" s="140">
        <f t="shared" si="115"/>
        <v>0</v>
      </c>
      <c r="N277" s="140"/>
      <c r="O277" s="140"/>
      <c r="P277" s="140"/>
      <c r="Q277" s="140"/>
      <c r="R277" s="140"/>
      <c r="S277" s="140"/>
      <c r="T277" s="139"/>
      <c r="V277">
        <f t="shared" ref="V277:V345" si="116">H277*E277</f>
        <v>0</v>
      </c>
    </row>
    <row r="278" spans="1:22">
      <c r="A278" s="9"/>
      <c r="B278" s="155"/>
      <c r="C278" s="120"/>
      <c r="D278" s="120"/>
      <c r="E278" s="120"/>
      <c r="F278" s="120"/>
      <c r="G278" s="120"/>
      <c r="H278" s="120"/>
      <c r="I278" s="137">
        <f t="shared" si="112"/>
        <v>0</v>
      </c>
      <c r="J278" s="137">
        <f t="shared" si="113"/>
        <v>0</v>
      </c>
      <c r="K278" s="138"/>
      <c r="L278" s="140"/>
      <c r="M278" s="140">
        <f t="shared" si="115"/>
        <v>0</v>
      </c>
      <c r="N278" s="140"/>
      <c r="O278" s="140"/>
      <c r="P278" s="140"/>
      <c r="Q278" s="140"/>
      <c r="R278" s="140"/>
      <c r="S278" s="140"/>
      <c r="T278" s="139"/>
      <c r="V278">
        <f t="shared" si="116"/>
        <v>0</v>
      </c>
    </row>
    <row r="279" spans="1:22">
      <c r="A279" s="9"/>
      <c r="B279" s="155"/>
      <c r="C279" s="120"/>
      <c r="D279" s="120"/>
      <c r="E279" s="120"/>
      <c r="F279" s="120"/>
      <c r="G279" s="120"/>
      <c r="H279" s="120"/>
      <c r="I279" s="137">
        <f t="shared" si="112"/>
        <v>0</v>
      </c>
      <c r="J279" s="137">
        <f t="shared" si="113"/>
        <v>0</v>
      </c>
      <c r="K279" s="138"/>
      <c r="L279" s="140"/>
      <c r="M279" s="140">
        <f t="shared" si="115"/>
        <v>0</v>
      </c>
      <c r="N279" s="140"/>
      <c r="O279" s="140"/>
      <c r="P279" s="140"/>
      <c r="Q279" s="140"/>
      <c r="R279" s="140"/>
      <c r="S279" s="140"/>
      <c r="T279" s="139"/>
      <c r="V279">
        <f t="shared" si="116"/>
        <v>0</v>
      </c>
    </row>
    <row r="280" spans="1:22">
      <c r="A280" s="9"/>
      <c r="B280" s="155"/>
      <c r="C280" s="120"/>
      <c r="D280" s="120"/>
      <c r="E280" s="120"/>
      <c r="F280" s="120"/>
      <c r="G280" s="120"/>
      <c r="H280" s="120"/>
      <c r="I280" s="137">
        <f t="shared" si="112"/>
        <v>0</v>
      </c>
      <c r="J280" s="137">
        <f t="shared" si="113"/>
        <v>0</v>
      </c>
      <c r="K280" s="138"/>
      <c r="L280" s="140"/>
      <c r="M280" s="140">
        <f t="shared" si="115"/>
        <v>0</v>
      </c>
      <c r="N280" s="140"/>
      <c r="O280" s="140"/>
      <c r="P280" s="140"/>
      <c r="Q280" s="140"/>
      <c r="R280" s="140"/>
      <c r="S280" s="140"/>
      <c r="T280" s="139"/>
      <c r="V280">
        <f t="shared" si="116"/>
        <v>0</v>
      </c>
    </row>
    <row r="281" spans="1:22">
      <c r="A281" s="9"/>
      <c r="B281" s="155"/>
      <c r="C281" s="120"/>
      <c r="D281" s="120"/>
      <c r="E281" s="120"/>
      <c r="F281" s="120"/>
      <c r="G281" s="120"/>
      <c r="H281" s="120"/>
      <c r="I281" s="137">
        <f t="shared" ref="I281:I350" si="117">F281*G281*H281*E281/91809/10.89</f>
        <v>0</v>
      </c>
      <c r="J281" s="137">
        <f t="shared" ref="J281:J350" si="118">(F281+G281)*H281*4/1000*E281</f>
        <v>0</v>
      </c>
      <c r="K281" s="138"/>
      <c r="L281" s="140"/>
      <c r="M281" s="140">
        <f t="shared" si="115"/>
        <v>0</v>
      </c>
      <c r="N281" s="140"/>
      <c r="O281" s="140"/>
      <c r="P281" s="140"/>
      <c r="Q281" s="140"/>
      <c r="R281" s="140"/>
      <c r="S281" s="140"/>
      <c r="T281" s="139"/>
      <c r="V281">
        <f t="shared" si="116"/>
        <v>0</v>
      </c>
    </row>
    <row r="282" spans="1:22">
      <c r="A282" s="14"/>
      <c r="B282" s="156"/>
      <c r="C282" s="120"/>
      <c r="D282" s="120"/>
      <c r="E282" s="120"/>
      <c r="F282" s="120"/>
      <c r="G282" s="120"/>
      <c r="H282" s="120"/>
      <c r="I282" s="137">
        <f t="shared" si="117"/>
        <v>0</v>
      </c>
      <c r="J282" s="137">
        <f t="shared" si="118"/>
        <v>0</v>
      </c>
      <c r="K282" s="138"/>
      <c r="L282" s="140"/>
      <c r="M282" s="140"/>
      <c r="N282" s="140"/>
      <c r="O282" s="140"/>
      <c r="P282" s="140"/>
      <c r="Q282" s="140"/>
      <c r="R282" s="140"/>
      <c r="S282" s="140"/>
      <c r="T282" s="139"/>
      <c r="V282">
        <f t="shared" si="116"/>
        <v>0</v>
      </c>
    </row>
    <row r="283" spans="1:22">
      <c r="A283" s="9"/>
      <c r="B283" s="155"/>
      <c r="C283" s="120"/>
      <c r="D283" s="120"/>
      <c r="E283" s="120"/>
      <c r="F283" s="120"/>
      <c r="G283" s="120"/>
      <c r="H283" s="120"/>
      <c r="I283" s="137">
        <f t="shared" si="117"/>
        <v>0</v>
      </c>
      <c r="J283" s="137">
        <f t="shared" si="118"/>
        <v>0</v>
      </c>
      <c r="K283" s="138"/>
      <c r="L283" s="140"/>
      <c r="M283" s="140">
        <f t="shared" si="115"/>
        <v>0</v>
      </c>
      <c r="N283" s="140"/>
      <c r="O283" s="140"/>
      <c r="P283" s="140"/>
      <c r="Q283" s="140"/>
      <c r="R283" s="140"/>
      <c r="S283" s="140"/>
      <c r="T283" s="139"/>
      <c r="V283">
        <f t="shared" si="116"/>
        <v>0</v>
      </c>
    </row>
    <row r="284" spans="1:22">
      <c r="A284" s="9"/>
      <c r="B284" s="155"/>
      <c r="C284" s="120"/>
      <c r="D284" s="120"/>
      <c r="E284" s="120"/>
      <c r="F284" s="120"/>
      <c r="G284" s="120"/>
      <c r="H284" s="120"/>
      <c r="I284" s="137">
        <f t="shared" si="117"/>
        <v>0</v>
      </c>
      <c r="J284" s="137">
        <f t="shared" si="118"/>
        <v>0</v>
      </c>
      <c r="K284" s="138"/>
      <c r="L284" s="140"/>
      <c r="M284" s="140">
        <f t="shared" si="115"/>
        <v>0</v>
      </c>
      <c r="N284" s="140"/>
      <c r="O284" s="140"/>
      <c r="P284" s="140"/>
      <c r="Q284" s="140"/>
      <c r="R284" s="140"/>
      <c r="S284" s="140"/>
      <c r="T284" s="139"/>
      <c r="V284">
        <f t="shared" si="116"/>
        <v>0</v>
      </c>
    </row>
    <row r="285" spans="1:22">
      <c r="A285" s="9"/>
      <c r="B285" s="155"/>
      <c r="C285" s="120"/>
      <c r="D285" s="120"/>
      <c r="E285" s="120"/>
      <c r="F285" s="120"/>
      <c r="G285" s="120"/>
      <c r="H285" s="120"/>
      <c r="I285" s="137">
        <f t="shared" si="117"/>
        <v>0</v>
      </c>
      <c r="J285" s="137">
        <f t="shared" si="118"/>
        <v>0</v>
      </c>
      <c r="K285" s="138"/>
      <c r="L285" s="140"/>
      <c r="M285" s="140">
        <f t="shared" si="115"/>
        <v>0</v>
      </c>
      <c r="N285" s="140"/>
      <c r="O285" s="140"/>
      <c r="P285" s="140"/>
      <c r="Q285" s="140"/>
      <c r="R285" s="140"/>
      <c r="S285" s="140"/>
      <c r="T285" s="139"/>
      <c r="V285">
        <f t="shared" si="116"/>
        <v>0</v>
      </c>
    </row>
    <row r="286" spans="1:22">
      <c r="A286" s="9"/>
      <c r="B286" s="155"/>
      <c r="C286" s="120"/>
      <c r="D286" s="120"/>
      <c r="E286" s="120"/>
      <c r="F286" s="120"/>
      <c r="G286" s="120"/>
      <c r="H286" s="120"/>
      <c r="I286" s="137">
        <f t="shared" si="117"/>
        <v>0</v>
      </c>
      <c r="J286" s="137">
        <f t="shared" si="118"/>
        <v>0</v>
      </c>
      <c r="K286" s="138"/>
      <c r="L286" s="140"/>
      <c r="M286" s="140">
        <f t="shared" si="115"/>
        <v>0</v>
      </c>
      <c r="N286" s="140"/>
      <c r="O286" s="140"/>
      <c r="P286" s="140"/>
      <c r="Q286" s="140"/>
      <c r="R286" s="140"/>
      <c r="S286" s="140"/>
      <c r="T286" s="139"/>
      <c r="V286">
        <f t="shared" si="116"/>
        <v>0</v>
      </c>
    </row>
    <row r="287" spans="1:22">
      <c r="A287" s="9"/>
      <c r="B287" s="155"/>
      <c r="C287" s="120"/>
      <c r="D287" s="120"/>
      <c r="E287" s="120"/>
      <c r="F287" s="120"/>
      <c r="G287" s="120"/>
      <c r="H287" s="120"/>
      <c r="I287" s="137">
        <f t="shared" si="117"/>
        <v>0</v>
      </c>
      <c r="J287" s="137">
        <f t="shared" si="118"/>
        <v>0</v>
      </c>
      <c r="K287" s="138"/>
      <c r="L287" s="140"/>
      <c r="M287" s="140">
        <f t="shared" si="115"/>
        <v>0</v>
      </c>
      <c r="N287" s="140"/>
      <c r="O287" s="140"/>
      <c r="P287" s="140"/>
      <c r="Q287" s="140"/>
      <c r="R287" s="140"/>
      <c r="S287" s="140"/>
      <c r="T287" s="139"/>
      <c r="V287">
        <f t="shared" si="116"/>
        <v>0</v>
      </c>
    </row>
    <row r="288" spans="1:22">
      <c r="A288" s="9"/>
      <c r="B288" s="155"/>
      <c r="C288" s="120"/>
      <c r="D288" s="120"/>
      <c r="E288" s="120"/>
      <c r="F288" s="120"/>
      <c r="G288" s="120"/>
      <c r="H288" s="120"/>
      <c r="I288" s="137">
        <f t="shared" si="117"/>
        <v>0</v>
      </c>
      <c r="J288" s="137">
        <f t="shared" si="118"/>
        <v>0</v>
      </c>
      <c r="K288" s="138"/>
      <c r="L288" s="140"/>
      <c r="M288" s="140">
        <f t="shared" si="115"/>
        <v>0</v>
      </c>
      <c r="N288" s="140"/>
      <c r="O288" s="140"/>
      <c r="P288" s="140"/>
      <c r="Q288" s="140"/>
      <c r="R288" s="140"/>
      <c r="S288" s="140"/>
      <c r="T288" s="139"/>
      <c r="V288">
        <f t="shared" si="116"/>
        <v>0</v>
      </c>
    </row>
    <row r="289" spans="1:22">
      <c r="A289" s="9"/>
      <c r="B289" s="155"/>
      <c r="C289" s="120"/>
      <c r="D289" s="120"/>
      <c r="E289" s="120"/>
      <c r="F289" s="120"/>
      <c r="G289" s="120"/>
      <c r="H289" s="120"/>
      <c r="I289" s="137">
        <f t="shared" si="117"/>
        <v>0</v>
      </c>
      <c r="J289" s="137">
        <f t="shared" si="118"/>
        <v>0</v>
      </c>
      <c r="K289" s="138"/>
      <c r="L289" s="140"/>
      <c r="M289" s="140">
        <f t="shared" si="115"/>
        <v>0</v>
      </c>
      <c r="N289" s="140"/>
      <c r="O289" s="140"/>
      <c r="P289" s="140"/>
      <c r="Q289" s="140"/>
      <c r="R289" s="140"/>
      <c r="S289" s="140"/>
      <c r="T289" s="139"/>
      <c r="V289">
        <f t="shared" si="116"/>
        <v>0</v>
      </c>
    </row>
    <row r="290" spans="1:22">
      <c r="A290" s="9"/>
      <c r="B290" s="155"/>
      <c r="C290" s="120"/>
      <c r="D290" s="120"/>
      <c r="E290" s="120"/>
      <c r="F290" s="120"/>
      <c r="G290" s="120"/>
      <c r="H290" s="120"/>
      <c r="I290" s="137">
        <f t="shared" si="117"/>
        <v>0</v>
      </c>
      <c r="J290" s="137">
        <f t="shared" si="118"/>
        <v>0</v>
      </c>
      <c r="K290" s="138"/>
      <c r="L290" s="140"/>
      <c r="M290" s="140">
        <f t="shared" si="115"/>
        <v>0</v>
      </c>
      <c r="N290" s="140"/>
      <c r="O290" s="140"/>
      <c r="P290" s="140"/>
      <c r="Q290" s="140"/>
      <c r="R290" s="140"/>
      <c r="S290" s="140"/>
      <c r="T290" s="139"/>
      <c r="V290">
        <f t="shared" si="116"/>
        <v>0</v>
      </c>
    </row>
    <row r="291" spans="1:22">
      <c r="A291" s="9"/>
      <c r="B291" s="155"/>
      <c r="C291" s="120"/>
      <c r="D291" s="120"/>
      <c r="E291" s="120"/>
      <c r="F291" s="120"/>
      <c r="G291" s="120"/>
      <c r="H291" s="120"/>
      <c r="I291" s="137">
        <f t="shared" si="117"/>
        <v>0</v>
      </c>
      <c r="J291" s="137">
        <f t="shared" si="118"/>
        <v>0</v>
      </c>
      <c r="K291" s="138"/>
      <c r="L291" s="140"/>
      <c r="M291" s="140">
        <f t="shared" si="115"/>
        <v>0</v>
      </c>
      <c r="N291" s="140"/>
      <c r="O291" s="140"/>
      <c r="P291" s="140"/>
      <c r="Q291" s="140"/>
      <c r="R291" s="140"/>
      <c r="S291" s="140"/>
      <c r="T291" s="139"/>
      <c r="V291">
        <f t="shared" si="116"/>
        <v>0</v>
      </c>
    </row>
    <row r="292" spans="1:22">
      <c r="A292" s="9"/>
      <c r="B292" s="155"/>
      <c r="C292" s="120"/>
      <c r="D292" s="120"/>
      <c r="E292" s="120"/>
      <c r="F292" s="120"/>
      <c r="G292" s="120"/>
      <c r="H292" s="120"/>
      <c r="I292" s="137">
        <f t="shared" si="117"/>
        <v>0</v>
      </c>
      <c r="J292" s="137">
        <f t="shared" si="118"/>
        <v>0</v>
      </c>
      <c r="K292" s="138"/>
      <c r="L292" s="140"/>
      <c r="M292" s="140">
        <f t="shared" si="115"/>
        <v>0</v>
      </c>
      <c r="N292" s="140"/>
      <c r="O292" s="140"/>
      <c r="P292" s="140"/>
      <c r="Q292" s="140"/>
      <c r="R292" s="140"/>
      <c r="S292" s="140"/>
      <c r="T292" s="139"/>
      <c r="V292">
        <f t="shared" si="116"/>
        <v>0</v>
      </c>
    </row>
    <row r="293" spans="1:22">
      <c r="A293" s="9"/>
      <c r="B293" s="155"/>
      <c r="C293" s="120"/>
      <c r="D293" s="120"/>
      <c r="E293" s="120"/>
      <c r="F293" s="120"/>
      <c r="G293" s="120"/>
      <c r="H293" s="120"/>
      <c r="I293" s="137">
        <f t="shared" si="117"/>
        <v>0</v>
      </c>
      <c r="J293" s="137">
        <f t="shared" si="118"/>
        <v>0</v>
      </c>
      <c r="K293" s="138"/>
      <c r="L293" s="140"/>
      <c r="M293" s="140">
        <f t="shared" si="115"/>
        <v>0</v>
      </c>
      <c r="N293" s="140"/>
      <c r="O293" s="140"/>
      <c r="P293" s="140"/>
      <c r="Q293" s="140"/>
      <c r="R293" s="140"/>
      <c r="S293" s="140"/>
      <c r="T293" s="139"/>
      <c r="V293">
        <f t="shared" si="116"/>
        <v>0</v>
      </c>
    </row>
    <row r="294" spans="1:22">
      <c r="A294" s="9"/>
      <c r="B294" s="155"/>
      <c r="C294" s="120"/>
      <c r="D294" s="120"/>
      <c r="E294" s="120"/>
      <c r="F294" s="120"/>
      <c r="G294" s="120"/>
      <c r="H294" s="120"/>
      <c r="I294" s="137">
        <f t="shared" si="117"/>
        <v>0</v>
      </c>
      <c r="J294" s="137">
        <f t="shared" si="118"/>
        <v>0</v>
      </c>
      <c r="K294" s="138"/>
      <c r="L294" s="140"/>
      <c r="M294" s="140">
        <f t="shared" si="115"/>
        <v>0</v>
      </c>
      <c r="N294" s="140"/>
      <c r="O294" s="140"/>
      <c r="P294" s="140"/>
      <c r="Q294" s="140"/>
      <c r="R294" s="140"/>
      <c r="S294" s="140"/>
      <c r="T294" s="139"/>
      <c r="V294">
        <f t="shared" si="116"/>
        <v>0</v>
      </c>
    </row>
    <row r="295" spans="1:22">
      <c r="A295" s="9"/>
      <c r="B295" s="155"/>
      <c r="C295" s="120"/>
      <c r="D295" s="120"/>
      <c r="E295" s="120"/>
      <c r="F295" s="120"/>
      <c r="G295" s="120"/>
      <c r="H295" s="120"/>
      <c r="I295" s="137">
        <f t="shared" si="117"/>
        <v>0</v>
      </c>
      <c r="J295" s="137">
        <f t="shared" si="118"/>
        <v>0</v>
      </c>
      <c r="K295" s="138"/>
      <c r="L295" s="140"/>
      <c r="M295" s="140">
        <f t="shared" si="115"/>
        <v>0</v>
      </c>
      <c r="N295" s="140"/>
      <c r="O295" s="140"/>
      <c r="P295" s="140"/>
      <c r="Q295" s="140"/>
      <c r="R295" s="140"/>
      <c r="S295" s="140"/>
      <c r="T295" s="139"/>
      <c r="V295">
        <f t="shared" si="116"/>
        <v>0</v>
      </c>
    </row>
    <row r="296" spans="1:22">
      <c r="A296" s="9"/>
      <c r="B296" s="155"/>
      <c r="C296" s="120"/>
      <c r="D296" s="120"/>
      <c r="E296" s="120"/>
      <c r="F296" s="120"/>
      <c r="G296" s="120"/>
      <c r="H296" s="120"/>
      <c r="I296" s="137">
        <f t="shared" si="117"/>
        <v>0</v>
      </c>
      <c r="J296" s="137">
        <f t="shared" si="118"/>
        <v>0</v>
      </c>
      <c r="K296" s="138"/>
      <c r="L296" s="140"/>
      <c r="M296" s="140">
        <f t="shared" si="115"/>
        <v>0</v>
      </c>
      <c r="N296" s="140"/>
      <c r="O296" s="140"/>
      <c r="P296" s="140"/>
      <c r="Q296" s="140"/>
      <c r="R296" s="140"/>
      <c r="S296" s="140"/>
      <c r="T296" s="139"/>
      <c r="V296">
        <f t="shared" si="116"/>
        <v>0</v>
      </c>
    </row>
    <row r="297" spans="1:22">
      <c r="A297" s="9"/>
      <c r="B297" s="155"/>
      <c r="C297" s="120"/>
      <c r="D297" s="120"/>
      <c r="E297" s="120"/>
      <c r="F297" s="120"/>
      <c r="G297" s="120"/>
      <c r="H297" s="120"/>
      <c r="I297" s="137">
        <f t="shared" si="117"/>
        <v>0</v>
      </c>
      <c r="J297" s="137">
        <f t="shared" si="118"/>
        <v>0</v>
      </c>
      <c r="K297" s="138"/>
      <c r="L297" s="140"/>
      <c r="M297" s="140">
        <f t="shared" si="115"/>
        <v>0</v>
      </c>
      <c r="N297" s="140"/>
      <c r="O297" s="140"/>
      <c r="P297" s="140"/>
      <c r="Q297" s="140"/>
      <c r="R297" s="140"/>
      <c r="S297" s="140"/>
      <c r="T297" s="139"/>
      <c r="V297">
        <f t="shared" si="116"/>
        <v>0</v>
      </c>
    </row>
    <row r="298" spans="1:22">
      <c r="A298" s="9"/>
      <c r="B298" s="155"/>
      <c r="C298" s="120"/>
      <c r="D298" s="120"/>
      <c r="E298" s="120"/>
      <c r="F298" s="120"/>
      <c r="G298" s="120"/>
      <c r="H298" s="120"/>
      <c r="I298" s="137">
        <f t="shared" si="117"/>
        <v>0</v>
      </c>
      <c r="J298" s="137">
        <f t="shared" si="118"/>
        <v>0</v>
      </c>
      <c r="K298" s="138"/>
      <c r="L298" s="140"/>
      <c r="M298" s="140">
        <f t="shared" si="115"/>
        <v>0</v>
      </c>
      <c r="N298" s="140"/>
      <c r="O298" s="140"/>
      <c r="P298" s="140"/>
      <c r="Q298" s="140"/>
      <c r="R298" s="140"/>
      <c r="S298" s="140"/>
      <c r="T298" s="139"/>
      <c r="V298">
        <f t="shared" si="116"/>
        <v>0</v>
      </c>
    </row>
    <row r="299" spans="1:22">
      <c r="A299" s="9"/>
      <c r="B299" s="155"/>
      <c r="C299" s="120"/>
      <c r="D299" s="120"/>
      <c r="E299" s="120"/>
      <c r="F299" s="120"/>
      <c r="G299" s="120"/>
      <c r="H299" s="120"/>
      <c r="I299" s="137">
        <f t="shared" si="117"/>
        <v>0</v>
      </c>
      <c r="J299" s="137">
        <f t="shared" si="118"/>
        <v>0</v>
      </c>
      <c r="K299" s="138"/>
      <c r="L299" s="140"/>
      <c r="M299" s="140">
        <f t="shared" si="115"/>
        <v>0</v>
      </c>
      <c r="N299" s="140"/>
      <c r="O299" s="140"/>
      <c r="P299" s="140"/>
      <c r="Q299" s="140"/>
      <c r="R299" s="140"/>
      <c r="S299" s="140"/>
      <c r="T299" s="139"/>
      <c r="V299">
        <f t="shared" si="116"/>
        <v>0</v>
      </c>
    </row>
    <row r="300" spans="1:22">
      <c r="A300" s="9"/>
      <c r="B300" s="155"/>
      <c r="C300" s="120"/>
      <c r="D300" s="120"/>
      <c r="E300" s="120"/>
      <c r="F300" s="120"/>
      <c r="G300" s="120"/>
      <c r="H300" s="120"/>
      <c r="I300" s="137">
        <f t="shared" si="117"/>
        <v>0</v>
      </c>
      <c r="J300" s="137">
        <f t="shared" si="118"/>
        <v>0</v>
      </c>
      <c r="K300" s="138"/>
      <c r="L300" s="140"/>
      <c r="M300" s="140">
        <f t="shared" si="115"/>
        <v>0</v>
      </c>
      <c r="N300" s="140"/>
      <c r="O300" s="140"/>
      <c r="P300" s="140"/>
      <c r="Q300" s="140"/>
      <c r="R300" s="140"/>
      <c r="S300" s="140"/>
      <c r="T300" s="139"/>
      <c r="V300">
        <f t="shared" si="116"/>
        <v>0</v>
      </c>
    </row>
    <row r="301" spans="1:22">
      <c r="A301" s="9"/>
      <c r="B301" s="155"/>
      <c r="C301" s="120"/>
      <c r="D301" s="120"/>
      <c r="E301" s="120"/>
      <c r="F301" s="120"/>
      <c r="G301" s="120"/>
      <c r="H301" s="120"/>
      <c r="I301" s="137">
        <f t="shared" si="117"/>
        <v>0</v>
      </c>
      <c r="J301" s="137">
        <f t="shared" si="118"/>
        <v>0</v>
      </c>
      <c r="K301" s="138"/>
      <c r="L301" s="140"/>
      <c r="M301" s="140">
        <f t="shared" si="115"/>
        <v>0</v>
      </c>
      <c r="N301" s="140"/>
      <c r="O301" s="140"/>
      <c r="P301" s="140"/>
      <c r="Q301" s="140"/>
      <c r="R301" s="140"/>
      <c r="S301" s="140"/>
      <c r="T301" s="139"/>
      <c r="V301">
        <f t="shared" si="116"/>
        <v>0</v>
      </c>
    </row>
    <row r="302" spans="1:22">
      <c r="A302" s="9"/>
      <c r="B302" s="155"/>
      <c r="C302" s="120"/>
      <c r="D302" s="120"/>
      <c r="E302" s="120"/>
      <c r="F302" s="120"/>
      <c r="G302" s="120"/>
      <c r="H302" s="120"/>
      <c r="I302" s="137">
        <f t="shared" si="117"/>
        <v>0</v>
      </c>
      <c r="J302" s="137">
        <f t="shared" si="118"/>
        <v>0</v>
      </c>
      <c r="K302" s="138"/>
      <c r="L302" s="140"/>
      <c r="M302" s="140">
        <f t="shared" si="115"/>
        <v>0</v>
      </c>
      <c r="N302" s="140"/>
      <c r="O302" s="140"/>
      <c r="P302" s="140"/>
      <c r="Q302" s="140"/>
      <c r="R302" s="140"/>
      <c r="S302" s="140"/>
      <c r="T302" s="139"/>
      <c r="V302">
        <f t="shared" si="116"/>
        <v>0</v>
      </c>
    </row>
    <row r="303" spans="1:22">
      <c r="A303" s="9"/>
      <c r="B303" s="155"/>
      <c r="C303" s="120"/>
      <c r="D303" s="120"/>
      <c r="E303" s="120"/>
      <c r="F303" s="120"/>
      <c r="G303" s="120"/>
      <c r="H303" s="120"/>
      <c r="I303" s="137">
        <f t="shared" si="117"/>
        <v>0</v>
      </c>
      <c r="J303" s="137">
        <f t="shared" si="118"/>
        <v>0</v>
      </c>
      <c r="K303" s="138"/>
      <c r="L303" s="140"/>
      <c r="M303" s="140">
        <f t="shared" si="115"/>
        <v>0</v>
      </c>
      <c r="N303" s="140"/>
      <c r="O303" s="140"/>
      <c r="P303" s="140"/>
      <c r="Q303" s="140"/>
      <c r="R303" s="140"/>
      <c r="S303" s="140"/>
      <c r="T303" s="139"/>
      <c r="V303">
        <f t="shared" si="116"/>
        <v>0</v>
      </c>
    </row>
    <row r="304" spans="1:22">
      <c r="A304" s="9"/>
      <c r="B304" s="155"/>
      <c r="C304" s="120"/>
      <c r="D304" s="120"/>
      <c r="E304" s="120"/>
      <c r="F304" s="120"/>
      <c r="G304" s="120"/>
      <c r="H304" s="120"/>
      <c r="I304" s="137">
        <f t="shared" si="117"/>
        <v>0</v>
      </c>
      <c r="J304" s="137">
        <f t="shared" si="118"/>
        <v>0</v>
      </c>
      <c r="K304" s="138"/>
      <c r="L304" s="140"/>
      <c r="M304" s="140">
        <f t="shared" si="115"/>
        <v>0</v>
      </c>
      <c r="N304" s="140"/>
      <c r="O304" s="140"/>
      <c r="P304" s="140"/>
      <c r="Q304" s="140"/>
      <c r="R304" s="140"/>
      <c r="S304" s="140"/>
      <c r="T304" s="139"/>
      <c r="V304">
        <f t="shared" si="116"/>
        <v>0</v>
      </c>
    </row>
    <row r="305" spans="1:22">
      <c r="A305" s="9"/>
      <c r="B305" s="155"/>
      <c r="C305" s="120"/>
      <c r="D305" s="120"/>
      <c r="E305" s="120"/>
      <c r="F305" s="120"/>
      <c r="G305" s="120"/>
      <c r="H305" s="120"/>
      <c r="I305" s="137">
        <f t="shared" si="117"/>
        <v>0</v>
      </c>
      <c r="J305" s="137">
        <f t="shared" si="118"/>
        <v>0</v>
      </c>
      <c r="K305" s="138"/>
      <c r="L305" s="140"/>
      <c r="M305" s="140">
        <f t="shared" ref="M305:M352" si="119">I305</f>
        <v>0</v>
      </c>
      <c r="N305" s="140"/>
      <c r="O305" s="140"/>
      <c r="P305" s="140"/>
      <c r="Q305" s="140"/>
      <c r="R305" s="140"/>
      <c r="S305" s="140"/>
      <c r="T305" s="139"/>
      <c r="V305">
        <f t="shared" si="116"/>
        <v>0</v>
      </c>
    </row>
    <row r="306" spans="1:22">
      <c r="A306" s="9"/>
      <c r="B306" s="155"/>
      <c r="C306" s="120"/>
      <c r="D306" s="120"/>
      <c r="E306" s="120"/>
      <c r="F306" s="120"/>
      <c r="G306" s="120"/>
      <c r="H306" s="120"/>
      <c r="I306" s="137">
        <f t="shared" si="117"/>
        <v>0</v>
      </c>
      <c r="J306" s="137">
        <f t="shared" si="118"/>
        <v>0</v>
      </c>
      <c r="K306" s="138"/>
      <c r="L306" s="140"/>
      <c r="M306" s="140">
        <f t="shared" si="119"/>
        <v>0</v>
      </c>
      <c r="N306" s="140"/>
      <c r="O306" s="140"/>
      <c r="P306" s="140"/>
      <c r="Q306" s="140"/>
      <c r="R306" s="140"/>
      <c r="S306" s="140"/>
      <c r="T306" s="139"/>
      <c r="V306">
        <f t="shared" si="116"/>
        <v>0</v>
      </c>
    </row>
    <row r="307" spans="1:22">
      <c r="A307" s="9"/>
      <c r="B307" s="155"/>
      <c r="C307" s="120"/>
      <c r="D307" s="120"/>
      <c r="E307" s="120"/>
      <c r="F307" s="120"/>
      <c r="G307" s="120"/>
      <c r="H307" s="120"/>
      <c r="I307" s="137">
        <f t="shared" si="117"/>
        <v>0</v>
      </c>
      <c r="J307" s="137">
        <f t="shared" si="118"/>
        <v>0</v>
      </c>
      <c r="K307" s="138"/>
      <c r="L307" s="140"/>
      <c r="M307" s="140">
        <f t="shared" si="119"/>
        <v>0</v>
      </c>
      <c r="N307" s="140"/>
      <c r="O307" s="140"/>
      <c r="P307" s="140"/>
      <c r="Q307" s="140"/>
      <c r="R307" s="140"/>
      <c r="S307" s="140"/>
      <c r="T307" s="139"/>
      <c r="V307">
        <f t="shared" si="116"/>
        <v>0</v>
      </c>
    </row>
    <row r="308" spans="1:22">
      <c r="A308" s="9"/>
      <c r="B308" s="155"/>
      <c r="C308" s="120"/>
      <c r="D308" s="120"/>
      <c r="E308" s="120"/>
      <c r="F308" s="120"/>
      <c r="G308" s="120"/>
      <c r="H308" s="120"/>
      <c r="I308" s="137">
        <f t="shared" si="117"/>
        <v>0</v>
      </c>
      <c r="J308" s="137">
        <f t="shared" si="118"/>
        <v>0</v>
      </c>
      <c r="K308" s="138"/>
      <c r="L308" s="140"/>
      <c r="M308" s="140">
        <f t="shared" si="119"/>
        <v>0</v>
      </c>
      <c r="N308" s="140"/>
      <c r="O308" s="140"/>
      <c r="P308" s="140"/>
      <c r="Q308" s="140"/>
      <c r="R308" s="140"/>
      <c r="S308" s="140"/>
      <c r="T308" s="139"/>
      <c r="V308">
        <f t="shared" si="116"/>
        <v>0</v>
      </c>
    </row>
    <row r="309" spans="1:22">
      <c r="A309" s="9"/>
      <c r="B309" s="155"/>
      <c r="C309" s="120"/>
      <c r="D309" s="120"/>
      <c r="E309" s="120"/>
      <c r="F309" s="120"/>
      <c r="G309" s="120"/>
      <c r="H309" s="120"/>
      <c r="I309" s="137">
        <f t="shared" si="117"/>
        <v>0</v>
      </c>
      <c r="J309" s="137">
        <f t="shared" si="118"/>
        <v>0</v>
      </c>
      <c r="K309" s="138"/>
      <c r="L309" s="140"/>
      <c r="M309" s="140">
        <f t="shared" si="119"/>
        <v>0</v>
      </c>
      <c r="N309" s="140"/>
      <c r="O309" s="140"/>
      <c r="P309" s="140"/>
      <c r="Q309" s="140"/>
      <c r="R309" s="140"/>
      <c r="S309" s="140"/>
      <c r="T309" s="139"/>
      <c r="V309">
        <f t="shared" si="116"/>
        <v>0</v>
      </c>
    </row>
    <row r="310" spans="1:22">
      <c r="A310" s="9"/>
      <c r="B310" s="155"/>
      <c r="C310" s="120"/>
      <c r="D310" s="120"/>
      <c r="E310" s="120"/>
      <c r="F310" s="120"/>
      <c r="G310" s="120"/>
      <c r="H310" s="120"/>
      <c r="I310" s="137">
        <f t="shared" si="117"/>
        <v>0</v>
      </c>
      <c r="J310" s="137">
        <f t="shared" si="118"/>
        <v>0</v>
      </c>
      <c r="K310" s="138"/>
      <c r="L310" s="140"/>
      <c r="M310" s="140">
        <f t="shared" si="119"/>
        <v>0</v>
      </c>
      <c r="N310" s="140"/>
      <c r="O310" s="140"/>
      <c r="P310" s="140"/>
      <c r="Q310" s="140"/>
      <c r="R310" s="140"/>
      <c r="S310" s="140"/>
      <c r="T310" s="139"/>
      <c r="V310">
        <f t="shared" si="116"/>
        <v>0</v>
      </c>
    </row>
    <row r="311" spans="1:22">
      <c r="A311" s="9"/>
      <c r="B311" s="155"/>
      <c r="C311" s="120"/>
      <c r="D311" s="120"/>
      <c r="E311" s="120"/>
      <c r="F311" s="120"/>
      <c r="G311" s="120"/>
      <c r="H311" s="120"/>
      <c r="I311" s="137">
        <f t="shared" si="117"/>
        <v>0</v>
      </c>
      <c r="J311" s="137">
        <f t="shared" si="118"/>
        <v>0</v>
      </c>
      <c r="K311" s="138"/>
      <c r="L311" s="140"/>
      <c r="M311" s="140">
        <f t="shared" si="119"/>
        <v>0</v>
      </c>
      <c r="N311" s="140"/>
      <c r="O311" s="140"/>
      <c r="P311" s="140"/>
      <c r="Q311" s="140"/>
      <c r="R311" s="140"/>
      <c r="S311" s="140"/>
      <c r="T311" s="139"/>
      <c r="V311">
        <f t="shared" si="116"/>
        <v>0</v>
      </c>
    </row>
    <row r="312" spans="1:22">
      <c r="A312" s="9"/>
      <c r="B312" s="155"/>
      <c r="C312" s="120"/>
      <c r="D312" s="120"/>
      <c r="E312" s="120"/>
      <c r="F312" s="120"/>
      <c r="G312" s="120"/>
      <c r="H312" s="120"/>
      <c r="I312" s="137">
        <f t="shared" si="117"/>
        <v>0</v>
      </c>
      <c r="J312" s="137">
        <f t="shared" si="118"/>
        <v>0</v>
      </c>
      <c r="K312" s="138"/>
      <c r="L312" s="140"/>
      <c r="M312" s="140">
        <f t="shared" si="119"/>
        <v>0</v>
      </c>
      <c r="N312" s="140"/>
      <c r="O312" s="140"/>
      <c r="P312" s="140"/>
      <c r="Q312" s="140"/>
      <c r="R312" s="140"/>
      <c r="S312" s="140"/>
      <c r="T312" s="139"/>
      <c r="V312">
        <f t="shared" si="116"/>
        <v>0</v>
      </c>
    </row>
    <row r="313" spans="1:22">
      <c r="A313" s="9"/>
      <c r="B313" s="155"/>
      <c r="C313" s="120"/>
      <c r="D313" s="120"/>
      <c r="E313" s="120"/>
      <c r="F313" s="120"/>
      <c r="G313" s="120"/>
      <c r="H313" s="120"/>
      <c r="I313" s="137">
        <f t="shared" si="117"/>
        <v>0</v>
      </c>
      <c r="J313" s="137">
        <f t="shared" si="118"/>
        <v>0</v>
      </c>
      <c r="K313" s="138"/>
      <c r="L313" s="140"/>
      <c r="M313" s="140">
        <f t="shared" si="119"/>
        <v>0</v>
      </c>
      <c r="N313" s="140"/>
      <c r="O313" s="140"/>
      <c r="P313" s="140"/>
      <c r="Q313" s="140"/>
      <c r="R313" s="140"/>
      <c r="S313" s="140"/>
      <c r="T313" s="139"/>
      <c r="V313">
        <f t="shared" si="116"/>
        <v>0</v>
      </c>
    </row>
    <row r="314" spans="1:22">
      <c r="A314" s="9"/>
      <c r="B314" s="155"/>
      <c r="C314" s="120"/>
      <c r="D314" s="120"/>
      <c r="E314" s="120"/>
      <c r="F314" s="120"/>
      <c r="G314" s="120"/>
      <c r="H314" s="120"/>
      <c r="I314" s="137">
        <f t="shared" si="117"/>
        <v>0</v>
      </c>
      <c r="J314" s="137">
        <f t="shared" si="118"/>
        <v>0</v>
      </c>
      <c r="K314" s="138"/>
      <c r="L314" s="140"/>
      <c r="M314" s="140">
        <f t="shared" si="119"/>
        <v>0</v>
      </c>
      <c r="N314" s="140"/>
      <c r="O314" s="140"/>
      <c r="P314" s="140"/>
      <c r="Q314" s="140"/>
      <c r="R314" s="140"/>
      <c r="S314" s="140"/>
      <c r="T314" s="139"/>
      <c r="V314">
        <f t="shared" si="116"/>
        <v>0</v>
      </c>
    </row>
    <row r="315" spans="1:22">
      <c r="A315" s="9"/>
      <c r="B315" s="154"/>
      <c r="C315" s="9"/>
      <c r="D315" s="120"/>
      <c r="E315" s="120"/>
      <c r="F315" s="120"/>
      <c r="G315" s="120"/>
      <c r="H315" s="120"/>
      <c r="I315" s="137">
        <f t="shared" si="117"/>
        <v>0</v>
      </c>
      <c r="J315" s="137">
        <f t="shared" si="118"/>
        <v>0</v>
      </c>
      <c r="K315" s="138">
        <f>I315</f>
        <v>0</v>
      </c>
      <c r="L315" s="140"/>
      <c r="M315" s="140"/>
      <c r="N315" s="140"/>
      <c r="O315" s="140"/>
      <c r="P315" s="140"/>
      <c r="Q315" s="140"/>
      <c r="R315" s="140"/>
      <c r="S315" s="140"/>
      <c r="T315" s="139"/>
      <c r="V315">
        <f t="shared" si="116"/>
        <v>0</v>
      </c>
    </row>
    <row r="316" spans="1:22">
      <c r="A316" s="9"/>
      <c r="B316" s="154"/>
      <c r="C316" s="9"/>
      <c r="D316" s="120"/>
      <c r="E316" s="120"/>
      <c r="F316" s="120"/>
      <c r="G316" s="120"/>
      <c r="H316" s="120"/>
      <c r="I316" s="137">
        <f t="shared" si="117"/>
        <v>0</v>
      </c>
      <c r="J316" s="137">
        <f t="shared" si="118"/>
        <v>0</v>
      </c>
      <c r="K316" s="138">
        <f t="shared" ref="K316:K317" si="120">I316</f>
        <v>0</v>
      </c>
      <c r="L316" s="140"/>
      <c r="M316" s="140"/>
      <c r="N316" s="140"/>
      <c r="O316" s="140"/>
      <c r="P316" s="140"/>
      <c r="Q316" s="140"/>
      <c r="R316" s="140"/>
      <c r="S316" s="140"/>
      <c r="T316" s="139"/>
      <c r="V316">
        <f t="shared" si="116"/>
        <v>0</v>
      </c>
    </row>
    <row r="317" spans="1:22">
      <c r="A317" s="9"/>
      <c r="B317" s="154"/>
      <c r="C317" s="9"/>
      <c r="D317" s="120"/>
      <c r="E317" s="120"/>
      <c r="F317" s="120"/>
      <c r="G317" s="120"/>
      <c r="H317" s="120"/>
      <c r="I317" s="137">
        <f t="shared" si="117"/>
        <v>0</v>
      </c>
      <c r="J317" s="137">
        <f t="shared" si="118"/>
        <v>0</v>
      </c>
      <c r="K317" s="138">
        <f t="shared" si="120"/>
        <v>0</v>
      </c>
      <c r="L317" s="140"/>
      <c r="M317" s="140"/>
      <c r="N317" s="140"/>
      <c r="O317" s="140"/>
      <c r="P317" s="140"/>
      <c r="Q317" s="140"/>
      <c r="R317" s="140"/>
      <c r="S317" s="140"/>
      <c r="T317" s="139"/>
      <c r="V317">
        <f t="shared" si="116"/>
        <v>0</v>
      </c>
    </row>
    <row r="318" spans="1:22">
      <c r="A318" s="9"/>
      <c r="B318" s="155"/>
      <c r="C318" s="120"/>
      <c r="D318" s="120"/>
      <c r="E318" s="120"/>
      <c r="F318" s="120"/>
      <c r="G318" s="120"/>
      <c r="H318" s="120"/>
      <c r="I318" s="137">
        <f t="shared" si="117"/>
        <v>0</v>
      </c>
      <c r="J318" s="137">
        <f t="shared" si="118"/>
        <v>0</v>
      </c>
      <c r="K318" s="138"/>
      <c r="L318" s="140"/>
      <c r="M318" s="140">
        <f t="shared" si="119"/>
        <v>0</v>
      </c>
      <c r="N318" s="140"/>
      <c r="O318" s="140"/>
      <c r="P318" s="140"/>
      <c r="Q318" s="140"/>
      <c r="R318" s="140"/>
      <c r="S318" s="140"/>
      <c r="T318" s="139"/>
      <c r="V318">
        <f t="shared" si="116"/>
        <v>0</v>
      </c>
    </row>
    <row r="319" spans="1:22">
      <c r="A319" s="9"/>
      <c r="B319" s="155"/>
      <c r="C319" s="120"/>
      <c r="D319" s="120"/>
      <c r="E319" s="120"/>
      <c r="F319" s="120"/>
      <c r="G319" s="120"/>
      <c r="H319" s="120"/>
      <c r="I319" s="137">
        <f t="shared" si="117"/>
        <v>0</v>
      </c>
      <c r="J319" s="137">
        <f t="shared" si="118"/>
        <v>0</v>
      </c>
      <c r="K319" s="138"/>
      <c r="L319" s="140"/>
      <c r="M319" s="140">
        <f t="shared" si="119"/>
        <v>0</v>
      </c>
      <c r="N319" s="140"/>
      <c r="O319" s="140"/>
      <c r="P319" s="140"/>
      <c r="Q319" s="140"/>
      <c r="R319" s="140"/>
      <c r="S319" s="140"/>
      <c r="T319" s="139"/>
      <c r="V319">
        <f t="shared" si="116"/>
        <v>0</v>
      </c>
    </row>
    <row r="320" spans="1:22">
      <c r="A320" s="9"/>
      <c r="B320" s="155"/>
      <c r="C320" s="120"/>
      <c r="D320" s="120"/>
      <c r="E320" s="120"/>
      <c r="F320" s="120"/>
      <c r="G320" s="120"/>
      <c r="H320" s="120"/>
      <c r="I320" s="137">
        <f t="shared" si="117"/>
        <v>0</v>
      </c>
      <c r="J320" s="137">
        <f t="shared" si="118"/>
        <v>0</v>
      </c>
      <c r="K320" s="138"/>
      <c r="L320" s="140"/>
      <c r="M320" s="140">
        <f t="shared" si="119"/>
        <v>0</v>
      </c>
      <c r="N320" s="140"/>
      <c r="O320" s="140"/>
      <c r="P320" s="140"/>
      <c r="Q320" s="140"/>
      <c r="R320" s="140"/>
      <c r="S320" s="140"/>
      <c r="T320" s="139"/>
      <c r="V320">
        <f t="shared" si="116"/>
        <v>0</v>
      </c>
    </row>
    <row r="321" spans="1:22">
      <c r="A321" s="9"/>
      <c r="B321" s="155"/>
      <c r="C321" s="120"/>
      <c r="D321" s="120"/>
      <c r="E321" s="120"/>
      <c r="F321" s="120"/>
      <c r="G321" s="120"/>
      <c r="H321" s="120"/>
      <c r="I321" s="137">
        <f t="shared" si="117"/>
        <v>0</v>
      </c>
      <c r="J321" s="137">
        <f t="shared" si="118"/>
        <v>0</v>
      </c>
      <c r="K321" s="138"/>
      <c r="L321" s="140"/>
      <c r="M321" s="140">
        <f t="shared" si="119"/>
        <v>0</v>
      </c>
      <c r="N321" s="140"/>
      <c r="O321" s="140"/>
      <c r="P321" s="140"/>
      <c r="Q321" s="140"/>
      <c r="R321" s="140"/>
      <c r="S321" s="140"/>
      <c r="T321" s="139"/>
      <c r="V321">
        <f t="shared" si="116"/>
        <v>0</v>
      </c>
    </row>
    <row r="322" spans="1:22">
      <c r="A322" s="9"/>
      <c r="B322" s="155"/>
      <c r="C322" s="120"/>
      <c r="D322" s="120"/>
      <c r="E322" s="120"/>
      <c r="F322" s="120"/>
      <c r="G322" s="120"/>
      <c r="H322" s="120"/>
      <c r="I322" s="137">
        <f t="shared" si="117"/>
        <v>0</v>
      </c>
      <c r="J322" s="137">
        <f t="shared" si="118"/>
        <v>0</v>
      </c>
      <c r="K322" s="138"/>
      <c r="L322" s="140"/>
      <c r="M322" s="140">
        <f t="shared" si="119"/>
        <v>0</v>
      </c>
      <c r="N322" s="140"/>
      <c r="O322" s="140"/>
      <c r="P322" s="140"/>
      <c r="Q322" s="140"/>
      <c r="R322" s="140"/>
      <c r="S322" s="140"/>
      <c r="T322" s="139"/>
      <c r="V322">
        <f t="shared" si="116"/>
        <v>0</v>
      </c>
    </row>
    <row r="323" spans="1:22">
      <c r="A323" s="9"/>
      <c r="B323" s="154"/>
      <c r="C323" s="9"/>
      <c r="D323" s="120"/>
      <c r="E323" s="120"/>
      <c r="F323" s="120"/>
      <c r="G323" s="120"/>
      <c r="H323" s="120"/>
      <c r="I323" s="137">
        <f t="shared" ref="I323" si="121">F323*G323*H323*E323/91809/10.89</f>
        <v>0</v>
      </c>
      <c r="J323" s="137">
        <f t="shared" ref="J323" si="122">(F323+G323)*H323*4/1000*E323</f>
        <v>0</v>
      </c>
      <c r="K323" s="138">
        <f t="shared" ref="K323" si="123">I323</f>
        <v>0</v>
      </c>
      <c r="L323" s="140"/>
      <c r="M323" s="140"/>
      <c r="N323" s="140"/>
      <c r="O323" s="140"/>
      <c r="P323" s="140"/>
      <c r="Q323" s="140"/>
      <c r="R323" s="140"/>
      <c r="S323" s="140"/>
      <c r="T323" s="139"/>
    </row>
    <row r="324" spans="1:22">
      <c r="A324" s="9"/>
      <c r="B324" s="155"/>
      <c r="C324" s="120"/>
      <c r="D324" s="120"/>
      <c r="E324" s="120"/>
      <c r="F324" s="120"/>
      <c r="G324" s="120"/>
      <c r="H324" s="120"/>
      <c r="I324" s="137">
        <f t="shared" si="117"/>
        <v>0</v>
      </c>
      <c r="J324" s="137">
        <f t="shared" si="118"/>
        <v>0</v>
      </c>
      <c r="K324" s="138"/>
      <c r="L324" s="140"/>
      <c r="M324" s="140">
        <f t="shared" si="119"/>
        <v>0</v>
      </c>
      <c r="N324" s="140"/>
      <c r="O324" s="140"/>
      <c r="P324" s="140"/>
      <c r="Q324" s="140"/>
      <c r="R324" s="140"/>
      <c r="S324" s="140"/>
      <c r="T324" s="139"/>
      <c r="V324">
        <f t="shared" si="116"/>
        <v>0</v>
      </c>
    </row>
    <row r="325" spans="1:22">
      <c r="A325" s="9"/>
      <c r="B325" s="154"/>
      <c r="C325" s="9"/>
      <c r="D325" s="120"/>
      <c r="E325" s="120"/>
      <c r="F325" s="120"/>
      <c r="G325" s="120"/>
      <c r="H325" s="120"/>
      <c r="I325" s="137">
        <f t="shared" si="117"/>
        <v>0</v>
      </c>
      <c r="J325" s="137">
        <f t="shared" si="118"/>
        <v>0</v>
      </c>
      <c r="K325" s="138">
        <f t="shared" ref="K325" si="124">I325</f>
        <v>0</v>
      </c>
      <c r="L325" s="140"/>
      <c r="M325" s="140"/>
      <c r="N325" s="140"/>
      <c r="O325" s="140"/>
      <c r="P325" s="140"/>
      <c r="Q325" s="140"/>
      <c r="R325" s="140"/>
      <c r="S325" s="140"/>
      <c r="T325" s="139"/>
      <c r="V325">
        <f t="shared" si="116"/>
        <v>0</v>
      </c>
    </row>
    <row r="326" spans="1:22">
      <c r="A326" s="9"/>
      <c r="B326" s="155"/>
      <c r="C326" s="120"/>
      <c r="D326" s="120"/>
      <c r="E326" s="120"/>
      <c r="F326" s="120"/>
      <c r="G326" s="120"/>
      <c r="H326" s="120"/>
      <c r="I326" s="137">
        <f t="shared" si="117"/>
        <v>0</v>
      </c>
      <c r="J326" s="137">
        <f t="shared" si="118"/>
        <v>0</v>
      </c>
      <c r="K326" s="138"/>
      <c r="L326" s="140"/>
      <c r="M326" s="140">
        <f t="shared" si="119"/>
        <v>0</v>
      </c>
      <c r="N326" s="140"/>
      <c r="O326" s="140"/>
      <c r="P326" s="140"/>
      <c r="Q326" s="140"/>
      <c r="R326" s="140"/>
      <c r="S326" s="140"/>
      <c r="T326" s="139"/>
      <c r="V326">
        <f t="shared" si="116"/>
        <v>0</v>
      </c>
    </row>
    <row r="327" spans="1:22">
      <c r="A327" s="9"/>
      <c r="B327" s="154"/>
      <c r="C327" s="9"/>
      <c r="D327" s="120"/>
      <c r="E327" s="120"/>
      <c r="F327" s="120"/>
      <c r="G327" s="120"/>
      <c r="H327" s="120"/>
      <c r="I327" s="137">
        <f t="shared" si="117"/>
        <v>0</v>
      </c>
      <c r="J327" s="137">
        <f t="shared" si="118"/>
        <v>0</v>
      </c>
      <c r="K327" s="138">
        <f t="shared" ref="K327" si="125">I327</f>
        <v>0</v>
      </c>
      <c r="L327" s="140"/>
      <c r="M327" s="140"/>
      <c r="N327" s="140"/>
      <c r="O327" s="140"/>
      <c r="P327" s="140"/>
      <c r="Q327" s="140"/>
      <c r="R327" s="140"/>
      <c r="S327" s="140"/>
      <c r="T327" s="139"/>
      <c r="V327">
        <f t="shared" si="116"/>
        <v>0</v>
      </c>
    </row>
    <row r="328" spans="1:22">
      <c r="A328" s="9"/>
      <c r="B328" s="155"/>
      <c r="C328" s="120"/>
      <c r="D328" s="120"/>
      <c r="E328" s="120"/>
      <c r="F328" s="120"/>
      <c r="G328" s="120"/>
      <c r="H328" s="120"/>
      <c r="I328" s="137">
        <f t="shared" si="117"/>
        <v>0</v>
      </c>
      <c r="J328" s="137">
        <f t="shared" si="118"/>
        <v>0</v>
      </c>
      <c r="K328" s="138"/>
      <c r="L328" s="140"/>
      <c r="M328" s="140">
        <f t="shared" si="119"/>
        <v>0</v>
      </c>
      <c r="N328" s="140"/>
      <c r="O328" s="140"/>
      <c r="P328" s="140"/>
      <c r="Q328" s="140"/>
      <c r="R328" s="140"/>
      <c r="S328" s="140"/>
      <c r="T328" s="139"/>
      <c r="V328">
        <f t="shared" si="116"/>
        <v>0</v>
      </c>
    </row>
    <row r="329" spans="1:22">
      <c r="A329" s="9"/>
      <c r="B329" s="155"/>
      <c r="C329" s="120"/>
      <c r="D329" s="120"/>
      <c r="E329" s="120"/>
      <c r="F329" s="120"/>
      <c r="G329" s="120"/>
      <c r="H329" s="120"/>
      <c r="I329" s="137">
        <f t="shared" si="117"/>
        <v>0</v>
      </c>
      <c r="J329" s="137">
        <f t="shared" si="118"/>
        <v>0</v>
      </c>
      <c r="K329" s="138"/>
      <c r="L329" s="140"/>
      <c r="M329" s="140">
        <f t="shared" si="119"/>
        <v>0</v>
      </c>
      <c r="N329" s="140"/>
      <c r="O329" s="140"/>
      <c r="P329" s="140"/>
      <c r="Q329" s="140"/>
      <c r="R329" s="140"/>
      <c r="S329" s="140"/>
      <c r="T329" s="139"/>
      <c r="V329">
        <f t="shared" si="116"/>
        <v>0</v>
      </c>
    </row>
    <row r="330" spans="1:22">
      <c r="A330" s="9"/>
      <c r="B330" s="155"/>
      <c r="C330" s="120"/>
      <c r="D330" s="120"/>
      <c r="E330" s="120"/>
      <c r="F330" s="120"/>
      <c r="G330" s="120"/>
      <c r="H330" s="120"/>
      <c r="I330" s="137">
        <f t="shared" si="117"/>
        <v>0</v>
      </c>
      <c r="J330" s="137">
        <f t="shared" si="118"/>
        <v>0</v>
      </c>
      <c r="K330" s="138"/>
      <c r="L330" s="140"/>
      <c r="M330" s="140">
        <f t="shared" si="119"/>
        <v>0</v>
      </c>
      <c r="N330" s="140"/>
      <c r="O330" s="140"/>
      <c r="P330" s="140"/>
      <c r="Q330" s="140"/>
      <c r="R330" s="140"/>
      <c r="S330" s="140"/>
      <c r="T330" s="139"/>
      <c r="V330">
        <f t="shared" si="116"/>
        <v>0</v>
      </c>
    </row>
    <row r="331" spans="1:22">
      <c r="A331" s="9"/>
      <c r="B331" s="154"/>
      <c r="C331" s="9"/>
      <c r="D331" s="120"/>
      <c r="E331" s="120"/>
      <c r="F331" s="120"/>
      <c r="G331" s="120"/>
      <c r="H331" s="120"/>
      <c r="I331" s="137">
        <f t="shared" ref="I331" si="126">F331*G331*H331*E331/91809/10.89</f>
        <v>0</v>
      </c>
      <c r="J331" s="137">
        <f t="shared" ref="J331" si="127">(F331+G331)*H331*4/1000*E331</f>
        <v>0</v>
      </c>
      <c r="K331" s="138">
        <f t="shared" ref="K331" si="128">I331</f>
        <v>0</v>
      </c>
      <c r="L331" s="140"/>
      <c r="M331" s="140"/>
      <c r="N331" s="140"/>
      <c r="O331" s="140"/>
      <c r="P331" s="140"/>
      <c r="Q331" s="140"/>
      <c r="R331" s="140"/>
      <c r="S331" s="140"/>
      <c r="T331" s="139"/>
    </row>
    <row r="332" spans="1:22">
      <c r="A332" s="9"/>
      <c r="B332" s="155"/>
      <c r="C332" s="120"/>
      <c r="D332" s="120"/>
      <c r="E332" s="120"/>
      <c r="F332" s="120"/>
      <c r="G332" s="120"/>
      <c r="H332" s="120"/>
      <c r="I332" s="137">
        <f t="shared" si="117"/>
        <v>0</v>
      </c>
      <c r="J332" s="137">
        <f t="shared" si="118"/>
        <v>0</v>
      </c>
      <c r="K332" s="138"/>
      <c r="L332" s="140"/>
      <c r="M332" s="140">
        <f t="shared" si="119"/>
        <v>0</v>
      </c>
      <c r="N332" s="140"/>
      <c r="O332" s="140"/>
      <c r="P332" s="140"/>
      <c r="Q332" s="140"/>
      <c r="R332" s="140"/>
      <c r="S332" s="140"/>
      <c r="T332" s="139"/>
      <c r="V332">
        <f t="shared" si="116"/>
        <v>0</v>
      </c>
    </row>
    <row r="333" spans="1:22">
      <c r="A333" s="9"/>
      <c r="B333" s="154"/>
      <c r="C333" s="9"/>
      <c r="D333" s="120"/>
      <c r="E333" s="120"/>
      <c r="F333" s="120"/>
      <c r="G333" s="120"/>
      <c r="H333" s="120"/>
      <c r="I333" s="137">
        <f t="shared" si="117"/>
        <v>0</v>
      </c>
      <c r="J333" s="137">
        <f t="shared" si="118"/>
        <v>0</v>
      </c>
      <c r="K333" s="138">
        <f t="shared" ref="K333:K334" si="129">I333</f>
        <v>0</v>
      </c>
      <c r="L333" s="140"/>
      <c r="M333" s="140"/>
      <c r="N333" s="140"/>
      <c r="O333" s="140"/>
      <c r="P333" s="140"/>
      <c r="Q333" s="140"/>
      <c r="R333" s="140"/>
      <c r="S333" s="140"/>
      <c r="T333" s="139"/>
      <c r="V333">
        <f t="shared" si="116"/>
        <v>0</v>
      </c>
    </row>
    <row r="334" spans="1:22">
      <c r="A334" s="9"/>
      <c r="B334" s="154"/>
      <c r="C334" s="9"/>
      <c r="D334" s="120"/>
      <c r="E334" s="120"/>
      <c r="F334" s="120"/>
      <c r="G334" s="120"/>
      <c r="H334" s="120"/>
      <c r="I334" s="137">
        <f t="shared" si="117"/>
        <v>0</v>
      </c>
      <c r="J334" s="137">
        <f t="shared" si="118"/>
        <v>0</v>
      </c>
      <c r="K334" s="138">
        <f t="shared" si="129"/>
        <v>0</v>
      </c>
      <c r="L334" s="140"/>
      <c r="M334" s="140"/>
      <c r="N334" s="140"/>
      <c r="O334" s="140"/>
      <c r="P334" s="140"/>
      <c r="Q334" s="140"/>
      <c r="R334" s="140"/>
      <c r="S334" s="140"/>
      <c r="T334" s="139"/>
      <c r="V334">
        <f t="shared" si="116"/>
        <v>0</v>
      </c>
    </row>
    <row r="335" spans="1:22">
      <c r="A335" s="9"/>
      <c r="B335" s="154"/>
      <c r="C335" s="9"/>
      <c r="D335" s="120"/>
      <c r="E335" s="120"/>
      <c r="F335" s="120"/>
      <c r="G335" s="120"/>
      <c r="H335" s="120"/>
      <c r="I335" s="137">
        <f t="shared" si="117"/>
        <v>0</v>
      </c>
      <c r="J335" s="137">
        <f t="shared" si="118"/>
        <v>0</v>
      </c>
      <c r="K335" s="138">
        <f t="shared" ref="K335" si="130">I335</f>
        <v>0</v>
      </c>
      <c r="L335" s="140"/>
      <c r="M335" s="140"/>
      <c r="N335" s="140"/>
      <c r="O335" s="140"/>
      <c r="P335" s="140"/>
      <c r="Q335" s="140"/>
      <c r="R335" s="140"/>
      <c r="S335" s="140"/>
      <c r="T335" s="139"/>
      <c r="V335">
        <f t="shared" si="116"/>
        <v>0</v>
      </c>
    </row>
    <row r="336" spans="1:22">
      <c r="A336" s="9"/>
      <c r="B336" s="155"/>
      <c r="C336" s="120"/>
      <c r="D336" s="120"/>
      <c r="E336" s="120"/>
      <c r="F336" s="120"/>
      <c r="G336" s="120"/>
      <c r="H336" s="120"/>
      <c r="I336" s="137">
        <f t="shared" si="117"/>
        <v>0</v>
      </c>
      <c r="J336" s="137">
        <f t="shared" si="118"/>
        <v>0</v>
      </c>
      <c r="K336" s="138"/>
      <c r="L336" s="140"/>
      <c r="M336" s="140">
        <f t="shared" si="119"/>
        <v>0</v>
      </c>
      <c r="N336" s="140"/>
      <c r="O336" s="140"/>
      <c r="P336" s="140"/>
      <c r="Q336" s="140"/>
      <c r="R336" s="140"/>
      <c r="S336" s="140"/>
      <c r="T336" s="139"/>
      <c r="V336">
        <f t="shared" si="116"/>
        <v>0</v>
      </c>
    </row>
    <row r="337" spans="1:22">
      <c r="A337" s="9"/>
      <c r="B337" s="155"/>
      <c r="C337" s="120"/>
      <c r="D337" s="120"/>
      <c r="E337" s="120"/>
      <c r="F337" s="120"/>
      <c r="G337" s="120"/>
      <c r="H337" s="120"/>
      <c r="I337" s="137">
        <f t="shared" ref="I337" si="131">F337*G337*H337*E337/91809/10.89</f>
        <v>0</v>
      </c>
      <c r="J337" s="137">
        <f t="shared" ref="J337" si="132">(F337+G337)*H337*4/1000*E337</f>
        <v>0</v>
      </c>
      <c r="K337" s="138"/>
      <c r="L337" s="140"/>
      <c r="M337" s="140">
        <f t="shared" ref="M337" si="133">I337</f>
        <v>0</v>
      </c>
      <c r="N337" s="140"/>
      <c r="O337" s="140"/>
      <c r="P337" s="140"/>
      <c r="Q337" s="140"/>
      <c r="R337" s="140"/>
      <c r="S337" s="140"/>
      <c r="T337" s="139"/>
    </row>
    <row r="338" spans="1:22">
      <c r="A338" s="9"/>
      <c r="B338" s="154"/>
      <c r="C338" s="9"/>
      <c r="D338" s="120"/>
      <c r="E338" s="120"/>
      <c r="F338" s="120"/>
      <c r="G338" s="120"/>
      <c r="H338" s="120"/>
      <c r="I338" s="137">
        <f t="shared" si="117"/>
        <v>0</v>
      </c>
      <c r="J338" s="137">
        <f t="shared" si="118"/>
        <v>0</v>
      </c>
      <c r="K338" s="138">
        <f t="shared" ref="K338" si="134">I338</f>
        <v>0</v>
      </c>
      <c r="L338" s="140"/>
      <c r="M338" s="140"/>
      <c r="N338" s="140"/>
      <c r="O338" s="140"/>
      <c r="P338" s="140"/>
      <c r="Q338" s="140"/>
      <c r="R338" s="140"/>
      <c r="S338" s="140"/>
      <c r="T338" s="139"/>
      <c r="V338">
        <f t="shared" si="116"/>
        <v>0</v>
      </c>
    </row>
    <row r="339" spans="1:22">
      <c r="A339" s="9"/>
      <c r="B339" s="155"/>
      <c r="C339" s="120"/>
      <c r="D339" s="120"/>
      <c r="E339" s="120"/>
      <c r="F339" s="120"/>
      <c r="G339" s="120"/>
      <c r="H339" s="120"/>
      <c r="I339" s="137">
        <f t="shared" si="117"/>
        <v>0</v>
      </c>
      <c r="J339" s="137">
        <f t="shared" si="118"/>
        <v>0</v>
      </c>
      <c r="K339" s="138"/>
      <c r="L339" s="140"/>
      <c r="M339" s="140">
        <f t="shared" si="119"/>
        <v>0</v>
      </c>
      <c r="N339" s="140"/>
      <c r="O339" s="140"/>
      <c r="P339" s="140"/>
      <c r="Q339" s="140"/>
      <c r="R339" s="140"/>
      <c r="S339" s="140"/>
      <c r="T339" s="139"/>
      <c r="V339">
        <f t="shared" si="116"/>
        <v>0</v>
      </c>
    </row>
    <row r="340" spans="1:22">
      <c r="A340" s="9"/>
      <c r="B340" s="155"/>
      <c r="C340" s="120"/>
      <c r="D340" s="120"/>
      <c r="E340" s="120"/>
      <c r="F340" s="120"/>
      <c r="G340" s="120"/>
      <c r="H340" s="120"/>
      <c r="I340" s="137">
        <f t="shared" si="117"/>
        <v>0</v>
      </c>
      <c r="J340" s="137">
        <f t="shared" si="118"/>
        <v>0</v>
      </c>
      <c r="K340" s="138"/>
      <c r="L340" s="140"/>
      <c r="M340" s="140">
        <f t="shared" si="119"/>
        <v>0</v>
      </c>
      <c r="N340" s="140"/>
      <c r="O340" s="140"/>
      <c r="P340" s="140"/>
      <c r="Q340" s="140"/>
      <c r="R340" s="140"/>
      <c r="S340" s="140"/>
      <c r="T340" s="139"/>
      <c r="V340">
        <f t="shared" si="116"/>
        <v>0</v>
      </c>
    </row>
    <row r="341" spans="1:22">
      <c r="A341" s="9"/>
      <c r="B341" s="154"/>
      <c r="C341" s="9"/>
      <c r="D341" s="120"/>
      <c r="E341" s="120"/>
      <c r="F341" s="120"/>
      <c r="G341" s="120"/>
      <c r="H341" s="120"/>
      <c r="I341" s="137">
        <f t="shared" si="117"/>
        <v>0</v>
      </c>
      <c r="J341" s="137">
        <f t="shared" si="118"/>
        <v>0</v>
      </c>
      <c r="K341" s="138"/>
      <c r="L341" s="140"/>
      <c r="M341" s="140">
        <f t="shared" si="119"/>
        <v>0</v>
      </c>
      <c r="N341" s="140"/>
      <c r="O341" s="140"/>
      <c r="P341" s="140"/>
      <c r="Q341" s="140"/>
      <c r="R341" s="140"/>
      <c r="S341" s="140"/>
      <c r="T341" s="139"/>
      <c r="V341">
        <f t="shared" si="116"/>
        <v>0</v>
      </c>
    </row>
    <row r="342" spans="1:22">
      <c r="A342" s="9"/>
      <c r="B342" s="155"/>
      <c r="C342" s="120"/>
      <c r="D342" s="120"/>
      <c r="E342" s="120"/>
      <c r="F342" s="120"/>
      <c r="G342" s="120"/>
      <c r="H342" s="120"/>
      <c r="I342" s="137">
        <f t="shared" ref="I342" si="135">F342*G342*H342*E342/91809/10.89</f>
        <v>0</v>
      </c>
      <c r="J342" s="137">
        <f t="shared" ref="J342" si="136">(F342+G342)*H342*4/1000*E342</f>
        <v>0</v>
      </c>
      <c r="K342" s="138"/>
      <c r="L342" s="140"/>
      <c r="M342" s="140">
        <f t="shared" ref="M342" si="137">I342</f>
        <v>0</v>
      </c>
      <c r="N342" s="140"/>
      <c r="O342" s="140"/>
      <c r="P342" s="140"/>
      <c r="Q342" s="140"/>
      <c r="R342" s="140"/>
      <c r="S342" s="140"/>
      <c r="T342" s="139"/>
    </row>
    <row r="343" spans="1:22">
      <c r="A343" s="9"/>
      <c r="B343" s="155"/>
      <c r="C343" s="120"/>
      <c r="D343" s="120"/>
      <c r="E343" s="120"/>
      <c r="F343" s="120"/>
      <c r="G343" s="120"/>
      <c r="H343" s="120"/>
      <c r="I343" s="137">
        <f t="shared" si="117"/>
        <v>0</v>
      </c>
      <c r="J343" s="137">
        <f t="shared" si="118"/>
        <v>0</v>
      </c>
      <c r="K343" s="138"/>
      <c r="L343" s="140"/>
      <c r="M343" s="140">
        <f t="shared" si="119"/>
        <v>0</v>
      </c>
      <c r="N343" s="140"/>
      <c r="O343" s="140"/>
      <c r="P343" s="140"/>
      <c r="Q343" s="140"/>
      <c r="R343" s="140"/>
      <c r="S343" s="140"/>
      <c r="T343" s="139"/>
      <c r="V343">
        <f t="shared" si="116"/>
        <v>0</v>
      </c>
    </row>
    <row r="344" spans="1:22">
      <c r="A344" s="9"/>
      <c r="B344" s="154"/>
      <c r="C344" s="9"/>
      <c r="D344" s="120"/>
      <c r="E344" s="120"/>
      <c r="F344" s="120"/>
      <c r="G344" s="120"/>
      <c r="H344" s="120"/>
      <c r="I344" s="137">
        <f t="shared" si="117"/>
        <v>0</v>
      </c>
      <c r="J344" s="137">
        <f t="shared" si="118"/>
        <v>0</v>
      </c>
      <c r="K344" s="138"/>
      <c r="L344" s="140"/>
      <c r="M344" s="140">
        <f t="shared" si="119"/>
        <v>0</v>
      </c>
      <c r="N344" s="140"/>
      <c r="O344" s="140"/>
      <c r="P344" s="140"/>
      <c r="Q344" s="140"/>
      <c r="R344" s="140"/>
      <c r="S344" s="140"/>
      <c r="T344" s="139"/>
      <c r="V344">
        <f t="shared" si="116"/>
        <v>0</v>
      </c>
    </row>
    <row r="345" spans="1:22">
      <c r="A345" s="9"/>
      <c r="B345" s="155"/>
      <c r="C345" s="120"/>
      <c r="D345" s="120"/>
      <c r="E345" s="120"/>
      <c r="F345" s="120"/>
      <c r="G345" s="120"/>
      <c r="H345" s="120"/>
      <c r="I345" s="137">
        <f t="shared" si="117"/>
        <v>0</v>
      </c>
      <c r="J345" s="137">
        <f t="shared" si="118"/>
        <v>0</v>
      </c>
      <c r="K345" s="138"/>
      <c r="L345" s="140"/>
      <c r="M345" s="140">
        <f t="shared" si="119"/>
        <v>0</v>
      </c>
      <c r="N345" s="140"/>
      <c r="O345" s="140"/>
      <c r="P345" s="140"/>
      <c r="Q345" s="140"/>
      <c r="R345" s="140"/>
      <c r="S345" s="140"/>
      <c r="T345" s="139"/>
      <c r="V345">
        <f t="shared" si="116"/>
        <v>0</v>
      </c>
    </row>
    <row r="346" spans="1:22">
      <c r="A346" s="9"/>
      <c r="B346" s="155"/>
      <c r="C346" s="120"/>
      <c r="D346" s="120"/>
      <c r="E346" s="120"/>
      <c r="F346" s="120"/>
      <c r="G346" s="120"/>
      <c r="H346" s="120"/>
      <c r="I346" s="137">
        <f t="shared" si="117"/>
        <v>0</v>
      </c>
      <c r="J346" s="137">
        <f t="shared" si="118"/>
        <v>0</v>
      </c>
      <c r="K346" s="138"/>
      <c r="L346" s="140"/>
      <c r="M346" s="140">
        <f t="shared" si="119"/>
        <v>0</v>
      </c>
      <c r="N346" s="140"/>
      <c r="O346" s="140"/>
      <c r="P346" s="140"/>
      <c r="Q346" s="140"/>
      <c r="R346" s="140"/>
      <c r="S346" s="140"/>
      <c r="T346" s="139"/>
      <c r="V346">
        <f t="shared" ref="V346:V409" si="138">H346*E346</f>
        <v>0</v>
      </c>
    </row>
    <row r="347" spans="1:22">
      <c r="A347" s="9"/>
      <c r="B347" s="154"/>
      <c r="C347" s="9"/>
      <c r="D347" s="120"/>
      <c r="E347" s="120"/>
      <c r="F347" s="120"/>
      <c r="G347" s="120"/>
      <c r="H347" s="120"/>
      <c r="I347" s="137">
        <f t="shared" si="117"/>
        <v>0</v>
      </c>
      <c r="J347" s="137">
        <f t="shared" si="118"/>
        <v>0</v>
      </c>
      <c r="K347" s="138">
        <f t="shared" ref="K347" si="139">I347</f>
        <v>0</v>
      </c>
      <c r="L347" s="140"/>
      <c r="M347" s="140"/>
      <c r="N347" s="140"/>
      <c r="O347" s="140"/>
      <c r="P347" s="140"/>
      <c r="Q347" s="140"/>
      <c r="R347" s="140"/>
      <c r="S347" s="140"/>
      <c r="T347" s="139"/>
      <c r="V347">
        <f t="shared" si="138"/>
        <v>0</v>
      </c>
    </row>
    <row r="348" spans="1:22">
      <c r="A348" s="9"/>
      <c r="B348" s="155"/>
      <c r="C348" s="120"/>
      <c r="D348" s="120"/>
      <c r="E348" s="120"/>
      <c r="F348" s="120"/>
      <c r="G348" s="120"/>
      <c r="H348" s="120"/>
      <c r="I348" s="137">
        <f t="shared" ref="I348" si="140">F348*G348*H348*E348/91809/10.89</f>
        <v>0</v>
      </c>
      <c r="J348" s="137">
        <f t="shared" ref="J348" si="141">(F348+G348)*H348*4/1000*E348</f>
        <v>0</v>
      </c>
      <c r="K348" s="138"/>
      <c r="L348" s="140"/>
      <c r="M348" s="140">
        <f t="shared" si="119"/>
        <v>0</v>
      </c>
      <c r="N348" s="140"/>
      <c r="O348" s="140"/>
      <c r="P348" s="140"/>
      <c r="Q348" s="140"/>
      <c r="R348" s="140"/>
      <c r="S348" s="140"/>
      <c r="T348" s="139"/>
    </row>
    <row r="349" spans="1:22">
      <c r="A349" s="9"/>
      <c r="B349" s="155"/>
      <c r="C349" s="120"/>
      <c r="D349" s="120"/>
      <c r="E349" s="120"/>
      <c r="F349" s="120"/>
      <c r="G349" s="120"/>
      <c r="H349" s="120"/>
      <c r="I349" s="137">
        <f t="shared" si="117"/>
        <v>0</v>
      </c>
      <c r="J349" s="137">
        <f t="shared" si="118"/>
        <v>0</v>
      </c>
      <c r="K349" s="138"/>
      <c r="L349" s="140"/>
      <c r="M349" s="140">
        <f t="shared" si="119"/>
        <v>0</v>
      </c>
      <c r="N349" s="140"/>
      <c r="O349" s="140"/>
      <c r="P349" s="140"/>
      <c r="Q349" s="140"/>
      <c r="R349" s="140"/>
      <c r="S349" s="140"/>
      <c r="T349" s="139"/>
      <c r="V349">
        <f t="shared" si="138"/>
        <v>0</v>
      </c>
    </row>
    <row r="350" spans="1:22">
      <c r="A350" s="9"/>
      <c r="B350" s="154"/>
      <c r="C350" s="9"/>
      <c r="D350" s="120"/>
      <c r="E350" s="120"/>
      <c r="F350" s="120"/>
      <c r="G350" s="120"/>
      <c r="H350" s="120"/>
      <c r="I350" s="137">
        <f t="shared" si="117"/>
        <v>0</v>
      </c>
      <c r="J350" s="137">
        <f t="shared" si="118"/>
        <v>0</v>
      </c>
      <c r="K350" s="138">
        <f t="shared" ref="K350" si="142">I350</f>
        <v>0</v>
      </c>
      <c r="L350" s="140"/>
      <c r="M350" s="140"/>
      <c r="N350" s="140"/>
      <c r="O350" s="140"/>
      <c r="P350" s="140"/>
      <c r="Q350" s="140"/>
      <c r="R350" s="140"/>
      <c r="S350" s="140"/>
      <c r="T350" s="139"/>
      <c r="V350">
        <f t="shared" si="138"/>
        <v>0</v>
      </c>
    </row>
    <row r="351" spans="1:22">
      <c r="A351" s="9"/>
      <c r="B351" s="155"/>
      <c r="C351" s="120"/>
      <c r="D351" s="120"/>
      <c r="E351" s="120"/>
      <c r="F351" s="120"/>
      <c r="G351" s="120"/>
      <c r="H351" s="120"/>
      <c r="I351" s="137">
        <f t="shared" ref="I351:I413" si="143">F351*G351*H351*E351/91809/10.89</f>
        <v>0</v>
      </c>
      <c r="J351" s="137">
        <f t="shared" ref="J351:J413" si="144">(F351+G351)*H351*4/1000*E351</f>
        <v>0</v>
      </c>
      <c r="K351" s="138"/>
      <c r="L351" s="140"/>
      <c r="M351" s="140">
        <f t="shared" si="119"/>
        <v>0</v>
      </c>
      <c r="N351" s="140"/>
      <c r="O351" s="140"/>
      <c r="P351" s="140"/>
      <c r="Q351" s="140"/>
      <c r="R351" s="140"/>
      <c r="S351" s="140"/>
      <c r="T351" s="139"/>
      <c r="V351">
        <f t="shared" si="138"/>
        <v>0</v>
      </c>
    </row>
    <row r="352" spans="1:22">
      <c r="A352" s="9"/>
      <c r="B352" s="155"/>
      <c r="C352" s="120"/>
      <c r="D352" s="120"/>
      <c r="E352" s="120"/>
      <c r="F352" s="120"/>
      <c r="G352" s="120"/>
      <c r="H352" s="120"/>
      <c r="I352" s="137">
        <f t="shared" si="143"/>
        <v>0</v>
      </c>
      <c r="J352" s="137">
        <f t="shared" si="144"/>
        <v>0</v>
      </c>
      <c r="K352" s="138"/>
      <c r="L352" s="140"/>
      <c r="M352" s="140">
        <f t="shared" si="119"/>
        <v>0</v>
      </c>
      <c r="N352" s="140"/>
      <c r="O352" s="140"/>
      <c r="P352" s="140"/>
      <c r="Q352" s="140"/>
      <c r="R352" s="140"/>
      <c r="S352" s="140"/>
      <c r="T352" s="139"/>
      <c r="V352">
        <f t="shared" si="138"/>
        <v>0</v>
      </c>
    </row>
    <row r="353" spans="1:22">
      <c r="A353" s="9"/>
      <c r="B353" s="154"/>
      <c r="C353" s="9"/>
      <c r="D353" s="120"/>
      <c r="E353" s="120"/>
      <c r="F353" s="120"/>
      <c r="G353" s="120"/>
      <c r="H353" s="120"/>
      <c r="I353" s="137">
        <f t="shared" si="143"/>
        <v>0</v>
      </c>
      <c r="J353" s="137">
        <f t="shared" si="144"/>
        <v>0</v>
      </c>
      <c r="K353" s="138">
        <f t="shared" ref="K353:K354" si="145">I353</f>
        <v>0</v>
      </c>
      <c r="L353" s="140"/>
      <c r="M353" s="140"/>
      <c r="N353" s="140"/>
      <c r="O353" s="140"/>
      <c r="P353" s="140"/>
      <c r="Q353" s="140"/>
      <c r="R353" s="140"/>
      <c r="S353" s="140"/>
      <c r="T353" s="139"/>
      <c r="V353">
        <f t="shared" si="138"/>
        <v>0</v>
      </c>
    </row>
    <row r="354" spans="1:22">
      <c r="A354" s="9"/>
      <c r="B354" s="154"/>
      <c r="C354" s="9"/>
      <c r="D354" s="120"/>
      <c r="E354" s="120"/>
      <c r="F354" s="120"/>
      <c r="G354" s="120"/>
      <c r="H354" s="120"/>
      <c r="I354" s="137">
        <f t="shared" si="143"/>
        <v>0</v>
      </c>
      <c r="J354" s="137">
        <f t="shared" si="144"/>
        <v>0</v>
      </c>
      <c r="K354" s="138">
        <f t="shared" si="145"/>
        <v>0</v>
      </c>
      <c r="L354" s="140"/>
      <c r="M354" s="140"/>
      <c r="N354" s="140"/>
      <c r="O354" s="140"/>
      <c r="P354" s="140"/>
      <c r="Q354" s="140"/>
      <c r="R354" s="140"/>
      <c r="S354" s="140"/>
      <c r="T354" s="139"/>
      <c r="V354">
        <f t="shared" si="138"/>
        <v>0</v>
      </c>
    </row>
    <row r="355" spans="1:22">
      <c r="A355" s="9"/>
      <c r="B355" s="155"/>
      <c r="C355" s="120"/>
      <c r="D355" s="120"/>
      <c r="E355" s="120"/>
      <c r="F355" s="120"/>
      <c r="G355" s="120"/>
      <c r="H355" s="120"/>
      <c r="I355" s="137">
        <f t="shared" si="143"/>
        <v>0</v>
      </c>
      <c r="J355" s="137">
        <f t="shared" si="144"/>
        <v>0</v>
      </c>
      <c r="K355" s="138"/>
      <c r="L355" s="140"/>
      <c r="M355" s="140">
        <f t="shared" ref="M355:M361" si="146">I355</f>
        <v>0</v>
      </c>
      <c r="N355" s="140"/>
      <c r="O355" s="140"/>
      <c r="P355" s="140"/>
      <c r="Q355" s="140"/>
      <c r="R355" s="140"/>
      <c r="S355" s="140"/>
      <c r="T355" s="139"/>
      <c r="V355">
        <f t="shared" si="138"/>
        <v>0</v>
      </c>
    </row>
    <row r="356" spans="1:22">
      <c r="A356" s="9"/>
      <c r="B356" s="155"/>
      <c r="C356" s="120"/>
      <c r="D356" s="120"/>
      <c r="E356" s="120"/>
      <c r="F356" s="120"/>
      <c r="G356" s="120"/>
      <c r="H356" s="120"/>
      <c r="I356" s="137">
        <f t="shared" si="143"/>
        <v>0</v>
      </c>
      <c r="J356" s="137">
        <f t="shared" si="144"/>
        <v>0</v>
      </c>
      <c r="K356" s="138"/>
      <c r="L356" s="140"/>
      <c r="M356" s="140">
        <f t="shared" si="146"/>
        <v>0</v>
      </c>
      <c r="N356" s="140"/>
      <c r="O356" s="140"/>
      <c r="P356" s="140"/>
      <c r="Q356" s="140"/>
      <c r="R356" s="140"/>
      <c r="S356" s="140"/>
      <c r="T356" s="139"/>
      <c r="V356">
        <f t="shared" si="138"/>
        <v>0</v>
      </c>
    </row>
    <row r="357" spans="1:22">
      <c r="A357" s="9"/>
      <c r="B357" s="154"/>
      <c r="C357" s="9"/>
      <c r="D357" s="120"/>
      <c r="E357" s="120"/>
      <c r="F357" s="120"/>
      <c r="G357" s="120"/>
      <c r="H357" s="120"/>
      <c r="I357" s="137">
        <f t="shared" si="143"/>
        <v>0</v>
      </c>
      <c r="J357" s="137">
        <f t="shared" si="144"/>
        <v>0</v>
      </c>
      <c r="K357" s="138">
        <f t="shared" ref="K357:K358" si="147">I357</f>
        <v>0</v>
      </c>
      <c r="L357" s="140"/>
      <c r="M357" s="140"/>
      <c r="N357" s="140"/>
      <c r="O357" s="140"/>
      <c r="P357" s="140"/>
      <c r="Q357" s="140"/>
      <c r="R357" s="140"/>
      <c r="S357" s="140"/>
      <c r="T357" s="139"/>
      <c r="V357">
        <f t="shared" si="138"/>
        <v>0</v>
      </c>
    </row>
    <row r="358" spans="1:22">
      <c r="A358" s="9"/>
      <c r="B358" s="154"/>
      <c r="C358" s="9"/>
      <c r="D358" s="120"/>
      <c r="E358" s="120"/>
      <c r="F358" s="120"/>
      <c r="G358" s="120"/>
      <c r="H358" s="120"/>
      <c r="I358" s="137">
        <f t="shared" si="143"/>
        <v>0</v>
      </c>
      <c r="J358" s="137">
        <f t="shared" si="144"/>
        <v>0</v>
      </c>
      <c r="K358" s="138">
        <f t="shared" si="147"/>
        <v>0</v>
      </c>
      <c r="L358" s="140"/>
      <c r="M358" s="140"/>
      <c r="N358" s="140"/>
      <c r="O358" s="140"/>
      <c r="P358" s="140"/>
      <c r="Q358" s="140"/>
      <c r="R358" s="140"/>
      <c r="S358" s="140"/>
      <c r="T358" s="139"/>
      <c r="V358">
        <f t="shared" si="138"/>
        <v>0</v>
      </c>
    </row>
    <row r="359" spans="1:22">
      <c r="A359" s="9"/>
      <c r="B359" s="155"/>
      <c r="C359" s="120"/>
      <c r="D359" s="120"/>
      <c r="E359" s="120"/>
      <c r="F359" s="120"/>
      <c r="G359" s="120"/>
      <c r="H359" s="120"/>
      <c r="I359" s="137">
        <f t="shared" si="143"/>
        <v>0</v>
      </c>
      <c r="J359" s="137">
        <f t="shared" si="144"/>
        <v>0</v>
      </c>
      <c r="K359" s="138"/>
      <c r="L359" s="140"/>
      <c r="M359" s="140">
        <f t="shared" si="146"/>
        <v>0</v>
      </c>
      <c r="N359" s="140"/>
      <c r="O359" s="140"/>
      <c r="P359" s="140"/>
      <c r="Q359" s="140"/>
      <c r="R359" s="140"/>
      <c r="S359" s="140"/>
      <c r="T359" s="139"/>
      <c r="V359">
        <f t="shared" si="138"/>
        <v>0</v>
      </c>
    </row>
    <row r="360" spans="1:22">
      <c r="A360" s="9"/>
      <c r="B360" s="155"/>
      <c r="C360" s="120"/>
      <c r="D360" s="120"/>
      <c r="E360" s="120"/>
      <c r="F360" s="120"/>
      <c r="G360" s="120"/>
      <c r="H360" s="120"/>
      <c r="I360" s="137">
        <f t="shared" si="143"/>
        <v>0</v>
      </c>
      <c r="J360" s="137">
        <f t="shared" si="144"/>
        <v>0</v>
      </c>
      <c r="K360" s="138"/>
      <c r="L360" s="140"/>
      <c r="M360" s="140">
        <f t="shared" si="146"/>
        <v>0</v>
      </c>
      <c r="N360" s="140"/>
      <c r="O360" s="140"/>
      <c r="P360" s="140"/>
      <c r="Q360" s="140"/>
      <c r="R360" s="140"/>
      <c r="S360" s="140"/>
      <c r="T360" s="139"/>
      <c r="V360">
        <f t="shared" si="138"/>
        <v>0</v>
      </c>
    </row>
    <row r="361" spans="1:22">
      <c r="A361" s="9"/>
      <c r="B361" s="155"/>
      <c r="C361" s="120"/>
      <c r="D361" s="120"/>
      <c r="E361" s="120"/>
      <c r="F361" s="120"/>
      <c r="G361" s="120"/>
      <c r="H361" s="120"/>
      <c r="I361" s="137">
        <f t="shared" si="143"/>
        <v>0</v>
      </c>
      <c r="J361" s="137">
        <f t="shared" si="144"/>
        <v>0</v>
      </c>
      <c r="K361" s="138"/>
      <c r="L361" s="140"/>
      <c r="M361" s="140">
        <f t="shared" si="146"/>
        <v>0</v>
      </c>
      <c r="N361" s="140"/>
      <c r="O361" s="140"/>
      <c r="P361" s="140"/>
      <c r="Q361" s="140"/>
      <c r="R361" s="140"/>
      <c r="S361" s="140"/>
      <c r="T361" s="139"/>
      <c r="V361">
        <f t="shared" si="138"/>
        <v>0</v>
      </c>
    </row>
    <row r="362" spans="1:22">
      <c r="A362" s="14"/>
      <c r="B362" s="156"/>
      <c r="C362" s="120"/>
      <c r="D362" s="120"/>
      <c r="E362" s="120"/>
      <c r="F362" s="120"/>
      <c r="G362" s="120"/>
      <c r="H362" s="120"/>
      <c r="I362" s="137">
        <f t="shared" si="143"/>
        <v>0</v>
      </c>
      <c r="J362" s="137">
        <f t="shared" si="144"/>
        <v>0</v>
      </c>
      <c r="K362" s="138"/>
      <c r="L362" s="140"/>
      <c r="M362" s="140"/>
      <c r="N362" s="140"/>
      <c r="O362" s="140"/>
      <c r="P362" s="140"/>
      <c r="Q362" s="140"/>
      <c r="R362" s="140"/>
      <c r="S362" s="140"/>
      <c r="T362" s="139"/>
      <c r="V362">
        <f t="shared" si="138"/>
        <v>0</v>
      </c>
    </row>
    <row r="363" spans="1:22">
      <c r="A363" s="9"/>
      <c r="B363" s="155"/>
      <c r="C363" s="120"/>
      <c r="D363" s="120"/>
      <c r="E363" s="120"/>
      <c r="F363" s="120"/>
      <c r="G363" s="120"/>
      <c r="H363" s="120"/>
      <c r="I363" s="137">
        <f t="shared" si="143"/>
        <v>0</v>
      </c>
      <c r="J363" s="137">
        <f t="shared" si="144"/>
        <v>0</v>
      </c>
      <c r="K363" s="138"/>
      <c r="L363" s="140"/>
      <c r="M363" s="140">
        <f t="shared" ref="M363:M368" si="148">I363</f>
        <v>0</v>
      </c>
      <c r="N363" s="140"/>
      <c r="O363" s="140"/>
      <c r="P363" s="140"/>
      <c r="Q363" s="140"/>
      <c r="R363" s="140"/>
      <c r="S363" s="140"/>
      <c r="T363" s="139"/>
      <c r="V363">
        <f t="shared" si="138"/>
        <v>0</v>
      </c>
    </row>
    <row r="364" spans="1:22">
      <c r="A364" s="9"/>
      <c r="B364" s="155"/>
      <c r="C364" s="120"/>
      <c r="D364" s="120"/>
      <c r="E364" s="120"/>
      <c r="F364" s="120"/>
      <c r="G364" s="120"/>
      <c r="H364" s="120"/>
      <c r="I364" s="137">
        <f t="shared" si="143"/>
        <v>0</v>
      </c>
      <c r="J364" s="137">
        <f t="shared" si="144"/>
        <v>0</v>
      </c>
      <c r="K364" s="138"/>
      <c r="L364" s="140"/>
      <c r="M364" s="140">
        <f t="shared" si="148"/>
        <v>0</v>
      </c>
      <c r="N364" s="140"/>
      <c r="O364" s="140"/>
      <c r="P364" s="140"/>
      <c r="Q364" s="140"/>
      <c r="R364" s="140"/>
      <c r="S364" s="140"/>
      <c r="T364" s="139"/>
      <c r="V364">
        <f t="shared" si="138"/>
        <v>0</v>
      </c>
    </row>
    <row r="365" spans="1:22">
      <c r="A365" s="9"/>
      <c r="B365" s="155"/>
      <c r="C365" s="120"/>
      <c r="D365" s="120"/>
      <c r="E365" s="120"/>
      <c r="F365" s="120"/>
      <c r="G365" s="120"/>
      <c r="H365" s="120"/>
      <c r="I365" s="137">
        <f t="shared" si="143"/>
        <v>0</v>
      </c>
      <c r="J365" s="137">
        <f t="shared" si="144"/>
        <v>0</v>
      </c>
      <c r="K365" s="138"/>
      <c r="L365" s="140"/>
      <c r="M365" s="140">
        <f t="shared" si="148"/>
        <v>0</v>
      </c>
      <c r="N365" s="140"/>
      <c r="O365" s="140"/>
      <c r="P365" s="140"/>
      <c r="Q365" s="140"/>
      <c r="R365" s="140"/>
      <c r="S365" s="140"/>
      <c r="T365" s="139"/>
      <c r="V365">
        <f t="shared" si="138"/>
        <v>0</v>
      </c>
    </row>
    <row r="366" spans="1:22">
      <c r="A366" s="9"/>
      <c r="B366" s="155"/>
      <c r="C366" s="120"/>
      <c r="D366" s="120"/>
      <c r="E366" s="120"/>
      <c r="F366" s="120"/>
      <c r="G366" s="120"/>
      <c r="H366" s="120"/>
      <c r="I366" s="137">
        <f t="shared" si="143"/>
        <v>0</v>
      </c>
      <c r="J366" s="137">
        <f t="shared" si="144"/>
        <v>0</v>
      </c>
      <c r="K366" s="138"/>
      <c r="L366" s="140"/>
      <c r="M366" s="140">
        <f t="shared" si="148"/>
        <v>0</v>
      </c>
      <c r="N366" s="140"/>
      <c r="O366" s="140"/>
      <c r="P366" s="140"/>
      <c r="Q366" s="140"/>
      <c r="R366" s="140"/>
      <c r="S366" s="140"/>
      <c r="T366" s="139"/>
      <c r="V366">
        <f t="shared" si="138"/>
        <v>0</v>
      </c>
    </row>
    <row r="367" spans="1:22">
      <c r="A367" s="9"/>
      <c r="B367" s="155"/>
      <c r="C367" s="120"/>
      <c r="D367" s="120"/>
      <c r="E367" s="120"/>
      <c r="F367" s="120"/>
      <c r="G367" s="120"/>
      <c r="H367" s="120"/>
      <c r="I367" s="137">
        <f t="shared" si="143"/>
        <v>0</v>
      </c>
      <c r="J367" s="137">
        <f t="shared" si="144"/>
        <v>0</v>
      </c>
      <c r="K367" s="138"/>
      <c r="L367" s="140"/>
      <c r="M367" s="140">
        <f t="shared" si="148"/>
        <v>0</v>
      </c>
      <c r="N367" s="140"/>
      <c r="O367" s="140"/>
      <c r="P367" s="140"/>
      <c r="Q367" s="140"/>
      <c r="R367" s="140"/>
      <c r="S367" s="140"/>
      <c r="T367" s="139"/>
      <c r="V367">
        <f t="shared" si="138"/>
        <v>0</v>
      </c>
    </row>
    <row r="368" spans="1:22">
      <c r="A368" s="9"/>
      <c r="B368" s="155"/>
      <c r="C368" s="120"/>
      <c r="D368" s="120"/>
      <c r="E368" s="120"/>
      <c r="F368" s="120"/>
      <c r="G368" s="120"/>
      <c r="H368" s="120"/>
      <c r="I368" s="137">
        <f t="shared" si="143"/>
        <v>0</v>
      </c>
      <c r="J368" s="137">
        <f t="shared" si="144"/>
        <v>0</v>
      </c>
      <c r="K368" s="138"/>
      <c r="L368" s="140"/>
      <c r="M368" s="140">
        <f t="shared" si="148"/>
        <v>0</v>
      </c>
      <c r="N368" s="140"/>
      <c r="O368" s="140"/>
      <c r="P368" s="140"/>
      <c r="Q368" s="140"/>
      <c r="R368" s="140"/>
      <c r="S368" s="140"/>
      <c r="T368" s="139"/>
      <c r="V368">
        <f t="shared" si="138"/>
        <v>0</v>
      </c>
    </row>
    <row r="369" spans="1:22">
      <c r="A369" s="9"/>
      <c r="B369" s="155"/>
      <c r="C369" s="120"/>
      <c r="D369" s="120"/>
      <c r="E369" s="120"/>
      <c r="F369" s="120"/>
      <c r="G369" s="120"/>
      <c r="H369" s="120"/>
      <c r="I369" s="137">
        <f t="shared" ref="I369:I370" si="149">F369*G369*H369*E369/91809/10.89</f>
        <v>0</v>
      </c>
      <c r="J369" s="137">
        <f t="shared" ref="J369:J370" si="150">(F369+G369)*H369*4/1000*E369</f>
        <v>0</v>
      </c>
      <c r="K369" s="138"/>
      <c r="L369" s="140"/>
      <c r="M369" s="140">
        <f t="shared" ref="M369:M370" si="151">I369</f>
        <v>0</v>
      </c>
      <c r="N369" s="140"/>
      <c r="O369" s="140"/>
      <c r="P369" s="140"/>
      <c r="Q369" s="140"/>
      <c r="R369" s="140"/>
      <c r="S369" s="140"/>
      <c r="T369" s="139"/>
      <c r="V369">
        <f t="shared" ref="V369:V370" si="152">H369*E369</f>
        <v>0</v>
      </c>
    </row>
    <row r="370" spans="1:22">
      <c r="A370" s="9"/>
      <c r="B370" s="155"/>
      <c r="C370" s="120"/>
      <c r="D370" s="120"/>
      <c r="E370" s="120"/>
      <c r="F370" s="120"/>
      <c r="G370" s="120"/>
      <c r="H370" s="120"/>
      <c r="I370" s="137">
        <f t="shared" si="149"/>
        <v>0</v>
      </c>
      <c r="J370" s="137">
        <f t="shared" si="150"/>
        <v>0</v>
      </c>
      <c r="K370" s="138"/>
      <c r="L370" s="140"/>
      <c r="M370" s="140">
        <f t="shared" si="151"/>
        <v>0</v>
      </c>
      <c r="N370" s="140"/>
      <c r="O370" s="140"/>
      <c r="P370" s="140"/>
      <c r="Q370" s="140"/>
      <c r="R370" s="140"/>
      <c r="S370" s="140"/>
      <c r="T370" s="139"/>
      <c r="V370">
        <f t="shared" si="152"/>
        <v>0</v>
      </c>
    </row>
    <row r="371" spans="1:22">
      <c r="A371" s="9"/>
      <c r="B371" s="155"/>
      <c r="C371" s="120"/>
      <c r="D371" s="120"/>
      <c r="E371" s="120"/>
      <c r="F371" s="120"/>
      <c r="G371" s="120"/>
      <c r="H371" s="120"/>
      <c r="I371" s="137">
        <f t="shared" ref="I371:I372" si="153">F371*G371*H371*E371/91809/10.89</f>
        <v>0</v>
      </c>
      <c r="J371" s="137">
        <f t="shared" ref="J371:J372" si="154">(F371+G371)*H371*4/1000*E371</f>
        <v>0</v>
      </c>
      <c r="K371" s="138"/>
      <c r="L371" s="140"/>
      <c r="M371" s="140">
        <f t="shared" ref="M371:M372" si="155">I371</f>
        <v>0</v>
      </c>
      <c r="N371" s="140"/>
      <c r="O371" s="140"/>
      <c r="P371" s="140"/>
      <c r="Q371" s="140"/>
      <c r="R371" s="140"/>
      <c r="S371" s="140"/>
      <c r="T371" s="139"/>
      <c r="V371">
        <f t="shared" ref="V371:V372" si="156">H371*E371</f>
        <v>0</v>
      </c>
    </row>
    <row r="372" spans="1:22">
      <c r="A372" s="9"/>
      <c r="B372" s="155"/>
      <c r="C372" s="120"/>
      <c r="D372" s="120"/>
      <c r="E372" s="120"/>
      <c r="F372" s="120"/>
      <c r="G372" s="120"/>
      <c r="H372" s="120"/>
      <c r="I372" s="137">
        <f t="shared" si="153"/>
        <v>0</v>
      </c>
      <c r="J372" s="137">
        <f t="shared" si="154"/>
        <v>0</v>
      </c>
      <c r="K372" s="138"/>
      <c r="L372" s="140"/>
      <c r="M372" s="140">
        <f t="shared" si="155"/>
        <v>0</v>
      </c>
      <c r="N372" s="140"/>
      <c r="O372" s="140"/>
      <c r="P372" s="140"/>
      <c r="Q372" s="140"/>
      <c r="R372" s="140"/>
      <c r="S372" s="140"/>
      <c r="T372" s="139"/>
      <c r="V372">
        <f t="shared" si="156"/>
        <v>0</v>
      </c>
    </row>
    <row r="373" spans="1:22">
      <c r="A373" s="9"/>
      <c r="B373" s="155"/>
      <c r="C373" s="120"/>
      <c r="D373" s="120"/>
      <c r="E373" s="120"/>
      <c r="F373" s="120"/>
      <c r="G373" s="120"/>
      <c r="H373" s="120"/>
      <c r="I373" s="137">
        <f t="shared" ref="I373:I374" si="157">F373*G373*H373*E373/91809/10.89</f>
        <v>0</v>
      </c>
      <c r="J373" s="137">
        <f t="shared" ref="J373:J374" si="158">(F373+G373)*H373*4/1000*E373</f>
        <v>0</v>
      </c>
      <c r="K373" s="138"/>
      <c r="L373" s="140"/>
      <c r="M373" s="140">
        <f t="shared" ref="M373:M376" si="159">I373</f>
        <v>0</v>
      </c>
      <c r="N373" s="140"/>
      <c r="O373" s="140"/>
      <c r="P373" s="140"/>
      <c r="Q373" s="140"/>
      <c r="R373" s="140"/>
      <c r="S373" s="140"/>
      <c r="T373" s="139"/>
      <c r="V373">
        <f t="shared" ref="V373:V374" si="160">H373*E373</f>
        <v>0</v>
      </c>
    </row>
    <row r="374" spans="1:22">
      <c r="A374" s="9"/>
      <c r="B374" s="155"/>
      <c r="C374" s="120"/>
      <c r="D374" s="120"/>
      <c r="E374" s="120"/>
      <c r="F374" s="120"/>
      <c r="G374" s="120"/>
      <c r="H374" s="120"/>
      <c r="I374" s="137">
        <f t="shared" si="157"/>
        <v>0</v>
      </c>
      <c r="J374" s="137">
        <f t="shared" si="158"/>
        <v>0</v>
      </c>
      <c r="K374" s="138"/>
      <c r="L374" s="140"/>
      <c r="M374" s="140">
        <f t="shared" si="159"/>
        <v>0</v>
      </c>
      <c r="N374" s="140"/>
      <c r="O374" s="140"/>
      <c r="P374" s="140"/>
      <c r="Q374" s="140"/>
      <c r="R374" s="140"/>
      <c r="S374" s="140"/>
      <c r="T374" s="139"/>
      <c r="V374">
        <f t="shared" si="160"/>
        <v>0</v>
      </c>
    </row>
    <row r="375" spans="1:22">
      <c r="A375" s="9"/>
      <c r="B375" s="155"/>
      <c r="C375" s="120"/>
      <c r="D375" s="120"/>
      <c r="E375" s="120"/>
      <c r="F375" s="120"/>
      <c r="G375" s="120"/>
      <c r="H375" s="120"/>
      <c r="I375" s="137">
        <f t="shared" si="143"/>
        <v>0</v>
      </c>
      <c r="J375" s="137">
        <f t="shared" si="144"/>
        <v>0</v>
      </c>
      <c r="K375" s="138"/>
      <c r="L375" s="140"/>
      <c r="M375" s="140">
        <f t="shared" si="159"/>
        <v>0</v>
      </c>
      <c r="N375" s="140"/>
      <c r="O375" s="140"/>
      <c r="P375" s="140"/>
      <c r="Q375" s="140"/>
      <c r="R375" s="140"/>
      <c r="S375" s="140"/>
      <c r="T375" s="139"/>
      <c r="V375">
        <f t="shared" si="138"/>
        <v>0</v>
      </c>
    </row>
    <row r="376" spans="1:22">
      <c r="A376" s="9"/>
      <c r="B376" s="155"/>
      <c r="C376" s="120"/>
      <c r="D376" s="120"/>
      <c r="E376" s="120"/>
      <c r="F376" s="120"/>
      <c r="G376" s="120"/>
      <c r="H376" s="120"/>
      <c r="I376" s="137">
        <f t="shared" si="143"/>
        <v>0</v>
      </c>
      <c r="J376" s="137">
        <f t="shared" si="144"/>
        <v>0</v>
      </c>
      <c r="K376" s="138"/>
      <c r="L376" s="140"/>
      <c r="M376" s="140">
        <f t="shared" si="159"/>
        <v>0</v>
      </c>
      <c r="N376" s="140"/>
      <c r="O376" s="140"/>
      <c r="P376" s="140"/>
      <c r="Q376" s="140"/>
      <c r="R376" s="140"/>
      <c r="S376" s="140"/>
      <c r="T376" s="139"/>
      <c r="V376">
        <f t="shared" si="138"/>
        <v>0</v>
      </c>
    </row>
    <row r="377" spans="1:22">
      <c r="A377" s="9"/>
      <c r="B377" s="155"/>
      <c r="C377" s="120"/>
      <c r="D377" s="120"/>
      <c r="E377" s="120"/>
      <c r="F377" s="120"/>
      <c r="G377" s="120"/>
      <c r="H377" s="120"/>
      <c r="I377" s="137">
        <f t="shared" si="143"/>
        <v>0</v>
      </c>
      <c r="J377" s="137">
        <f t="shared" si="144"/>
        <v>0</v>
      </c>
      <c r="K377" s="138"/>
      <c r="L377" s="140"/>
      <c r="M377" s="140">
        <f t="shared" ref="M377:M389" si="161">I377</f>
        <v>0</v>
      </c>
      <c r="N377" s="140"/>
      <c r="O377" s="140"/>
      <c r="P377" s="140"/>
      <c r="Q377" s="140"/>
      <c r="R377" s="140"/>
      <c r="S377" s="140"/>
      <c r="T377" s="139"/>
      <c r="V377">
        <f t="shared" si="138"/>
        <v>0</v>
      </c>
    </row>
    <row r="378" spans="1:22">
      <c r="A378" s="9"/>
      <c r="B378" s="155"/>
      <c r="C378" s="120"/>
      <c r="D378" s="120"/>
      <c r="E378" s="120"/>
      <c r="F378" s="120"/>
      <c r="G378" s="120"/>
      <c r="H378" s="120"/>
      <c r="I378" s="137">
        <f t="shared" si="143"/>
        <v>0</v>
      </c>
      <c r="J378" s="137">
        <f t="shared" si="144"/>
        <v>0</v>
      </c>
      <c r="K378" s="138"/>
      <c r="L378" s="140"/>
      <c r="M378" s="140">
        <f t="shared" si="161"/>
        <v>0</v>
      </c>
      <c r="N378" s="140"/>
      <c r="O378" s="140"/>
      <c r="P378" s="140"/>
      <c r="Q378" s="140"/>
      <c r="R378" s="140"/>
      <c r="S378" s="140"/>
      <c r="T378" s="139"/>
      <c r="V378">
        <f t="shared" si="138"/>
        <v>0</v>
      </c>
    </row>
    <row r="379" spans="1:22">
      <c r="A379" s="9"/>
      <c r="B379" s="155"/>
      <c r="C379" s="120"/>
      <c r="D379" s="120"/>
      <c r="E379" s="120"/>
      <c r="F379" s="120"/>
      <c r="G379" s="120"/>
      <c r="H379" s="120"/>
      <c r="I379" s="137">
        <f t="shared" ref="I379:I380" si="162">F379*G379*H379*E379/91809/10.89</f>
        <v>0</v>
      </c>
      <c r="J379" s="137">
        <f t="shared" ref="J379:J380" si="163">(F379+G379)*H379*4/1000*E379</f>
        <v>0</v>
      </c>
      <c r="K379" s="138"/>
      <c r="L379" s="140"/>
      <c r="M379" s="140">
        <f t="shared" si="161"/>
        <v>0</v>
      </c>
      <c r="N379" s="140"/>
      <c r="O379" s="140"/>
      <c r="P379" s="140"/>
      <c r="Q379" s="140"/>
      <c r="R379" s="140"/>
      <c r="S379" s="140"/>
      <c r="T379" s="139"/>
      <c r="V379">
        <f t="shared" ref="V379:V380" si="164">H379*E379</f>
        <v>0</v>
      </c>
    </row>
    <row r="380" spans="1:22">
      <c r="A380" s="9"/>
      <c r="B380" s="155"/>
      <c r="C380" s="120"/>
      <c r="D380" s="120"/>
      <c r="E380" s="120"/>
      <c r="F380" s="120"/>
      <c r="G380" s="120"/>
      <c r="H380" s="120"/>
      <c r="I380" s="137">
        <f t="shared" si="162"/>
        <v>0</v>
      </c>
      <c r="J380" s="137">
        <f t="shared" si="163"/>
        <v>0</v>
      </c>
      <c r="K380" s="138"/>
      <c r="L380" s="140"/>
      <c r="M380" s="140">
        <f t="shared" si="161"/>
        <v>0</v>
      </c>
      <c r="N380" s="140"/>
      <c r="O380" s="140"/>
      <c r="P380" s="140"/>
      <c r="Q380" s="140"/>
      <c r="R380" s="140"/>
      <c r="S380" s="140"/>
      <c r="T380" s="139"/>
      <c r="V380">
        <f t="shared" si="164"/>
        <v>0</v>
      </c>
    </row>
    <row r="381" spans="1:22">
      <c r="A381" s="9"/>
      <c r="B381" s="155"/>
      <c r="C381" s="120"/>
      <c r="D381" s="120"/>
      <c r="E381" s="120"/>
      <c r="F381" s="120"/>
      <c r="G381" s="120"/>
      <c r="H381" s="120"/>
      <c r="I381" s="137">
        <f t="shared" si="143"/>
        <v>0</v>
      </c>
      <c r="J381" s="137">
        <f t="shared" si="144"/>
        <v>0</v>
      </c>
      <c r="K381" s="138"/>
      <c r="L381" s="140"/>
      <c r="M381" s="140">
        <f t="shared" si="161"/>
        <v>0</v>
      </c>
      <c r="N381" s="140"/>
      <c r="O381" s="140"/>
      <c r="P381" s="140"/>
      <c r="Q381" s="140"/>
      <c r="R381" s="140"/>
      <c r="S381" s="140"/>
      <c r="T381" s="139"/>
      <c r="V381">
        <f t="shared" si="138"/>
        <v>0</v>
      </c>
    </row>
    <row r="382" spans="1:22">
      <c r="A382" s="9"/>
      <c r="B382" s="155"/>
      <c r="C382" s="120"/>
      <c r="D382" s="120"/>
      <c r="E382" s="120"/>
      <c r="F382" s="120"/>
      <c r="G382" s="120"/>
      <c r="H382" s="120"/>
      <c r="I382" s="137">
        <f t="shared" si="143"/>
        <v>0</v>
      </c>
      <c r="J382" s="137">
        <f t="shared" si="144"/>
        <v>0</v>
      </c>
      <c r="K382" s="138"/>
      <c r="L382" s="140"/>
      <c r="M382" s="140">
        <f t="shared" si="161"/>
        <v>0</v>
      </c>
      <c r="N382" s="140"/>
      <c r="O382" s="140"/>
      <c r="P382" s="140"/>
      <c r="Q382" s="140"/>
      <c r="R382" s="140"/>
      <c r="S382" s="140"/>
      <c r="T382" s="139"/>
      <c r="V382">
        <f t="shared" si="138"/>
        <v>0</v>
      </c>
    </row>
    <row r="383" spans="1:22">
      <c r="A383" s="9"/>
      <c r="B383" s="155"/>
      <c r="C383" s="120"/>
      <c r="D383" s="120"/>
      <c r="E383" s="120"/>
      <c r="F383" s="120"/>
      <c r="G383" s="120"/>
      <c r="H383" s="120"/>
      <c r="I383" s="137">
        <f t="shared" si="143"/>
        <v>0</v>
      </c>
      <c r="J383" s="137">
        <f t="shared" si="144"/>
        <v>0</v>
      </c>
      <c r="K383" s="138"/>
      <c r="L383" s="140"/>
      <c r="M383" s="140">
        <f t="shared" si="161"/>
        <v>0</v>
      </c>
      <c r="N383" s="140"/>
      <c r="O383" s="140"/>
      <c r="P383" s="140"/>
      <c r="Q383" s="140"/>
      <c r="R383" s="140"/>
      <c r="S383" s="140"/>
      <c r="T383" s="139"/>
      <c r="V383">
        <f t="shared" si="138"/>
        <v>0</v>
      </c>
    </row>
    <row r="384" spans="1:22">
      <c r="A384" s="9"/>
      <c r="B384" s="155"/>
      <c r="C384" s="120"/>
      <c r="D384" s="120"/>
      <c r="E384" s="120"/>
      <c r="F384" s="120"/>
      <c r="G384" s="120"/>
      <c r="H384" s="120"/>
      <c r="I384" s="137">
        <f t="shared" si="143"/>
        <v>0</v>
      </c>
      <c r="J384" s="137">
        <f t="shared" si="144"/>
        <v>0</v>
      </c>
      <c r="K384" s="138"/>
      <c r="L384" s="140"/>
      <c r="M384" s="140">
        <f t="shared" si="161"/>
        <v>0</v>
      </c>
      <c r="N384" s="140"/>
      <c r="O384" s="140"/>
      <c r="P384" s="140"/>
      <c r="Q384" s="140"/>
      <c r="R384" s="140"/>
      <c r="S384" s="140"/>
      <c r="T384" s="139"/>
      <c r="V384">
        <f t="shared" si="138"/>
        <v>0</v>
      </c>
    </row>
    <row r="385" spans="1:22">
      <c r="A385" s="9"/>
      <c r="B385" s="155"/>
      <c r="C385" s="120"/>
      <c r="D385" s="120"/>
      <c r="E385" s="120"/>
      <c r="F385" s="120"/>
      <c r="G385" s="120"/>
      <c r="H385" s="120"/>
      <c r="I385" s="137">
        <f t="shared" si="143"/>
        <v>0</v>
      </c>
      <c r="J385" s="137">
        <f t="shared" si="144"/>
        <v>0</v>
      </c>
      <c r="K385" s="138"/>
      <c r="L385" s="140"/>
      <c r="M385" s="140">
        <f t="shared" si="161"/>
        <v>0</v>
      </c>
      <c r="N385" s="140"/>
      <c r="O385" s="140"/>
      <c r="P385" s="140"/>
      <c r="Q385" s="140"/>
      <c r="R385" s="140"/>
      <c r="S385" s="140"/>
      <c r="T385" s="139"/>
      <c r="V385">
        <f t="shared" si="138"/>
        <v>0</v>
      </c>
    </row>
    <row r="386" spans="1:22">
      <c r="A386" s="9"/>
      <c r="B386" s="155"/>
      <c r="C386" s="120"/>
      <c r="D386" s="120"/>
      <c r="E386" s="120"/>
      <c r="F386" s="120"/>
      <c r="G386" s="120"/>
      <c r="H386" s="120"/>
      <c r="I386" s="137">
        <f t="shared" si="143"/>
        <v>0</v>
      </c>
      <c r="J386" s="137">
        <f t="shared" si="144"/>
        <v>0</v>
      </c>
      <c r="K386" s="138"/>
      <c r="L386" s="140"/>
      <c r="M386" s="140">
        <f t="shared" si="161"/>
        <v>0</v>
      </c>
      <c r="N386" s="140"/>
      <c r="O386" s="140"/>
      <c r="P386" s="140"/>
      <c r="Q386" s="140"/>
      <c r="R386" s="140"/>
      <c r="S386" s="140"/>
      <c r="T386" s="139"/>
      <c r="V386">
        <f t="shared" si="138"/>
        <v>0</v>
      </c>
    </row>
    <row r="387" spans="1:22">
      <c r="A387" s="9"/>
      <c r="B387" s="155"/>
      <c r="C387" s="120"/>
      <c r="D387" s="120"/>
      <c r="E387" s="120"/>
      <c r="F387" s="120"/>
      <c r="G387" s="120"/>
      <c r="H387" s="120"/>
      <c r="I387" s="137">
        <f t="shared" si="143"/>
        <v>0</v>
      </c>
      <c r="J387" s="137">
        <f t="shared" si="144"/>
        <v>0</v>
      </c>
      <c r="K387" s="138"/>
      <c r="L387" s="140"/>
      <c r="M387" s="140">
        <f t="shared" si="161"/>
        <v>0</v>
      </c>
      <c r="N387" s="140"/>
      <c r="O387" s="140"/>
      <c r="P387" s="140"/>
      <c r="Q387" s="140"/>
      <c r="R387" s="140"/>
      <c r="S387" s="140"/>
      <c r="T387" s="139"/>
      <c r="V387">
        <f t="shared" si="138"/>
        <v>0</v>
      </c>
    </row>
    <row r="388" spans="1:22">
      <c r="A388" s="9"/>
      <c r="B388" s="155"/>
      <c r="C388" s="120"/>
      <c r="D388" s="120"/>
      <c r="E388" s="120"/>
      <c r="F388" s="120"/>
      <c r="G388" s="120"/>
      <c r="H388" s="120"/>
      <c r="I388" s="137">
        <f t="shared" si="143"/>
        <v>0</v>
      </c>
      <c r="J388" s="137">
        <f t="shared" si="144"/>
        <v>0</v>
      </c>
      <c r="K388" s="138"/>
      <c r="L388" s="140"/>
      <c r="M388" s="140">
        <f t="shared" si="161"/>
        <v>0</v>
      </c>
      <c r="N388" s="140"/>
      <c r="O388" s="140"/>
      <c r="P388" s="140"/>
      <c r="Q388" s="140"/>
      <c r="R388" s="140"/>
      <c r="S388" s="140"/>
      <c r="T388" s="139"/>
      <c r="V388">
        <f t="shared" si="138"/>
        <v>0</v>
      </c>
    </row>
    <row r="389" spans="1:22">
      <c r="A389" s="9"/>
      <c r="B389" s="155"/>
      <c r="C389" s="120"/>
      <c r="D389" s="120"/>
      <c r="E389" s="120"/>
      <c r="F389" s="120"/>
      <c r="G389" s="120"/>
      <c r="H389" s="120"/>
      <c r="I389" s="137">
        <f t="shared" si="143"/>
        <v>0</v>
      </c>
      <c r="J389" s="137">
        <f t="shared" si="144"/>
        <v>0</v>
      </c>
      <c r="K389" s="138"/>
      <c r="L389" s="140"/>
      <c r="M389" s="140">
        <f t="shared" si="161"/>
        <v>0</v>
      </c>
      <c r="N389" s="140"/>
      <c r="O389" s="140"/>
      <c r="P389" s="140"/>
      <c r="Q389" s="140"/>
      <c r="R389" s="140"/>
      <c r="S389" s="140"/>
      <c r="T389" s="139"/>
      <c r="V389">
        <f t="shared" si="138"/>
        <v>0</v>
      </c>
    </row>
    <row r="390" spans="1:22">
      <c r="A390" s="9"/>
      <c r="B390" s="154"/>
      <c r="C390" s="9"/>
      <c r="D390" s="120"/>
      <c r="E390" s="120"/>
      <c r="F390" s="120"/>
      <c r="G390" s="120"/>
      <c r="H390" s="120"/>
      <c r="I390" s="137">
        <f t="shared" si="143"/>
        <v>0</v>
      </c>
      <c r="J390" s="137">
        <f t="shared" si="144"/>
        <v>0</v>
      </c>
      <c r="K390" s="138">
        <f>I390</f>
        <v>0</v>
      </c>
      <c r="L390" s="140"/>
      <c r="M390" s="140"/>
      <c r="N390" s="140"/>
      <c r="O390" s="140"/>
      <c r="P390" s="140"/>
      <c r="Q390" s="140"/>
      <c r="R390" s="140"/>
      <c r="S390" s="140"/>
      <c r="T390" s="139"/>
      <c r="V390">
        <f t="shared" si="138"/>
        <v>0</v>
      </c>
    </row>
    <row r="391" spans="1:22">
      <c r="A391" s="9"/>
      <c r="B391" s="154"/>
      <c r="C391" s="9"/>
      <c r="D391" s="120"/>
      <c r="E391" s="120"/>
      <c r="F391" s="120"/>
      <c r="G391" s="120"/>
      <c r="H391" s="120"/>
      <c r="I391" s="137">
        <f t="shared" si="143"/>
        <v>0</v>
      </c>
      <c r="J391" s="137">
        <f t="shared" si="144"/>
        <v>0</v>
      </c>
      <c r="K391" s="138">
        <f t="shared" ref="K391:K395" si="165">I391</f>
        <v>0</v>
      </c>
      <c r="L391" s="140"/>
      <c r="M391" s="140"/>
      <c r="N391" s="140"/>
      <c r="O391" s="140"/>
      <c r="P391" s="140"/>
      <c r="Q391" s="140"/>
      <c r="R391" s="140"/>
      <c r="S391" s="140"/>
      <c r="T391" s="139"/>
      <c r="V391">
        <f t="shared" si="138"/>
        <v>0</v>
      </c>
    </row>
    <row r="392" spans="1:22">
      <c r="A392" s="9"/>
      <c r="B392" s="154"/>
      <c r="C392" s="9"/>
      <c r="D392" s="120"/>
      <c r="E392" s="120"/>
      <c r="F392" s="120"/>
      <c r="G392" s="120"/>
      <c r="H392" s="120"/>
      <c r="I392" s="137">
        <f t="shared" si="143"/>
        <v>0</v>
      </c>
      <c r="J392" s="137">
        <f t="shared" si="144"/>
        <v>0</v>
      </c>
      <c r="K392" s="138">
        <f t="shared" si="165"/>
        <v>0</v>
      </c>
      <c r="L392" s="140"/>
      <c r="M392" s="140"/>
      <c r="N392" s="140"/>
      <c r="O392" s="140"/>
      <c r="P392" s="140"/>
      <c r="Q392" s="140"/>
      <c r="R392" s="140"/>
      <c r="S392" s="140"/>
      <c r="T392" s="139"/>
      <c r="V392">
        <f t="shared" si="138"/>
        <v>0</v>
      </c>
    </row>
    <row r="393" spans="1:22">
      <c r="A393" s="9"/>
      <c r="B393" s="154"/>
      <c r="C393" s="9"/>
      <c r="D393" s="120"/>
      <c r="E393" s="120"/>
      <c r="F393" s="120"/>
      <c r="G393" s="120"/>
      <c r="H393" s="120"/>
      <c r="I393" s="137">
        <f t="shared" si="143"/>
        <v>0</v>
      </c>
      <c r="J393" s="137">
        <f t="shared" si="144"/>
        <v>0</v>
      </c>
      <c r="K393" s="138">
        <f t="shared" si="165"/>
        <v>0</v>
      </c>
      <c r="L393" s="140"/>
      <c r="M393" s="140"/>
      <c r="N393" s="140"/>
      <c r="O393" s="140"/>
      <c r="P393" s="140"/>
      <c r="Q393" s="140"/>
      <c r="R393" s="140"/>
      <c r="S393" s="140"/>
      <c r="T393" s="139"/>
      <c r="V393">
        <f t="shared" si="138"/>
        <v>0</v>
      </c>
    </row>
    <row r="394" spans="1:22">
      <c r="A394" s="9"/>
      <c r="B394" s="154"/>
      <c r="C394" s="9"/>
      <c r="D394" s="120"/>
      <c r="E394" s="120"/>
      <c r="F394" s="120"/>
      <c r="G394" s="120"/>
      <c r="H394" s="120"/>
      <c r="I394" s="137">
        <f t="shared" si="143"/>
        <v>0</v>
      </c>
      <c r="J394" s="137">
        <f t="shared" si="144"/>
        <v>0</v>
      </c>
      <c r="K394" s="138">
        <f t="shared" si="165"/>
        <v>0</v>
      </c>
      <c r="L394" s="140"/>
      <c r="M394" s="140"/>
      <c r="N394" s="140"/>
      <c r="O394" s="140"/>
      <c r="P394" s="140"/>
      <c r="Q394" s="140"/>
      <c r="R394" s="140"/>
      <c r="S394" s="140"/>
      <c r="T394" s="139"/>
      <c r="V394">
        <f t="shared" si="138"/>
        <v>0</v>
      </c>
    </row>
    <row r="395" spans="1:22">
      <c r="A395" s="9"/>
      <c r="B395" s="154"/>
      <c r="C395" s="9"/>
      <c r="D395" s="120"/>
      <c r="E395" s="120"/>
      <c r="F395" s="120"/>
      <c r="G395" s="120"/>
      <c r="H395" s="120"/>
      <c r="I395" s="137">
        <f t="shared" si="143"/>
        <v>0</v>
      </c>
      <c r="J395" s="137">
        <f t="shared" si="144"/>
        <v>0</v>
      </c>
      <c r="K395" s="138">
        <f t="shared" si="165"/>
        <v>0</v>
      </c>
      <c r="L395" s="140"/>
      <c r="M395" s="140"/>
      <c r="N395" s="140"/>
      <c r="O395" s="140"/>
      <c r="P395" s="140"/>
      <c r="Q395" s="140"/>
      <c r="R395" s="140"/>
      <c r="S395" s="140"/>
      <c r="T395" s="139"/>
      <c r="V395">
        <f t="shared" si="138"/>
        <v>0</v>
      </c>
    </row>
    <row r="396" spans="1:22">
      <c r="A396" s="9"/>
      <c r="B396" s="155"/>
      <c r="C396" s="120"/>
      <c r="D396" s="120"/>
      <c r="E396" s="120"/>
      <c r="F396" s="120"/>
      <c r="G396" s="120"/>
      <c r="H396" s="120"/>
      <c r="I396" s="137">
        <f t="shared" si="143"/>
        <v>0</v>
      </c>
      <c r="J396" s="137">
        <f t="shared" si="144"/>
        <v>0</v>
      </c>
      <c r="K396" s="138"/>
      <c r="L396" s="140"/>
      <c r="M396" s="140">
        <f t="shared" ref="M396:M402" si="166">I396</f>
        <v>0</v>
      </c>
      <c r="N396" s="140"/>
      <c r="O396" s="140"/>
      <c r="P396" s="140"/>
      <c r="Q396" s="140"/>
      <c r="R396" s="140"/>
      <c r="S396" s="140"/>
      <c r="T396" s="139"/>
      <c r="V396">
        <f t="shared" si="138"/>
        <v>0</v>
      </c>
    </row>
    <row r="397" spans="1:22">
      <c r="A397" s="9"/>
      <c r="B397" s="155"/>
      <c r="C397" s="120"/>
      <c r="D397" s="120"/>
      <c r="E397" s="120"/>
      <c r="F397" s="120"/>
      <c r="G397" s="120"/>
      <c r="H397" s="120"/>
      <c r="I397" s="137">
        <f t="shared" si="143"/>
        <v>0</v>
      </c>
      <c r="J397" s="137">
        <f t="shared" si="144"/>
        <v>0</v>
      </c>
      <c r="K397" s="138"/>
      <c r="L397" s="140"/>
      <c r="M397" s="140">
        <f t="shared" si="166"/>
        <v>0</v>
      </c>
      <c r="N397" s="140"/>
      <c r="O397" s="140"/>
      <c r="P397" s="140"/>
      <c r="Q397" s="140"/>
      <c r="R397" s="140"/>
      <c r="S397" s="140"/>
      <c r="T397" s="139"/>
      <c r="V397">
        <f t="shared" si="138"/>
        <v>0</v>
      </c>
    </row>
    <row r="398" spans="1:22">
      <c r="A398" s="9"/>
      <c r="B398" s="155"/>
      <c r="C398" s="120"/>
      <c r="D398" s="120"/>
      <c r="E398" s="120"/>
      <c r="F398" s="120"/>
      <c r="G398" s="120"/>
      <c r="H398" s="120"/>
      <c r="I398" s="137">
        <f t="shared" si="143"/>
        <v>0</v>
      </c>
      <c r="J398" s="137">
        <f t="shared" si="144"/>
        <v>0</v>
      </c>
      <c r="K398" s="138"/>
      <c r="L398" s="140"/>
      <c r="M398" s="140">
        <f t="shared" si="166"/>
        <v>0</v>
      </c>
      <c r="N398" s="140"/>
      <c r="O398" s="140"/>
      <c r="P398" s="140"/>
      <c r="Q398" s="140"/>
      <c r="R398" s="140"/>
      <c r="S398" s="140"/>
      <c r="T398" s="139"/>
      <c r="V398">
        <f t="shared" si="138"/>
        <v>0</v>
      </c>
    </row>
    <row r="399" spans="1:22">
      <c r="A399" s="9"/>
      <c r="B399" s="155"/>
      <c r="C399" s="120"/>
      <c r="D399" s="120"/>
      <c r="E399" s="120"/>
      <c r="F399" s="120"/>
      <c r="G399" s="120"/>
      <c r="H399" s="120"/>
      <c r="I399" s="137">
        <f t="shared" si="143"/>
        <v>0</v>
      </c>
      <c r="J399" s="137">
        <f t="shared" si="144"/>
        <v>0</v>
      </c>
      <c r="K399" s="138"/>
      <c r="L399" s="140"/>
      <c r="M399" s="140">
        <f t="shared" si="166"/>
        <v>0</v>
      </c>
      <c r="N399" s="140"/>
      <c r="O399" s="140"/>
      <c r="P399" s="140"/>
      <c r="Q399" s="140"/>
      <c r="R399" s="140"/>
      <c r="S399" s="140"/>
      <c r="T399" s="139"/>
      <c r="V399">
        <f t="shared" si="138"/>
        <v>0</v>
      </c>
    </row>
    <row r="400" spans="1:22">
      <c r="A400" s="9"/>
      <c r="B400" s="155"/>
      <c r="C400" s="120"/>
      <c r="D400" s="120"/>
      <c r="E400" s="120"/>
      <c r="F400" s="120"/>
      <c r="G400" s="120"/>
      <c r="H400" s="120"/>
      <c r="I400" s="137">
        <f t="shared" si="143"/>
        <v>0</v>
      </c>
      <c r="J400" s="137">
        <f t="shared" si="144"/>
        <v>0</v>
      </c>
      <c r="K400" s="138"/>
      <c r="L400" s="140"/>
      <c r="M400" s="140">
        <f t="shared" si="166"/>
        <v>0</v>
      </c>
      <c r="N400" s="140"/>
      <c r="O400" s="140"/>
      <c r="P400" s="140"/>
      <c r="Q400" s="140"/>
      <c r="R400" s="140"/>
      <c r="S400" s="140"/>
      <c r="T400" s="139"/>
      <c r="V400">
        <f t="shared" si="138"/>
        <v>0</v>
      </c>
    </row>
    <row r="401" spans="1:22">
      <c r="A401" s="9"/>
      <c r="B401" s="155"/>
      <c r="C401" s="120"/>
      <c r="D401" s="120"/>
      <c r="E401" s="120"/>
      <c r="F401" s="120"/>
      <c r="G401" s="120"/>
      <c r="H401" s="120"/>
      <c r="I401" s="137">
        <f t="shared" si="143"/>
        <v>0</v>
      </c>
      <c r="J401" s="137">
        <f t="shared" si="144"/>
        <v>0</v>
      </c>
      <c r="K401" s="138"/>
      <c r="L401" s="140"/>
      <c r="M401" s="140">
        <f t="shared" si="166"/>
        <v>0</v>
      </c>
      <c r="N401" s="140"/>
      <c r="O401" s="140"/>
      <c r="P401" s="140"/>
      <c r="Q401" s="140"/>
      <c r="R401" s="140"/>
      <c r="S401" s="140"/>
      <c r="T401" s="139"/>
      <c r="V401">
        <f t="shared" si="138"/>
        <v>0</v>
      </c>
    </row>
    <row r="402" spans="1:22">
      <c r="A402" s="9"/>
      <c r="B402" s="155"/>
      <c r="C402" s="120"/>
      <c r="D402" s="120"/>
      <c r="E402" s="120"/>
      <c r="F402" s="120"/>
      <c r="G402" s="120"/>
      <c r="H402" s="120"/>
      <c r="I402" s="137">
        <f t="shared" si="143"/>
        <v>0</v>
      </c>
      <c r="J402" s="137">
        <f t="shared" si="144"/>
        <v>0</v>
      </c>
      <c r="K402" s="138"/>
      <c r="L402" s="140"/>
      <c r="M402" s="140">
        <f t="shared" si="166"/>
        <v>0</v>
      </c>
      <c r="N402" s="140"/>
      <c r="O402" s="140"/>
      <c r="P402" s="140"/>
      <c r="Q402" s="140"/>
      <c r="R402" s="140"/>
      <c r="S402" s="140"/>
      <c r="T402" s="139"/>
      <c r="V402">
        <f t="shared" si="138"/>
        <v>0</v>
      </c>
    </row>
    <row r="403" spans="1:22">
      <c r="A403" s="9"/>
      <c r="B403" s="154"/>
      <c r="C403" s="9"/>
      <c r="D403" s="120"/>
      <c r="E403" s="120"/>
      <c r="F403" s="120"/>
      <c r="G403" s="120"/>
      <c r="H403" s="120"/>
      <c r="I403" s="137">
        <f t="shared" si="143"/>
        <v>0</v>
      </c>
      <c r="J403" s="137">
        <f t="shared" si="144"/>
        <v>0</v>
      </c>
      <c r="K403" s="138">
        <f t="shared" ref="K403:K405" si="167">I403</f>
        <v>0</v>
      </c>
      <c r="L403" s="140"/>
      <c r="M403" s="140"/>
      <c r="N403" s="140"/>
      <c r="O403" s="140"/>
      <c r="P403" s="140"/>
      <c r="Q403" s="140"/>
      <c r="R403" s="140"/>
      <c r="S403" s="140"/>
      <c r="T403" s="139"/>
      <c r="V403">
        <f t="shared" si="138"/>
        <v>0</v>
      </c>
    </row>
    <row r="404" spans="1:22">
      <c r="A404" s="9"/>
      <c r="B404" s="154"/>
      <c r="C404" s="9"/>
      <c r="D404" s="120"/>
      <c r="E404" s="120"/>
      <c r="F404" s="120"/>
      <c r="G404" s="120"/>
      <c r="H404" s="120"/>
      <c r="I404" s="137">
        <f t="shared" si="143"/>
        <v>0</v>
      </c>
      <c r="J404" s="137">
        <f t="shared" si="144"/>
        <v>0</v>
      </c>
      <c r="K404" s="138">
        <f t="shared" si="167"/>
        <v>0</v>
      </c>
      <c r="L404" s="140"/>
      <c r="M404" s="140"/>
      <c r="N404" s="140"/>
      <c r="O404" s="140"/>
      <c r="P404" s="140"/>
      <c r="Q404" s="140"/>
      <c r="R404" s="140"/>
      <c r="S404" s="140"/>
      <c r="T404" s="139"/>
      <c r="V404">
        <f t="shared" si="138"/>
        <v>0</v>
      </c>
    </row>
    <row r="405" spans="1:22">
      <c r="A405" s="9"/>
      <c r="B405" s="154"/>
      <c r="C405" s="9"/>
      <c r="D405" s="120"/>
      <c r="E405" s="120"/>
      <c r="F405" s="120"/>
      <c r="G405" s="120"/>
      <c r="H405" s="120"/>
      <c r="I405" s="137">
        <f t="shared" si="143"/>
        <v>0</v>
      </c>
      <c r="J405" s="137">
        <f t="shared" si="144"/>
        <v>0</v>
      </c>
      <c r="K405" s="138">
        <f t="shared" si="167"/>
        <v>0</v>
      </c>
      <c r="L405" s="140"/>
      <c r="M405" s="140"/>
      <c r="N405" s="140"/>
      <c r="O405" s="140"/>
      <c r="P405" s="140"/>
      <c r="Q405" s="140"/>
      <c r="R405" s="140"/>
      <c r="S405" s="140"/>
      <c r="T405" s="139"/>
      <c r="V405">
        <f t="shared" si="138"/>
        <v>0</v>
      </c>
    </row>
    <row r="406" spans="1:22">
      <c r="A406" s="9"/>
      <c r="B406" s="155"/>
      <c r="C406" s="120"/>
      <c r="D406" s="120"/>
      <c r="E406" s="120"/>
      <c r="F406" s="120"/>
      <c r="G406" s="120"/>
      <c r="H406" s="120"/>
      <c r="I406" s="137">
        <f t="shared" si="143"/>
        <v>0</v>
      </c>
      <c r="J406" s="137">
        <f t="shared" si="144"/>
        <v>0</v>
      </c>
      <c r="K406" s="138"/>
      <c r="L406" s="140"/>
      <c r="M406" s="140">
        <f t="shared" ref="M406:M407" si="168">I406</f>
        <v>0</v>
      </c>
      <c r="N406" s="140"/>
      <c r="O406" s="140"/>
      <c r="P406" s="140"/>
      <c r="Q406" s="140"/>
      <c r="R406" s="140"/>
      <c r="S406" s="140"/>
      <c r="T406" s="139"/>
      <c r="V406">
        <f t="shared" si="138"/>
        <v>0</v>
      </c>
    </row>
    <row r="407" spans="1:22">
      <c r="A407" s="9"/>
      <c r="B407" s="155"/>
      <c r="C407" s="120"/>
      <c r="D407" s="120"/>
      <c r="E407" s="120"/>
      <c r="F407" s="120"/>
      <c r="G407" s="120"/>
      <c r="H407" s="120"/>
      <c r="I407" s="137">
        <f t="shared" si="143"/>
        <v>0</v>
      </c>
      <c r="J407" s="137">
        <f t="shared" si="144"/>
        <v>0</v>
      </c>
      <c r="K407" s="138"/>
      <c r="L407" s="140"/>
      <c r="M407" s="140">
        <f t="shared" si="168"/>
        <v>0</v>
      </c>
      <c r="N407" s="140"/>
      <c r="O407" s="140"/>
      <c r="P407" s="140"/>
      <c r="Q407" s="140"/>
      <c r="R407" s="140"/>
      <c r="S407" s="140"/>
      <c r="T407" s="139"/>
      <c r="V407">
        <f t="shared" si="138"/>
        <v>0</v>
      </c>
    </row>
    <row r="408" spans="1:22">
      <c r="A408" s="9"/>
      <c r="B408" s="154"/>
      <c r="C408" s="9"/>
      <c r="D408" s="120"/>
      <c r="E408" s="120"/>
      <c r="F408" s="120"/>
      <c r="G408" s="120"/>
      <c r="H408" s="120"/>
      <c r="I408" s="137">
        <f t="shared" si="143"/>
        <v>0</v>
      </c>
      <c r="J408" s="137">
        <f t="shared" si="144"/>
        <v>0</v>
      </c>
      <c r="K408" s="138">
        <f t="shared" ref="K408:K410" si="169">I408</f>
        <v>0</v>
      </c>
      <c r="L408" s="140"/>
      <c r="M408" s="140"/>
      <c r="N408" s="140"/>
      <c r="O408" s="140"/>
      <c r="P408" s="140"/>
      <c r="Q408" s="140"/>
      <c r="R408" s="140"/>
      <c r="S408" s="140"/>
      <c r="T408" s="139"/>
      <c r="V408">
        <f t="shared" si="138"/>
        <v>0</v>
      </c>
    </row>
    <row r="409" spans="1:22">
      <c r="A409" s="9"/>
      <c r="B409" s="154"/>
      <c r="C409" s="9"/>
      <c r="D409" s="120"/>
      <c r="E409" s="120"/>
      <c r="F409" s="120"/>
      <c r="G409" s="120"/>
      <c r="H409" s="120"/>
      <c r="I409" s="137">
        <f t="shared" si="143"/>
        <v>0</v>
      </c>
      <c r="J409" s="137">
        <f t="shared" si="144"/>
        <v>0</v>
      </c>
      <c r="K409" s="138">
        <f t="shared" si="169"/>
        <v>0</v>
      </c>
      <c r="L409" s="140"/>
      <c r="M409" s="140"/>
      <c r="N409" s="140"/>
      <c r="O409" s="140"/>
      <c r="P409" s="140"/>
      <c r="Q409" s="140"/>
      <c r="R409" s="140"/>
      <c r="S409" s="140"/>
      <c r="T409" s="139"/>
      <c r="V409">
        <f t="shared" si="138"/>
        <v>0</v>
      </c>
    </row>
    <row r="410" spans="1:22">
      <c r="A410" s="9"/>
      <c r="B410" s="154"/>
      <c r="C410" s="9"/>
      <c r="D410" s="120"/>
      <c r="E410" s="120"/>
      <c r="F410" s="120"/>
      <c r="G410" s="120"/>
      <c r="H410" s="120"/>
      <c r="I410" s="137">
        <f t="shared" si="143"/>
        <v>0</v>
      </c>
      <c r="J410" s="137">
        <f t="shared" si="144"/>
        <v>0</v>
      </c>
      <c r="K410" s="138">
        <f t="shared" si="169"/>
        <v>0</v>
      </c>
      <c r="L410" s="140"/>
      <c r="M410" s="140"/>
      <c r="N410" s="140"/>
      <c r="O410" s="140"/>
      <c r="P410" s="140"/>
      <c r="Q410" s="140"/>
      <c r="R410" s="140"/>
      <c r="S410" s="140"/>
      <c r="T410" s="139"/>
      <c r="V410">
        <f t="shared" ref="V410:V434" si="170">H410*E410</f>
        <v>0</v>
      </c>
    </row>
    <row r="411" spans="1:22">
      <c r="A411" s="9"/>
      <c r="B411" s="155"/>
      <c r="C411" s="120"/>
      <c r="D411" s="120"/>
      <c r="E411" s="120"/>
      <c r="F411" s="120"/>
      <c r="G411" s="120"/>
      <c r="H411" s="120"/>
      <c r="I411" s="137">
        <f t="shared" si="143"/>
        <v>0</v>
      </c>
      <c r="J411" s="137">
        <f t="shared" si="144"/>
        <v>0</v>
      </c>
      <c r="K411" s="138"/>
      <c r="L411" s="140"/>
      <c r="M411" s="140">
        <f t="shared" ref="M411:M412" si="171">I411</f>
        <v>0</v>
      </c>
      <c r="N411" s="140"/>
      <c r="O411" s="140"/>
      <c r="P411" s="140"/>
      <c r="Q411" s="140"/>
      <c r="R411" s="140"/>
      <c r="S411" s="140"/>
      <c r="T411" s="139"/>
      <c r="V411">
        <f t="shared" si="170"/>
        <v>0</v>
      </c>
    </row>
    <row r="412" spans="1:22">
      <c r="A412" s="9"/>
      <c r="B412" s="155"/>
      <c r="C412" s="120"/>
      <c r="D412" s="120"/>
      <c r="E412" s="120"/>
      <c r="F412" s="120"/>
      <c r="G412" s="120"/>
      <c r="H412" s="120"/>
      <c r="I412" s="137">
        <f t="shared" si="143"/>
        <v>0</v>
      </c>
      <c r="J412" s="137">
        <f t="shared" si="144"/>
        <v>0</v>
      </c>
      <c r="K412" s="138"/>
      <c r="L412" s="140"/>
      <c r="M412" s="140">
        <f t="shared" si="171"/>
        <v>0</v>
      </c>
      <c r="N412" s="140"/>
      <c r="O412" s="140"/>
      <c r="P412" s="140"/>
      <c r="Q412" s="140"/>
      <c r="R412" s="140"/>
      <c r="S412" s="140"/>
      <c r="T412" s="139"/>
      <c r="V412">
        <f t="shared" si="170"/>
        <v>0</v>
      </c>
    </row>
    <row r="413" spans="1:22">
      <c r="A413" s="9"/>
      <c r="B413" s="154"/>
      <c r="C413" s="9"/>
      <c r="D413" s="120"/>
      <c r="E413" s="120"/>
      <c r="F413" s="120"/>
      <c r="G413" s="120"/>
      <c r="H413" s="120"/>
      <c r="I413" s="137">
        <f t="shared" si="143"/>
        <v>0</v>
      </c>
      <c r="J413" s="137">
        <f t="shared" si="144"/>
        <v>0</v>
      </c>
      <c r="K413" s="138">
        <f t="shared" ref="K413:K414" si="172">I413</f>
        <v>0</v>
      </c>
      <c r="L413" s="140"/>
      <c r="M413" s="140"/>
      <c r="N413" s="140"/>
      <c r="O413" s="140"/>
      <c r="P413" s="140"/>
      <c r="Q413" s="140"/>
      <c r="R413" s="140"/>
      <c r="S413" s="140"/>
      <c r="T413" s="139"/>
      <c r="V413">
        <f t="shared" si="170"/>
        <v>0</v>
      </c>
    </row>
    <row r="414" spans="1:22">
      <c r="A414" s="9"/>
      <c r="B414" s="154"/>
      <c r="C414" s="9"/>
      <c r="D414" s="120"/>
      <c r="E414" s="120"/>
      <c r="F414" s="120"/>
      <c r="G414" s="120"/>
      <c r="H414" s="120"/>
      <c r="I414" s="137">
        <f t="shared" ref="I414:I434" si="173">F414*G414*H414*E414/91809/10.89</f>
        <v>0</v>
      </c>
      <c r="J414" s="137">
        <f t="shared" ref="J414:J434" si="174">(F414+G414)*H414*4/1000*E414</f>
        <v>0</v>
      </c>
      <c r="K414" s="138">
        <f t="shared" si="172"/>
        <v>0</v>
      </c>
      <c r="L414" s="140"/>
      <c r="M414" s="140"/>
      <c r="N414" s="140"/>
      <c r="O414" s="140"/>
      <c r="P414" s="140"/>
      <c r="Q414" s="140"/>
      <c r="R414" s="140"/>
      <c r="S414" s="140"/>
      <c r="T414" s="139"/>
      <c r="V414">
        <f t="shared" si="170"/>
        <v>0</v>
      </c>
    </row>
    <row r="415" spans="1:22">
      <c r="A415" s="9"/>
      <c r="B415" s="155"/>
      <c r="C415" s="120"/>
      <c r="D415" s="120"/>
      <c r="E415" s="120"/>
      <c r="F415" s="120"/>
      <c r="G415" s="120"/>
      <c r="H415" s="120"/>
      <c r="I415" s="137">
        <f t="shared" si="173"/>
        <v>0</v>
      </c>
      <c r="J415" s="137">
        <f t="shared" si="174"/>
        <v>0</v>
      </c>
      <c r="K415" s="138"/>
      <c r="L415" s="140"/>
      <c r="M415" s="140">
        <f t="shared" ref="M415:M416" si="175">I415</f>
        <v>0</v>
      </c>
      <c r="N415" s="140"/>
      <c r="O415" s="140"/>
      <c r="P415" s="140"/>
      <c r="Q415" s="140"/>
      <c r="R415" s="140"/>
      <c r="S415" s="140"/>
      <c r="T415" s="139"/>
      <c r="V415">
        <f t="shared" si="170"/>
        <v>0</v>
      </c>
    </row>
    <row r="416" spans="1:22">
      <c r="A416" s="9"/>
      <c r="B416" s="155"/>
      <c r="C416" s="120"/>
      <c r="D416" s="120"/>
      <c r="E416" s="120"/>
      <c r="F416" s="120"/>
      <c r="G416" s="120"/>
      <c r="H416" s="120"/>
      <c r="I416" s="137">
        <f t="shared" si="173"/>
        <v>0</v>
      </c>
      <c r="J416" s="137">
        <f t="shared" si="174"/>
        <v>0</v>
      </c>
      <c r="K416" s="138"/>
      <c r="L416" s="140"/>
      <c r="M416" s="140">
        <f t="shared" si="175"/>
        <v>0</v>
      </c>
      <c r="N416" s="140"/>
      <c r="O416" s="140"/>
      <c r="P416" s="140"/>
      <c r="Q416" s="140"/>
      <c r="R416" s="140"/>
      <c r="S416" s="140"/>
      <c r="T416" s="139"/>
      <c r="V416">
        <f t="shared" si="170"/>
        <v>0</v>
      </c>
    </row>
    <row r="417" spans="1:22">
      <c r="A417" s="9"/>
      <c r="B417" s="154"/>
      <c r="C417" s="9"/>
      <c r="D417" s="120"/>
      <c r="E417" s="120"/>
      <c r="F417" s="120"/>
      <c r="G417" s="120"/>
      <c r="H417" s="120"/>
      <c r="I417" s="137">
        <f t="shared" si="173"/>
        <v>0</v>
      </c>
      <c r="J417" s="137">
        <f t="shared" si="174"/>
        <v>0</v>
      </c>
      <c r="K417" s="138">
        <f t="shared" ref="K417:K418" si="176">I417</f>
        <v>0</v>
      </c>
      <c r="L417" s="140"/>
      <c r="M417" s="140"/>
      <c r="N417" s="140"/>
      <c r="O417" s="140"/>
      <c r="P417" s="140"/>
      <c r="Q417" s="140"/>
      <c r="R417" s="140"/>
      <c r="S417" s="140"/>
      <c r="T417" s="139"/>
      <c r="V417">
        <f t="shared" si="170"/>
        <v>0</v>
      </c>
    </row>
    <row r="418" spans="1:22">
      <c r="A418" s="9"/>
      <c r="B418" s="154"/>
      <c r="C418" s="9"/>
      <c r="D418" s="120"/>
      <c r="E418" s="120"/>
      <c r="F418" s="120"/>
      <c r="G418" s="120"/>
      <c r="H418" s="120"/>
      <c r="I418" s="137">
        <f t="shared" si="173"/>
        <v>0</v>
      </c>
      <c r="J418" s="137">
        <f t="shared" si="174"/>
        <v>0</v>
      </c>
      <c r="K418" s="138">
        <f t="shared" si="176"/>
        <v>0</v>
      </c>
      <c r="L418" s="140"/>
      <c r="M418" s="140"/>
      <c r="N418" s="140"/>
      <c r="O418" s="140"/>
      <c r="P418" s="140"/>
      <c r="Q418" s="140"/>
      <c r="R418" s="140"/>
      <c r="S418" s="140"/>
      <c r="T418" s="139"/>
      <c r="V418">
        <f t="shared" si="170"/>
        <v>0</v>
      </c>
    </row>
    <row r="419" spans="1:22">
      <c r="A419" s="9"/>
      <c r="B419" s="155"/>
      <c r="C419" s="120"/>
      <c r="D419" s="120"/>
      <c r="E419" s="120"/>
      <c r="F419" s="120"/>
      <c r="G419" s="120"/>
      <c r="H419" s="120"/>
      <c r="I419" s="137">
        <f t="shared" si="173"/>
        <v>0</v>
      </c>
      <c r="J419" s="137">
        <f t="shared" si="174"/>
        <v>0</v>
      </c>
      <c r="K419" s="138"/>
      <c r="L419" s="140"/>
      <c r="M419" s="140">
        <f t="shared" ref="M419:M422" si="177">I419</f>
        <v>0</v>
      </c>
      <c r="N419" s="140"/>
      <c r="O419" s="140"/>
      <c r="P419" s="140"/>
      <c r="Q419" s="140"/>
      <c r="R419" s="140"/>
      <c r="S419" s="140"/>
      <c r="T419" s="139"/>
      <c r="V419">
        <f t="shared" si="170"/>
        <v>0</v>
      </c>
    </row>
    <row r="420" spans="1:22">
      <c r="A420" s="9"/>
      <c r="B420" s="155"/>
      <c r="C420" s="120"/>
      <c r="D420" s="120"/>
      <c r="E420" s="120"/>
      <c r="F420" s="120"/>
      <c r="G420" s="120"/>
      <c r="H420" s="120"/>
      <c r="I420" s="137">
        <f t="shared" si="173"/>
        <v>0</v>
      </c>
      <c r="J420" s="137">
        <f t="shared" si="174"/>
        <v>0</v>
      </c>
      <c r="K420" s="138"/>
      <c r="L420" s="140"/>
      <c r="M420" s="140">
        <f t="shared" si="177"/>
        <v>0</v>
      </c>
      <c r="N420" s="140"/>
      <c r="O420" s="140"/>
      <c r="P420" s="140"/>
      <c r="Q420" s="140"/>
      <c r="R420" s="140"/>
      <c r="S420" s="140"/>
      <c r="T420" s="139"/>
      <c r="V420">
        <f t="shared" si="170"/>
        <v>0</v>
      </c>
    </row>
    <row r="421" spans="1:22">
      <c r="A421" s="9"/>
      <c r="B421" s="155"/>
      <c r="C421" s="120"/>
      <c r="D421" s="120"/>
      <c r="E421" s="120"/>
      <c r="F421" s="120"/>
      <c r="G421" s="120"/>
      <c r="H421" s="120"/>
      <c r="I421" s="137">
        <f t="shared" si="173"/>
        <v>0</v>
      </c>
      <c r="J421" s="137">
        <f t="shared" si="174"/>
        <v>0</v>
      </c>
      <c r="K421" s="138"/>
      <c r="L421" s="140"/>
      <c r="M421" s="140">
        <f t="shared" si="177"/>
        <v>0</v>
      </c>
      <c r="N421" s="140"/>
      <c r="O421" s="140"/>
      <c r="P421" s="140"/>
      <c r="Q421" s="140"/>
      <c r="R421" s="140"/>
      <c r="S421" s="140"/>
      <c r="T421" s="139"/>
      <c r="V421">
        <f t="shared" si="170"/>
        <v>0</v>
      </c>
    </row>
    <row r="422" spans="1:22">
      <c r="A422" s="9"/>
      <c r="B422" s="155"/>
      <c r="C422" s="120"/>
      <c r="D422" s="120"/>
      <c r="E422" s="120"/>
      <c r="F422" s="120"/>
      <c r="G422" s="120"/>
      <c r="H422" s="120"/>
      <c r="I422" s="137">
        <f t="shared" si="173"/>
        <v>0</v>
      </c>
      <c r="J422" s="137">
        <f t="shared" si="174"/>
        <v>0</v>
      </c>
      <c r="K422" s="138"/>
      <c r="L422" s="140"/>
      <c r="M422" s="140">
        <f t="shared" si="177"/>
        <v>0</v>
      </c>
      <c r="N422" s="140"/>
      <c r="O422" s="140"/>
      <c r="P422" s="140"/>
      <c r="Q422" s="140"/>
      <c r="R422" s="140"/>
      <c r="S422" s="140"/>
      <c r="T422" s="139"/>
      <c r="V422">
        <f t="shared" si="170"/>
        <v>0</v>
      </c>
    </row>
    <row r="423" spans="1:22">
      <c r="A423" s="9"/>
      <c r="B423" s="154"/>
      <c r="C423" s="9"/>
      <c r="D423" s="120"/>
      <c r="E423" s="120"/>
      <c r="F423" s="120"/>
      <c r="G423" s="120"/>
      <c r="H423" s="120"/>
      <c r="I423" s="137">
        <f t="shared" si="173"/>
        <v>0</v>
      </c>
      <c r="J423" s="137">
        <f t="shared" si="174"/>
        <v>0</v>
      </c>
      <c r="K423" s="138">
        <f t="shared" ref="K423:K424" si="178">I423</f>
        <v>0</v>
      </c>
      <c r="L423" s="140"/>
      <c r="M423" s="140"/>
      <c r="N423" s="140"/>
      <c r="O423" s="140"/>
      <c r="P423" s="140"/>
      <c r="Q423" s="140"/>
      <c r="R423" s="140"/>
      <c r="S423" s="140"/>
      <c r="T423" s="139"/>
      <c r="V423">
        <f t="shared" si="170"/>
        <v>0</v>
      </c>
    </row>
    <row r="424" spans="1:22">
      <c r="A424" s="9"/>
      <c r="B424" s="154"/>
      <c r="C424" s="9"/>
      <c r="D424" s="120"/>
      <c r="E424" s="120"/>
      <c r="F424" s="120"/>
      <c r="G424" s="120"/>
      <c r="H424" s="120"/>
      <c r="I424" s="137">
        <f t="shared" si="173"/>
        <v>0</v>
      </c>
      <c r="J424" s="137">
        <f t="shared" si="174"/>
        <v>0</v>
      </c>
      <c r="K424" s="138">
        <f t="shared" si="178"/>
        <v>0</v>
      </c>
      <c r="L424" s="140"/>
      <c r="M424" s="140"/>
      <c r="N424" s="140"/>
      <c r="O424" s="140"/>
      <c r="P424" s="140"/>
      <c r="Q424" s="140"/>
      <c r="R424" s="140"/>
      <c r="S424" s="140"/>
      <c r="T424" s="139"/>
      <c r="V424">
        <f t="shared" si="170"/>
        <v>0</v>
      </c>
    </row>
    <row r="425" spans="1:22">
      <c r="A425" s="9"/>
      <c r="B425" s="155"/>
      <c r="C425" s="120"/>
      <c r="D425" s="120"/>
      <c r="E425" s="120"/>
      <c r="F425" s="120"/>
      <c r="G425" s="120"/>
      <c r="H425" s="120"/>
      <c r="I425" s="137">
        <f t="shared" si="173"/>
        <v>0</v>
      </c>
      <c r="J425" s="137">
        <f t="shared" si="174"/>
        <v>0</v>
      </c>
      <c r="K425" s="138"/>
      <c r="L425" s="140"/>
      <c r="M425" s="140">
        <f t="shared" ref="M425:M426" si="179">I425</f>
        <v>0</v>
      </c>
      <c r="N425" s="140"/>
      <c r="O425" s="140"/>
      <c r="P425" s="140"/>
      <c r="Q425" s="140"/>
      <c r="R425" s="140"/>
      <c r="S425" s="140"/>
      <c r="T425" s="139"/>
      <c r="V425">
        <f t="shared" si="170"/>
        <v>0</v>
      </c>
    </row>
    <row r="426" spans="1:22">
      <c r="A426" s="9"/>
      <c r="B426" s="155"/>
      <c r="C426" s="120"/>
      <c r="D426" s="120"/>
      <c r="E426" s="120"/>
      <c r="F426" s="120"/>
      <c r="G426" s="120"/>
      <c r="H426" s="120"/>
      <c r="I426" s="137">
        <f t="shared" si="173"/>
        <v>0</v>
      </c>
      <c r="J426" s="137">
        <f t="shared" si="174"/>
        <v>0</v>
      </c>
      <c r="K426" s="138"/>
      <c r="L426" s="140"/>
      <c r="M426" s="140">
        <f t="shared" si="179"/>
        <v>0</v>
      </c>
      <c r="N426" s="140"/>
      <c r="O426" s="140"/>
      <c r="P426" s="140"/>
      <c r="Q426" s="140"/>
      <c r="R426" s="140"/>
      <c r="S426" s="140"/>
      <c r="T426" s="139"/>
      <c r="V426">
        <f t="shared" si="170"/>
        <v>0</v>
      </c>
    </row>
    <row r="427" spans="1:22">
      <c r="A427" s="9"/>
      <c r="B427" s="154"/>
      <c r="C427" s="9"/>
      <c r="D427" s="120"/>
      <c r="E427" s="120"/>
      <c r="F427" s="120"/>
      <c r="G427" s="120"/>
      <c r="H427" s="120"/>
      <c r="I427" s="137">
        <f t="shared" si="173"/>
        <v>0</v>
      </c>
      <c r="J427" s="137">
        <f t="shared" si="174"/>
        <v>0</v>
      </c>
      <c r="K427" s="138">
        <f t="shared" ref="K427:K428" si="180">I427</f>
        <v>0</v>
      </c>
      <c r="L427" s="140"/>
      <c r="M427" s="140"/>
      <c r="N427" s="140"/>
      <c r="O427" s="140"/>
      <c r="P427" s="140"/>
      <c r="Q427" s="140"/>
      <c r="R427" s="140"/>
      <c r="S427" s="140"/>
      <c r="T427" s="139"/>
      <c r="V427">
        <f t="shared" si="170"/>
        <v>0</v>
      </c>
    </row>
    <row r="428" spans="1:22">
      <c r="A428" s="9"/>
      <c r="B428" s="154"/>
      <c r="C428" s="9"/>
      <c r="D428" s="120"/>
      <c r="E428" s="120"/>
      <c r="F428" s="120"/>
      <c r="G428" s="120"/>
      <c r="H428" s="120"/>
      <c r="I428" s="137">
        <f t="shared" si="173"/>
        <v>0</v>
      </c>
      <c r="J428" s="137">
        <f t="shared" si="174"/>
        <v>0</v>
      </c>
      <c r="K428" s="138">
        <f t="shared" si="180"/>
        <v>0</v>
      </c>
      <c r="L428" s="140"/>
      <c r="M428" s="140"/>
      <c r="N428" s="140"/>
      <c r="O428" s="140"/>
      <c r="P428" s="140"/>
      <c r="Q428" s="140"/>
      <c r="R428" s="140"/>
      <c r="S428" s="140"/>
      <c r="T428" s="139"/>
      <c r="V428">
        <f t="shared" si="170"/>
        <v>0</v>
      </c>
    </row>
    <row r="429" spans="1:22">
      <c r="A429" s="9"/>
      <c r="B429" s="155"/>
      <c r="C429" s="120"/>
      <c r="D429" s="120"/>
      <c r="E429" s="120"/>
      <c r="F429" s="120"/>
      <c r="G429" s="120"/>
      <c r="H429" s="120"/>
      <c r="I429" s="137">
        <f t="shared" si="173"/>
        <v>0</v>
      </c>
      <c r="J429" s="137">
        <f t="shared" si="174"/>
        <v>0</v>
      </c>
      <c r="K429" s="138"/>
      <c r="L429" s="140"/>
      <c r="M429" s="140">
        <f t="shared" ref="M429:M432" si="181">I429</f>
        <v>0</v>
      </c>
      <c r="N429" s="140"/>
      <c r="O429" s="140"/>
      <c r="P429" s="140"/>
      <c r="Q429" s="140"/>
      <c r="R429" s="140"/>
      <c r="S429" s="140"/>
      <c r="T429" s="139"/>
      <c r="V429">
        <f t="shared" si="170"/>
        <v>0</v>
      </c>
    </row>
    <row r="430" spans="1:22">
      <c r="A430" s="9"/>
      <c r="B430" s="155"/>
      <c r="C430" s="120"/>
      <c r="D430" s="120"/>
      <c r="E430" s="120"/>
      <c r="F430" s="120"/>
      <c r="G430" s="120"/>
      <c r="H430" s="120"/>
      <c r="I430" s="137">
        <f t="shared" si="173"/>
        <v>0</v>
      </c>
      <c r="J430" s="137">
        <f t="shared" si="174"/>
        <v>0</v>
      </c>
      <c r="K430" s="138"/>
      <c r="L430" s="140"/>
      <c r="M430" s="140">
        <f t="shared" si="181"/>
        <v>0</v>
      </c>
      <c r="N430" s="140"/>
      <c r="O430" s="140"/>
      <c r="P430" s="140"/>
      <c r="Q430" s="140"/>
      <c r="R430" s="140"/>
      <c r="S430" s="140"/>
      <c r="T430" s="139"/>
      <c r="V430">
        <f t="shared" si="170"/>
        <v>0</v>
      </c>
    </row>
    <row r="431" spans="1:22">
      <c r="A431" s="9"/>
      <c r="B431" s="155"/>
      <c r="C431" s="120"/>
      <c r="D431" s="120"/>
      <c r="E431" s="120"/>
      <c r="F431" s="120"/>
      <c r="G431" s="120"/>
      <c r="H431" s="120"/>
      <c r="I431" s="137">
        <f t="shared" si="173"/>
        <v>0</v>
      </c>
      <c r="J431" s="137">
        <f t="shared" si="174"/>
        <v>0</v>
      </c>
      <c r="K431" s="138"/>
      <c r="L431" s="140"/>
      <c r="M431" s="140">
        <f t="shared" si="181"/>
        <v>0</v>
      </c>
      <c r="N431" s="140"/>
      <c r="O431" s="140"/>
      <c r="P431" s="140"/>
      <c r="Q431" s="140"/>
      <c r="R431" s="140"/>
      <c r="S431" s="140"/>
      <c r="T431" s="139"/>
      <c r="V431">
        <f t="shared" si="170"/>
        <v>0</v>
      </c>
    </row>
    <row r="432" spans="1:22">
      <c r="A432" s="9"/>
      <c r="B432" s="155"/>
      <c r="C432" s="120"/>
      <c r="D432" s="120"/>
      <c r="E432" s="120"/>
      <c r="F432" s="120"/>
      <c r="G432" s="120"/>
      <c r="H432" s="120"/>
      <c r="I432" s="137">
        <f t="shared" si="173"/>
        <v>0</v>
      </c>
      <c r="J432" s="137">
        <f t="shared" si="174"/>
        <v>0</v>
      </c>
      <c r="K432" s="138"/>
      <c r="L432" s="140"/>
      <c r="M432" s="140">
        <f t="shared" si="181"/>
        <v>0</v>
      </c>
      <c r="N432" s="140"/>
      <c r="O432" s="140"/>
      <c r="P432" s="140"/>
      <c r="Q432" s="140"/>
      <c r="R432" s="140"/>
      <c r="S432" s="140"/>
      <c r="T432" s="139"/>
      <c r="V432">
        <f t="shared" si="170"/>
        <v>0</v>
      </c>
    </row>
    <row r="433" spans="1:22">
      <c r="A433" s="9"/>
      <c r="B433" s="156"/>
      <c r="C433" s="120"/>
      <c r="D433" s="120"/>
      <c r="E433" s="120"/>
      <c r="F433" s="120"/>
      <c r="G433" s="120"/>
      <c r="H433" s="120"/>
      <c r="I433" s="137">
        <f t="shared" si="173"/>
        <v>0</v>
      </c>
      <c r="J433" s="137">
        <f t="shared" si="174"/>
        <v>0</v>
      </c>
      <c r="K433" s="138"/>
      <c r="L433" s="140"/>
      <c r="M433" s="140"/>
      <c r="N433" s="140"/>
      <c r="O433" s="140"/>
      <c r="P433" s="140"/>
      <c r="Q433" s="140"/>
      <c r="R433" s="140"/>
      <c r="S433" s="140"/>
      <c r="T433" s="139"/>
      <c r="V433">
        <f t="shared" si="170"/>
        <v>0</v>
      </c>
    </row>
    <row r="434" spans="1:22">
      <c r="A434" s="9"/>
      <c r="B434" s="156"/>
      <c r="C434" s="120"/>
      <c r="D434" s="120"/>
      <c r="E434" s="120"/>
      <c r="F434" s="120"/>
      <c r="G434" s="120"/>
      <c r="H434" s="120"/>
      <c r="I434" s="137">
        <f t="shared" si="173"/>
        <v>0</v>
      </c>
      <c r="J434" s="137">
        <f t="shared" si="174"/>
        <v>0</v>
      </c>
      <c r="K434" s="138"/>
      <c r="L434" s="140"/>
      <c r="M434" s="140"/>
      <c r="N434" s="140"/>
      <c r="O434" s="140"/>
      <c r="P434" s="140"/>
      <c r="Q434" s="140"/>
      <c r="R434" s="140"/>
      <c r="S434" s="140"/>
      <c r="T434" s="139"/>
      <c r="V434">
        <f t="shared" si="170"/>
        <v>0</v>
      </c>
    </row>
    <row r="435" spans="1:22">
      <c r="A435" s="9"/>
      <c r="B435" s="156"/>
      <c r="C435" s="120"/>
      <c r="D435" s="120"/>
      <c r="E435" s="120"/>
      <c r="F435" s="120"/>
      <c r="G435" s="120"/>
      <c r="H435" s="120"/>
      <c r="I435" s="137">
        <f t="shared" ref="I435" si="182">F435*G435*H435*E435/91809/10.89</f>
        <v>0</v>
      </c>
      <c r="J435" s="137">
        <f t="shared" ref="J435" si="183">(F435+G435)*H435*4/1000*E435</f>
        <v>0</v>
      </c>
      <c r="K435" s="138"/>
      <c r="L435" s="140"/>
      <c r="M435" s="140"/>
      <c r="N435" s="140"/>
      <c r="O435" s="140"/>
      <c r="P435" s="140"/>
      <c r="Q435" s="140"/>
      <c r="R435" s="140"/>
      <c r="S435" s="140"/>
      <c r="T435" s="139"/>
    </row>
    <row r="436" spans="1:22">
      <c r="A436" s="321" t="s">
        <v>68</v>
      </c>
      <c r="B436" s="322"/>
      <c r="C436" s="141"/>
      <c r="D436" s="141"/>
      <c r="E436" s="141"/>
      <c r="F436" s="141"/>
      <c r="G436" s="141"/>
      <c r="H436" s="141">
        <f t="shared" ref="H436:S436" si="184">SUM(H7:H435)</f>
        <v>0</v>
      </c>
      <c r="I436" s="143">
        <f t="shared" si="184"/>
        <v>0</v>
      </c>
      <c r="J436" s="141">
        <f t="shared" si="184"/>
        <v>0</v>
      </c>
      <c r="K436" s="142">
        <f t="shared" si="184"/>
        <v>0</v>
      </c>
      <c r="L436" s="142">
        <f t="shared" si="184"/>
        <v>0</v>
      </c>
      <c r="M436" s="142">
        <f t="shared" si="184"/>
        <v>0</v>
      </c>
      <c r="N436" s="142">
        <f t="shared" si="184"/>
        <v>0</v>
      </c>
      <c r="O436" s="142">
        <f t="shared" si="184"/>
        <v>0</v>
      </c>
      <c r="P436" s="142">
        <f t="shared" si="184"/>
        <v>0</v>
      </c>
      <c r="Q436" s="142">
        <f t="shared" si="184"/>
        <v>0</v>
      </c>
      <c r="R436" s="142">
        <f t="shared" si="184"/>
        <v>0</v>
      </c>
      <c r="S436" s="142">
        <f t="shared" si="184"/>
        <v>0</v>
      </c>
      <c r="T436" s="143"/>
      <c r="V436">
        <f>SUM(V7:V435)</f>
        <v>0</v>
      </c>
    </row>
    <row r="437" spans="1:22">
      <c r="K437" s="126">
        <v>821</v>
      </c>
      <c r="L437" s="126">
        <v>1401</v>
      </c>
      <c r="M437" s="126">
        <v>447</v>
      </c>
      <c r="P437" s="126">
        <v>16</v>
      </c>
    </row>
  </sheetData>
  <mergeCells count="11">
    <mergeCell ref="G4:G5"/>
    <mergeCell ref="H4:H5"/>
    <mergeCell ref="I4:I5"/>
    <mergeCell ref="J4:J5"/>
    <mergeCell ref="A436:B436"/>
    <mergeCell ref="A4:A5"/>
    <mergeCell ref="B4:B5"/>
    <mergeCell ref="C4:C5"/>
    <mergeCell ref="D4:D5"/>
    <mergeCell ref="E4:E5"/>
    <mergeCell ref="F4:F5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  <pageSetUpPr fitToPage="1"/>
  </sheetPr>
  <dimension ref="A1:BQ85"/>
  <sheetViews>
    <sheetView zoomScaleNormal="100" zoomScaleSheetLayoutView="130" workbookViewId="0">
      <selection activeCell="X52" sqref="X52"/>
    </sheetView>
  </sheetViews>
  <sheetFormatPr defaultColWidth="9" defaultRowHeight="11.25"/>
  <cols>
    <col min="1" max="1" width="3.25" style="182" customWidth="1"/>
    <col min="2" max="6" width="6.375" style="182" customWidth="1"/>
    <col min="7" max="7" width="6.375" style="184" customWidth="1"/>
    <col min="8" max="13" width="6.375" style="182" customWidth="1"/>
    <col min="14" max="14" width="6.375" style="184" customWidth="1"/>
    <col min="15" max="20" width="6.375" style="182" customWidth="1"/>
    <col min="21" max="21" width="6.375" style="184" customWidth="1"/>
    <col min="22" max="22" width="3.625" style="184" customWidth="1"/>
    <col min="23" max="23" width="10.25" style="182" customWidth="1"/>
    <col min="24" max="26" width="4.625" style="182" customWidth="1"/>
    <col min="27" max="27" width="3.625" style="184" customWidth="1"/>
    <col min="28" max="31" width="4.625" style="182" customWidth="1"/>
    <col min="32" max="32" width="3.625" style="184" customWidth="1"/>
    <col min="33" max="36" width="4.625" style="182" customWidth="1"/>
    <col min="37" max="37" width="3.625" style="184" customWidth="1"/>
    <col min="38" max="42" width="4.625" style="182" customWidth="1"/>
    <col min="43" max="43" width="3.625" style="184" customWidth="1"/>
    <col min="44" max="47" width="4.625" style="182" customWidth="1"/>
    <col min="48" max="48" width="3.625" style="184" customWidth="1"/>
    <col min="49" max="53" width="4.625" style="182" customWidth="1"/>
    <col min="54" max="54" width="3.625" style="184" customWidth="1"/>
    <col min="55" max="58" width="4.625" style="182" customWidth="1"/>
    <col min="59" max="59" width="3.625" style="184" customWidth="1"/>
    <col min="60" max="61" width="4.625" style="182" customWidth="1"/>
    <col min="62" max="62" width="3.625" style="184" customWidth="1"/>
    <col min="63" max="66" width="4.625" style="182" customWidth="1"/>
    <col min="67" max="67" width="3.625" style="184" customWidth="1"/>
    <col min="68" max="70" width="4.625" style="182" customWidth="1"/>
    <col min="71" max="16384" width="9" style="182"/>
  </cols>
  <sheetData>
    <row r="1" spans="1:69" ht="33.75">
      <c r="B1" s="311" t="s">
        <v>229</v>
      </c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</row>
    <row r="2" spans="1:69">
      <c r="G2" s="183"/>
      <c r="N2" s="183"/>
      <c r="U2" s="183"/>
      <c r="V2" s="183"/>
      <c r="AF2" s="183"/>
      <c r="AK2" s="183"/>
      <c r="AV2" s="183"/>
      <c r="BB2" s="183"/>
      <c r="BJ2" s="183"/>
    </row>
    <row r="3" spans="1:69">
      <c r="A3" s="185"/>
      <c r="B3" s="308" t="s">
        <v>129</v>
      </c>
      <c r="C3" s="308"/>
      <c r="D3" s="308"/>
      <c r="E3" s="308"/>
      <c r="F3" s="308"/>
      <c r="G3" s="308"/>
      <c r="H3" s="185"/>
      <c r="I3" s="308" t="s">
        <v>129</v>
      </c>
      <c r="J3" s="308"/>
      <c r="K3" s="308"/>
      <c r="L3" s="308"/>
      <c r="M3" s="308"/>
      <c r="N3" s="308"/>
      <c r="O3" s="185"/>
      <c r="P3" s="308" t="s">
        <v>129</v>
      </c>
      <c r="Q3" s="308"/>
      <c r="R3" s="308"/>
      <c r="S3" s="308"/>
      <c r="T3" s="308"/>
      <c r="U3" s="308"/>
    </row>
    <row r="4" spans="1:69" s="186" customFormat="1" ht="16.5" customHeight="1">
      <c r="A4" s="185"/>
      <c r="B4" s="310" t="s">
        <v>130</v>
      </c>
      <c r="C4" s="310"/>
      <c r="D4" s="310"/>
      <c r="E4" s="310"/>
      <c r="F4" s="310"/>
      <c r="G4" s="310"/>
      <c r="H4" s="185"/>
      <c r="I4" s="310" t="s">
        <v>131</v>
      </c>
      <c r="J4" s="310"/>
      <c r="K4" s="310"/>
      <c r="L4" s="310"/>
      <c r="M4" s="310"/>
      <c r="N4" s="310"/>
      <c r="O4" s="185"/>
      <c r="P4" s="310" t="s">
        <v>132</v>
      </c>
      <c r="Q4" s="310"/>
      <c r="R4" s="310"/>
      <c r="S4" s="310"/>
      <c r="T4" s="310"/>
      <c r="U4" s="310"/>
      <c r="V4" s="182"/>
      <c r="W4" s="182"/>
      <c r="X4" s="182"/>
      <c r="Y4" s="182"/>
      <c r="Z4" s="182"/>
      <c r="AA4" s="184"/>
      <c r="AB4" s="182"/>
      <c r="AC4" s="182"/>
      <c r="AD4" s="182"/>
      <c r="AE4" s="182"/>
      <c r="AF4" s="184"/>
      <c r="AG4" s="182"/>
      <c r="AH4" s="182"/>
      <c r="AI4" s="182"/>
      <c r="AJ4" s="182"/>
      <c r="AK4" s="184"/>
      <c r="AL4" s="182"/>
      <c r="AM4" s="182"/>
      <c r="AN4" s="182"/>
      <c r="AO4" s="182"/>
      <c r="AP4" s="182"/>
      <c r="AQ4" s="184"/>
      <c r="AR4" s="182"/>
      <c r="AS4" s="182"/>
      <c r="AT4" s="182"/>
      <c r="AU4" s="182"/>
      <c r="AV4" s="184"/>
      <c r="AW4" s="182"/>
      <c r="AX4" s="182"/>
      <c r="AY4" s="182"/>
      <c r="AZ4" s="182"/>
      <c r="BA4" s="182"/>
      <c r="BB4" s="184"/>
      <c r="BC4" s="182"/>
      <c r="BD4" s="182"/>
      <c r="BE4" s="182"/>
      <c r="BF4" s="182"/>
      <c r="BG4" s="184"/>
      <c r="BH4" s="182"/>
      <c r="BI4" s="182"/>
      <c r="BJ4" s="184"/>
      <c r="BK4" s="182"/>
      <c r="BL4" s="182"/>
      <c r="BM4" s="182"/>
      <c r="BN4" s="182"/>
      <c r="BO4" s="184"/>
      <c r="BP4" s="182"/>
      <c r="BQ4" s="182"/>
    </row>
    <row r="5" spans="1:69">
      <c r="A5" s="184" t="s">
        <v>191</v>
      </c>
      <c r="B5" s="187" t="s">
        <v>136</v>
      </c>
      <c r="C5" s="187" t="s">
        <v>137</v>
      </c>
      <c r="D5" s="187" t="s">
        <v>138</v>
      </c>
      <c r="E5" s="187" t="s">
        <v>139</v>
      </c>
      <c r="F5" s="187" t="s">
        <v>140</v>
      </c>
      <c r="G5" s="187" t="s">
        <v>141</v>
      </c>
      <c r="H5" s="184"/>
      <c r="I5" s="187" t="s">
        <v>136</v>
      </c>
      <c r="J5" s="187" t="s">
        <v>137</v>
      </c>
      <c r="K5" s="187" t="s">
        <v>142</v>
      </c>
      <c r="L5" s="187" t="s">
        <v>143</v>
      </c>
      <c r="M5" s="187" t="s">
        <v>144</v>
      </c>
      <c r="N5" s="187" t="s">
        <v>145</v>
      </c>
      <c r="O5" s="184"/>
      <c r="P5" s="187" t="s">
        <v>136</v>
      </c>
      <c r="Q5" s="187" t="s">
        <v>137</v>
      </c>
      <c r="R5" s="187" t="s">
        <v>142</v>
      </c>
      <c r="S5" s="187" t="s">
        <v>143</v>
      </c>
      <c r="T5" s="187" t="s">
        <v>144</v>
      </c>
      <c r="U5" s="187" t="s">
        <v>145</v>
      </c>
      <c r="V5" s="182"/>
    </row>
    <row r="6" spans="1:69" ht="16.899999999999999" customHeight="1">
      <c r="A6" s="182" t="s">
        <v>192</v>
      </c>
      <c r="B6" s="188" t="s">
        <v>146</v>
      </c>
      <c r="C6" s="188" t="s">
        <v>146</v>
      </c>
      <c r="D6" s="189" t="s">
        <v>147</v>
      </c>
      <c r="E6" s="188" t="s">
        <v>146</v>
      </c>
      <c r="F6" s="188" t="s">
        <v>146</v>
      </c>
      <c r="G6" s="190" t="s">
        <v>148</v>
      </c>
      <c r="I6" s="191">
        <v>74</v>
      </c>
      <c r="J6" s="191">
        <v>74</v>
      </c>
      <c r="K6" s="189" t="s">
        <v>147</v>
      </c>
      <c r="L6" s="188" t="s">
        <v>146</v>
      </c>
      <c r="M6" s="188" t="s">
        <v>146</v>
      </c>
      <c r="N6" s="188" t="s">
        <v>146</v>
      </c>
      <c r="P6" s="191">
        <v>74</v>
      </c>
      <c r="Q6" s="191">
        <v>74</v>
      </c>
      <c r="R6" s="189" t="s">
        <v>147</v>
      </c>
      <c r="S6" s="188" t="s">
        <v>146</v>
      </c>
      <c r="T6" s="188" t="s">
        <v>146</v>
      </c>
      <c r="U6" s="188" t="s">
        <v>146</v>
      </c>
      <c r="V6" s="182"/>
    </row>
    <row r="7" spans="1:69" ht="14.25" customHeight="1">
      <c r="A7" s="192" t="s">
        <v>17</v>
      </c>
      <c r="B7" s="210">
        <v>25</v>
      </c>
      <c r="C7" s="210">
        <v>25</v>
      </c>
      <c r="D7" s="210">
        <v>26</v>
      </c>
      <c r="E7" s="210">
        <v>25</v>
      </c>
      <c r="F7" s="210">
        <v>26</v>
      </c>
      <c r="G7" s="210">
        <v>26</v>
      </c>
      <c r="H7" s="192"/>
      <c r="I7" s="210">
        <v>27</v>
      </c>
      <c r="J7" s="210">
        <v>27</v>
      </c>
      <c r="K7" s="210">
        <v>29</v>
      </c>
      <c r="L7" s="210">
        <v>28</v>
      </c>
      <c r="M7" s="210">
        <v>28</v>
      </c>
      <c r="N7" s="210">
        <v>28</v>
      </c>
      <c r="O7" s="192"/>
      <c r="P7" s="210">
        <v>29</v>
      </c>
      <c r="Q7" s="210">
        <v>29</v>
      </c>
      <c r="R7" s="210">
        <v>29</v>
      </c>
      <c r="S7" s="210">
        <v>27</v>
      </c>
      <c r="T7" s="210">
        <v>27</v>
      </c>
      <c r="U7" s="210">
        <v>27</v>
      </c>
      <c r="V7" s="182"/>
    </row>
    <row r="8" spans="1:69" ht="14.25" customHeight="1">
      <c r="A8" s="192" t="s">
        <v>193</v>
      </c>
      <c r="B8" s="210"/>
      <c r="C8" s="210"/>
      <c r="D8" s="210"/>
      <c r="E8" s="210"/>
      <c r="F8" s="210"/>
      <c r="G8" s="210"/>
      <c r="H8" s="192"/>
      <c r="I8" s="210"/>
      <c r="J8" s="210"/>
      <c r="K8" s="210"/>
      <c r="L8" s="210"/>
      <c r="M8" s="210"/>
      <c r="N8" s="210"/>
      <c r="O8" s="192"/>
      <c r="P8" s="210"/>
      <c r="Q8" s="210"/>
      <c r="R8" s="210"/>
      <c r="S8" s="210"/>
      <c r="T8" s="210"/>
      <c r="U8" s="210"/>
      <c r="V8" s="182"/>
    </row>
    <row r="9" spans="1:69" ht="14.25" customHeight="1" thickBot="1">
      <c r="A9" s="192"/>
      <c r="B9" s="185"/>
      <c r="C9" s="185"/>
      <c r="D9" s="185"/>
      <c r="E9" s="185"/>
      <c r="F9" s="185"/>
      <c r="G9" s="185"/>
      <c r="H9" s="192"/>
      <c r="I9" s="185"/>
      <c r="J9" s="185"/>
      <c r="K9" s="185"/>
      <c r="L9" s="185"/>
      <c r="M9" s="185"/>
      <c r="N9" s="185"/>
      <c r="O9" s="192"/>
      <c r="P9" s="185"/>
      <c r="Q9" s="185"/>
      <c r="R9" s="185"/>
      <c r="S9" s="185"/>
      <c r="T9" s="185"/>
      <c r="U9" s="185"/>
      <c r="V9" s="182"/>
    </row>
    <row r="10" spans="1:69" ht="11.1" customHeight="1" thickBot="1">
      <c r="A10" s="217" t="s">
        <v>194</v>
      </c>
      <c r="B10" s="193" t="s">
        <v>149</v>
      </c>
      <c r="G10" s="193" t="s">
        <v>149</v>
      </c>
      <c r="J10" s="193" t="s">
        <v>149</v>
      </c>
      <c r="K10" s="193" t="s">
        <v>149</v>
      </c>
      <c r="L10" s="194"/>
      <c r="N10" s="182"/>
      <c r="Q10" s="193" t="s">
        <v>149</v>
      </c>
      <c r="U10" s="182"/>
      <c r="V10" s="182"/>
      <c r="AA10" s="183"/>
      <c r="AF10" s="183"/>
      <c r="AK10" s="183"/>
      <c r="AQ10" s="183"/>
      <c r="AV10" s="183"/>
      <c r="BB10" s="183"/>
      <c r="BG10" s="183"/>
      <c r="BJ10" s="183"/>
      <c r="BO10" s="183"/>
    </row>
    <row r="11" spans="1:69" ht="11.1" customHeight="1">
      <c r="E11" s="194"/>
      <c r="G11" s="182"/>
      <c r="H11" s="195"/>
      <c r="J11" s="194"/>
      <c r="L11" s="194"/>
      <c r="N11" s="182"/>
      <c r="Q11" s="194"/>
      <c r="S11" s="194"/>
      <c r="U11" s="182"/>
      <c r="V11" s="182"/>
    </row>
    <row r="12" spans="1:69" ht="11.1" customHeight="1">
      <c r="A12" s="195" t="s">
        <v>150</v>
      </c>
      <c r="C12" s="194"/>
      <c r="E12" s="194"/>
      <c r="G12" s="182"/>
      <c r="H12" s="195" t="s">
        <v>150</v>
      </c>
      <c r="J12" s="194"/>
      <c r="L12" s="194"/>
      <c r="N12" s="182"/>
      <c r="O12" s="195" t="s">
        <v>150</v>
      </c>
      <c r="Q12" s="194"/>
      <c r="S12" s="194"/>
      <c r="U12" s="182"/>
      <c r="V12" s="182"/>
    </row>
    <row r="13" spans="1:69" ht="11.1" customHeight="1">
      <c r="A13" s="195" t="s">
        <v>151</v>
      </c>
      <c r="C13" s="194"/>
      <c r="E13" s="194"/>
      <c r="G13" s="182"/>
      <c r="H13" s="195" t="s">
        <v>151</v>
      </c>
      <c r="J13" s="194"/>
      <c r="K13" s="197" t="s">
        <v>152</v>
      </c>
      <c r="L13" s="198" t="s">
        <v>153</v>
      </c>
      <c r="M13" s="199" t="s">
        <v>153</v>
      </c>
      <c r="N13" s="188" t="s">
        <v>153</v>
      </c>
      <c r="O13" s="195" t="s">
        <v>151</v>
      </c>
      <c r="P13" s="191">
        <v>74</v>
      </c>
      <c r="Q13" s="200">
        <v>74</v>
      </c>
      <c r="R13" s="197" t="s">
        <v>152</v>
      </c>
      <c r="S13" s="198" t="s">
        <v>153</v>
      </c>
      <c r="T13" s="199" t="s">
        <v>153</v>
      </c>
      <c r="U13" s="188" t="s">
        <v>153</v>
      </c>
      <c r="V13" s="182"/>
    </row>
    <row r="14" spans="1:69" ht="11.1" customHeight="1">
      <c r="A14" s="195" t="s">
        <v>155</v>
      </c>
      <c r="C14" s="194"/>
      <c r="E14" s="194"/>
      <c r="G14" s="182"/>
      <c r="H14" s="195" t="s">
        <v>155</v>
      </c>
      <c r="J14" s="194"/>
      <c r="K14" s="197" t="s">
        <v>152</v>
      </c>
      <c r="L14" s="198" t="s">
        <v>153</v>
      </c>
      <c r="M14" s="199" t="s">
        <v>153</v>
      </c>
      <c r="N14" s="188" t="s">
        <v>153</v>
      </c>
      <c r="O14" s="195" t="s">
        <v>155</v>
      </c>
      <c r="P14" s="191">
        <v>74</v>
      </c>
      <c r="Q14" s="200">
        <v>74</v>
      </c>
      <c r="R14" s="197" t="s">
        <v>152</v>
      </c>
      <c r="S14" s="198" t="s">
        <v>153</v>
      </c>
      <c r="T14" s="199" t="s">
        <v>153</v>
      </c>
      <c r="U14" s="188" t="s">
        <v>153</v>
      </c>
      <c r="V14" s="182"/>
    </row>
    <row r="15" spans="1:69" ht="11.1" customHeight="1">
      <c r="A15" s="195" t="s">
        <v>156</v>
      </c>
      <c r="C15" s="194"/>
      <c r="E15" s="194"/>
      <c r="G15" s="182"/>
      <c r="H15" s="195" t="s">
        <v>156</v>
      </c>
      <c r="I15" s="191">
        <v>74</v>
      </c>
      <c r="J15" s="200">
        <v>74</v>
      </c>
      <c r="K15" s="197" t="s">
        <v>152</v>
      </c>
      <c r="L15" s="198" t="s">
        <v>153</v>
      </c>
      <c r="M15" s="199" t="s">
        <v>153</v>
      </c>
      <c r="N15" s="188" t="s">
        <v>153</v>
      </c>
      <c r="O15" s="195" t="s">
        <v>156</v>
      </c>
      <c r="P15" s="191">
        <v>74</v>
      </c>
      <c r="Q15" s="200">
        <v>74</v>
      </c>
      <c r="R15" s="197" t="s">
        <v>152</v>
      </c>
      <c r="S15" s="198" t="s">
        <v>153</v>
      </c>
      <c r="T15" s="199" t="s">
        <v>153</v>
      </c>
      <c r="U15" s="188" t="s">
        <v>153</v>
      </c>
      <c r="V15" s="182"/>
    </row>
    <row r="16" spans="1:69" ht="11.1" customHeight="1">
      <c r="A16" s="195" t="s">
        <v>157</v>
      </c>
      <c r="C16" s="194"/>
      <c r="D16" s="197" t="s">
        <v>152</v>
      </c>
      <c r="E16" s="198" t="s">
        <v>153</v>
      </c>
      <c r="F16" s="199" t="s">
        <v>153</v>
      </c>
      <c r="G16" s="190" t="s">
        <v>154</v>
      </c>
      <c r="H16" s="195" t="s">
        <v>157</v>
      </c>
      <c r="I16" s="191">
        <v>74</v>
      </c>
      <c r="J16" s="200">
        <v>74</v>
      </c>
      <c r="K16" s="197" t="s">
        <v>152</v>
      </c>
      <c r="L16" s="198" t="s">
        <v>153</v>
      </c>
      <c r="M16" s="199" t="s">
        <v>153</v>
      </c>
      <c r="N16" s="188" t="s">
        <v>153</v>
      </c>
      <c r="O16" s="195" t="s">
        <v>157</v>
      </c>
      <c r="P16" s="191">
        <v>74</v>
      </c>
      <c r="Q16" s="200">
        <v>74</v>
      </c>
      <c r="R16" s="197" t="s">
        <v>152</v>
      </c>
      <c r="S16" s="198" t="s">
        <v>153</v>
      </c>
      <c r="T16" s="199" t="s">
        <v>153</v>
      </c>
      <c r="U16" s="188" t="s">
        <v>153</v>
      </c>
      <c r="V16" s="182"/>
    </row>
    <row r="17" spans="1:24" ht="11.1" customHeight="1">
      <c r="A17" s="195" t="s">
        <v>158</v>
      </c>
      <c r="B17" s="188" t="s">
        <v>153</v>
      </c>
      <c r="C17" s="198" t="s">
        <v>153</v>
      </c>
      <c r="D17" s="197" t="s">
        <v>152</v>
      </c>
      <c r="E17" s="198" t="s">
        <v>153</v>
      </c>
      <c r="F17" s="199" t="s">
        <v>153</v>
      </c>
      <c r="G17" s="190" t="s">
        <v>154</v>
      </c>
      <c r="H17" s="195" t="s">
        <v>158</v>
      </c>
      <c r="I17" s="191">
        <v>74</v>
      </c>
      <c r="J17" s="200">
        <v>74</v>
      </c>
      <c r="K17" s="197" t="s">
        <v>152</v>
      </c>
      <c r="L17" s="198" t="s">
        <v>153</v>
      </c>
      <c r="M17" s="199" t="s">
        <v>153</v>
      </c>
      <c r="N17" s="188" t="s">
        <v>153</v>
      </c>
      <c r="O17" s="195" t="s">
        <v>158</v>
      </c>
      <c r="P17" s="191">
        <v>74</v>
      </c>
      <c r="Q17" s="200">
        <v>74</v>
      </c>
      <c r="R17" s="197" t="s">
        <v>152</v>
      </c>
      <c r="S17" s="198" t="s">
        <v>153</v>
      </c>
      <c r="T17" s="199" t="s">
        <v>153</v>
      </c>
      <c r="U17" s="188" t="s">
        <v>153</v>
      </c>
      <c r="V17" s="182"/>
    </row>
    <row r="18" spans="1:24" ht="11.1" customHeight="1">
      <c r="A18" s="195" t="s">
        <v>159</v>
      </c>
      <c r="B18" s="188" t="s">
        <v>153</v>
      </c>
      <c r="C18" s="198" t="s">
        <v>153</v>
      </c>
      <c r="D18" s="197" t="s">
        <v>152</v>
      </c>
      <c r="E18" s="198" t="s">
        <v>153</v>
      </c>
      <c r="F18" s="199" t="s">
        <v>153</v>
      </c>
      <c r="G18" s="190" t="s">
        <v>154</v>
      </c>
      <c r="H18" s="195" t="s">
        <v>159</v>
      </c>
      <c r="I18" s="191">
        <v>74</v>
      </c>
      <c r="J18" s="200">
        <v>74</v>
      </c>
      <c r="K18" s="197" t="s">
        <v>152</v>
      </c>
      <c r="L18" s="198" t="s">
        <v>153</v>
      </c>
      <c r="M18" s="199" t="s">
        <v>153</v>
      </c>
      <c r="N18" s="188" t="s">
        <v>153</v>
      </c>
      <c r="O18" s="195" t="s">
        <v>159</v>
      </c>
      <c r="P18" s="191">
        <v>74</v>
      </c>
      <c r="Q18" s="200">
        <v>74</v>
      </c>
      <c r="R18" s="197" t="s">
        <v>152</v>
      </c>
      <c r="S18" s="198" t="s">
        <v>153</v>
      </c>
      <c r="T18" s="199" t="s">
        <v>153</v>
      </c>
      <c r="U18" s="188" t="s">
        <v>153</v>
      </c>
      <c r="V18" s="182"/>
    </row>
    <row r="19" spans="1:24" ht="11.1" customHeight="1">
      <c r="A19" s="195" t="s">
        <v>160</v>
      </c>
      <c r="B19" s="188" t="s">
        <v>153</v>
      </c>
      <c r="C19" s="198" t="s">
        <v>153</v>
      </c>
      <c r="D19" s="197" t="s">
        <v>152</v>
      </c>
      <c r="E19" s="198" t="s">
        <v>153</v>
      </c>
      <c r="F19" s="199" t="s">
        <v>153</v>
      </c>
      <c r="G19" s="190" t="s">
        <v>154</v>
      </c>
      <c r="H19" s="195" t="s">
        <v>160</v>
      </c>
      <c r="I19" s="191">
        <v>74</v>
      </c>
      <c r="J19" s="200">
        <v>74</v>
      </c>
      <c r="K19" s="197" t="s">
        <v>152</v>
      </c>
      <c r="L19" s="198" t="s">
        <v>153</v>
      </c>
      <c r="M19" s="199" t="s">
        <v>153</v>
      </c>
      <c r="N19" s="188" t="s">
        <v>153</v>
      </c>
      <c r="O19" s="201" t="s">
        <v>160</v>
      </c>
      <c r="P19" s="191">
        <v>74</v>
      </c>
      <c r="Q19" s="200">
        <v>74</v>
      </c>
      <c r="R19" s="197" t="s">
        <v>152</v>
      </c>
      <c r="S19" s="198" t="s">
        <v>153</v>
      </c>
      <c r="T19" s="199" t="s">
        <v>153</v>
      </c>
      <c r="U19" s="188" t="s">
        <v>153</v>
      </c>
      <c r="V19" s="182"/>
    </row>
    <row r="20" spans="1:24" ht="11.1" customHeight="1">
      <c r="A20" s="195" t="s">
        <v>161</v>
      </c>
      <c r="B20" s="188" t="s">
        <v>153</v>
      </c>
      <c r="C20" s="198" t="s">
        <v>153</v>
      </c>
      <c r="D20" s="197" t="s">
        <v>152</v>
      </c>
      <c r="E20" s="198" t="s">
        <v>153</v>
      </c>
      <c r="F20" s="199" t="s">
        <v>153</v>
      </c>
      <c r="G20" s="190" t="s">
        <v>154</v>
      </c>
      <c r="H20" s="195" t="s">
        <v>161</v>
      </c>
      <c r="I20" s="191">
        <v>74</v>
      </c>
      <c r="J20" s="200">
        <v>74</v>
      </c>
      <c r="K20" s="197" t="s">
        <v>152</v>
      </c>
      <c r="L20" s="198" t="s">
        <v>153</v>
      </c>
      <c r="M20" s="199" t="s">
        <v>153</v>
      </c>
      <c r="N20" s="188" t="s">
        <v>153</v>
      </c>
      <c r="O20" s="201" t="s">
        <v>161</v>
      </c>
      <c r="P20" s="191">
        <v>74</v>
      </c>
      <c r="Q20" s="200">
        <v>74</v>
      </c>
      <c r="R20" s="197" t="s">
        <v>152</v>
      </c>
      <c r="S20" s="198" t="s">
        <v>153</v>
      </c>
      <c r="T20" s="199" t="s">
        <v>153</v>
      </c>
      <c r="U20" s="188" t="s">
        <v>153</v>
      </c>
      <c r="V20" s="182"/>
    </row>
    <row r="21" spans="1:24" ht="11.1" customHeight="1">
      <c r="A21" s="195" t="s">
        <v>162</v>
      </c>
      <c r="B21" s="188" t="s">
        <v>153</v>
      </c>
      <c r="C21" s="198" t="s">
        <v>153</v>
      </c>
      <c r="D21" s="197" t="s">
        <v>152</v>
      </c>
      <c r="E21" s="198" t="s">
        <v>153</v>
      </c>
      <c r="F21" s="199" t="s">
        <v>153</v>
      </c>
      <c r="G21" s="190" t="s">
        <v>154</v>
      </c>
      <c r="H21" s="195" t="s">
        <v>162</v>
      </c>
      <c r="I21" s="191">
        <v>74</v>
      </c>
      <c r="J21" s="200">
        <v>74</v>
      </c>
      <c r="K21" s="197" t="s">
        <v>152</v>
      </c>
      <c r="L21" s="198" t="s">
        <v>153</v>
      </c>
      <c r="M21" s="199" t="s">
        <v>153</v>
      </c>
      <c r="N21" s="188" t="s">
        <v>153</v>
      </c>
      <c r="O21" s="201" t="s">
        <v>162</v>
      </c>
      <c r="P21" s="191">
        <v>74</v>
      </c>
      <c r="Q21" s="200">
        <v>74</v>
      </c>
      <c r="R21" s="197" t="s">
        <v>152</v>
      </c>
      <c r="S21" s="198" t="s">
        <v>153</v>
      </c>
      <c r="T21" s="199" t="s">
        <v>153</v>
      </c>
      <c r="U21" s="188" t="s">
        <v>153</v>
      </c>
      <c r="V21" s="182"/>
    </row>
    <row r="22" spans="1:24" ht="11.1" customHeight="1">
      <c r="A22" s="201" t="s">
        <v>163</v>
      </c>
      <c r="B22" s="188" t="s">
        <v>153</v>
      </c>
      <c r="C22" s="198" t="s">
        <v>153</v>
      </c>
      <c r="D22" s="197" t="s">
        <v>152</v>
      </c>
      <c r="E22" s="198" t="s">
        <v>153</v>
      </c>
      <c r="F22" s="199" t="s">
        <v>153</v>
      </c>
      <c r="G22" s="190" t="s">
        <v>154</v>
      </c>
      <c r="H22" s="201" t="s">
        <v>163</v>
      </c>
      <c r="I22" s="191">
        <v>74</v>
      </c>
      <c r="J22" s="200">
        <v>74</v>
      </c>
      <c r="K22" s="197" t="s">
        <v>152</v>
      </c>
      <c r="L22" s="198" t="s">
        <v>153</v>
      </c>
      <c r="M22" s="199" t="s">
        <v>153</v>
      </c>
      <c r="N22" s="188" t="s">
        <v>153</v>
      </c>
      <c r="O22" s="201" t="s">
        <v>163</v>
      </c>
      <c r="P22" s="191">
        <v>74</v>
      </c>
      <c r="Q22" s="200">
        <v>74</v>
      </c>
      <c r="R22" s="197" t="s">
        <v>152</v>
      </c>
      <c r="S22" s="198" t="s">
        <v>153</v>
      </c>
      <c r="T22" s="199" t="s">
        <v>153</v>
      </c>
      <c r="U22" s="188" t="s">
        <v>153</v>
      </c>
      <c r="V22" s="182"/>
      <c r="W22" s="288">
        <v>46308</v>
      </c>
      <c r="X22" s="290" t="s">
        <v>369</v>
      </c>
    </row>
    <row r="23" spans="1:24" ht="11.1" customHeight="1">
      <c r="A23" s="195" t="s">
        <v>164</v>
      </c>
      <c r="B23" s="188" t="s">
        <v>153</v>
      </c>
      <c r="C23" s="198" t="s">
        <v>153</v>
      </c>
      <c r="D23" s="197" t="s">
        <v>152</v>
      </c>
      <c r="E23" s="198" t="s">
        <v>153</v>
      </c>
      <c r="F23" s="199" t="s">
        <v>153</v>
      </c>
      <c r="G23" s="190" t="s">
        <v>154</v>
      </c>
      <c r="H23" s="195" t="s">
        <v>164</v>
      </c>
      <c r="I23" s="191">
        <v>74</v>
      </c>
      <c r="J23" s="200">
        <v>74</v>
      </c>
      <c r="K23" s="197" t="s">
        <v>152</v>
      </c>
      <c r="L23" s="198" t="s">
        <v>153</v>
      </c>
      <c r="M23" s="199" t="s">
        <v>153</v>
      </c>
      <c r="N23" s="188" t="s">
        <v>153</v>
      </c>
      <c r="O23" s="201" t="s">
        <v>164</v>
      </c>
      <c r="P23" s="191">
        <v>74</v>
      </c>
      <c r="Q23" s="200">
        <v>74</v>
      </c>
      <c r="R23" s="197" t="s">
        <v>152</v>
      </c>
      <c r="S23" s="198" t="s">
        <v>153</v>
      </c>
      <c r="T23" s="199" t="s">
        <v>153</v>
      </c>
      <c r="U23" s="188" t="s">
        <v>153</v>
      </c>
      <c r="V23" s="182"/>
    </row>
    <row r="24" spans="1:24" ht="11.1" customHeight="1">
      <c r="A24" s="201" t="s">
        <v>165</v>
      </c>
      <c r="B24" s="188" t="s">
        <v>153</v>
      </c>
      <c r="C24" s="198" t="s">
        <v>153</v>
      </c>
      <c r="D24" s="197" t="s">
        <v>152</v>
      </c>
      <c r="E24" s="198" t="s">
        <v>153</v>
      </c>
      <c r="F24" s="199" t="s">
        <v>153</v>
      </c>
      <c r="G24" s="190" t="s">
        <v>154</v>
      </c>
      <c r="H24" s="201" t="s">
        <v>165</v>
      </c>
      <c r="I24" s="191">
        <v>74</v>
      </c>
      <c r="J24" s="200">
        <v>74</v>
      </c>
      <c r="K24" s="197" t="s">
        <v>152</v>
      </c>
      <c r="L24" s="198" t="s">
        <v>153</v>
      </c>
      <c r="M24" s="199" t="s">
        <v>153</v>
      </c>
      <c r="N24" s="188" t="s">
        <v>153</v>
      </c>
      <c r="O24" s="201" t="s">
        <v>165</v>
      </c>
      <c r="P24" s="191">
        <v>74</v>
      </c>
      <c r="Q24" s="200">
        <v>74</v>
      </c>
      <c r="R24" s="197" t="s">
        <v>152</v>
      </c>
      <c r="S24" s="198" t="s">
        <v>153</v>
      </c>
      <c r="T24" s="199" t="s">
        <v>153</v>
      </c>
      <c r="U24" s="188" t="s">
        <v>153</v>
      </c>
      <c r="V24" s="182"/>
    </row>
    <row r="25" spans="1:24" ht="10.9" customHeight="1">
      <c r="A25" s="201" t="s">
        <v>166</v>
      </c>
      <c r="B25" s="188" t="s">
        <v>153</v>
      </c>
      <c r="C25" s="198" t="s">
        <v>153</v>
      </c>
      <c r="D25" s="197" t="s">
        <v>152</v>
      </c>
      <c r="E25" s="198" t="s">
        <v>153</v>
      </c>
      <c r="F25" s="199" t="s">
        <v>153</v>
      </c>
      <c r="G25" s="190" t="s">
        <v>154</v>
      </c>
      <c r="H25" s="201" t="s">
        <v>166</v>
      </c>
      <c r="I25" s="191">
        <v>74</v>
      </c>
      <c r="J25" s="200">
        <v>74</v>
      </c>
      <c r="K25" s="197" t="s">
        <v>152</v>
      </c>
      <c r="L25" s="198" t="s">
        <v>153</v>
      </c>
      <c r="M25" s="199" t="s">
        <v>153</v>
      </c>
      <c r="N25" s="188" t="s">
        <v>153</v>
      </c>
      <c r="O25" s="201" t="s">
        <v>166</v>
      </c>
      <c r="P25" s="191">
        <v>74</v>
      </c>
      <c r="Q25" s="200">
        <v>74</v>
      </c>
      <c r="R25" s="197" t="s">
        <v>152</v>
      </c>
      <c r="S25" s="198" t="s">
        <v>153</v>
      </c>
      <c r="T25" s="199" t="s">
        <v>153</v>
      </c>
      <c r="U25" s="188" t="s">
        <v>153</v>
      </c>
      <c r="V25" s="182"/>
    </row>
    <row r="26" spans="1:24" ht="10.9" customHeight="1">
      <c r="A26" s="201" t="s">
        <v>167</v>
      </c>
      <c r="B26" s="188" t="s">
        <v>146</v>
      </c>
      <c r="C26" s="198" t="s">
        <v>146</v>
      </c>
      <c r="D26" s="197" t="s">
        <v>147</v>
      </c>
      <c r="E26" s="198" t="s">
        <v>146</v>
      </c>
      <c r="F26" s="199" t="s">
        <v>146</v>
      </c>
      <c r="G26" s="190" t="s">
        <v>148</v>
      </c>
      <c r="H26" s="201" t="s">
        <v>167</v>
      </c>
      <c r="I26" s="191">
        <v>74</v>
      </c>
      <c r="J26" s="200">
        <v>74</v>
      </c>
      <c r="K26" s="197" t="s">
        <v>147</v>
      </c>
      <c r="L26" s="198" t="s">
        <v>146</v>
      </c>
      <c r="M26" s="199" t="s">
        <v>146</v>
      </c>
      <c r="N26" s="188" t="s">
        <v>146</v>
      </c>
      <c r="O26" s="201" t="s">
        <v>167</v>
      </c>
      <c r="P26" s="191">
        <v>74</v>
      </c>
      <c r="Q26" s="200">
        <v>74</v>
      </c>
      <c r="R26" s="197" t="s">
        <v>147</v>
      </c>
      <c r="S26" s="198" t="s">
        <v>146</v>
      </c>
      <c r="T26" s="199" t="s">
        <v>146</v>
      </c>
      <c r="U26" s="188" t="s">
        <v>146</v>
      </c>
      <c r="V26" s="182"/>
    </row>
    <row r="27" spans="1:24" ht="10.9" customHeight="1">
      <c r="A27" s="201" t="s">
        <v>168</v>
      </c>
      <c r="B27" s="188" t="s">
        <v>146</v>
      </c>
      <c r="C27" s="198" t="s">
        <v>146</v>
      </c>
      <c r="D27" s="197" t="s">
        <v>147</v>
      </c>
      <c r="E27" s="198" t="s">
        <v>146</v>
      </c>
      <c r="F27" s="199" t="s">
        <v>146</v>
      </c>
      <c r="G27" s="190" t="s">
        <v>148</v>
      </c>
      <c r="H27" s="201" t="s">
        <v>168</v>
      </c>
      <c r="I27" s="191">
        <v>74</v>
      </c>
      <c r="J27" s="200">
        <v>74</v>
      </c>
      <c r="K27" s="197" t="s">
        <v>147</v>
      </c>
      <c r="L27" s="198" t="s">
        <v>146</v>
      </c>
      <c r="M27" s="199" t="s">
        <v>146</v>
      </c>
      <c r="N27" s="188" t="s">
        <v>146</v>
      </c>
      <c r="O27" s="201" t="s">
        <v>168</v>
      </c>
      <c r="P27" s="191">
        <v>74</v>
      </c>
      <c r="Q27" s="200">
        <v>74</v>
      </c>
      <c r="R27" s="197" t="s">
        <v>147</v>
      </c>
      <c r="S27" s="198" t="s">
        <v>146</v>
      </c>
      <c r="T27" s="199" t="s">
        <v>146</v>
      </c>
      <c r="U27" s="188" t="s">
        <v>146</v>
      </c>
      <c r="V27" s="182"/>
      <c r="W27" s="288">
        <v>46280</v>
      </c>
      <c r="X27" s="290" t="s">
        <v>330</v>
      </c>
    </row>
    <row r="28" spans="1:24" ht="10.9" customHeight="1">
      <c r="A28" s="201" t="s">
        <v>170</v>
      </c>
      <c r="B28" s="188" t="s">
        <v>146</v>
      </c>
      <c r="C28" s="198" t="s">
        <v>146</v>
      </c>
      <c r="D28" s="197" t="s">
        <v>147</v>
      </c>
      <c r="E28" s="198" t="s">
        <v>146</v>
      </c>
      <c r="F28" s="199" t="s">
        <v>146</v>
      </c>
      <c r="G28" s="190" t="s">
        <v>148</v>
      </c>
      <c r="H28" s="201" t="s">
        <v>170</v>
      </c>
      <c r="I28" s="191">
        <v>74</v>
      </c>
      <c r="J28" s="200">
        <v>74</v>
      </c>
      <c r="K28" s="197" t="s">
        <v>147</v>
      </c>
      <c r="L28" s="198" t="s">
        <v>146</v>
      </c>
      <c r="M28" s="199" t="s">
        <v>146</v>
      </c>
      <c r="N28" s="188" t="s">
        <v>146</v>
      </c>
      <c r="O28" s="201" t="s">
        <v>170</v>
      </c>
      <c r="P28" s="191">
        <v>74</v>
      </c>
      <c r="Q28" s="200">
        <v>74</v>
      </c>
      <c r="R28" s="197" t="s">
        <v>147</v>
      </c>
      <c r="S28" s="198" t="s">
        <v>146</v>
      </c>
      <c r="T28" s="199" t="s">
        <v>146</v>
      </c>
      <c r="U28" s="188" t="s">
        <v>146</v>
      </c>
      <c r="V28" s="182"/>
    </row>
    <row r="29" spans="1:24" ht="10.9" customHeight="1">
      <c r="A29" s="201" t="s">
        <v>171</v>
      </c>
      <c r="B29" s="188" t="s">
        <v>146</v>
      </c>
      <c r="C29" s="198" t="s">
        <v>146</v>
      </c>
      <c r="D29" s="197" t="s">
        <v>147</v>
      </c>
      <c r="E29" s="198" t="s">
        <v>146</v>
      </c>
      <c r="F29" s="199" t="s">
        <v>146</v>
      </c>
      <c r="G29" s="190" t="s">
        <v>148</v>
      </c>
      <c r="H29" s="201" t="s">
        <v>171</v>
      </c>
      <c r="I29" s="191">
        <v>74</v>
      </c>
      <c r="J29" s="200">
        <v>74</v>
      </c>
      <c r="K29" s="197" t="s">
        <v>147</v>
      </c>
      <c r="L29" s="198" t="s">
        <v>146</v>
      </c>
      <c r="M29" s="199" t="s">
        <v>146</v>
      </c>
      <c r="N29" s="188" t="s">
        <v>146</v>
      </c>
      <c r="O29" s="201" t="s">
        <v>171</v>
      </c>
      <c r="P29" s="191">
        <v>74</v>
      </c>
      <c r="Q29" s="200">
        <v>74</v>
      </c>
      <c r="R29" s="197" t="s">
        <v>147</v>
      </c>
      <c r="S29" s="198" t="s">
        <v>146</v>
      </c>
      <c r="T29" s="199" t="s">
        <v>146</v>
      </c>
      <c r="U29" s="188" t="s">
        <v>146</v>
      </c>
      <c r="V29" s="182"/>
    </row>
    <row r="30" spans="1:24" ht="10.9" customHeight="1">
      <c r="A30" s="201" t="s">
        <v>173</v>
      </c>
      <c r="B30" s="188" t="s">
        <v>146</v>
      </c>
      <c r="C30" s="198" t="s">
        <v>146</v>
      </c>
      <c r="D30" s="197" t="s">
        <v>147</v>
      </c>
      <c r="E30" s="198" t="s">
        <v>146</v>
      </c>
      <c r="F30" s="199" t="s">
        <v>146</v>
      </c>
      <c r="G30" s="190" t="s">
        <v>148</v>
      </c>
      <c r="H30" s="201" t="s">
        <v>173</v>
      </c>
      <c r="I30" s="191">
        <v>74</v>
      </c>
      <c r="J30" s="200">
        <v>74</v>
      </c>
      <c r="K30" s="197" t="s">
        <v>147</v>
      </c>
      <c r="L30" s="198" t="s">
        <v>146</v>
      </c>
      <c r="M30" s="199" t="s">
        <v>146</v>
      </c>
      <c r="N30" s="188" t="s">
        <v>146</v>
      </c>
      <c r="O30" s="201" t="s">
        <v>173</v>
      </c>
      <c r="P30" s="191">
        <v>74</v>
      </c>
      <c r="Q30" s="200">
        <v>74</v>
      </c>
      <c r="R30" s="197" t="s">
        <v>147</v>
      </c>
      <c r="S30" s="198" t="s">
        <v>146</v>
      </c>
      <c r="T30" s="199" t="s">
        <v>146</v>
      </c>
      <c r="U30" s="188" t="s">
        <v>146</v>
      </c>
      <c r="V30" s="182"/>
    </row>
    <row r="31" spans="1:24" ht="10.9" customHeight="1">
      <c r="A31" s="201" t="s">
        <v>174</v>
      </c>
      <c r="B31" s="188" t="s">
        <v>146</v>
      </c>
      <c r="C31" s="198" t="s">
        <v>146</v>
      </c>
      <c r="D31" s="197" t="s">
        <v>147</v>
      </c>
      <c r="E31" s="198" t="s">
        <v>146</v>
      </c>
      <c r="F31" s="199" t="s">
        <v>146</v>
      </c>
      <c r="G31" s="190" t="s">
        <v>148</v>
      </c>
      <c r="H31" s="201" t="s">
        <v>174</v>
      </c>
      <c r="I31" s="191">
        <v>74</v>
      </c>
      <c r="J31" s="200">
        <v>74</v>
      </c>
      <c r="K31" s="197" t="s">
        <v>172</v>
      </c>
      <c r="L31" s="198" t="s">
        <v>146</v>
      </c>
      <c r="M31" s="199" t="s">
        <v>146</v>
      </c>
      <c r="N31" s="188" t="s">
        <v>146</v>
      </c>
      <c r="O31" s="201" t="s">
        <v>174</v>
      </c>
      <c r="P31" s="191">
        <v>74</v>
      </c>
      <c r="Q31" s="200">
        <v>74</v>
      </c>
      <c r="R31" s="197" t="s">
        <v>147</v>
      </c>
      <c r="S31" s="198" t="s">
        <v>146</v>
      </c>
      <c r="T31" s="199" t="s">
        <v>146</v>
      </c>
      <c r="U31" s="188" t="s">
        <v>146</v>
      </c>
      <c r="V31" s="182"/>
    </row>
    <row r="32" spans="1:24" ht="10.9" customHeight="1">
      <c r="A32" s="201" t="s">
        <v>175</v>
      </c>
      <c r="B32" s="188" t="s">
        <v>146</v>
      </c>
      <c r="C32" s="198" t="s">
        <v>146</v>
      </c>
      <c r="D32" s="197" t="s">
        <v>147</v>
      </c>
      <c r="E32" s="198" t="s">
        <v>146</v>
      </c>
      <c r="F32" s="199" t="s">
        <v>146</v>
      </c>
      <c r="G32" s="190" t="s">
        <v>148</v>
      </c>
      <c r="H32" s="201" t="s">
        <v>175</v>
      </c>
      <c r="I32" s="191">
        <v>74</v>
      </c>
      <c r="J32" s="200">
        <v>74</v>
      </c>
      <c r="K32" s="197" t="s">
        <v>147</v>
      </c>
      <c r="L32" s="198" t="s">
        <v>146</v>
      </c>
      <c r="M32" s="199" t="s">
        <v>146</v>
      </c>
      <c r="N32" s="188" t="s">
        <v>146</v>
      </c>
      <c r="O32" s="201" t="s">
        <v>175</v>
      </c>
      <c r="P32" s="191">
        <v>74</v>
      </c>
      <c r="Q32" s="200">
        <v>74</v>
      </c>
      <c r="R32" s="197" t="s">
        <v>147</v>
      </c>
      <c r="S32" s="198" t="s">
        <v>146</v>
      </c>
      <c r="T32" s="199" t="s">
        <v>146</v>
      </c>
      <c r="U32" s="188" t="s">
        <v>146</v>
      </c>
      <c r="V32" s="182"/>
      <c r="W32" s="288">
        <v>46245</v>
      </c>
      <c r="X32" s="290" t="s">
        <v>329</v>
      </c>
    </row>
    <row r="33" spans="1:24" ht="10.9" customHeight="1">
      <c r="A33" s="201" t="s">
        <v>176</v>
      </c>
      <c r="B33" s="188" t="s">
        <v>146</v>
      </c>
      <c r="C33" s="198" t="s">
        <v>146</v>
      </c>
      <c r="D33" s="197" t="s">
        <v>147</v>
      </c>
      <c r="E33" s="198" t="s">
        <v>146</v>
      </c>
      <c r="F33" s="199" t="s">
        <v>146</v>
      </c>
      <c r="G33" s="190" t="s">
        <v>148</v>
      </c>
      <c r="H33" s="201" t="s">
        <v>176</v>
      </c>
      <c r="I33" s="191">
        <v>74</v>
      </c>
      <c r="J33" s="200">
        <v>74</v>
      </c>
      <c r="K33" s="197" t="s">
        <v>147</v>
      </c>
      <c r="L33" s="198" t="s">
        <v>146</v>
      </c>
      <c r="M33" s="199" t="s">
        <v>146</v>
      </c>
      <c r="N33" s="188" t="s">
        <v>146</v>
      </c>
      <c r="O33" s="201" t="s">
        <v>176</v>
      </c>
      <c r="P33" s="191">
        <v>74</v>
      </c>
      <c r="Q33" s="200">
        <v>74</v>
      </c>
      <c r="R33" s="197" t="s">
        <v>147</v>
      </c>
      <c r="S33" s="198" t="s">
        <v>146</v>
      </c>
      <c r="T33" s="199" t="s">
        <v>146</v>
      </c>
      <c r="U33" s="188" t="s">
        <v>146</v>
      </c>
      <c r="V33" s="182"/>
    </row>
    <row r="34" spans="1:24" ht="10.9" customHeight="1">
      <c r="A34" s="195" t="s">
        <v>177</v>
      </c>
      <c r="B34" s="188" t="s">
        <v>146</v>
      </c>
      <c r="C34" s="198" t="s">
        <v>169</v>
      </c>
      <c r="D34" s="197" t="s">
        <v>147</v>
      </c>
      <c r="E34" s="198" t="s">
        <v>146</v>
      </c>
      <c r="F34" s="199" t="s">
        <v>146</v>
      </c>
      <c r="G34" s="190" t="s">
        <v>148</v>
      </c>
      <c r="H34" s="195" t="s">
        <v>177</v>
      </c>
      <c r="I34" s="191">
        <v>74</v>
      </c>
      <c r="J34" s="200">
        <v>74</v>
      </c>
      <c r="K34" s="197" t="s">
        <v>147</v>
      </c>
      <c r="L34" s="198" t="s">
        <v>146</v>
      </c>
      <c r="M34" s="199" t="s">
        <v>146</v>
      </c>
      <c r="N34" s="188" t="s">
        <v>146</v>
      </c>
      <c r="O34" s="201" t="s">
        <v>177</v>
      </c>
      <c r="P34" s="191">
        <v>74</v>
      </c>
      <c r="Q34" s="200">
        <v>74</v>
      </c>
      <c r="R34" s="197" t="s">
        <v>147</v>
      </c>
      <c r="S34" s="198" t="s">
        <v>146</v>
      </c>
      <c r="T34" s="199" t="s">
        <v>146</v>
      </c>
      <c r="U34" s="188" t="s">
        <v>146</v>
      </c>
      <c r="V34" s="182"/>
    </row>
    <row r="35" spans="1:24" ht="10.9" customHeight="1">
      <c r="A35" s="195" t="s">
        <v>178</v>
      </c>
      <c r="B35" s="188" t="s">
        <v>169</v>
      </c>
      <c r="C35" s="198" t="s">
        <v>146</v>
      </c>
      <c r="D35" s="197" t="s">
        <v>147</v>
      </c>
      <c r="E35" s="198" t="s">
        <v>146</v>
      </c>
      <c r="F35" s="199" t="s">
        <v>146</v>
      </c>
      <c r="G35" s="190" t="s">
        <v>148</v>
      </c>
      <c r="H35" s="195" t="s">
        <v>178</v>
      </c>
      <c r="I35" s="191">
        <v>74</v>
      </c>
      <c r="J35" s="200">
        <v>74</v>
      </c>
      <c r="K35" s="197" t="s">
        <v>147</v>
      </c>
      <c r="L35" s="198" t="s">
        <v>146</v>
      </c>
      <c r="M35" s="199" t="s">
        <v>146</v>
      </c>
      <c r="N35" s="188" t="s">
        <v>146</v>
      </c>
      <c r="O35" s="201" t="s">
        <v>178</v>
      </c>
      <c r="P35" s="191">
        <v>74</v>
      </c>
      <c r="Q35" s="200">
        <v>74</v>
      </c>
      <c r="R35" s="197" t="s">
        <v>147</v>
      </c>
      <c r="S35" s="198" t="s">
        <v>146</v>
      </c>
      <c r="T35" s="199" t="s">
        <v>146</v>
      </c>
      <c r="U35" s="188" t="s">
        <v>146</v>
      </c>
      <c r="V35" s="182"/>
    </row>
    <row r="36" spans="1:24" ht="10.9" customHeight="1">
      <c r="A36" s="195" t="s">
        <v>179</v>
      </c>
      <c r="B36" s="188" t="s">
        <v>146</v>
      </c>
      <c r="C36" s="198" t="s">
        <v>146</v>
      </c>
      <c r="D36" s="197" t="s">
        <v>147</v>
      </c>
      <c r="E36" s="198" t="s">
        <v>146</v>
      </c>
      <c r="F36" s="199" t="s">
        <v>146</v>
      </c>
      <c r="G36" s="190" t="s">
        <v>148</v>
      </c>
      <c r="H36" s="195" t="s">
        <v>179</v>
      </c>
      <c r="I36" s="191">
        <v>74</v>
      </c>
      <c r="J36" s="200">
        <v>74</v>
      </c>
      <c r="K36" s="197" t="s">
        <v>147</v>
      </c>
      <c r="L36" s="198" t="s">
        <v>169</v>
      </c>
      <c r="M36" s="199" t="s">
        <v>146</v>
      </c>
      <c r="N36" s="188" t="s">
        <v>146</v>
      </c>
      <c r="O36" s="201" t="s">
        <v>179</v>
      </c>
      <c r="P36" s="191">
        <v>74</v>
      </c>
      <c r="Q36" s="200">
        <v>74</v>
      </c>
      <c r="R36" s="197" t="s">
        <v>147</v>
      </c>
      <c r="S36" s="198" t="s">
        <v>146</v>
      </c>
      <c r="T36" s="199" t="s">
        <v>146</v>
      </c>
      <c r="U36" s="188" t="s">
        <v>146</v>
      </c>
      <c r="V36" s="182"/>
    </row>
    <row r="37" spans="1:24" ht="10.9" customHeight="1">
      <c r="A37" s="195" t="s">
        <v>180</v>
      </c>
      <c r="B37" s="188" t="s">
        <v>146</v>
      </c>
      <c r="C37" s="198" t="s">
        <v>146</v>
      </c>
      <c r="D37" s="197" t="s">
        <v>147</v>
      </c>
      <c r="E37" s="198" t="s">
        <v>146</v>
      </c>
      <c r="F37" s="199" t="s">
        <v>146</v>
      </c>
      <c r="G37" s="190" t="s">
        <v>148</v>
      </c>
      <c r="H37" s="195" t="s">
        <v>180</v>
      </c>
      <c r="I37" s="191">
        <v>74</v>
      </c>
      <c r="J37" s="200">
        <v>74</v>
      </c>
      <c r="K37" s="197" t="s">
        <v>147</v>
      </c>
      <c r="L37" s="198" t="s">
        <v>146</v>
      </c>
      <c r="M37" s="199" t="s">
        <v>146</v>
      </c>
      <c r="N37" s="188" t="s">
        <v>146</v>
      </c>
      <c r="O37" s="195" t="s">
        <v>180</v>
      </c>
      <c r="P37" s="191">
        <v>74</v>
      </c>
      <c r="Q37" s="200">
        <v>74</v>
      </c>
      <c r="R37" s="197" t="s">
        <v>147</v>
      </c>
      <c r="S37" s="198" t="s">
        <v>146</v>
      </c>
      <c r="T37" s="199" t="s">
        <v>146</v>
      </c>
      <c r="U37" s="188" t="s">
        <v>146</v>
      </c>
      <c r="V37" s="182"/>
      <c r="W37" s="288">
        <v>46218</v>
      </c>
      <c r="X37" s="290" t="s">
        <v>328</v>
      </c>
    </row>
    <row r="38" spans="1:24" ht="10.9" customHeight="1">
      <c r="A38" s="195" t="s">
        <v>181</v>
      </c>
      <c r="B38" s="188" t="s">
        <v>146</v>
      </c>
      <c r="C38" s="198" t="s">
        <v>146</v>
      </c>
      <c r="D38" s="197" t="s">
        <v>147</v>
      </c>
      <c r="E38" s="198" t="s">
        <v>146</v>
      </c>
      <c r="F38" s="199" t="s">
        <v>146</v>
      </c>
      <c r="G38" s="190" t="s">
        <v>148</v>
      </c>
      <c r="H38" s="195" t="s">
        <v>181</v>
      </c>
      <c r="I38" s="191">
        <v>74</v>
      </c>
      <c r="J38" s="200">
        <v>74</v>
      </c>
      <c r="K38" s="197" t="s">
        <v>147</v>
      </c>
      <c r="L38" s="198" t="s">
        <v>146</v>
      </c>
      <c r="M38" s="199" t="s">
        <v>146</v>
      </c>
      <c r="N38" s="188" t="s">
        <v>169</v>
      </c>
      <c r="O38" s="195" t="s">
        <v>181</v>
      </c>
      <c r="P38" s="191">
        <v>74</v>
      </c>
      <c r="Q38" s="200">
        <v>74</v>
      </c>
      <c r="R38" s="197" t="s">
        <v>147</v>
      </c>
      <c r="S38" s="198" t="s">
        <v>146</v>
      </c>
      <c r="T38" s="199" t="s">
        <v>146</v>
      </c>
      <c r="U38" s="188" t="s">
        <v>146</v>
      </c>
      <c r="V38" s="182"/>
    </row>
    <row r="39" spans="1:24" ht="10.9" customHeight="1">
      <c r="A39" s="195" t="s">
        <v>182</v>
      </c>
      <c r="B39" s="188" t="s">
        <v>146</v>
      </c>
      <c r="C39" s="198" t="s">
        <v>146</v>
      </c>
      <c r="D39" s="197" t="s">
        <v>147</v>
      </c>
      <c r="E39" s="198" t="s">
        <v>146</v>
      </c>
      <c r="F39" s="199" t="s">
        <v>146</v>
      </c>
      <c r="G39" s="190" t="s">
        <v>148</v>
      </c>
      <c r="H39" s="195" t="s">
        <v>182</v>
      </c>
      <c r="I39" s="191">
        <v>74</v>
      </c>
      <c r="J39" s="200">
        <v>74</v>
      </c>
      <c r="K39" s="197" t="s">
        <v>147</v>
      </c>
      <c r="L39" s="198" t="s">
        <v>146</v>
      </c>
      <c r="M39" s="199" t="s">
        <v>146</v>
      </c>
      <c r="N39" s="188" t="s">
        <v>169</v>
      </c>
      <c r="O39" s="195" t="s">
        <v>182</v>
      </c>
      <c r="P39" s="191">
        <v>74</v>
      </c>
      <c r="Q39" s="200">
        <v>74</v>
      </c>
      <c r="R39" s="197" t="s">
        <v>147</v>
      </c>
      <c r="S39" s="198" t="s">
        <v>146</v>
      </c>
      <c r="T39" s="199" t="s">
        <v>146</v>
      </c>
      <c r="U39" s="188" t="s">
        <v>146</v>
      </c>
      <c r="V39" s="182"/>
    </row>
    <row r="40" spans="1:24" ht="10.9" customHeight="1">
      <c r="A40" s="195" t="s">
        <v>183</v>
      </c>
      <c r="B40" s="188" t="s">
        <v>146</v>
      </c>
      <c r="C40" s="198" t="s">
        <v>146</v>
      </c>
      <c r="D40" s="197" t="s">
        <v>147</v>
      </c>
      <c r="E40" s="198" t="s">
        <v>146</v>
      </c>
      <c r="F40" s="199" t="s">
        <v>146</v>
      </c>
      <c r="G40" s="190" t="s">
        <v>148</v>
      </c>
      <c r="H40" s="195" t="s">
        <v>183</v>
      </c>
      <c r="I40" s="191">
        <v>74</v>
      </c>
      <c r="J40" s="200">
        <v>74</v>
      </c>
      <c r="K40" s="197" t="s">
        <v>147</v>
      </c>
      <c r="L40" s="198" t="s">
        <v>146</v>
      </c>
      <c r="M40" s="199" t="s">
        <v>146</v>
      </c>
      <c r="N40" s="208" t="s">
        <v>146</v>
      </c>
      <c r="O40" s="195" t="s">
        <v>183</v>
      </c>
      <c r="P40" s="191">
        <v>74</v>
      </c>
      <c r="Q40" s="200">
        <v>74</v>
      </c>
      <c r="R40" s="197" t="s">
        <v>147</v>
      </c>
      <c r="S40" s="207"/>
      <c r="T40" s="205"/>
      <c r="U40" s="206"/>
      <c r="V40" s="182"/>
    </row>
    <row r="41" spans="1:24" ht="10.9" customHeight="1">
      <c r="A41" s="195" t="s">
        <v>184</v>
      </c>
      <c r="B41" s="188" t="s">
        <v>146</v>
      </c>
      <c r="C41" s="198" t="s">
        <v>146</v>
      </c>
      <c r="D41" s="197" t="s">
        <v>147</v>
      </c>
      <c r="E41" s="207"/>
      <c r="F41" s="199" t="s">
        <v>146</v>
      </c>
      <c r="G41" s="190" t="s">
        <v>148</v>
      </c>
      <c r="H41" s="195" t="s">
        <v>184</v>
      </c>
      <c r="I41" s="191">
        <v>74</v>
      </c>
      <c r="J41" s="200">
        <v>74</v>
      </c>
      <c r="K41" s="197" t="s">
        <v>147</v>
      </c>
      <c r="L41" s="207"/>
      <c r="M41" s="209"/>
      <c r="N41" s="210" t="s">
        <v>185</v>
      </c>
      <c r="O41" s="195" t="s">
        <v>184</v>
      </c>
      <c r="P41" s="191">
        <v>74</v>
      </c>
      <c r="Q41" s="200">
        <v>74</v>
      </c>
      <c r="R41" s="197" t="s">
        <v>147</v>
      </c>
      <c r="S41" s="207"/>
      <c r="T41" s="205"/>
      <c r="U41" s="206"/>
      <c r="V41" s="182"/>
    </row>
    <row r="42" spans="1:24" ht="12" customHeight="1">
      <c r="A42" s="212"/>
      <c r="B42" s="187" t="s">
        <v>187</v>
      </c>
      <c r="C42" s="213" t="s">
        <v>188</v>
      </c>
      <c r="D42" s="214" t="s">
        <v>142</v>
      </c>
      <c r="E42" s="213" t="s">
        <v>143</v>
      </c>
      <c r="F42" s="214" t="s">
        <v>144</v>
      </c>
      <c r="G42" s="187" t="s">
        <v>145</v>
      </c>
      <c r="H42" s="212"/>
      <c r="I42" s="187" t="s">
        <v>187</v>
      </c>
      <c r="J42" s="213" t="s">
        <v>188</v>
      </c>
      <c r="K42" s="214" t="s">
        <v>142</v>
      </c>
      <c r="L42" s="213" t="s">
        <v>143</v>
      </c>
      <c r="M42" s="214" t="s">
        <v>144</v>
      </c>
      <c r="N42" s="215" t="s">
        <v>145</v>
      </c>
      <c r="O42" s="212"/>
      <c r="P42" s="187" t="s">
        <v>189</v>
      </c>
      <c r="Q42" s="213" t="s">
        <v>190</v>
      </c>
      <c r="R42" s="214" t="s">
        <v>142</v>
      </c>
      <c r="S42" s="213" t="s">
        <v>143</v>
      </c>
      <c r="T42" s="214" t="s">
        <v>144</v>
      </c>
      <c r="U42" s="187" t="s">
        <v>145</v>
      </c>
      <c r="V42" s="182"/>
    </row>
    <row r="43" spans="1:24" ht="12" customHeight="1">
      <c r="A43" s="186"/>
      <c r="B43" s="186"/>
      <c r="C43" s="186"/>
      <c r="D43" s="186"/>
      <c r="E43" s="186"/>
      <c r="F43" s="186"/>
      <c r="H43" s="186"/>
      <c r="I43" s="186"/>
      <c r="J43" s="186"/>
      <c r="K43" s="186"/>
      <c r="L43" s="186"/>
      <c r="M43" s="186"/>
      <c r="O43" s="186"/>
      <c r="P43" s="186"/>
      <c r="Q43" s="186"/>
      <c r="R43" s="186"/>
      <c r="S43" s="186"/>
      <c r="T43" s="186"/>
    </row>
    <row r="44" spans="1:24" ht="12.75" customHeight="1"/>
    <row r="45" spans="1:24" ht="3.75" customHeight="1">
      <c r="G45" s="216"/>
      <c r="N45" s="216"/>
      <c r="U45" s="216"/>
    </row>
    <row r="46" spans="1:24">
      <c r="A46" s="185"/>
      <c r="B46" s="308" t="s">
        <v>129</v>
      </c>
      <c r="C46" s="308"/>
      <c r="D46" s="308"/>
      <c r="E46" s="308"/>
      <c r="F46" s="308"/>
      <c r="G46" s="308"/>
      <c r="I46" s="308" t="s">
        <v>129</v>
      </c>
      <c r="J46" s="308"/>
      <c r="K46" s="308"/>
      <c r="L46" s="308"/>
      <c r="M46" s="308"/>
      <c r="N46" s="308"/>
      <c r="O46" s="185"/>
      <c r="P46" s="309" t="s">
        <v>129</v>
      </c>
      <c r="Q46" s="309"/>
      <c r="R46" s="309"/>
      <c r="S46" s="309"/>
      <c r="T46" s="309"/>
    </row>
    <row r="47" spans="1:24">
      <c r="A47" s="185"/>
      <c r="B47" s="310" t="s">
        <v>133</v>
      </c>
      <c r="C47" s="310"/>
      <c r="D47" s="310"/>
      <c r="E47" s="310"/>
      <c r="F47" s="310"/>
      <c r="G47" s="310"/>
      <c r="H47" s="185"/>
      <c r="I47" s="310" t="s">
        <v>134</v>
      </c>
      <c r="J47" s="310"/>
      <c r="K47" s="310"/>
      <c r="L47" s="310"/>
      <c r="M47" s="310"/>
      <c r="N47" s="310"/>
      <c r="O47" s="185"/>
      <c r="P47" s="310" t="s">
        <v>135</v>
      </c>
      <c r="Q47" s="310"/>
      <c r="R47" s="310"/>
      <c r="S47" s="310"/>
      <c r="T47" s="310"/>
    </row>
    <row r="48" spans="1:24">
      <c r="A48" s="184"/>
      <c r="B48" s="187" t="s">
        <v>136</v>
      </c>
      <c r="C48" s="187" t="s">
        <v>137</v>
      </c>
      <c r="D48" s="187" t="s">
        <v>142</v>
      </c>
      <c r="E48" s="187" t="s">
        <v>143</v>
      </c>
      <c r="F48" s="187" t="s">
        <v>144</v>
      </c>
      <c r="G48" s="187" t="s">
        <v>145</v>
      </c>
      <c r="H48" s="184"/>
      <c r="I48" s="187" t="s">
        <v>136</v>
      </c>
      <c r="J48" s="187" t="s">
        <v>137</v>
      </c>
      <c r="K48" s="187" t="s">
        <v>142</v>
      </c>
      <c r="L48" s="187" t="s">
        <v>143</v>
      </c>
      <c r="M48" s="187" t="s">
        <v>144</v>
      </c>
      <c r="N48" s="187" t="s">
        <v>145</v>
      </c>
      <c r="O48" s="184"/>
      <c r="P48" s="187" t="s">
        <v>136</v>
      </c>
      <c r="Q48" s="187" t="s">
        <v>137</v>
      </c>
      <c r="R48" s="187" t="s">
        <v>142</v>
      </c>
      <c r="S48" s="187" t="s">
        <v>143</v>
      </c>
      <c r="T48" s="187" t="s">
        <v>144</v>
      </c>
    </row>
    <row r="49" spans="1:20">
      <c r="B49" s="188" t="s">
        <v>146</v>
      </c>
      <c r="C49" s="188" t="s">
        <v>146</v>
      </c>
      <c r="D49" s="189" t="s">
        <v>147</v>
      </c>
      <c r="E49" s="188" t="s">
        <v>146</v>
      </c>
      <c r="F49" s="188" t="s">
        <v>146</v>
      </c>
      <c r="G49" s="190" t="s">
        <v>148</v>
      </c>
      <c r="H49" s="185"/>
      <c r="I49" s="190" t="s">
        <v>148</v>
      </c>
      <c r="J49" s="188" t="s">
        <v>146</v>
      </c>
      <c r="K49" s="188" t="s">
        <v>146</v>
      </c>
      <c r="L49" s="189" t="s">
        <v>147</v>
      </c>
      <c r="M49" s="188" t="s">
        <v>146</v>
      </c>
      <c r="N49" s="188" t="s">
        <v>146</v>
      </c>
      <c r="P49" s="189" t="s">
        <v>147</v>
      </c>
      <c r="Q49" s="188" t="s">
        <v>146</v>
      </c>
      <c r="R49" s="188" t="s">
        <v>146</v>
      </c>
      <c r="S49" s="189" t="s">
        <v>147</v>
      </c>
      <c r="T49" s="188" t="s">
        <v>146</v>
      </c>
    </row>
    <row r="50" spans="1:20">
      <c r="A50" s="192"/>
      <c r="B50" s="210">
        <v>29</v>
      </c>
      <c r="C50" s="210">
        <v>29</v>
      </c>
      <c r="D50" s="210">
        <v>29</v>
      </c>
      <c r="E50" s="210">
        <v>26</v>
      </c>
      <c r="F50" s="210">
        <v>26</v>
      </c>
      <c r="G50" s="210">
        <v>26</v>
      </c>
      <c r="H50" s="192"/>
      <c r="I50" s="210">
        <v>25</v>
      </c>
      <c r="J50" s="210">
        <v>27</v>
      </c>
      <c r="K50" s="210">
        <v>27</v>
      </c>
      <c r="L50" s="210">
        <v>27</v>
      </c>
      <c r="M50" s="210">
        <v>26</v>
      </c>
      <c r="N50" s="210">
        <v>27</v>
      </c>
      <c r="O50" s="192"/>
      <c r="P50" s="210">
        <v>23</v>
      </c>
      <c r="Q50" s="210">
        <v>23</v>
      </c>
      <c r="R50" s="210">
        <v>18</v>
      </c>
      <c r="S50" s="210">
        <v>18</v>
      </c>
      <c r="T50" s="210">
        <v>18</v>
      </c>
    </row>
    <row r="51" spans="1:20">
      <c r="A51" s="192"/>
      <c r="B51" s="210"/>
      <c r="C51" s="210"/>
      <c r="D51" s="210"/>
      <c r="E51" s="210"/>
      <c r="F51" s="210"/>
      <c r="G51" s="210"/>
      <c r="H51" s="192"/>
      <c r="I51" s="210"/>
      <c r="J51" s="210"/>
      <c r="K51" s="210"/>
      <c r="L51" s="210"/>
      <c r="M51" s="210"/>
      <c r="N51" s="210"/>
      <c r="O51" s="192"/>
      <c r="P51" s="210"/>
      <c r="Q51" s="210"/>
      <c r="R51" s="210"/>
      <c r="S51" s="210"/>
      <c r="T51" s="210"/>
    </row>
    <row r="52" spans="1:20" ht="12" thickBot="1">
      <c r="A52" s="192"/>
      <c r="B52" s="185"/>
      <c r="C52" s="185"/>
      <c r="D52" s="185"/>
      <c r="E52" s="185"/>
      <c r="F52" s="185"/>
      <c r="G52" s="185"/>
      <c r="H52" s="192"/>
      <c r="I52" s="185"/>
      <c r="J52" s="185"/>
      <c r="K52" s="185"/>
      <c r="L52" s="185"/>
      <c r="M52" s="185"/>
      <c r="N52" s="185"/>
      <c r="O52" s="192"/>
      <c r="P52" s="185"/>
      <c r="Q52" s="185"/>
      <c r="R52" s="185"/>
      <c r="S52" s="185"/>
      <c r="T52" s="185"/>
    </row>
    <row r="53" spans="1:20" ht="12" thickBot="1">
      <c r="B53" s="193" t="s">
        <v>149</v>
      </c>
      <c r="G53" s="182"/>
      <c r="J53" s="193" t="s">
        <v>149</v>
      </c>
      <c r="L53" s="193" t="s">
        <v>149</v>
      </c>
      <c r="N53" s="283"/>
      <c r="P53" s="193" t="s">
        <v>149</v>
      </c>
      <c r="S53" s="193" t="s">
        <v>149</v>
      </c>
      <c r="T53" s="283"/>
    </row>
    <row r="54" spans="1:20">
      <c r="A54" s="196"/>
      <c r="B54" s="196"/>
      <c r="C54" s="194"/>
      <c r="D54" s="196"/>
      <c r="E54" s="194"/>
      <c r="F54" s="196"/>
      <c r="G54" s="196"/>
      <c r="H54" s="196"/>
      <c r="J54" s="194"/>
      <c r="L54" s="194"/>
      <c r="N54" s="182"/>
      <c r="P54" s="196"/>
      <c r="Q54" s="194"/>
      <c r="R54" s="196"/>
      <c r="S54" s="196"/>
      <c r="T54" s="196"/>
    </row>
    <row r="55" spans="1:20">
      <c r="A55" s="195" t="s">
        <v>150</v>
      </c>
      <c r="B55" s="196"/>
      <c r="C55" s="194"/>
      <c r="D55" s="196"/>
      <c r="E55" s="194"/>
      <c r="F55" s="196"/>
      <c r="G55" s="196"/>
      <c r="H55" s="195" t="s">
        <v>150</v>
      </c>
      <c r="I55" s="196"/>
      <c r="J55" s="194"/>
      <c r="K55" s="196"/>
      <c r="L55" s="194"/>
      <c r="M55" s="196"/>
      <c r="N55" s="196"/>
      <c r="O55" s="195" t="s">
        <v>150</v>
      </c>
      <c r="P55" s="196"/>
      <c r="Q55" s="194"/>
      <c r="R55" s="196"/>
      <c r="S55" s="196"/>
      <c r="T55" s="196"/>
    </row>
    <row r="56" spans="1:20">
      <c r="A56" s="195" t="s">
        <v>151</v>
      </c>
      <c r="B56" s="188" t="s">
        <v>153</v>
      </c>
      <c r="C56" s="198" t="s">
        <v>153</v>
      </c>
      <c r="D56" s="197" t="s">
        <v>152</v>
      </c>
      <c r="E56" s="198" t="s">
        <v>153</v>
      </c>
      <c r="F56" s="199" t="s">
        <v>153</v>
      </c>
      <c r="G56" s="190" t="s">
        <v>154</v>
      </c>
      <c r="H56" s="195" t="s">
        <v>151</v>
      </c>
      <c r="I56" s="196"/>
      <c r="J56" s="194"/>
      <c r="K56" s="196"/>
      <c r="L56" s="194"/>
      <c r="M56" s="196"/>
      <c r="N56" s="196"/>
      <c r="O56" s="195" t="s">
        <v>151</v>
      </c>
      <c r="P56" s="196"/>
      <c r="Q56" s="194"/>
      <c r="R56" s="196"/>
      <c r="S56" s="196"/>
      <c r="T56" s="196"/>
    </row>
    <row r="57" spans="1:20">
      <c r="A57" s="195" t="s">
        <v>155</v>
      </c>
      <c r="B57" s="188" t="s">
        <v>153</v>
      </c>
      <c r="C57" s="198" t="s">
        <v>153</v>
      </c>
      <c r="D57" s="197" t="s">
        <v>152</v>
      </c>
      <c r="E57" s="198" t="s">
        <v>153</v>
      </c>
      <c r="F57" s="199" t="s">
        <v>153</v>
      </c>
      <c r="G57" s="190" t="s">
        <v>154</v>
      </c>
      <c r="H57" s="195" t="s">
        <v>155</v>
      </c>
      <c r="I57" s="196"/>
      <c r="J57" s="194"/>
      <c r="K57" s="196"/>
      <c r="L57" s="194"/>
      <c r="M57" s="196"/>
      <c r="N57" s="196"/>
      <c r="O57" s="195" t="s">
        <v>155</v>
      </c>
      <c r="P57" s="196"/>
      <c r="Q57" s="194"/>
      <c r="R57" s="196"/>
      <c r="S57" s="196"/>
      <c r="T57" s="196"/>
    </row>
    <row r="58" spans="1:20">
      <c r="A58" s="195" t="s">
        <v>156</v>
      </c>
      <c r="B58" s="188" t="s">
        <v>153</v>
      </c>
      <c r="C58" s="198" t="s">
        <v>153</v>
      </c>
      <c r="D58" s="197" t="s">
        <v>152</v>
      </c>
      <c r="E58" s="198" t="s">
        <v>153</v>
      </c>
      <c r="F58" s="199" t="s">
        <v>153</v>
      </c>
      <c r="G58" s="190" t="s">
        <v>154</v>
      </c>
      <c r="H58" s="195" t="s">
        <v>156</v>
      </c>
      <c r="I58" s="190" t="s">
        <v>154</v>
      </c>
      <c r="J58" s="198" t="s">
        <v>153</v>
      </c>
      <c r="K58" s="199" t="s">
        <v>153</v>
      </c>
      <c r="L58" s="202" t="s">
        <v>152</v>
      </c>
      <c r="M58" s="199" t="s">
        <v>153</v>
      </c>
      <c r="N58" s="188" t="s">
        <v>153</v>
      </c>
      <c r="O58" s="195" t="s">
        <v>156</v>
      </c>
      <c r="P58" s="196"/>
      <c r="Q58" s="194"/>
      <c r="R58" s="196"/>
      <c r="S58" s="196"/>
      <c r="T58" s="196"/>
    </row>
    <row r="59" spans="1:20">
      <c r="A59" s="195" t="s">
        <v>157</v>
      </c>
      <c r="B59" s="188" t="s">
        <v>153</v>
      </c>
      <c r="C59" s="198" t="s">
        <v>153</v>
      </c>
      <c r="D59" s="197" t="s">
        <v>152</v>
      </c>
      <c r="E59" s="198" t="s">
        <v>153</v>
      </c>
      <c r="F59" s="199" t="s">
        <v>153</v>
      </c>
      <c r="G59" s="190" t="s">
        <v>154</v>
      </c>
      <c r="H59" s="195" t="s">
        <v>157</v>
      </c>
      <c r="I59" s="190" t="s">
        <v>154</v>
      </c>
      <c r="J59" s="198" t="s">
        <v>153</v>
      </c>
      <c r="K59" s="199" t="s">
        <v>153</v>
      </c>
      <c r="L59" s="202" t="s">
        <v>152</v>
      </c>
      <c r="M59" s="199" t="s">
        <v>153</v>
      </c>
      <c r="N59" s="188" t="s">
        <v>153</v>
      </c>
      <c r="O59" s="195" t="s">
        <v>157</v>
      </c>
      <c r="P59" s="196"/>
      <c r="Q59" s="194"/>
      <c r="R59" s="196"/>
      <c r="S59" s="196"/>
      <c r="T59" s="196"/>
    </row>
    <row r="60" spans="1:20">
      <c r="A60" s="195" t="s">
        <v>158</v>
      </c>
      <c r="B60" s="188" t="s">
        <v>153</v>
      </c>
      <c r="C60" s="198" t="s">
        <v>153</v>
      </c>
      <c r="D60" s="197" t="s">
        <v>152</v>
      </c>
      <c r="E60" s="198" t="s">
        <v>153</v>
      </c>
      <c r="F60" s="199" t="s">
        <v>153</v>
      </c>
      <c r="G60" s="190" t="s">
        <v>154</v>
      </c>
      <c r="H60" s="195" t="s">
        <v>158</v>
      </c>
      <c r="I60" s="190" t="s">
        <v>154</v>
      </c>
      <c r="J60" s="198" t="s">
        <v>153</v>
      </c>
      <c r="K60" s="199" t="s">
        <v>153</v>
      </c>
      <c r="L60" s="202" t="s">
        <v>152</v>
      </c>
      <c r="M60" s="199" t="s">
        <v>153</v>
      </c>
      <c r="N60" s="188" t="s">
        <v>153</v>
      </c>
      <c r="O60" s="195" t="s">
        <v>158</v>
      </c>
      <c r="P60" s="196"/>
      <c r="Q60" s="194"/>
      <c r="R60" s="196"/>
      <c r="S60" s="196"/>
      <c r="T60" s="196"/>
    </row>
    <row r="61" spans="1:20">
      <c r="A61" s="195" t="s">
        <v>159</v>
      </c>
      <c r="B61" s="188" t="s">
        <v>153</v>
      </c>
      <c r="C61" s="198" t="s">
        <v>153</v>
      </c>
      <c r="D61" s="197" t="s">
        <v>152</v>
      </c>
      <c r="E61" s="198" t="s">
        <v>153</v>
      </c>
      <c r="F61" s="199" t="s">
        <v>153</v>
      </c>
      <c r="G61" s="190" t="s">
        <v>154</v>
      </c>
      <c r="H61" s="195" t="s">
        <v>159</v>
      </c>
      <c r="I61" s="190" t="s">
        <v>154</v>
      </c>
      <c r="J61" s="198" t="s">
        <v>153</v>
      </c>
      <c r="K61" s="199" t="s">
        <v>153</v>
      </c>
      <c r="L61" s="202" t="s">
        <v>152</v>
      </c>
      <c r="M61" s="199" t="s">
        <v>153</v>
      </c>
      <c r="N61" s="188" t="s">
        <v>153</v>
      </c>
      <c r="O61" s="195" t="s">
        <v>159</v>
      </c>
      <c r="P61" s="196"/>
      <c r="Q61" s="194"/>
      <c r="R61" s="196"/>
      <c r="S61" s="196"/>
      <c r="T61" s="196"/>
    </row>
    <row r="62" spans="1:20">
      <c r="A62" s="201" t="s">
        <v>160</v>
      </c>
      <c r="B62" s="188" t="s">
        <v>153</v>
      </c>
      <c r="C62" s="198" t="s">
        <v>153</v>
      </c>
      <c r="D62" s="197" t="s">
        <v>152</v>
      </c>
      <c r="E62" s="198" t="s">
        <v>153</v>
      </c>
      <c r="F62" s="199" t="s">
        <v>153</v>
      </c>
      <c r="G62" s="190" t="s">
        <v>154</v>
      </c>
      <c r="H62" s="201" t="s">
        <v>160</v>
      </c>
      <c r="I62" s="190" t="s">
        <v>154</v>
      </c>
      <c r="J62" s="198" t="s">
        <v>153</v>
      </c>
      <c r="K62" s="199" t="s">
        <v>153</v>
      </c>
      <c r="L62" s="202" t="s">
        <v>152</v>
      </c>
      <c r="M62" s="199" t="s">
        <v>153</v>
      </c>
      <c r="N62" s="204" t="s">
        <v>153</v>
      </c>
      <c r="O62" s="201" t="s">
        <v>160</v>
      </c>
      <c r="P62" s="197" t="s">
        <v>152</v>
      </c>
      <c r="Q62" s="198" t="s">
        <v>153</v>
      </c>
      <c r="R62" s="196"/>
      <c r="S62" s="196"/>
      <c r="T62" s="196"/>
    </row>
    <row r="63" spans="1:20">
      <c r="A63" s="201" t="s">
        <v>161</v>
      </c>
      <c r="B63" s="188" t="s">
        <v>153</v>
      </c>
      <c r="C63" s="198" t="s">
        <v>153</v>
      </c>
      <c r="D63" s="197" t="s">
        <v>152</v>
      </c>
      <c r="E63" s="198" t="s">
        <v>153</v>
      </c>
      <c r="F63" s="199" t="s">
        <v>153</v>
      </c>
      <c r="G63" s="190" t="s">
        <v>154</v>
      </c>
      <c r="H63" s="201" t="s">
        <v>161</v>
      </c>
      <c r="I63" s="190" t="s">
        <v>154</v>
      </c>
      <c r="J63" s="198" t="s">
        <v>153</v>
      </c>
      <c r="K63" s="199" t="s">
        <v>153</v>
      </c>
      <c r="L63" s="202" t="s">
        <v>152</v>
      </c>
      <c r="M63" s="199" t="s">
        <v>153</v>
      </c>
      <c r="N63" s="204" t="s">
        <v>153</v>
      </c>
      <c r="O63" s="201" t="s">
        <v>161</v>
      </c>
      <c r="P63" s="197" t="s">
        <v>152</v>
      </c>
      <c r="Q63" s="198" t="s">
        <v>153</v>
      </c>
      <c r="R63" s="196"/>
      <c r="S63" s="196"/>
      <c r="T63" s="196"/>
    </row>
    <row r="64" spans="1:20">
      <c r="A64" s="201" t="s">
        <v>162</v>
      </c>
      <c r="B64" s="188" t="s">
        <v>153</v>
      </c>
      <c r="C64" s="198" t="s">
        <v>153</v>
      </c>
      <c r="D64" s="197" t="s">
        <v>152</v>
      </c>
      <c r="E64" s="198" t="s">
        <v>153</v>
      </c>
      <c r="F64" s="199" t="s">
        <v>153</v>
      </c>
      <c r="G64" s="190" t="s">
        <v>154</v>
      </c>
      <c r="H64" s="195" t="s">
        <v>162</v>
      </c>
      <c r="I64" s="190" t="s">
        <v>154</v>
      </c>
      <c r="J64" s="198" t="s">
        <v>153</v>
      </c>
      <c r="K64" s="199" t="s">
        <v>153</v>
      </c>
      <c r="L64" s="202" t="s">
        <v>152</v>
      </c>
      <c r="M64" s="199" t="s">
        <v>153</v>
      </c>
      <c r="N64" s="204" t="s">
        <v>153</v>
      </c>
      <c r="O64" s="201" t="s">
        <v>162</v>
      </c>
      <c r="P64" s="197" t="s">
        <v>152</v>
      </c>
      <c r="Q64" s="198" t="s">
        <v>153</v>
      </c>
      <c r="R64" s="196"/>
      <c r="S64" s="196"/>
      <c r="T64" s="196"/>
    </row>
    <row r="65" spans="1:24">
      <c r="A65" s="201" t="s">
        <v>163</v>
      </c>
      <c r="B65" s="188" t="s">
        <v>153</v>
      </c>
      <c r="C65" s="198" t="s">
        <v>153</v>
      </c>
      <c r="D65" s="197" t="s">
        <v>152</v>
      </c>
      <c r="E65" s="198" t="s">
        <v>153</v>
      </c>
      <c r="F65" s="199" t="s">
        <v>153</v>
      </c>
      <c r="G65" s="190" t="s">
        <v>154</v>
      </c>
      <c r="H65" s="201" t="s">
        <v>163</v>
      </c>
      <c r="I65" s="203" t="s">
        <v>154</v>
      </c>
      <c r="J65" s="198" t="s">
        <v>153</v>
      </c>
      <c r="K65" s="199" t="s">
        <v>153</v>
      </c>
      <c r="L65" s="202" t="s">
        <v>152</v>
      </c>
      <c r="M65" s="199" t="s">
        <v>153</v>
      </c>
      <c r="N65" s="204" t="s">
        <v>153</v>
      </c>
      <c r="O65" s="201" t="s">
        <v>163</v>
      </c>
      <c r="P65" s="197" t="s">
        <v>152</v>
      </c>
      <c r="Q65" s="198" t="s">
        <v>153</v>
      </c>
      <c r="R65" s="196"/>
      <c r="S65" s="196"/>
      <c r="T65" s="196"/>
      <c r="W65" s="288">
        <v>46308</v>
      </c>
      <c r="X65" s="290" t="s">
        <v>331</v>
      </c>
    </row>
    <row r="66" spans="1:24">
      <c r="A66" s="201" t="s">
        <v>164</v>
      </c>
      <c r="B66" s="188" t="s">
        <v>153</v>
      </c>
      <c r="C66" s="198" t="s">
        <v>153</v>
      </c>
      <c r="D66" s="197" t="s">
        <v>152</v>
      </c>
      <c r="E66" s="198" t="s">
        <v>153</v>
      </c>
      <c r="F66" s="199" t="s">
        <v>153</v>
      </c>
      <c r="G66" s="190" t="s">
        <v>154</v>
      </c>
      <c r="H66" s="201" t="s">
        <v>164</v>
      </c>
      <c r="I66" s="203" t="s">
        <v>154</v>
      </c>
      <c r="J66" s="198" t="s">
        <v>153</v>
      </c>
      <c r="K66" s="199" t="s">
        <v>153</v>
      </c>
      <c r="L66" s="202" t="s">
        <v>152</v>
      </c>
      <c r="M66" s="199" t="s">
        <v>153</v>
      </c>
      <c r="N66" s="204" t="s">
        <v>153</v>
      </c>
      <c r="O66" s="201" t="s">
        <v>164</v>
      </c>
      <c r="P66" s="197" t="s">
        <v>152</v>
      </c>
      <c r="Q66" s="198" t="s">
        <v>153</v>
      </c>
      <c r="R66" s="205"/>
      <c r="S66" s="206"/>
      <c r="T66" s="196"/>
    </row>
    <row r="67" spans="1:24">
      <c r="A67" s="201" t="s">
        <v>165</v>
      </c>
      <c r="B67" s="188" t="s">
        <v>153</v>
      </c>
      <c r="C67" s="198" t="s">
        <v>153</v>
      </c>
      <c r="D67" s="197" t="s">
        <v>152</v>
      </c>
      <c r="E67" s="198" t="s">
        <v>153</v>
      </c>
      <c r="F67" s="199" t="s">
        <v>153</v>
      </c>
      <c r="G67" s="190" t="s">
        <v>154</v>
      </c>
      <c r="H67" s="201" t="s">
        <v>165</v>
      </c>
      <c r="I67" s="203" t="s">
        <v>154</v>
      </c>
      <c r="J67" s="198" t="s">
        <v>153</v>
      </c>
      <c r="K67" s="199" t="s">
        <v>153</v>
      </c>
      <c r="L67" s="202" t="s">
        <v>152</v>
      </c>
      <c r="M67" s="199" t="s">
        <v>153</v>
      </c>
      <c r="N67" s="204" t="s">
        <v>153</v>
      </c>
      <c r="O67" s="201" t="s">
        <v>165</v>
      </c>
      <c r="P67" s="197" t="s">
        <v>152</v>
      </c>
      <c r="Q67" s="198" t="s">
        <v>153</v>
      </c>
      <c r="R67" s="199" t="s">
        <v>153</v>
      </c>
      <c r="S67" s="189" t="s">
        <v>152</v>
      </c>
      <c r="T67" s="188" t="s">
        <v>153</v>
      </c>
    </row>
    <row r="68" spans="1:24">
      <c r="A68" s="201" t="s">
        <v>166</v>
      </c>
      <c r="B68" s="188" t="s">
        <v>153</v>
      </c>
      <c r="C68" s="198" t="s">
        <v>153</v>
      </c>
      <c r="D68" s="197" t="s">
        <v>152</v>
      </c>
      <c r="E68" s="198" t="s">
        <v>153</v>
      </c>
      <c r="F68" s="199" t="s">
        <v>153</v>
      </c>
      <c r="G68" s="190" t="s">
        <v>154</v>
      </c>
      <c r="H68" s="201" t="s">
        <v>166</v>
      </c>
      <c r="I68" s="203" t="s">
        <v>154</v>
      </c>
      <c r="J68" s="198" t="s">
        <v>153</v>
      </c>
      <c r="K68" s="199" t="s">
        <v>153</v>
      </c>
      <c r="L68" s="202" t="s">
        <v>152</v>
      </c>
      <c r="M68" s="199" t="s">
        <v>153</v>
      </c>
      <c r="N68" s="204" t="s">
        <v>153</v>
      </c>
      <c r="O68" s="201" t="s">
        <v>166</v>
      </c>
      <c r="P68" s="197" t="s">
        <v>152</v>
      </c>
      <c r="Q68" s="198" t="s">
        <v>153</v>
      </c>
      <c r="R68" s="199" t="s">
        <v>153</v>
      </c>
      <c r="S68" s="189" t="s">
        <v>152</v>
      </c>
      <c r="T68" s="188" t="s">
        <v>153</v>
      </c>
    </row>
    <row r="69" spans="1:24">
      <c r="A69" s="201" t="s">
        <v>167</v>
      </c>
      <c r="B69" s="188" t="s">
        <v>146</v>
      </c>
      <c r="C69" s="198" t="s">
        <v>146</v>
      </c>
      <c r="D69" s="197" t="s">
        <v>147</v>
      </c>
      <c r="E69" s="198" t="s">
        <v>146</v>
      </c>
      <c r="F69" s="199" t="s">
        <v>146</v>
      </c>
      <c r="G69" s="190" t="s">
        <v>148</v>
      </c>
      <c r="H69" s="201" t="s">
        <v>167</v>
      </c>
      <c r="I69" s="203" t="s">
        <v>148</v>
      </c>
      <c r="J69" s="198" t="s">
        <v>146</v>
      </c>
      <c r="K69" s="199" t="s">
        <v>146</v>
      </c>
      <c r="L69" s="202" t="s">
        <v>147</v>
      </c>
      <c r="M69" s="199" t="s">
        <v>146</v>
      </c>
      <c r="N69" s="204" t="s">
        <v>146</v>
      </c>
      <c r="O69" s="201" t="s">
        <v>167</v>
      </c>
      <c r="P69" s="197" t="s">
        <v>147</v>
      </c>
      <c r="Q69" s="198" t="s">
        <v>146</v>
      </c>
      <c r="R69" s="199" t="s">
        <v>146</v>
      </c>
      <c r="S69" s="189" t="s">
        <v>147</v>
      </c>
      <c r="T69" s="188" t="s">
        <v>146</v>
      </c>
    </row>
    <row r="70" spans="1:24">
      <c r="A70" s="201" t="s">
        <v>168</v>
      </c>
      <c r="B70" s="188" t="s">
        <v>146</v>
      </c>
      <c r="C70" s="198" t="s">
        <v>146</v>
      </c>
      <c r="D70" s="197" t="s">
        <v>147</v>
      </c>
      <c r="E70" s="198" t="s">
        <v>146</v>
      </c>
      <c r="F70" s="199" t="s">
        <v>146</v>
      </c>
      <c r="G70" s="190" t="s">
        <v>148</v>
      </c>
      <c r="H70" s="201" t="s">
        <v>168</v>
      </c>
      <c r="I70" s="203" t="s">
        <v>148</v>
      </c>
      <c r="J70" s="198" t="s">
        <v>146</v>
      </c>
      <c r="K70" s="199" t="s">
        <v>146</v>
      </c>
      <c r="L70" s="202" t="s">
        <v>147</v>
      </c>
      <c r="M70" s="199" t="s">
        <v>146</v>
      </c>
      <c r="N70" s="204" t="s">
        <v>146</v>
      </c>
      <c r="O70" s="201" t="s">
        <v>168</v>
      </c>
      <c r="P70" s="197" t="s">
        <v>147</v>
      </c>
      <c r="Q70" s="198" t="s">
        <v>146</v>
      </c>
      <c r="R70" s="199" t="s">
        <v>146</v>
      </c>
      <c r="S70" s="189" t="s">
        <v>147</v>
      </c>
      <c r="T70" s="188" t="s">
        <v>146</v>
      </c>
      <c r="W70" s="288">
        <v>46280</v>
      </c>
      <c r="X70" s="290" t="s">
        <v>330</v>
      </c>
    </row>
    <row r="71" spans="1:24">
      <c r="A71" s="201" t="s">
        <v>170</v>
      </c>
      <c r="B71" s="188" t="s">
        <v>146</v>
      </c>
      <c r="C71" s="198" t="s">
        <v>146</v>
      </c>
      <c r="D71" s="197" t="s">
        <v>147</v>
      </c>
      <c r="E71" s="198" t="s">
        <v>146</v>
      </c>
      <c r="F71" s="199" t="s">
        <v>146</v>
      </c>
      <c r="G71" s="190" t="s">
        <v>148</v>
      </c>
      <c r="H71" s="201" t="s">
        <v>170</v>
      </c>
      <c r="I71" s="203" t="s">
        <v>148</v>
      </c>
      <c r="J71" s="198" t="s">
        <v>169</v>
      </c>
      <c r="K71" s="199" t="s">
        <v>169</v>
      </c>
      <c r="L71" s="202" t="s">
        <v>147</v>
      </c>
      <c r="M71" s="199" t="s">
        <v>146</v>
      </c>
      <c r="N71" s="204" t="s">
        <v>146</v>
      </c>
      <c r="O71" s="201" t="s">
        <v>170</v>
      </c>
      <c r="P71" s="197" t="s">
        <v>147</v>
      </c>
      <c r="Q71" s="198" t="s">
        <v>146</v>
      </c>
      <c r="R71" s="199" t="s">
        <v>146</v>
      </c>
      <c r="S71" s="189" t="s">
        <v>147</v>
      </c>
      <c r="T71" s="188" t="s">
        <v>146</v>
      </c>
    </row>
    <row r="72" spans="1:24">
      <c r="A72" s="201" t="s">
        <v>171</v>
      </c>
      <c r="B72" s="188" t="s">
        <v>146</v>
      </c>
      <c r="C72" s="198" t="s">
        <v>146</v>
      </c>
      <c r="D72" s="197" t="s">
        <v>147</v>
      </c>
      <c r="E72" s="198" t="s">
        <v>146</v>
      </c>
      <c r="F72" s="199" t="s">
        <v>146</v>
      </c>
      <c r="G72" s="190" t="s">
        <v>148</v>
      </c>
      <c r="H72" s="201" t="s">
        <v>171</v>
      </c>
      <c r="I72" s="203" t="s">
        <v>148</v>
      </c>
      <c r="J72" s="198" t="s">
        <v>146</v>
      </c>
      <c r="K72" s="199" t="s">
        <v>169</v>
      </c>
      <c r="L72" s="202" t="s">
        <v>147</v>
      </c>
      <c r="M72" s="199" t="s">
        <v>146</v>
      </c>
      <c r="N72" s="204" t="s">
        <v>146</v>
      </c>
      <c r="O72" s="201" t="s">
        <v>171</v>
      </c>
      <c r="P72" s="197" t="s">
        <v>147</v>
      </c>
      <c r="Q72" s="198" t="s">
        <v>146</v>
      </c>
      <c r="R72" s="199" t="s">
        <v>146</v>
      </c>
      <c r="S72" s="189" t="s">
        <v>147</v>
      </c>
      <c r="T72" s="188" t="s">
        <v>146</v>
      </c>
    </row>
    <row r="73" spans="1:24">
      <c r="A73" s="201" t="s">
        <v>173</v>
      </c>
      <c r="B73" s="188" t="s">
        <v>146</v>
      </c>
      <c r="C73" s="198" t="s">
        <v>146</v>
      </c>
      <c r="D73" s="197" t="s">
        <v>147</v>
      </c>
      <c r="E73" s="198" t="s">
        <v>146</v>
      </c>
      <c r="F73" s="199" t="s">
        <v>146</v>
      </c>
      <c r="G73" s="190" t="s">
        <v>148</v>
      </c>
      <c r="H73" s="201" t="s">
        <v>173</v>
      </c>
      <c r="I73" s="203" t="s">
        <v>148</v>
      </c>
      <c r="J73" s="198" t="s">
        <v>146</v>
      </c>
      <c r="K73" s="199" t="s">
        <v>146</v>
      </c>
      <c r="L73" s="202" t="s">
        <v>147</v>
      </c>
      <c r="M73" s="199" t="s">
        <v>146</v>
      </c>
      <c r="N73" s="204" t="s">
        <v>146</v>
      </c>
      <c r="O73" s="201" t="s">
        <v>173</v>
      </c>
      <c r="P73" s="197" t="s">
        <v>147</v>
      </c>
      <c r="Q73" s="198" t="s">
        <v>146</v>
      </c>
      <c r="R73" s="199" t="s">
        <v>146</v>
      </c>
      <c r="S73" s="189" t="s">
        <v>147</v>
      </c>
      <c r="T73" s="188" t="s">
        <v>146</v>
      </c>
    </row>
    <row r="74" spans="1:24">
      <c r="A74" s="201" t="s">
        <v>174</v>
      </c>
      <c r="B74" s="188" t="s">
        <v>146</v>
      </c>
      <c r="C74" s="198" t="s">
        <v>146</v>
      </c>
      <c r="D74" s="197" t="s">
        <v>147</v>
      </c>
      <c r="E74" s="198" t="s">
        <v>146</v>
      </c>
      <c r="F74" s="199" t="s">
        <v>146</v>
      </c>
      <c r="G74" s="190" t="s">
        <v>148</v>
      </c>
      <c r="H74" s="201" t="s">
        <v>174</v>
      </c>
      <c r="I74" s="203" t="s">
        <v>148</v>
      </c>
      <c r="J74" s="198" t="s">
        <v>146</v>
      </c>
      <c r="K74" s="199" t="s">
        <v>146</v>
      </c>
      <c r="L74" s="202" t="s">
        <v>147</v>
      </c>
      <c r="M74" s="199" t="s">
        <v>146</v>
      </c>
      <c r="N74" s="204" t="s">
        <v>146</v>
      </c>
      <c r="O74" s="201" t="s">
        <v>174</v>
      </c>
      <c r="P74" s="197" t="s">
        <v>147</v>
      </c>
      <c r="Q74" s="198" t="s">
        <v>146</v>
      </c>
      <c r="R74" s="199" t="s">
        <v>146</v>
      </c>
      <c r="S74" s="189" t="s">
        <v>147</v>
      </c>
      <c r="T74" s="188" t="s">
        <v>146</v>
      </c>
    </row>
    <row r="75" spans="1:24">
      <c r="A75" s="201" t="s">
        <v>175</v>
      </c>
      <c r="B75" s="188" t="s">
        <v>146</v>
      </c>
      <c r="C75" s="198" t="s">
        <v>146</v>
      </c>
      <c r="D75" s="197" t="s">
        <v>147</v>
      </c>
      <c r="E75" s="198" t="s">
        <v>146</v>
      </c>
      <c r="F75" s="199" t="s">
        <v>146</v>
      </c>
      <c r="G75" s="190" t="s">
        <v>148</v>
      </c>
      <c r="H75" s="201" t="s">
        <v>175</v>
      </c>
      <c r="I75" s="203" t="s">
        <v>148</v>
      </c>
      <c r="J75" s="198" t="s">
        <v>146</v>
      </c>
      <c r="K75" s="199" t="s">
        <v>146</v>
      </c>
      <c r="L75" s="202" t="s">
        <v>147</v>
      </c>
      <c r="M75" s="199" t="s">
        <v>146</v>
      </c>
      <c r="N75" s="204" t="s">
        <v>146</v>
      </c>
      <c r="O75" s="201" t="s">
        <v>175</v>
      </c>
      <c r="P75" s="197" t="s">
        <v>147</v>
      </c>
      <c r="Q75" s="198" t="s">
        <v>146</v>
      </c>
      <c r="R75" s="199" t="s">
        <v>146</v>
      </c>
      <c r="S75" s="189" t="s">
        <v>147</v>
      </c>
      <c r="T75" s="188" t="s">
        <v>146</v>
      </c>
      <c r="W75" s="288">
        <v>46245</v>
      </c>
      <c r="X75" s="290" t="s">
        <v>329</v>
      </c>
    </row>
    <row r="76" spans="1:24">
      <c r="A76" s="201" t="s">
        <v>176</v>
      </c>
      <c r="B76" s="188" t="s">
        <v>146</v>
      </c>
      <c r="C76" s="198" t="s">
        <v>146</v>
      </c>
      <c r="D76" s="197" t="s">
        <v>147</v>
      </c>
      <c r="E76" s="198" t="s">
        <v>146</v>
      </c>
      <c r="F76" s="199" t="s">
        <v>146</v>
      </c>
      <c r="G76" s="190" t="s">
        <v>148</v>
      </c>
      <c r="H76" s="195" t="s">
        <v>176</v>
      </c>
      <c r="I76" s="190" t="s">
        <v>148</v>
      </c>
      <c r="J76" s="198" t="s">
        <v>146</v>
      </c>
      <c r="K76" s="199" t="s">
        <v>146</v>
      </c>
      <c r="L76" s="202" t="s">
        <v>147</v>
      </c>
      <c r="M76" s="199" t="s">
        <v>146</v>
      </c>
      <c r="N76" s="204" t="s">
        <v>146</v>
      </c>
      <c r="O76" s="201" t="s">
        <v>176</v>
      </c>
      <c r="P76" s="197" t="s">
        <v>147</v>
      </c>
      <c r="Q76" s="198" t="s">
        <v>146</v>
      </c>
      <c r="R76" s="199" t="s">
        <v>146</v>
      </c>
      <c r="S76" s="189" t="s">
        <v>147</v>
      </c>
      <c r="T76" s="188" t="s">
        <v>146</v>
      </c>
    </row>
    <row r="77" spans="1:24">
      <c r="A77" s="201" t="s">
        <v>177</v>
      </c>
      <c r="B77" s="188" t="s">
        <v>146</v>
      </c>
      <c r="C77" s="198" t="s">
        <v>146</v>
      </c>
      <c r="D77" s="197" t="s">
        <v>147</v>
      </c>
      <c r="E77" s="198" t="s">
        <v>146</v>
      </c>
      <c r="F77" s="199" t="s">
        <v>146</v>
      </c>
      <c r="G77" s="190" t="s">
        <v>148</v>
      </c>
      <c r="H77" s="195" t="s">
        <v>177</v>
      </c>
      <c r="I77" s="190" t="s">
        <v>148</v>
      </c>
      <c r="J77" s="198" t="s">
        <v>146</v>
      </c>
      <c r="K77" s="199" t="s">
        <v>169</v>
      </c>
      <c r="L77" s="202" t="s">
        <v>147</v>
      </c>
      <c r="M77" s="199" t="s">
        <v>146</v>
      </c>
      <c r="N77" s="204" t="s">
        <v>146</v>
      </c>
      <c r="O77" s="201" t="s">
        <v>177</v>
      </c>
      <c r="P77" s="197" t="s">
        <v>147</v>
      </c>
      <c r="Q77" s="198" t="s">
        <v>146</v>
      </c>
      <c r="R77" s="199" t="s">
        <v>146</v>
      </c>
      <c r="S77" s="189" t="s">
        <v>147</v>
      </c>
      <c r="T77" s="188" t="s">
        <v>169</v>
      </c>
    </row>
    <row r="78" spans="1:24">
      <c r="A78" s="201" t="s">
        <v>178</v>
      </c>
      <c r="B78" s="188" t="s">
        <v>146</v>
      </c>
      <c r="C78" s="198" t="s">
        <v>146</v>
      </c>
      <c r="D78" s="197" t="s">
        <v>147</v>
      </c>
      <c r="E78" s="198" t="s">
        <v>146</v>
      </c>
      <c r="F78" s="199" t="s">
        <v>146</v>
      </c>
      <c r="G78" s="190" t="s">
        <v>148</v>
      </c>
      <c r="H78" s="195" t="s">
        <v>178</v>
      </c>
      <c r="I78" s="190" t="s">
        <v>148</v>
      </c>
      <c r="J78" s="198" t="s">
        <v>169</v>
      </c>
      <c r="K78" s="199" t="s">
        <v>146</v>
      </c>
      <c r="L78" s="202" t="s">
        <v>147</v>
      </c>
      <c r="M78" s="199" t="s">
        <v>146</v>
      </c>
      <c r="N78" s="204" t="s">
        <v>146</v>
      </c>
      <c r="O78" s="201" t="s">
        <v>178</v>
      </c>
      <c r="P78" s="197" t="s">
        <v>147</v>
      </c>
      <c r="Q78" s="198" t="s">
        <v>146</v>
      </c>
      <c r="R78" s="199" t="s">
        <v>146</v>
      </c>
      <c r="S78" s="189" t="s">
        <v>147</v>
      </c>
      <c r="T78" s="188" t="s">
        <v>146</v>
      </c>
    </row>
    <row r="79" spans="1:24">
      <c r="A79" s="195" t="s">
        <v>179</v>
      </c>
      <c r="B79" s="188" t="s">
        <v>146</v>
      </c>
      <c r="C79" s="198" t="s">
        <v>146</v>
      </c>
      <c r="D79" s="197" t="s">
        <v>147</v>
      </c>
      <c r="E79" s="198" t="s">
        <v>146</v>
      </c>
      <c r="F79" s="199" t="s">
        <v>146</v>
      </c>
      <c r="G79" s="190" t="s">
        <v>148</v>
      </c>
      <c r="H79" s="195" t="s">
        <v>179</v>
      </c>
      <c r="I79" s="190" t="s">
        <v>148</v>
      </c>
      <c r="J79" s="198" t="s">
        <v>146</v>
      </c>
      <c r="K79" s="199" t="s">
        <v>146</v>
      </c>
      <c r="L79" s="202" t="s">
        <v>147</v>
      </c>
      <c r="M79" s="199" t="s">
        <v>146</v>
      </c>
      <c r="N79" s="188" t="s">
        <v>146</v>
      </c>
      <c r="O79" s="195" t="s">
        <v>179</v>
      </c>
      <c r="P79" s="197" t="s">
        <v>147</v>
      </c>
      <c r="Q79" s="198" t="s">
        <v>146</v>
      </c>
      <c r="R79" s="199" t="s">
        <v>146</v>
      </c>
      <c r="S79" s="189" t="s">
        <v>147</v>
      </c>
      <c r="T79" s="188" t="s">
        <v>146</v>
      </c>
    </row>
    <row r="80" spans="1:24">
      <c r="A80" s="195" t="s">
        <v>180</v>
      </c>
      <c r="B80" s="188" t="s">
        <v>146</v>
      </c>
      <c r="C80" s="198" t="s">
        <v>146</v>
      </c>
      <c r="D80" s="197" t="s">
        <v>147</v>
      </c>
      <c r="E80" s="198" t="s">
        <v>146</v>
      </c>
      <c r="F80" s="199" t="s">
        <v>169</v>
      </c>
      <c r="G80" s="190" t="s">
        <v>148</v>
      </c>
      <c r="H80" s="195" t="s">
        <v>180</v>
      </c>
      <c r="I80" s="190" t="s">
        <v>148</v>
      </c>
      <c r="J80" s="198" t="s">
        <v>146</v>
      </c>
      <c r="K80" s="199" t="s">
        <v>146</v>
      </c>
      <c r="L80" s="202" t="s">
        <v>147</v>
      </c>
      <c r="M80" s="199" t="s">
        <v>146</v>
      </c>
      <c r="N80" s="188" t="s">
        <v>146</v>
      </c>
      <c r="O80" s="195" t="s">
        <v>180</v>
      </c>
      <c r="P80" s="197" t="s">
        <v>147</v>
      </c>
      <c r="Q80" s="198" t="s">
        <v>146</v>
      </c>
      <c r="R80" s="199" t="s">
        <v>169</v>
      </c>
      <c r="S80" s="189" t="s">
        <v>147</v>
      </c>
      <c r="T80" s="188" t="s">
        <v>146</v>
      </c>
      <c r="W80" s="288">
        <v>46218</v>
      </c>
      <c r="X80" s="290" t="s">
        <v>328</v>
      </c>
    </row>
    <row r="81" spans="1:20">
      <c r="A81" s="195" t="s">
        <v>181</v>
      </c>
      <c r="B81" s="188" t="s">
        <v>146</v>
      </c>
      <c r="C81" s="198" t="s">
        <v>146</v>
      </c>
      <c r="D81" s="197" t="s">
        <v>147</v>
      </c>
      <c r="E81" s="198" t="s">
        <v>146</v>
      </c>
      <c r="F81" s="199" t="s">
        <v>146</v>
      </c>
      <c r="G81" s="190" t="s">
        <v>148</v>
      </c>
      <c r="H81" s="195" t="s">
        <v>181</v>
      </c>
      <c r="I81" s="190" t="s">
        <v>148</v>
      </c>
      <c r="J81" s="198" t="s">
        <v>146</v>
      </c>
      <c r="K81" s="199" t="s">
        <v>146</v>
      </c>
      <c r="L81" s="202" t="s">
        <v>147</v>
      </c>
      <c r="M81" s="199" t="s">
        <v>146</v>
      </c>
      <c r="N81" s="188" t="s">
        <v>146</v>
      </c>
      <c r="O81" s="195" t="s">
        <v>181</v>
      </c>
      <c r="P81" s="197" t="s">
        <v>147</v>
      </c>
      <c r="Q81" s="198" t="s">
        <v>146</v>
      </c>
      <c r="R81" s="199" t="s">
        <v>146</v>
      </c>
      <c r="S81" s="189" t="s">
        <v>147</v>
      </c>
      <c r="T81" s="188" t="s">
        <v>169</v>
      </c>
    </row>
    <row r="82" spans="1:20">
      <c r="A82" s="195" t="s">
        <v>182</v>
      </c>
      <c r="B82" s="188" t="s">
        <v>146</v>
      </c>
      <c r="C82" s="198" t="s">
        <v>146</v>
      </c>
      <c r="D82" s="197" t="s">
        <v>147</v>
      </c>
      <c r="E82" s="207"/>
      <c r="F82" s="205"/>
      <c r="G82" s="206"/>
      <c r="H82" s="195" t="s">
        <v>182</v>
      </c>
      <c r="I82" s="190" t="s">
        <v>148</v>
      </c>
      <c r="J82" s="198" t="s">
        <v>146</v>
      </c>
      <c r="K82" s="199" t="s">
        <v>146</v>
      </c>
      <c r="L82" s="202" t="s">
        <v>147</v>
      </c>
      <c r="M82" s="199" t="s">
        <v>146</v>
      </c>
      <c r="N82" s="188" t="s">
        <v>146</v>
      </c>
      <c r="O82" s="195" t="s">
        <v>182</v>
      </c>
      <c r="P82" s="197" t="s">
        <v>147</v>
      </c>
      <c r="Q82" s="198" t="s">
        <v>146</v>
      </c>
      <c r="R82" s="199" t="s">
        <v>146</v>
      </c>
      <c r="S82" s="189" t="s">
        <v>147</v>
      </c>
      <c r="T82" s="188" t="s">
        <v>146</v>
      </c>
    </row>
    <row r="83" spans="1:20">
      <c r="A83" s="195" t="s">
        <v>183</v>
      </c>
      <c r="B83" s="188" t="s">
        <v>146</v>
      </c>
      <c r="C83" s="198" t="s">
        <v>146</v>
      </c>
      <c r="D83" s="197" t="s">
        <v>147</v>
      </c>
      <c r="E83" s="207"/>
      <c r="F83" s="205"/>
      <c r="G83" s="206"/>
      <c r="H83" s="195" t="s">
        <v>183</v>
      </c>
      <c r="I83" s="206"/>
      <c r="J83" s="198" t="s">
        <v>146</v>
      </c>
      <c r="K83" s="199" t="s">
        <v>146</v>
      </c>
      <c r="L83" s="202" t="s">
        <v>147</v>
      </c>
      <c r="M83" s="199" t="s">
        <v>146</v>
      </c>
      <c r="N83" s="188" t="s">
        <v>146</v>
      </c>
      <c r="O83" s="195" t="s">
        <v>183</v>
      </c>
      <c r="P83" s="197" t="s">
        <v>147</v>
      </c>
      <c r="Q83" s="198" t="s">
        <v>146</v>
      </c>
      <c r="R83" s="199" t="s">
        <v>146</v>
      </c>
      <c r="S83" s="189" t="s">
        <v>147</v>
      </c>
      <c r="T83" s="188" t="s">
        <v>146</v>
      </c>
    </row>
    <row r="84" spans="1:20">
      <c r="A84" s="195" t="s">
        <v>184</v>
      </c>
      <c r="B84" s="188" t="s">
        <v>146</v>
      </c>
      <c r="C84" s="198" t="s">
        <v>146</v>
      </c>
      <c r="D84" s="197" t="s">
        <v>147</v>
      </c>
      <c r="E84" s="207"/>
      <c r="F84" s="205"/>
      <c r="G84" s="211" t="s">
        <v>186</v>
      </c>
      <c r="H84" s="195" t="s">
        <v>184</v>
      </c>
      <c r="I84" s="211" t="s">
        <v>186</v>
      </c>
      <c r="J84" s="198" t="s">
        <v>146</v>
      </c>
      <c r="K84" s="199" t="s">
        <v>146</v>
      </c>
      <c r="L84" s="202" t="s">
        <v>147</v>
      </c>
      <c r="M84" s="205"/>
      <c r="N84" s="188" t="s">
        <v>146</v>
      </c>
      <c r="O84" s="195" t="s">
        <v>184</v>
      </c>
      <c r="P84" s="197" t="s">
        <v>147</v>
      </c>
      <c r="Q84" s="198" t="s">
        <v>169</v>
      </c>
      <c r="R84" s="199" t="s">
        <v>146</v>
      </c>
      <c r="S84" s="189" t="s">
        <v>147</v>
      </c>
      <c r="T84" s="188" t="s">
        <v>146</v>
      </c>
    </row>
    <row r="85" spans="1:20">
      <c r="A85" s="212"/>
      <c r="B85" s="187" t="s">
        <v>187</v>
      </c>
      <c r="C85" s="213" t="s">
        <v>137</v>
      </c>
      <c r="D85" s="214" t="s">
        <v>142</v>
      </c>
      <c r="E85" s="213" t="s">
        <v>143</v>
      </c>
      <c r="F85" s="214" t="s">
        <v>144</v>
      </c>
      <c r="G85" s="187" t="s">
        <v>145</v>
      </c>
      <c r="H85" s="212"/>
      <c r="I85" s="187" t="s">
        <v>187</v>
      </c>
      <c r="J85" s="213" t="s">
        <v>137</v>
      </c>
      <c r="K85" s="214" t="s">
        <v>142</v>
      </c>
      <c r="L85" s="213" t="s">
        <v>143</v>
      </c>
      <c r="M85" s="214" t="s">
        <v>144</v>
      </c>
      <c r="N85" s="187" t="s">
        <v>145</v>
      </c>
      <c r="O85" s="212"/>
      <c r="P85" s="187" t="s">
        <v>187</v>
      </c>
      <c r="Q85" s="213" t="s">
        <v>137</v>
      </c>
      <c r="R85" s="214" t="s">
        <v>142</v>
      </c>
      <c r="S85" s="187" t="s">
        <v>143</v>
      </c>
      <c r="T85" s="187" t="s">
        <v>145</v>
      </c>
    </row>
  </sheetData>
  <mergeCells count="13">
    <mergeCell ref="B47:G47"/>
    <mergeCell ref="I47:N47"/>
    <mergeCell ref="P47:T47"/>
    <mergeCell ref="B1:U1"/>
    <mergeCell ref="B46:G46"/>
    <mergeCell ref="I46:N46"/>
    <mergeCell ref="P46:T46"/>
    <mergeCell ref="B4:G4"/>
    <mergeCell ref="I4:N4"/>
    <mergeCell ref="P4:U4"/>
    <mergeCell ref="B3:G3"/>
    <mergeCell ref="I3:N3"/>
    <mergeCell ref="P3:U3"/>
  </mergeCells>
  <phoneticPr fontId="4" type="noConversion"/>
  <pageMargins left="0.25" right="0.25" top="0.75" bottom="0.75" header="0.3" footer="0.3"/>
  <pageSetup paperSize="9" scale="6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P60"/>
  <sheetViews>
    <sheetView workbookViewId="0">
      <selection activeCell="C42" sqref="C42"/>
    </sheetView>
  </sheetViews>
  <sheetFormatPr defaultRowHeight="16.5"/>
  <cols>
    <col min="1" max="1" width="11" customWidth="1"/>
    <col min="2" max="2" width="18.625" customWidth="1"/>
    <col min="3" max="3" width="8.125" customWidth="1"/>
    <col min="4" max="4" width="11" style="122" customWidth="1"/>
    <col min="5" max="5" width="11.5" style="122" customWidth="1"/>
    <col min="6" max="6" width="6.875" style="122" customWidth="1"/>
    <col min="7" max="8" width="10.375" style="13" customWidth="1"/>
    <col min="9" max="10" width="9.375" customWidth="1"/>
  </cols>
  <sheetData>
    <row r="1" spans="1:16" ht="15" customHeight="1">
      <c r="A1" s="350" t="s">
        <v>28</v>
      </c>
      <c r="B1" s="350"/>
      <c r="C1" s="350"/>
      <c r="D1" s="350"/>
      <c r="E1" s="350"/>
      <c r="F1" s="350"/>
      <c r="G1" s="350"/>
      <c r="H1" s="55" t="s">
        <v>29</v>
      </c>
      <c r="I1" s="56"/>
      <c r="J1" s="57"/>
    </row>
    <row r="2" spans="1:16" ht="15" customHeight="1">
      <c r="A2" s="350"/>
      <c r="B2" s="350"/>
      <c r="C2" s="350"/>
      <c r="D2" s="350"/>
      <c r="E2" s="350"/>
      <c r="F2" s="350"/>
      <c r="G2" s="350"/>
      <c r="H2" s="58" t="s">
        <v>116</v>
      </c>
      <c r="I2" s="59"/>
      <c r="J2" s="57"/>
    </row>
    <row r="3" spans="1:16" ht="15" customHeight="1" thickBot="1">
      <c r="A3" s="351"/>
      <c r="B3" s="351"/>
      <c r="C3" s="351"/>
      <c r="D3" s="351"/>
      <c r="E3" s="351"/>
      <c r="F3" s="351"/>
      <c r="G3" s="351"/>
      <c r="H3" s="60"/>
      <c r="I3" s="61"/>
      <c r="J3" s="61"/>
    </row>
    <row r="4" spans="1:16" ht="23.1" customHeight="1">
      <c r="A4" s="62" t="s">
        <v>30</v>
      </c>
      <c r="B4" s="352" t="s">
        <v>113</v>
      </c>
      <c r="C4" s="353"/>
      <c r="D4" s="353"/>
      <c r="E4" s="353"/>
      <c r="F4" s="354"/>
      <c r="G4" s="63" t="s">
        <v>31</v>
      </c>
      <c r="H4" s="355" t="s">
        <v>227</v>
      </c>
      <c r="I4" s="356"/>
      <c r="J4" s="357"/>
      <c r="K4" s="64"/>
    </row>
    <row r="5" spans="1:16" ht="23.1" customHeight="1">
      <c r="A5" s="65" t="s">
        <v>32</v>
      </c>
      <c r="B5" s="358"/>
      <c r="C5" s="359"/>
      <c r="D5" s="359"/>
      <c r="E5" s="360"/>
      <c r="F5" s="66" t="s">
        <v>33</v>
      </c>
      <c r="G5" s="347"/>
      <c r="H5" s="348"/>
      <c r="I5" s="348"/>
      <c r="J5" s="349"/>
    </row>
    <row r="6" spans="1:16" ht="23.1" customHeight="1">
      <c r="A6" s="65" t="s">
        <v>34</v>
      </c>
      <c r="B6" s="346" t="s">
        <v>117</v>
      </c>
      <c r="C6" s="346"/>
      <c r="D6" s="346"/>
      <c r="E6" s="346"/>
      <c r="F6" s="67" t="s">
        <v>35</v>
      </c>
      <c r="G6" s="347" t="s">
        <v>228</v>
      </c>
      <c r="H6" s="348"/>
      <c r="I6" s="348"/>
      <c r="J6" s="349"/>
    </row>
    <row r="7" spans="1:16" ht="23.1" customHeight="1" thickBot="1">
      <c r="A7" s="68" t="s">
        <v>36</v>
      </c>
      <c r="B7" s="326" t="s">
        <v>224</v>
      </c>
      <c r="C7" s="326"/>
      <c r="D7" s="326"/>
      <c r="E7" s="326"/>
      <c r="F7" s="69" t="s">
        <v>37</v>
      </c>
      <c r="G7" s="327" t="s">
        <v>226</v>
      </c>
      <c r="H7" s="328"/>
      <c r="I7" s="328"/>
      <c r="J7" s="329"/>
    </row>
    <row r="8" spans="1:16" ht="3" customHeight="1">
      <c r="A8" s="70"/>
      <c r="B8" s="70"/>
      <c r="C8" s="70"/>
      <c r="D8" s="71"/>
      <c r="E8" s="71"/>
      <c r="F8" s="71"/>
      <c r="G8" s="72"/>
      <c r="H8" s="72"/>
      <c r="I8" s="70"/>
      <c r="J8" s="70"/>
    </row>
    <row r="9" spans="1:16" ht="0.75" customHeight="1" thickBot="1">
      <c r="A9" s="70"/>
      <c r="B9" s="70"/>
      <c r="C9" s="70"/>
      <c r="D9" s="71"/>
      <c r="E9" s="71"/>
      <c r="F9" s="71"/>
      <c r="G9" s="72"/>
      <c r="H9" s="72"/>
      <c r="I9" s="70"/>
      <c r="J9" s="70"/>
    </row>
    <row r="10" spans="1:16" ht="30.75" customHeight="1">
      <c r="A10" s="330" t="s">
        <v>38</v>
      </c>
      <c r="B10" s="331"/>
      <c r="C10" s="331"/>
      <c r="D10" s="331"/>
      <c r="E10" s="331"/>
      <c r="F10" s="331"/>
      <c r="G10" s="331"/>
      <c r="H10" s="331"/>
      <c r="I10" s="331"/>
      <c r="J10" s="332"/>
    </row>
    <row r="11" spans="1:16" ht="30.75" customHeight="1" thickBot="1">
      <c r="A11" s="73" t="s">
        <v>114</v>
      </c>
      <c r="B11" s="74"/>
      <c r="C11" s="74"/>
      <c r="D11" s="74"/>
      <c r="E11" s="74"/>
      <c r="F11" s="74"/>
      <c r="G11" s="75"/>
      <c r="H11" s="75"/>
      <c r="I11" s="74"/>
      <c r="J11" s="179" t="s">
        <v>115</v>
      </c>
    </row>
    <row r="12" spans="1:16" ht="18" customHeight="1">
      <c r="A12" s="333" t="s">
        <v>39</v>
      </c>
      <c r="B12" s="335" t="s">
        <v>40</v>
      </c>
      <c r="C12" s="337" t="s">
        <v>7</v>
      </c>
      <c r="D12" s="337"/>
      <c r="E12" s="337"/>
      <c r="F12" s="338" t="s">
        <v>41</v>
      </c>
      <c r="G12" s="340" t="s">
        <v>42</v>
      </c>
      <c r="H12" s="340" t="s">
        <v>43</v>
      </c>
      <c r="I12" s="342" t="s">
        <v>44</v>
      </c>
      <c r="J12" s="343"/>
    </row>
    <row r="13" spans="1:16" ht="18" customHeight="1" thickBot="1">
      <c r="A13" s="334"/>
      <c r="B13" s="336"/>
      <c r="C13" s="76" t="s">
        <v>45</v>
      </c>
      <c r="D13" s="77" t="s">
        <v>46</v>
      </c>
      <c r="E13" s="77" t="s">
        <v>47</v>
      </c>
      <c r="F13" s="339"/>
      <c r="G13" s="341"/>
      <c r="H13" s="341"/>
      <c r="I13" s="344"/>
      <c r="J13" s="345"/>
      <c r="L13" s="78" t="s">
        <v>48</v>
      </c>
      <c r="M13" s="78" t="s">
        <v>49</v>
      </c>
      <c r="N13" s="78" t="s">
        <v>50</v>
      </c>
      <c r="O13" s="78" t="s">
        <v>51</v>
      </c>
    </row>
    <row r="14" spans="1:16" ht="18" customHeight="1">
      <c r="A14" s="79" t="s">
        <v>221</v>
      </c>
      <c r="B14" s="23" t="s">
        <v>195</v>
      </c>
      <c r="C14" s="24">
        <v>22</v>
      </c>
      <c r="D14" s="80">
        <v>761</v>
      </c>
      <c r="E14" s="80">
        <v>1810</v>
      </c>
      <c r="F14" s="89">
        <v>2</v>
      </c>
      <c r="G14" s="81">
        <f t="shared" ref="G14:G20" si="0">D14*E14/91809*F14</f>
        <v>30.00599069807971</v>
      </c>
      <c r="H14" s="81">
        <f t="shared" ref="H14:H20" si="1">(D14/1000)*4*F14+(E14/1000)*4*F14</f>
        <v>20.568000000000001</v>
      </c>
      <c r="I14" s="91" t="s">
        <v>204</v>
      </c>
      <c r="J14" s="92" t="s">
        <v>205</v>
      </c>
      <c r="L14" s="78">
        <v>4</v>
      </c>
      <c r="M14" s="78">
        <v>4</v>
      </c>
      <c r="N14" s="84"/>
      <c r="O14" s="78">
        <f>L14*M14-N14*L14</f>
        <v>16</v>
      </c>
      <c r="P14" s="64"/>
    </row>
    <row r="15" spans="1:16" ht="18" customHeight="1">
      <c r="A15" s="85"/>
      <c r="B15" s="86"/>
      <c r="C15" s="87"/>
      <c r="D15" s="88">
        <v>1688</v>
      </c>
      <c r="E15" s="88">
        <v>1810</v>
      </c>
      <c r="F15" s="89">
        <v>1</v>
      </c>
      <c r="G15" s="90">
        <f t="shared" si="0"/>
        <v>33.27865459813308</v>
      </c>
      <c r="H15" s="90">
        <f t="shared" si="1"/>
        <v>13.992000000000001</v>
      </c>
      <c r="I15" s="91" t="str">
        <f>I14</f>
        <v>8동204호84A</v>
      </c>
      <c r="J15" s="92" t="s">
        <v>206</v>
      </c>
      <c r="L15" s="78">
        <v>2</v>
      </c>
      <c r="M15" s="78">
        <f>M14</f>
        <v>4</v>
      </c>
      <c r="N15" s="84"/>
      <c r="O15" s="78">
        <f t="shared" ref="O15:O20" si="2">L15*M15-N15*L15</f>
        <v>8</v>
      </c>
    </row>
    <row r="16" spans="1:16" ht="18" customHeight="1">
      <c r="A16" s="85"/>
      <c r="B16" s="86"/>
      <c r="C16" s="87"/>
      <c r="D16" s="88">
        <v>738</v>
      </c>
      <c r="E16" s="88">
        <v>1310</v>
      </c>
      <c r="F16" s="89">
        <v>4</v>
      </c>
      <c r="G16" s="90">
        <f t="shared" si="0"/>
        <v>42.121360650916579</v>
      </c>
      <c r="H16" s="90">
        <f t="shared" si="1"/>
        <v>32.768000000000001</v>
      </c>
      <c r="I16" s="91" t="str">
        <f t="shared" ref="I16:I20" si="3">I15</f>
        <v>8동204호84A</v>
      </c>
      <c r="J16" s="92" t="s">
        <v>207</v>
      </c>
      <c r="L16" s="78">
        <v>2</v>
      </c>
      <c r="M16" s="78">
        <f t="shared" ref="M16:M19" si="4">M15</f>
        <v>4</v>
      </c>
      <c r="N16" s="78"/>
      <c r="O16" s="78">
        <f t="shared" si="2"/>
        <v>8</v>
      </c>
    </row>
    <row r="17" spans="1:15" ht="18" customHeight="1">
      <c r="A17" s="85"/>
      <c r="B17" s="86"/>
      <c r="C17" s="87"/>
      <c r="D17" s="88">
        <v>288</v>
      </c>
      <c r="E17" s="88">
        <v>910</v>
      </c>
      <c r="F17" s="89">
        <v>2</v>
      </c>
      <c r="G17" s="90">
        <f t="shared" si="0"/>
        <v>5.7092441917459071</v>
      </c>
      <c r="H17" s="90">
        <f t="shared" si="1"/>
        <v>9.5839999999999996</v>
      </c>
      <c r="I17" s="91" t="str">
        <f t="shared" si="3"/>
        <v>8동204호84A</v>
      </c>
      <c r="J17" s="92" t="s">
        <v>208</v>
      </c>
      <c r="L17" s="78">
        <v>4</v>
      </c>
      <c r="M17" s="78">
        <f t="shared" si="4"/>
        <v>4</v>
      </c>
      <c r="N17" s="78"/>
      <c r="O17" s="78">
        <f t="shared" si="2"/>
        <v>16</v>
      </c>
    </row>
    <row r="18" spans="1:15" ht="18" customHeight="1">
      <c r="A18" s="85"/>
      <c r="B18" s="86"/>
      <c r="C18" s="87"/>
      <c r="D18" s="88">
        <v>228</v>
      </c>
      <c r="E18" s="88">
        <v>910</v>
      </c>
      <c r="F18" s="89">
        <v>2</v>
      </c>
      <c r="G18" s="90">
        <f t="shared" si="0"/>
        <v>4.5198183184655099</v>
      </c>
      <c r="H18" s="90">
        <f t="shared" si="1"/>
        <v>9.104000000000001</v>
      </c>
      <c r="I18" s="91" t="str">
        <f t="shared" si="3"/>
        <v>8동204호84A</v>
      </c>
      <c r="J18" s="92" t="s">
        <v>209</v>
      </c>
      <c r="L18" s="78">
        <v>2</v>
      </c>
      <c r="M18" s="78">
        <f t="shared" si="4"/>
        <v>4</v>
      </c>
      <c r="N18" s="78"/>
      <c r="O18" s="78">
        <f t="shared" si="2"/>
        <v>8</v>
      </c>
    </row>
    <row r="19" spans="1:15" ht="18" customHeight="1">
      <c r="A19" s="85"/>
      <c r="B19" s="86"/>
      <c r="C19" s="87"/>
      <c r="D19" s="88">
        <v>438</v>
      </c>
      <c r="E19" s="88">
        <v>270</v>
      </c>
      <c r="F19" s="89">
        <v>2</v>
      </c>
      <c r="G19" s="90">
        <f t="shared" si="0"/>
        <v>2.5762180178413883</v>
      </c>
      <c r="H19" s="90">
        <f t="shared" si="1"/>
        <v>5.6639999999999997</v>
      </c>
      <c r="I19" s="91" t="str">
        <f t="shared" si="3"/>
        <v>8동204호84A</v>
      </c>
      <c r="J19" s="92" t="s">
        <v>210</v>
      </c>
      <c r="L19" s="78">
        <v>1</v>
      </c>
      <c r="M19" s="78">
        <f t="shared" si="4"/>
        <v>4</v>
      </c>
      <c r="N19" s="78"/>
      <c r="O19" s="78">
        <f t="shared" si="2"/>
        <v>4</v>
      </c>
    </row>
    <row r="20" spans="1:15" ht="18" customHeight="1">
      <c r="A20" s="85"/>
      <c r="B20" s="86"/>
      <c r="C20" s="87"/>
      <c r="D20" s="88">
        <v>208</v>
      </c>
      <c r="E20" s="88">
        <v>910</v>
      </c>
      <c r="F20" s="89">
        <v>2</v>
      </c>
      <c r="G20" s="90">
        <f t="shared" si="0"/>
        <v>4.1233430273720444</v>
      </c>
      <c r="H20" s="90">
        <f t="shared" si="1"/>
        <v>8.9440000000000008</v>
      </c>
      <c r="I20" s="91" t="str">
        <f t="shared" si="3"/>
        <v>8동204호84A</v>
      </c>
      <c r="J20" s="92" t="s">
        <v>211</v>
      </c>
      <c r="L20" s="78"/>
      <c r="M20" s="78"/>
      <c r="N20" s="78"/>
      <c r="O20" s="78">
        <f t="shared" si="2"/>
        <v>0</v>
      </c>
    </row>
    <row r="21" spans="1:15" ht="18" customHeight="1">
      <c r="A21" s="85"/>
      <c r="B21" s="93"/>
      <c r="C21" s="87"/>
      <c r="D21" s="325" t="s">
        <v>52</v>
      </c>
      <c r="E21" s="325"/>
      <c r="F21" s="94">
        <f>SUM(F14:F20)</f>
        <v>15</v>
      </c>
      <c r="G21" s="95">
        <f>SUM(G14:G20)</f>
        <v>122.33462950255421</v>
      </c>
      <c r="H21" s="96">
        <f>SUM(H14:H20)</f>
        <v>100.62400000000001</v>
      </c>
      <c r="I21" s="97"/>
      <c r="J21" s="162"/>
    </row>
    <row r="22" spans="1:15" ht="18" customHeight="1">
      <c r="A22" s="85"/>
      <c r="B22" s="93"/>
      <c r="C22" s="87"/>
      <c r="D22" s="99"/>
      <c r="E22" s="99"/>
      <c r="F22" s="89"/>
      <c r="G22" s="100"/>
      <c r="H22" s="101"/>
      <c r="I22" s="102"/>
      <c r="J22" s="121"/>
      <c r="L22" s="78" t="s">
        <v>53</v>
      </c>
      <c r="M22" s="78" t="s">
        <v>54</v>
      </c>
      <c r="N22" s="78" t="s">
        <v>50</v>
      </c>
      <c r="O22" s="78" t="s">
        <v>55</v>
      </c>
    </row>
    <row r="23" spans="1:15" ht="18" customHeight="1">
      <c r="A23" s="85"/>
      <c r="B23" s="23" t="s">
        <v>197</v>
      </c>
      <c r="C23" s="24">
        <v>22</v>
      </c>
      <c r="D23" s="88">
        <v>761</v>
      </c>
      <c r="E23" s="88">
        <v>1810</v>
      </c>
      <c r="F23" s="89">
        <v>2</v>
      </c>
      <c r="G23" s="90">
        <f t="shared" ref="G23:G29" si="5">D23*E23/91809*F23</f>
        <v>30.00599069807971</v>
      </c>
      <c r="H23" s="90">
        <f t="shared" ref="H23:H29" si="6">(D23/1000)*4*F23+(E23/1000)*4*F23</f>
        <v>20.568000000000001</v>
      </c>
      <c r="I23" s="91" t="str">
        <f t="shared" ref="I23:I29" si="7">I14</f>
        <v>8동204호84A</v>
      </c>
      <c r="J23" s="92" t="s">
        <v>212</v>
      </c>
      <c r="L23" s="78">
        <v>4</v>
      </c>
      <c r="M23" s="78">
        <f>M14</f>
        <v>4</v>
      </c>
      <c r="N23" s="84"/>
      <c r="O23" s="78">
        <f>L23*M23-N23*L23</f>
        <v>16</v>
      </c>
    </row>
    <row r="24" spans="1:15" ht="18" customHeight="1">
      <c r="A24" s="85"/>
      <c r="B24" s="86"/>
      <c r="C24" s="87"/>
      <c r="D24" s="88">
        <v>1688</v>
      </c>
      <c r="E24" s="88">
        <v>1810</v>
      </c>
      <c r="F24" s="89">
        <v>1</v>
      </c>
      <c r="G24" s="90">
        <f t="shared" si="5"/>
        <v>33.27865459813308</v>
      </c>
      <c r="H24" s="90">
        <f t="shared" si="6"/>
        <v>13.992000000000001</v>
      </c>
      <c r="I24" s="91" t="str">
        <f t="shared" si="7"/>
        <v>8동204호84A</v>
      </c>
      <c r="J24" s="92" t="s">
        <v>213</v>
      </c>
      <c r="L24" s="78">
        <v>2</v>
      </c>
      <c r="M24" s="78">
        <f>M23</f>
        <v>4</v>
      </c>
      <c r="N24" s="84"/>
      <c r="O24" s="78">
        <f>L24*M24-N24*L24</f>
        <v>8</v>
      </c>
    </row>
    <row r="25" spans="1:15" ht="18" customHeight="1">
      <c r="A25" s="104"/>
      <c r="B25" s="93"/>
      <c r="C25" s="87"/>
      <c r="D25" s="88">
        <v>738</v>
      </c>
      <c r="E25" s="88">
        <v>1310</v>
      </c>
      <c r="F25" s="89">
        <v>4</v>
      </c>
      <c r="G25" s="90">
        <f t="shared" si="5"/>
        <v>42.121360650916579</v>
      </c>
      <c r="H25" s="90">
        <f t="shared" si="6"/>
        <v>32.768000000000001</v>
      </c>
      <c r="I25" s="91" t="str">
        <f t="shared" si="7"/>
        <v>8동204호84A</v>
      </c>
      <c r="J25" s="92" t="s">
        <v>214</v>
      </c>
      <c r="L25" s="78">
        <v>2</v>
      </c>
      <c r="M25" s="78">
        <f t="shared" ref="M25:M28" si="8">M24</f>
        <v>4</v>
      </c>
      <c r="N25" s="84"/>
      <c r="O25" s="78">
        <f t="shared" ref="O25:O29" si="9">L25*M25-N25*L25</f>
        <v>8</v>
      </c>
    </row>
    <row r="26" spans="1:15" ht="18" customHeight="1">
      <c r="A26" s="104"/>
      <c r="B26" s="93"/>
      <c r="C26" s="87"/>
      <c r="D26" s="88">
        <v>288</v>
      </c>
      <c r="E26" s="88">
        <v>910</v>
      </c>
      <c r="F26" s="89">
        <v>2</v>
      </c>
      <c r="G26" s="90">
        <f t="shared" si="5"/>
        <v>5.7092441917459071</v>
      </c>
      <c r="H26" s="90">
        <f t="shared" si="6"/>
        <v>9.5839999999999996</v>
      </c>
      <c r="I26" s="91" t="str">
        <f t="shared" si="7"/>
        <v>8동204호84A</v>
      </c>
      <c r="J26" s="92" t="s">
        <v>215</v>
      </c>
      <c r="L26" s="78">
        <v>4</v>
      </c>
      <c r="M26" s="78">
        <f t="shared" si="8"/>
        <v>4</v>
      </c>
      <c r="N26" s="78"/>
      <c r="O26" s="78">
        <f t="shared" si="9"/>
        <v>16</v>
      </c>
    </row>
    <row r="27" spans="1:15" ht="18" customHeight="1">
      <c r="A27" s="104"/>
      <c r="B27" s="93"/>
      <c r="C27" s="87"/>
      <c r="D27" s="88">
        <v>228</v>
      </c>
      <c r="E27" s="88">
        <v>910</v>
      </c>
      <c r="F27" s="89">
        <v>2</v>
      </c>
      <c r="G27" s="90">
        <f t="shared" si="5"/>
        <v>4.5198183184655099</v>
      </c>
      <c r="H27" s="90">
        <f t="shared" si="6"/>
        <v>9.104000000000001</v>
      </c>
      <c r="I27" s="91" t="str">
        <f t="shared" si="7"/>
        <v>8동204호84A</v>
      </c>
      <c r="J27" s="92" t="s">
        <v>216</v>
      </c>
      <c r="L27" s="78">
        <v>2</v>
      </c>
      <c r="M27" s="78">
        <f t="shared" si="8"/>
        <v>4</v>
      </c>
      <c r="N27" s="78"/>
      <c r="O27" s="78">
        <f t="shared" si="9"/>
        <v>8</v>
      </c>
    </row>
    <row r="28" spans="1:15" ht="18" customHeight="1">
      <c r="A28" s="104"/>
      <c r="B28" s="93"/>
      <c r="C28" s="87"/>
      <c r="D28" s="88">
        <v>438</v>
      </c>
      <c r="E28" s="88">
        <v>270</v>
      </c>
      <c r="F28" s="89">
        <v>2</v>
      </c>
      <c r="G28" s="90">
        <f t="shared" si="5"/>
        <v>2.5762180178413883</v>
      </c>
      <c r="H28" s="90">
        <f t="shared" si="6"/>
        <v>5.6639999999999997</v>
      </c>
      <c r="I28" s="91" t="str">
        <f t="shared" si="7"/>
        <v>8동204호84A</v>
      </c>
      <c r="J28" s="92" t="s">
        <v>217</v>
      </c>
      <c r="L28" s="78">
        <v>1</v>
      </c>
      <c r="M28" s="78">
        <f t="shared" si="8"/>
        <v>4</v>
      </c>
      <c r="N28" s="78"/>
      <c r="O28" s="78">
        <f t="shared" si="9"/>
        <v>4</v>
      </c>
    </row>
    <row r="29" spans="1:15" ht="18" customHeight="1">
      <c r="A29" s="104"/>
      <c r="B29" s="93"/>
      <c r="C29" s="87"/>
      <c r="D29" s="88">
        <v>208</v>
      </c>
      <c r="E29" s="88">
        <v>910</v>
      </c>
      <c r="F29" s="89">
        <v>2</v>
      </c>
      <c r="G29" s="90">
        <f t="shared" si="5"/>
        <v>4.1233430273720444</v>
      </c>
      <c r="H29" s="90">
        <f t="shared" si="6"/>
        <v>8.9440000000000008</v>
      </c>
      <c r="I29" s="91" t="str">
        <f t="shared" si="7"/>
        <v>8동204호84A</v>
      </c>
      <c r="J29" s="92" t="s">
        <v>218</v>
      </c>
      <c r="L29" s="78"/>
      <c r="M29" s="78"/>
      <c r="N29" s="78"/>
      <c r="O29" s="78">
        <f t="shared" si="9"/>
        <v>0</v>
      </c>
    </row>
    <row r="30" spans="1:15" ht="18" customHeight="1">
      <c r="A30" s="104"/>
      <c r="B30" s="87"/>
      <c r="C30" s="87"/>
      <c r="D30" s="325" t="s">
        <v>56</v>
      </c>
      <c r="E30" s="325"/>
      <c r="F30" s="171">
        <f>SUM(F23:F29)</f>
        <v>15</v>
      </c>
      <c r="G30" s="95">
        <f>SUM(G23:G29)</f>
        <v>122.33462950255421</v>
      </c>
      <c r="H30" s="95">
        <f>SUM(H23:H29)</f>
        <v>100.62400000000001</v>
      </c>
      <c r="I30" s="97"/>
      <c r="J30" s="98"/>
    </row>
    <row r="31" spans="1:15">
      <c r="A31" s="105"/>
      <c r="B31" s="9"/>
      <c r="C31" s="9"/>
      <c r="D31" s="51"/>
      <c r="E31" s="51"/>
      <c r="F31" s="51"/>
      <c r="G31" s="106"/>
      <c r="H31" s="106"/>
      <c r="I31" s="9"/>
      <c r="J31" s="107"/>
    </row>
    <row r="32" spans="1:15" ht="18" customHeight="1">
      <c r="A32" s="85"/>
      <c r="B32" s="163" t="s">
        <v>199</v>
      </c>
      <c r="C32" s="163">
        <v>22</v>
      </c>
      <c r="D32" s="88">
        <v>738</v>
      </c>
      <c r="E32" s="88">
        <v>1810</v>
      </c>
      <c r="F32" s="89">
        <v>2</v>
      </c>
      <c r="G32" s="90">
        <f t="shared" ref="G32:G34" si="10">D32*E32/91809*F32</f>
        <v>29.099107930595039</v>
      </c>
      <c r="H32" s="90">
        <f t="shared" ref="H32:H34" si="11">(D32/1000)*4*F32+(E32/1000)*4*F32</f>
        <v>20.384</v>
      </c>
      <c r="I32" s="91" t="str">
        <f>I23</f>
        <v>8동204호84A</v>
      </c>
      <c r="J32" s="92" t="s">
        <v>219</v>
      </c>
      <c r="L32" s="78">
        <v>2</v>
      </c>
      <c r="M32" s="78">
        <f>M14</f>
        <v>4</v>
      </c>
      <c r="N32" s="84"/>
      <c r="O32" s="78">
        <f>L32*M32-N32*L32</f>
        <v>8</v>
      </c>
    </row>
    <row r="33" spans="1:16" ht="18" customHeight="1">
      <c r="A33" s="85"/>
      <c r="B33" s="86"/>
      <c r="C33" s="87"/>
      <c r="D33" s="88">
        <v>250</v>
      </c>
      <c r="E33" s="88">
        <v>930</v>
      </c>
      <c r="F33" s="89">
        <v>2</v>
      </c>
      <c r="G33" s="90">
        <f t="shared" si="10"/>
        <v>5.0648629219357577</v>
      </c>
      <c r="H33" s="90">
        <f t="shared" si="11"/>
        <v>9.4400000000000013</v>
      </c>
      <c r="I33" s="91" t="str">
        <f>I32</f>
        <v>8동204호84A</v>
      </c>
      <c r="J33" s="92" t="s">
        <v>220</v>
      </c>
      <c r="L33" s="78">
        <v>2</v>
      </c>
      <c r="M33" s="78">
        <f>M32</f>
        <v>4</v>
      </c>
      <c r="N33" s="84"/>
      <c r="O33" s="78">
        <f t="shared" ref="O33:O34" si="12">L33*M33-N33*L33</f>
        <v>8</v>
      </c>
    </row>
    <row r="34" spans="1:16" ht="18" customHeight="1">
      <c r="A34" s="85"/>
      <c r="B34" s="86"/>
      <c r="C34" s="87"/>
      <c r="D34" s="88"/>
      <c r="E34" s="88"/>
      <c r="F34" s="89"/>
      <c r="G34" s="90">
        <f t="shared" si="10"/>
        <v>0</v>
      </c>
      <c r="H34" s="90">
        <f t="shared" si="11"/>
        <v>0</v>
      </c>
      <c r="I34" s="91"/>
      <c r="J34" s="92"/>
      <c r="L34" s="78"/>
      <c r="M34" s="78"/>
      <c r="N34" s="78"/>
      <c r="O34" s="78">
        <f t="shared" si="12"/>
        <v>0</v>
      </c>
    </row>
    <row r="35" spans="1:16" ht="18" customHeight="1">
      <c r="A35" s="85"/>
      <c r="B35" s="93"/>
      <c r="C35" s="87"/>
      <c r="D35" s="325" t="s">
        <v>57</v>
      </c>
      <c r="E35" s="325"/>
      <c r="F35" s="94">
        <f>SUM(F32:F34)</f>
        <v>4</v>
      </c>
      <c r="G35" s="95">
        <f>SUM(G32:G34)</f>
        <v>34.163970852530795</v>
      </c>
      <c r="H35" s="95">
        <f>SUM(H32:H34)</f>
        <v>29.824000000000002</v>
      </c>
      <c r="I35" s="97"/>
      <c r="J35" s="98"/>
    </row>
    <row r="36" spans="1:16" ht="18" customHeight="1">
      <c r="A36" s="108"/>
      <c r="B36" s="164"/>
      <c r="C36" s="109"/>
      <c r="D36" s="165"/>
      <c r="E36" s="165"/>
      <c r="F36" s="110"/>
      <c r="G36" s="111"/>
      <c r="H36" s="111"/>
      <c r="I36" s="112"/>
      <c r="J36" s="113"/>
    </row>
    <row r="37" spans="1:16" ht="18" customHeight="1">
      <c r="A37" s="85"/>
      <c r="B37" s="23" t="s">
        <v>195</v>
      </c>
      <c r="C37" s="24">
        <v>22</v>
      </c>
      <c r="D37" s="88">
        <v>761</v>
      </c>
      <c r="E37" s="88">
        <v>1810</v>
      </c>
      <c r="F37" s="89">
        <v>2</v>
      </c>
      <c r="G37" s="90">
        <f t="shared" ref="G37:G41" si="13">D37*E37/91809*F37</f>
        <v>30.00599069807971</v>
      </c>
      <c r="H37" s="90">
        <f t="shared" ref="H37:H41" si="14">(D37/1000)*4*F37+(E37/1000)*4*F37</f>
        <v>20.568000000000001</v>
      </c>
      <c r="I37" s="91" t="s">
        <v>222</v>
      </c>
      <c r="J37" s="92" t="s">
        <v>205</v>
      </c>
      <c r="L37" s="78">
        <v>2</v>
      </c>
      <c r="M37" s="78">
        <v>5</v>
      </c>
      <c r="N37" s="84"/>
      <c r="O37" s="78">
        <f>L37*M37-N37*L37</f>
        <v>10</v>
      </c>
      <c r="P37" s="64"/>
    </row>
    <row r="38" spans="1:16" ht="18" customHeight="1">
      <c r="A38" s="85"/>
      <c r="B38" s="86"/>
      <c r="C38" s="87"/>
      <c r="D38" s="88">
        <v>1688</v>
      </c>
      <c r="E38" s="88">
        <v>1810</v>
      </c>
      <c r="F38" s="89">
        <v>1</v>
      </c>
      <c r="G38" s="90">
        <f t="shared" si="13"/>
        <v>33.27865459813308</v>
      </c>
      <c r="H38" s="90">
        <f t="shared" si="14"/>
        <v>13.992000000000001</v>
      </c>
      <c r="I38" s="91" t="str">
        <f>I37</f>
        <v>8동206호84B</v>
      </c>
      <c r="J38" s="92" t="s">
        <v>206</v>
      </c>
      <c r="L38" s="78">
        <v>4</v>
      </c>
      <c r="M38" s="78">
        <f>M37</f>
        <v>5</v>
      </c>
      <c r="N38" s="84"/>
      <c r="O38" s="78">
        <f t="shared" ref="O38:O41" si="15">L38*M38-N38*L38</f>
        <v>20</v>
      </c>
    </row>
    <row r="39" spans="1:16" ht="18" customHeight="1">
      <c r="A39" s="85"/>
      <c r="B39" s="86"/>
      <c r="C39" s="87"/>
      <c r="D39" s="88">
        <v>738</v>
      </c>
      <c r="E39" s="88">
        <v>1310</v>
      </c>
      <c r="F39" s="89">
        <v>4</v>
      </c>
      <c r="G39" s="90">
        <f t="shared" si="13"/>
        <v>42.121360650916579</v>
      </c>
      <c r="H39" s="90">
        <f t="shared" si="14"/>
        <v>32.768000000000001</v>
      </c>
      <c r="I39" s="91" t="str">
        <f t="shared" ref="I39:I42" si="16">I38</f>
        <v>8동206호84B</v>
      </c>
      <c r="J39" s="92" t="s">
        <v>207</v>
      </c>
      <c r="L39" s="78">
        <v>4</v>
      </c>
      <c r="M39" s="78">
        <f t="shared" ref="M39:M41" si="17">M38</f>
        <v>5</v>
      </c>
      <c r="N39" s="78"/>
      <c r="O39" s="78">
        <f t="shared" si="15"/>
        <v>20</v>
      </c>
    </row>
    <row r="40" spans="1:16" ht="18" customHeight="1">
      <c r="A40" s="85"/>
      <c r="B40" s="86"/>
      <c r="C40" s="87"/>
      <c r="D40" s="88">
        <v>438</v>
      </c>
      <c r="E40" s="88">
        <v>910</v>
      </c>
      <c r="F40" s="89">
        <v>2</v>
      </c>
      <c r="G40" s="90">
        <f t="shared" si="13"/>
        <v>8.6828088749469003</v>
      </c>
      <c r="H40" s="90">
        <f t="shared" si="14"/>
        <v>10.784000000000001</v>
      </c>
      <c r="I40" s="91" t="str">
        <f t="shared" si="16"/>
        <v>8동206호84B</v>
      </c>
      <c r="J40" s="92" t="s">
        <v>223</v>
      </c>
      <c r="L40" s="78">
        <v>2</v>
      </c>
      <c r="M40" s="78">
        <f t="shared" si="17"/>
        <v>5</v>
      </c>
      <c r="N40" s="78"/>
      <c r="O40" s="78">
        <f t="shared" si="15"/>
        <v>10</v>
      </c>
    </row>
    <row r="41" spans="1:16" ht="18" customHeight="1">
      <c r="A41" s="85"/>
      <c r="B41" s="86"/>
      <c r="C41" s="87"/>
      <c r="D41" s="88">
        <v>228</v>
      </c>
      <c r="E41" s="88">
        <v>910</v>
      </c>
      <c r="F41" s="89">
        <v>2</v>
      </c>
      <c r="G41" s="90">
        <f t="shared" si="13"/>
        <v>4.5198183184655099</v>
      </c>
      <c r="H41" s="90">
        <f t="shared" si="14"/>
        <v>9.104000000000001</v>
      </c>
      <c r="I41" s="91" t="str">
        <f t="shared" si="16"/>
        <v>8동206호84B</v>
      </c>
      <c r="J41" s="92" t="s">
        <v>209</v>
      </c>
      <c r="L41" s="78">
        <v>1</v>
      </c>
      <c r="M41" s="78">
        <f t="shared" si="17"/>
        <v>5</v>
      </c>
      <c r="N41" s="78"/>
      <c r="O41" s="78">
        <f t="shared" si="15"/>
        <v>5</v>
      </c>
    </row>
    <row r="42" spans="1:16" ht="18" customHeight="1">
      <c r="A42" s="85"/>
      <c r="B42" s="86"/>
      <c r="C42" s="87"/>
      <c r="D42" s="88">
        <v>438</v>
      </c>
      <c r="E42" s="88">
        <v>270</v>
      </c>
      <c r="F42" s="89">
        <v>2</v>
      </c>
      <c r="G42" s="90">
        <f t="shared" ref="G42" si="18">D42*E42/91809*F42</f>
        <v>2.5762180178413883</v>
      </c>
      <c r="H42" s="90">
        <f t="shared" ref="H42" si="19">(D42/1000)*4*F42+(E42/1000)*4*F42</f>
        <v>5.6639999999999997</v>
      </c>
      <c r="I42" s="91" t="str">
        <f t="shared" si="16"/>
        <v>8동206호84B</v>
      </c>
      <c r="J42" s="92" t="s">
        <v>210</v>
      </c>
      <c r="L42" s="78"/>
      <c r="M42" s="78"/>
      <c r="N42" s="78"/>
      <c r="O42" s="78"/>
    </row>
    <row r="43" spans="1:16" ht="18" customHeight="1">
      <c r="A43" s="85"/>
      <c r="B43" s="93"/>
      <c r="C43" s="87"/>
      <c r="D43" s="325" t="s">
        <v>0</v>
      </c>
      <c r="E43" s="325"/>
      <c r="F43" s="94">
        <f>SUM(F37:F42)</f>
        <v>13</v>
      </c>
      <c r="G43" s="95">
        <f>SUM(G37:G42)</f>
        <v>121.18485115838315</v>
      </c>
      <c r="H43" s="96">
        <f>SUM(H37:H42)</f>
        <v>92.88000000000001</v>
      </c>
      <c r="I43" s="97"/>
      <c r="J43" s="162"/>
    </row>
    <row r="44" spans="1:16" ht="18" customHeight="1">
      <c r="A44" s="85"/>
      <c r="B44" s="93"/>
      <c r="C44" s="87"/>
      <c r="D44" s="161"/>
      <c r="E44" s="161"/>
      <c r="F44" s="89"/>
      <c r="G44" s="100"/>
      <c r="H44" s="101"/>
      <c r="I44" s="102"/>
      <c r="J44" s="121"/>
      <c r="L44" s="78" t="s">
        <v>53</v>
      </c>
      <c r="M44" s="78" t="s">
        <v>49</v>
      </c>
      <c r="N44" s="78" t="s">
        <v>50</v>
      </c>
      <c r="O44" s="78" t="s">
        <v>55</v>
      </c>
    </row>
    <row r="45" spans="1:16" ht="18" customHeight="1">
      <c r="A45" s="85"/>
      <c r="B45" s="23" t="s">
        <v>197</v>
      </c>
      <c r="C45" s="24">
        <v>22</v>
      </c>
      <c r="D45" s="88">
        <v>761</v>
      </c>
      <c r="E45" s="88">
        <v>1810</v>
      </c>
      <c r="F45" s="89">
        <v>2</v>
      </c>
      <c r="G45" s="90">
        <f t="shared" ref="G45:G51" si="20">D45*E45/91809*F45</f>
        <v>30.00599069807971</v>
      </c>
      <c r="H45" s="90">
        <f t="shared" ref="H45:H51" si="21">(D45/1000)*4*F45+(E45/1000)*4*F45</f>
        <v>20.568000000000001</v>
      </c>
      <c r="I45" s="103" t="str">
        <f>I37</f>
        <v>8동206호84B</v>
      </c>
      <c r="J45" s="92" t="s">
        <v>212</v>
      </c>
      <c r="L45" s="78">
        <v>2</v>
      </c>
      <c r="M45" s="78">
        <f>M37</f>
        <v>5</v>
      </c>
      <c r="N45" s="84"/>
      <c r="O45" s="78">
        <f>L45*M45-N45*L45</f>
        <v>10</v>
      </c>
    </row>
    <row r="46" spans="1:16" ht="18" customHeight="1">
      <c r="A46" s="85"/>
      <c r="B46" s="86"/>
      <c r="C46" s="87"/>
      <c r="D46" s="88">
        <v>1688</v>
      </c>
      <c r="E46" s="88">
        <v>1810</v>
      </c>
      <c r="F46" s="89">
        <v>1</v>
      </c>
      <c r="G46" s="90">
        <f t="shared" si="20"/>
        <v>33.27865459813308</v>
      </c>
      <c r="H46" s="90">
        <f t="shared" si="21"/>
        <v>13.992000000000001</v>
      </c>
      <c r="I46" s="91" t="str">
        <f>I37</f>
        <v>8동206호84B</v>
      </c>
      <c r="J46" s="92" t="s">
        <v>213</v>
      </c>
      <c r="L46" s="78">
        <v>4</v>
      </c>
      <c r="M46" s="78">
        <f>M45</f>
        <v>5</v>
      </c>
      <c r="N46" s="84"/>
      <c r="O46" s="78">
        <f>L46*M46-N46*L46</f>
        <v>20</v>
      </c>
    </row>
    <row r="47" spans="1:16" ht="18" customHeight="1">
      <c r="A47" s="104"/>
      <c r="B47" s="93"/>
      <c r="C47" s="87"/>
      <c r="D47" s="88">
        <v>738</v>
      </c>
      <c r="E47" s="88">
        <v>1310</v>
      </c>
      <c r="F47" s="89">
        <v>4</v>
      </c>
      <c r="G47" s="90">
        <f t="shared" si="20"/>
        <v>42.121360650916579</v>
      </c>
      <c r="H47" s="90">
        <f t="shared" si="21"/>
        <v>32.768000000000001</v>
      </c>
      <c r="I47" s="91" t="str">
        <f>I46</f>
        <v>8동206호84B</v>
      </c>
      <c r="J47" s="92" t="s">
        <v>214</v>
      </c>
      <c r="L47" s="78">
        <v>4</v>
      </c>
      <c r="M47" s="78">
        <f t="shared" ref="M47:M49" si="22">M46</f>
        <v>5</v>
      </c>
      <c r="N47" s="84"/>
      <c r="O47" s="78">
        <f t="shared" ref="O47:O51" si="23">L47*M47-N47*L47</f>
        <v>20</v>
      </c>
    </row>
    <row r="48" spans="1:16" ht="18" customHeight="1">
      <c r="A48" s="104"/>
      <c r="B48" s="93"/>
      <c r="C48" s="87"/>
      <c r="D48" s="88">
        <v>438</v>
      </c>
      <c r="E48" s="88">
        <v>910</v>
      </c>
      <c r="F48" s="89">
        <v>2</v>
      </c>
      <c r="G48" s="90">
        <f t="shared" si="20"/>
        <v>8.6828088749469003</v>
      </c>
      <c r="H48" s="90">
        <f t="shared" si="21"/>
        <v>10.784000000000001</v>
      </c>
      <c r="I48" s="91" t="str">
        <f t="shared" ref="I48:I50" si="24">I47</f>
        <v>8동206호84B</v>
      </c>
      <c r="J48" s="92" t="s">
        <v>225</v>
      </c>
      <c r="L48" s="78">
        <v>2</v>
      </c>
      <c r="M48" s="78">
        <f t="shared" si="22"/>
        <v>5</v>
      </c>
      <c r="N48" s="78"/>
      <c r="O48" s="78">
        <f t="shared" si="23"/>
        <v>10</v>
      </c>
    </row>
    <row r="49" spans="1:15" ht="18" customHeight="1">
      <c r="A49" s="104"/>
      <c r="B49" s="93"/>
      <c r="C49" s="87"/>
      <c r="D49" s="88">
        <v>228</v>
      </c>
      <c r="E49" s="88">
        <v>910</v>
      </c>
      <c r="F49" s="89">
        <v>2</v>
      </c>
      <c r="G49" s="90">
        <f t="shared" si="20"/>
        <v>4.5198183184655099</v>
      </c>
      <c r="H49" s="90">
        <f t="shared" si="21"/>
        <v>9.104000000000001</v>
      </c>
      <c r="I49" s="91" t="str">
        <f t="shared" si="24"/>
        <v>8동206호84B</v>
      </c>
      <c r="J49" s="92" t="s">
        <v>216</v>
      </c>
      <c r="L49" s="78">
        <v>1</v>
      </c>
      <c r="M49" s="78">
        <f t="shared" si="22"/>
        <v>5</v>
      </c>
      <c r="N49" s="78"/>
      <c r="O49" s="78">
        <f t="shared" si="23"/>
        <v>5</v>
      </c>
    </row>
    <row r="50" spans="1:15" ht="18" customHeight="1">
      <c r="A50" s="104"/>
      <c r="B50" s="93"/>
      <c r="C50" s="87"/>
      <c r="D50" s="88">
        <v>438</v>
      </c>
      <c r="E50" s="88">
        <v>270</v>
      </c>
      <c r="F50" s="89">
        <v>2</v>
      </c>
      <c r="G50" s="90">
        <f t="shared" ref="G50" si="25">D50*E50/91809*F50</f>
        <v>2.5762180178413883</v>
      </c>
      <c r="H50" s="90">
        <f t="shared" ref="H50" si="26">(D50/1000)*4*F50+(E50/1000)*4*F50</f>
        <v>5.6639999999999997</v>
      </c>
      <c r="I50" s="91" t="str">
        <f t="shared" si="24"/>
        <v>8동206호84B</v>
      </c>
      <c r="J50" s="92" t="s">
        <v>217</v>
      </c>
      <c r="L50" s="78"/>
      <c r="M50" s="78"/>
      <c r="N50" s="78"/>
      <c r="O50" s="78"/>
    </row>
    <row r="51" spans="1:15" ht="18" customHeight="1">
      <c r="A51" s="104"/>
      <c r="B51" s="93"/>
      <c r="C51" s="87"/>
      <c r="D51" s="88"/>
      <c r="E51" s="88"/>
      <c r="F51" s="89">
        <f t="shared" ref="F51" si="27">O51</f>
        <v>0</v>
      </c>
      <c r="G51" s="90">
        <f t="shared" si="20"/>
        <v>0</v>
      </c>
      <c r="H51" s="90">
        <f t="shared" si="21"/>
        <v>0</v>
      </c>
      <c r="I51" s="91"/>
      <c r="J51" s="92"/>
      <c r="L51" s="78"/>
      <c r="M51" s="78"/>
      <c r="N51" s="78"/>
      <c r="O51" s="78">
        <f t="shared" si="23"/>
        <v>0</v>
      </c>
    </row>
    <row r="52" spans="1:15" ht="18" customHeight="1">
      <c r="A52" s="104"/>
      <c r="B52" s="87"/>
      <c r="C52" s="87"/>
      <c r="D52" s="325" t="s">
        <v>0</v>
      </c>
      <c r="E52" s="325"/>
      <c r="F52" s="171">
        <f>SUM(F45:F51)</f>
        <v>13</v>
      </c>
      <c r="G52" s="95">
        <f>SUM(G45:G51)</f>
        <v>121.18485115838315</v>
      </c>
      <c r="H52" s="95">
        <f>SUM(H45:H51)</f>
        <v>92.88000000000001</v>
      </c>
      <c r="I52" s="97"/>
      <c r="J52" s="98"/>
    </row>
    <row r="53" spans="1:15">
      <c r="A53" s="105"/>
      <c r="B53" s="9"/>
      <c r="C53" s="9"/>
      <c r="D53" s="51"/>
      <c r="E53" s="51"/>
      <c r="F53" s="51"/>
      <c r="G53" s="106"/>
      <c r="H53" s="106"/>
      <c r="I53" s="9"/>
      <c r="J53" s="107"/>
    </row>
    <row r="54" spans="1:15" ht="18" customHeight="1">
      <c r="A54" s="85"/>
      <c r="B54" s="163" t="s">
        <v>199</v>
      </c>
      <c r="C54" s="163">
        <v>22</v>
      </c>
      <c r="D54" s="88">
        <v>738</v>
      </c>
      <c r="E54" s="88">
        <v>1810</v>
      </c>
      <c r="F54" s="89">
        <v>2</v>
      </c>
      <c r="G54" s="90">
        <f t="shared" ref="G54:G56" si="28">D54*E54/91809*F54</f>
        <v>29.099107930595039</v>
      </c>
      <c r="H54" s="90">
        <f t="shared" ref="H54:H56" si="29">(D54/1000)*4*F54+(E54/1000)*4*F54</f>
        <v>20.384</v>
      </c>
      <c r="I54" s="91" t="str">
        <f>I45</f>
        <v>8동206호84B</v>
      </c>
      <c r="J54" s="92" t="s">
        <v>219</v>
      </c>
      <c r="L54" s="78">
        <v>2</v>
      </c>
      <c r="M54" s="78">
        <f>M37</f>
        <v>5</v>
      </c>
      <c r="N54" s="84"/>
      <c r="O54" s="78">
        <f>L54*M54-N54*L54</f>
        <v>10</v>
      </c>
    </row>
    <row r="55" spans="1:15" ht="18" customHeight="1">
      <c r="A55" s="85"/>
      <c r="B55" s="86"/>
      <c r="C55" s="87"/>
      <c r="D55" s="88">
        <v>250</v>
      </c>
      <c r="E55" s="88">
        <v>930</v>
      </c>
      <c r="F55" s="89">
        <v>2</v>
      </c>
      <c r="G55" s="90">
        <f t="shared" si="28"/>
        <v>5.0648629219357577</v>
      </c>
      <c r="H55" s="90">
        <f t="shared" si="29"/>
        <v>9.4400000000000013</v>
      </c>
      <c r="I55" s="91" t="str">
        <f>I54</f>
        <v>8동206호84B</v>
      </c>
      <c r="J55" s="92" t="s">
        <v>220</v>
      </c>
      <c r="L55" s="78">
        <v>2</v>
      </c>
      <c r="M55" s="78">
        <f>M54</f>
        <v>5</v>
      </c>
      <c r="N55" s="84"/>
      <c r="O55" s="78">
        <f t="shared" ref="O55:O56" si="30">L55*M55-N55*L55</f>
        <v>10</v>
      </c>
    </row>
    <row r="56" spans="1:15" ht="18" customHeight="1">
      <c r="A56" s="85"/>
      <c r="B56" s="86"/>
      <c r="C56" s="87"/>
      <c r="D56" s="88"/>
      <c r="E56" s="88"/>
      <c r="F56" s="89"/>
      <c r="G56" s="90">
        <f t="shared" si="28"/>
        <v>0</v>
      </c>
      <c r="H56" s="90">
        <f t="shared" si="29"/>
        <v>0</v>
      </c>
      <c r="I56" s="91"/>
      <c r="J56" s="92"/>
      <c r="L56" s="78"/>
      <c r="M56" s="78"/>
      <c r="N56" s="78"/>
      <c r="O56" s="78">
        <f t="shared" si="30"/>
        <v>0</v>
      </c>
    </row>
    <row r="57" spans="1:15" ht="18" customHeight="1">
      <c r="A57" s="85"/>
      <c r="B57" s="93"/>
      <c r="C57" s="87"/>
      <c r="D57" s="325" t="s">
        <v>0</v>
      </c>
      <c r="E57" s="325"/>
      <c r="F57" s="94">
        <f>SUM(F54:F56)</f>
        <v>4</v>
      </c>
      <c r="G57" s="95">
        <f>SUM(G54:G56)</f>
        <v>34.163970852530795</v>
      </c>
      <c r="H57" s="95">
        <f>SUM(H54:H56)</f>
        <v>29.824000000000002</v>
      </c>
      <c r="I57" s="97"/>
      <c r="J57" s="98"/>
    </row>
    <row r="58" spans="1:15">
      <c r="A58" s="9"/>
      <c r="B58" s="9"/>
      <c r="C58" s="9"/>
      <c r="D58" s="51"/>
      <c r="E58" s="51"/>
      <c r="F58" s="51"/>
      <c r="G58" s="106"/>
      <c r="H58" s="106"/>
      <c r="I58" s="9"/>
      <c r="J58" s="9"/>
    </row>
    <row r="59" spans="1:15">
      <c r="A59" s="9"/>
      <c r="B59" s="9"/>
      <c r="C59" s="9"/>
      <c r="D59" s="51"/>
      <c r="E59" s="51"/>
      <c r="F59" s="51"/>
      <c r="G59" s="106"/>
      <c r="H59" s="106"/>
      <c r="I59" s="9"/>
      <c r="J59" s="9"/>
    </row>
    <row r="60" spans="1:15">
      <c r="A60" s="9"/>
      <c r="B60" s="9"/>
      <c r="C60" s="9"/>
      <c r="D60" s="51"/>
      <c r="E60" s="51"/>
      <c r="F60" s="51"/>
      <c r="G60" s="106"/>
      <c r="H60" s="106"/>
      <c r="I60" s="9"/>
      <c r="J60" s="9"/>
    </row>
  </sheetData>
  <mergeCells count="23">
    <mergeCell ref="B6:E6"/>
    <mergeCell ref="G6:J6"/>
    <mergeCell ref="A1:G3"/>
    <mergeCell ref="B4:F4"/>
    <mergeCell ref="H4:J4"/>
    <mergeCell ref="B5:E5"/>
    <mergeCell ref="G5:J5"/>
    <mergeCell ref="B7:E7"/>
    <mergeCell ref="G7:J7"/>
    <mergeCell ref="A10:J10"/>
    <mergeCell ref="A12:A13"/>
    <mergeCell ref="B12:B13"/>
    <mergeCell ref="C12:E12"/>
    <mergeCell ref="F12:F13"/>
    <mergeCell ref="G12:G13"/>
    <mergeCell ref="H12:H13"/>
    <mergeCell ref="I12:J13"/>
    <mergeCell ref="D57:E57"/>
    <mergeCell ref="D21:E21"/>
    <mergeCell ref="D30:E30"/>
    <mergeCell ref="D35:E35"/>
    <mergeCell ref="D43:E43"/>
    <mergeCell ref="D52:E52"/>
  </mergeCells>
  <phoneticPr fontId="4" type="noConversion"/>
  <pageMargins left="0.17" right="0.17" top="0.75" bottom="0.75" header="0.3" footer="0.3"/>
  <pageSetup paperSize="9" scale="87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P601"/>
  <sheetViews>
    <sheetView topLeftCell="A71" workbookViewId="0">
      <selection activeCell="A11" sqref="A11"/>
    </sheetView>
  </sheetViews>
  <sheetFormatPr defaultRowHeight="16.5"/>
  <cols>
    <col min="1" max="1" width="11" customWidth="1"/>
    <col min="2" max="2" width="18.625" customWidth="1"/>
    <col min="3" max="3" width="8.125" customWidth="1"/>
    <col min="4" max="4" width="11" style="122" customWidth="1"/>
    <col min="5" max="5" width="11.5" style="122" customWidth="1"/>
    <col min="6" max="6" width="6.875" style="122" customWidth="1"/>
    <col min="7" max="8" width="10.375" style="13" customWidth="1"/>
    <col min="9" max="10" width="9.375" customWidth="1"/>
  </cols>
  <sheetData>
    <row r="1" spans="1:16" ht="15" customHeight="1">
      <c r="A1" s="350" t="s">
        <v>28</v>
      </c>
      <c r="B1" s="350"/>
      <c r="C1" s="350"/>
      <c r="D1" s="350"/>
      <c r="E1" s="350"/>
      <c r="F1" s="350"/>
      <c r="G1" s="350"/>
      <c r="H1" s="55" t="s">
        <v>29</v>
      </c>
      <c r="I1" s="56"/>
      <c r="J1" s="57"/>
    </row>
    <row r="2" spans="1:16" ht="15" customHeight="1">
      <c r="A2" s="350"/>
      <c r="B2" s="350"/>
      <c r="C2" s="350"/>
      <c r="D2" s="350"/>
      <c r="E2" s="350"/>
      <c r="F2" s="350"/>
      <c r="G2" s="350"/>
      <c r="H2" s="58" t="s">
        <v>298</v>
      </c>
      <c r="I2" s="59"/>
      <c r="J2" s="57"/>
    </row>
    <row r="3" spans="1:16" ht="15" customHeight="1" thickBot="1">
      <c r="A3" s="351"/>
      <c r="B3" s="351"/>
      <c r="C3" s="351"/>
      <c r="D3" s="351"/>
      <c r="E3" s="351"/>
      <c r="F3" s="351"/>
      <c r="G3" s="351"/>
      <c r="H3" s="60"/>
      <c r="I3" s="61"/>
      <c r="J3" s="61"/>
    </row>
    <row r="4" spans="1:16" ht="23.1" customHeight="1">
      <c r="A4" s="62" t="s">
        <v>30</v>
      </c>
      <c r="B4" s="352" t="s">
        <v>113</v>
      </c>
      <c r="C4" s="353"/>
      <c r="D4" s="353"/>
      <c r="E4" s="353"/>
      <c r="F4" s="354"/>
      <c r="G4" s="63" t="s">
        <v>31</v>
      </c>
      <c r="H4" s="355" t="s">
        <v>230</v>
      </c>
      <c r="I4" s="356"/>
      <c r="J4" s="357"/>
      <c r="K4" s="64"/>
    </row>
    <row r="5" spans="1:16" ht="23.1" customHeight="1">
      <c r="A5" s="65" t="s">
        <v>32</v>
      </c>
      <c r="B5" s="358"/>
      <c r="C5" s="359"/>
      <c r="D5" s="359"/>
      <c r="E5" s="360"/>
      <c r="F5" s="66" t="s">
        <v>33</v>
      </c>
      <c r="G5" s="347"/>
      <c r="H5" s="348"/>
      <c r="I5" s="348"/>
      <c r="J5" s="349"/>
    </row>
    <row r="6" spans="1:16" ht="23.1" customHeight="1">
      <c r="A6" s="65" t="s">
        <v>34</v>
      </c>
      <c r="B6" s="346" t="s">
        <v>299</v>
      </c>
      <c r="C6" s="346"/>
      <c r="D6" s="346"/>
      <c r="E6" s="346"/>
      <c r="F6" s="67" t="s">
        <v>35</v>
      </c>
      <c r="G6" s="347"/>
      <c r="H6" s="348"/>
      <c r="I6" s="348"/>
      <c r="J6" s="349"/>
    </row>
    <row r="7" spans="1:16" ht="23.1" customHeight="1" thickBot="1">
      <c r="A7" s="68" t="s">
        <v>36</v>
      </c>
      <c r="B7" s="326" t="s">
        <v>300</v>
      </c>
      <c r="C7" s="326"/>
      <c r="D7" s="326"/>
      <c r="E7" s="326"/>
      <c r="F7" s="69" t="s">
        <v>37</v>
      </c>
      <c r="G7" s="327" t="s">
        <v>231</v>
      </c>
      <c r="H7" s="328"/>
      <c r="I7" s="328"/>
      <c r="J7" s="329"/>
    </row>
    <row r="8" spans="1:16" ht="3" customHeight="1">
      <c r="A8" s="70"/>
      <c r="B8" s="70"/>
      <c r="C8" s="70"/>
      <c r="D8" s="71"/>
      <c r="E8" s="71"/>
      <c r="F8" s="71"/>
      <c r="G8" s="72"/>
      <c r="H8" s="72"/>
      <c r="I8" s="70"/>
      <c r="J8" s="70"/>
    </row>
    <row r="9" spans="1:16" ht="0.75" customHeight="1" thickBot="1">
      <c r="A9" s="70"/>
      <c r="B9" s="70"/>
      <c r="C9" s="70"/>
      <c r="D9" s="71"/>
      <c r="E9" s="71"/>
      <c r="F9" s="71"/>
      <c r="G9" s="72"/>
      <c r="H9" s="72"/>
      <c r="I9" s="70"/>
      <c r="J9" s="70"/>
    </row>
    <row r="10" spans="1:16" ht="30.75" customHeight="1">
      <c r="A10" s="330" t="s">
        <v>38</v>
      </c>
      <c r="B10" s="331"/>
      <c r="C10" s="331"/>
      <c r="D10" s="331"/>
      <c r="E10" s="331"/>
      <c r="F10" s="331"/>
      <c r="G10" s="331"/>
      <c r="H10" s="331"/>
      <c r="I10" s="331"/>
      <c r="J10" s="332"/>
    </row>
    <row r="11" spans="1:16" ht="30.75" customHeight="1">
      <c r="A11" s="274" t="s">
        <v>301</v>
      </c>
      <c r="B11" s="275"/>
      <c r="C11" s="275"/>
      <c r="D11" s="275"/>
      <c r="E11" s="275"/>
      <c r="F11" s="275"/>
      <c r="G11" s="275"/>
      <c r="H11" s="275"/>
      <c r="I11" s="275"/>
      <c r="J11" s="276"/>
    </row>
    <row r="12" spans="1:16" ht="30.75" customHeight="1" thickBot="1">
      <c r="A12" s="73" t="s">
        <v>232</v>
      </c>
      <c r="B12" s="74"/>
      <c r="C12" s="74"/>
      <c r="D12" s="74"/>
      <c r="E12" s="74"/>
      <c r="F12" s="74"/>
      <c r="G12" s="75"/>
      <c r="H12" s="75"/>
      <c r="I12" s="74"/>
      <c r="J12" s="179" t="s">
        <v>115</v>
      </c>
    </row>
    <row r="13" spans="1:16" ht="18" customHeight="1">
      <c r="A13" s="333" t="s">
        <v>39</v>
      </c>
      <c r="B13" s="335" t="s">
        <v>40</v>
      </c>
      <c r="C13" s="337" t="s">
        <v>7</v>
      </c>
      <c r="D13" s="337"/>
      <c r="E13" s="337"/>
      <c r="F13" s="338" t="s">
        <v>41</v>
      </c>
      <c r="G13" s="340" t="s">
        <v>42</v>
      </c>
      <c r="H13" s="340" t="s">
        <v>43</v>
      </c>
      <c r="I13" s="342" t="s">
        <v>44</v>
      </c>
      <c r="J13" s="343"/>
    </row>
    <row r="14" spans="1:16" ht="18" customHeight="1" thickBot="1">
      <c r="A14" s="334"/>
      <c r="B14" s="336"/>
      <c r="C14" s="76" t="s">
        <v>45</v>
      </c>
      <c r="D14" s="173" t="s">
        <v>46</v>
      </c>
      <c r="E14" s="173" t="s">
        <v>47</v>
      </c>
      <c r="F14" s="339"/>
      <c r="G14" s="341"/>
      <c r="H14" s="341"/>
      <c r="I14" s="344"/>
      <c r="J14" s="345"/>
      <c r="L14" s="78" t="s">
        <v>48</v>
      </c>
      <c r="M14" s="78" t="s">
        <v>49</v>
      </c>
      <c r="N14" s="78" t="s">
        <v>50</v>
      </c>
      <c r="O14" s="78" t="s">
        <v>51</v>
      </c>
    </row>
    <row r="15" spans="1:16" ht="18" customHeight="1">
      <c r="A15" s="79" t="s">
        <v>234</v>
      </c>
      <c r="B15" s="23" t="s">
        <v>195</v>
      </c>
      <c r="C15" s="24">
        <v>22</v>
      </c>
      <c r="D15" s="80">
        <v>761</v>
      </c>
      <c r="E15" s="80">
        <v>1810</v>
      </c>
      <c r="F15" s="89">
        <f>O15</f>
        <v>40</v>
      </c>
      <c r="G15" s="81">
        <f t="shared" ref="G15:G21" si="0">D15*E15/91809*F15</f>
        <v>600.11981396159422</v>
      </c>
      <c r="H15" s="81">
        <f t="shared" ref="H15:H21" si="1">(D15/1000)*4*F15+(E15/1000)*4*F15</f>
        <v>411.36</v>
      </c>
      <c r="I15" s="91" t="s">
        <v>233</v>
      </c>
      <c r="J15" s="92" t="s">
        <v>205</v>
      </c>
      <c r="L15" s="89">
        <v>2</v>
      </c>
      <c r="M15" s="78">
        <f>10+10</f>
        <v>20</v>
      </c>
      <c r="N15" s="84"/>
      <c r="O15" s="78">
        <f>L15*M15-N15*L15</f>
        <v>40</v>
      </c>
      <c r="P15" s="64"/>
    </row>
    <row r="16" spans="1:16" ht="18" customHeight="1">
      <c r="A16" s="85"/>
      <c r="B16" s="86"/>
      <c r="C16" s="87"/>
      <c r="D16" s="88">
        <v>1688</v>
      </c>
      <c r="E16" s="88">
        <v>1810</v>
      </c>
      <c r="F16" s="89">
        <f t="shared" ref="F16:F21" si="2">O16</f>
        <v>20</v>
      </c>
      <c r="G16" s="90">
        <f t="shared" si="0"/>
        <v>665.57309196266158</v>
      </c>
      <c r="H16" s="90">
        <f t="shared" si="1"/>
        <v>279.84000000000003</v>
      </c>
      <c r="I16" s="91" t="str">
        <f>I15</f>
        <v>1동1,2라인</v>
      </c>
      <c r="J16" s="92" t="s">
        <v>206</v>
      </c>
      <c r="L16" s="89">
        <v>1</v>
      </c>
      <c r="M16" s="78">
        <f>M15</f>
        <v>20</v>
      </c>
      <c r="N16" s="84"/>
      <c r="O16" s="78">
        <f t="shared" ref="O16:O21" si="3">L16*M16-N16*L16</f>
        <v>20</v>
      </c>
    </row>
    <row r="17" spans="1:15" ht="18" customHeight="1">
      <c r="A17" s="85"/>
      <c r="B17" s="86"/>
      <c r="C17" s="87"/>
      <c r="D17" s="88">
        <v>738</v>
      </c>
      <c r="E17" s="88">
        <v>1310</v>
      </c>
      <c r="F17" s="89">
        <f t="shared" si="2"/>
        <v>80</v>
      </c>
      <c r="G17" s="90">
        <f t="shared" si="0"/>
        <v>842.4272130183316</v>
      </c>
      <c r="H17" s="90">
        <f t="shared" si="1"/>
        <v>655.36</v>
      </c>
      <c r="I17" s="91" t="str">
        <f t="shared" ref="I17:I21" si="4">I16</f>
        <v>1동1,2라인</v>
      </c>
      <c r="J17" s="92" t="s">
        <v>207</v>
      </c>
      <c r="L17" s="89">
        <v>4</v>
      </c>
      <c r="M17" s="78">
        <f t="shared" ref="M17:M20" si="5">M16</f>
        <v>20</v>
      </c>
      <c r="N17" s="78"/>
      <c r="O17" s="78">
        <f t="shared" si="3"/>
        <v>80</v>
      </c>
    </row>
    <row r="18" spans="1:15" ht="18" customHeight="1">
      <c r="A18" s="85"/>
      <c r="B18" s="86"/>
      <c r="C18" s="87"/>
      <c r="D18" s="88">
        <v>288</v>
      </c>
      <c r="E18" s="88">
        <v>910</v>
      </c>
      <c r="F18" s="89">
        <f t="shared" si="2"/>
        <v>40</v>
      </c>
      <c r="G18" s="90">
        <f t="shared" si="0"/>
        <v>114.18488383491814</v>
      </c>
      <c r="H18" s="90">
        <f t="shared" si="1"/>
        <v>191.68</v>
      </c>
      <c r="I18" s="91" t="str">
        <f t="shared" si="4"/>
        <v>1동1,2라인</v>
      </c>
      <c r="J18" s="92" t="s">
        <v>208</v>
      </c>
      <c r="L18" s="89">
        <v>2</v>
      </c>
      <c r="M18" s="78">
        <f t="shared" si="5"/>
        <v>20</v>
      </c>
      <c r="N18" s="78"/>
      <c r="O18" s="78">
        <f t="shared" si="3"/>
        <v>40</v>
      </c>
    </row>
    <row r="19" spans="1:15" ht="18" customHeight="1">
      <c r="A19" s="85"/>
      <c r="B19" s="86"/>
      <c r="C19" s="87"/>
      <c r="D19" s="88">
        <v>228</v>
      </c>
      <c r="E19" s="88">
        <v>910</v>
      </c>
      <c r="F19" s="89">
        <f t="shared" si="2"/>
        <v>40</v>
      </c>
      <c r="G19" s="90">
        <f t="shared" si="0"/>
        <v>90.396366369310201</v>
      </c>
      <c r="H19" s="90">
        <f t="shared" si="1"/>
        <v>182.07999999999998</v>
      </c>
      <c r="I19" s="91" t="str">
        <f t="shared" si="4"/>
        <v>1동1,2라인</v>
      </c>
      <c r="J19" s="92" t="s">
        <v>209</v>
      </c>
      <c r="L19" s="89">
        <v>2</v>
      </c>
      <c r="M19" s="78">
        <f t="shared" si="5"/>
        <v>20</v>
      </c>
      <c r="N19" s="78"/>
      <c r="O19" s="78">
        <f t="shared" si="3"/>
        <v>40</v>
      </c>
    </row>
    <row r="20" spans="1:15" ht="18" customHeight="1">
      <c r="A20" s="85"/>
      <c r="B20" s="86"/>
      <c r="C20" s="87"/>
      <c r="D20" s="88">
        <v>438</v>
      </c>
      <c r="E20" s="88">
        <v>270</v>
      </c>
      <c r="F20" s="89">
        <f t="shared" si="2"/>
        <v>40</v>
      </c>
      <c r="G20" s="90">
        <f t="shared" si="0"/>
        <v>51.524360356827763</v>
      </c>
      <c r="H20" s="90">
        <f t="shared" si="1"/>
        <v>113.28</v>
      </c>
      <c r="I20" s="91" t="str">
        <f t="shared" si="4"/>
        <v>1동1,2라인</v>
      </c>
      <c r="J20" s="92" t="s">
        <v>210</v>
      </c>
      <c r="L20" s="89">
        <v>2</v>
      </c>
      <c r="M20" s="78">
        <f t="shared" si="5"/>
        <v>20</v>
      </c>
      <c r="N20" s="78"/>
      <c r="O20" s="78">
        <f t="shared" si="3"/>
        <v>40</v>
      </c>
    </row>
    <row r="21" spans="1:15" ht="18" customHeight="1">
      <c r="A21" s="85"/>
      <c r="B21" s="86"/>
      <c r="C21" s="87"/>
      <c r="D21" s="88">
        <v>208</v>
      </c>
      <c r="E21" s="88">
        <v>910</v>
      </c>
      <c r="F21" s="89">
        <f t="shared" si="2"/>
        <v>40</v>
      </c>
      <c r="G21" s="90">
        <f t="shared" si="0"/>
        <v>82.466860547440888</v>
      </c>
      <c r="H21" s="90">
        <f t="shared" si="1"/>
        <v>178.88</v>
      </c>
      <c r="I21" s="91" t="str">
        <f t="shared" si="4"/>
        <v>1동1,2라인</v>
      </c>
      <c r="J21" s="92" t="s">
        <v>211</v>
      </c>
      <c r="L21" s="89">
        <v>2</v>
      </c>
      <c r="M21" s="78">
        <f>M20</f>
        <v>20</v>
      </c>
      <c r="N21" s="78"/>
      <c r="O21" s="78">
        <f t="shared" si="3"/>
        <v>40</v>
      </c>
    </row>
    <row r="22" spans="1:15" ht="18" customHeight="1">
      <c r="A22" s="85"/>
      <c r="B22" s="93"/>
      <c r="C22" s="87"/>
      <c r="D22" s="325" t="s">
        <v>0</v>
      </c>
      <c r="E22" s="325"/>
      <c r="F22" s="94">
        <f>SUM(F15:F21)</f>
        <v>300</v>
      </c>
      <c r="G22" s="95">
        <f>SUM(G15:G21)</f>
        <v>2446.6925900510846</v>
      </c>
      <c r="H22" s="96">
        <f>SUM(H15:H21)</f>
        <v>2012.48</v>
      </c>
      <c r="I22" s="97"/>
      <c r="J22" s="162"/>
    </row>
    <row r="23" spans="1:15" ht="18" customHeight="1">
      <c r="A23" s="85"/>
      <c r="B23" s="93"/>
      <c r="C23" s="87"/>
      <c r="D23" s="161"/>
      <c r="E23" s="161"/>
      <c r="F23" s="89"/>
      <c r="G23" s="100"/>
      <c r="H23" s="101"/>
      <c r="I23" s="102"/>
      <c r="J23" s="121"/>
      <c r="L23" s="78" t="s">
        <v>48</v>
      </c>
      <c r="M23" s="78" t="s">
        <v>54</v>
      </c>
      <c r="N23" s="78" t="s">
        <v>50</v>
      </c>
      <c r="O23" s="78" t="s">
        <v>55</v>
      </c>
    </row>
    <row r="24" spans="1:15" ht="18" customHeight="1">
      <c r="A24" s="85"/>
      <c r="B24" s="23" t="s">
        <v>197</v>
      </c>
      <c r="C24" s="24">
        <v>22</v>
      </c>
      <c r="D24" s="88">
        <v>761</v>
      </c>
      <c r="E24" s="88">
        <v>1810</v>
      </c>
      <c r="F24" s="89">
        <f t="shared" ref="F24:F30" si="6">O24</f>
        <v>40</v>
      </c>
      <c r="G24" s="90">
        <f t="shared" ref="G24:G30" si="7">D24*E24/91809*F24</f>
        <v>600.11981396159422</v>
      </c>
      <c r="H24" s="90">
        <f t="shared" ref="H24:H30" si="8">(D24/1000)*4*F24+(E24/1000)*4*F24</f>
        <v>411.36</v>
      </c>
      <c r="I24" s="91" t="str">
        <f t="shared" ref="I24:I30" si="9">I15</f>
        <v>1동1,2라인</v>
      </c>
      <c r="J24" s="92" t="s">
        <v>212</v>
      </c>
      <c r="L24" s="89">
        <v>2</v>
      </c>
      <c r="M24" s="78">
        <f>M15</f>
        <v>20</v>
      </c>
      <c r="N24" s="84"/>
      <c r="O24" s="78">
        <f>L24*M24-N24*L24</f>
        <v>40</v>
      </c>
    </row>
    <row r="25" spans="1:15" ht="18" customHeight="1">
      <c r="A25" s="85"/>
      <c r="B25" s="86"/>
      <c r="C25" s="87"/>
      <c r="D25" s="88">
        <v>1688</v>
      </c>
      <c r="E25" s="88">
        <v>1810</v>
      </c>
      <c r="F25" s="89">
        <f t="shared" si="6"/>
        <v>20</v>
      </c>
      <c r="G25" s="90">
        <f t="shared" si="7"/>
        <v>665.57309196266158</v>
      </c>
      <c r="H25" s="90">
        <f t="shared" si="8"/>
        <v>279.84000000000003</v>
      </c>
      <c r="I25" s="91" t="str">
        <f t="shared" si="9"/>
        <v>1동1,2라인</v>
      </c>
      <c r="J25" s="92" t="s">
        <v>213</v>
      </c>
      <c r="L25" s="89">
        <v>1</v>
      </c>
      <c r="M25" s="78">
        <f>M24</f>
        <v>20</v>
      </c>
      <c r="N25" s="84"/>
      <c r="O25" s="78">
        <f>L25*M25-N25*L25</f>
        <v>20</v>
      </c>
    </row>
    <row r="26" spans="1:15" ht="18" customHeight="1">
      <c r="A26" s="104"/>
      <c r="B26" s="93"/>
      <c r="C26" s="87"/>
      <c r="D26" s="88">
        <v>738</v>
      </c>
      <c r="E26" s="88">
        <v>1310</v>
      </c>
      <c r="F26" s="89">
        <f t="shared" si="6"/>
        <v>80</v>
      </c>
      <c r="G26" s="90">
        <f t="shared" si="7"/>
        <v>842.4272130183316</v>
      </c>
      <c r="H26" s="90">
        <f t="shared" si="8"/>
        <v>655.36</v>
      </c>
      <c r="I26" s="91" t="str">
        <f t="shared" si="9"/>
        <v>1동1,2라인</v>
      </c>
      <c r="J26" s="92" t="s">
        <v>214</v>
      </c>
      <c r="L26" s="89">
        <v>4</v>
      </c>
      <c r="M26" s="78">
        <f t="shared" ref="M26:M30" si="10">M25</f>
        <v>20</v>
      </c>
      <c r="N26" s="84"/>
      <c r="O26" s="78">
        <f t="shared" ref="O26:O30" si="11">L26*M26-N26*L26</f>
        <v>80</v>
      </c>
    </row>
    <row r="27" spans="1:15" ht="18" customHeight="1">
      <c r="A27" s="104"/>
      <c r="B27" s="93"/>
      <c r="C27" s="87"/>
      <c r="D27" s="88">
        <v>288</v>
      </c>
      <c r="E27" s="88">
        <v>910</v>
      </c>
      <c r="F27" s="89">
        <f t="shared" si="6"/>
        <v>40</v>
      </c>
      <c r="G27" s="90">
        <f t="shared" si="7"/>
        <v>114.18488383491814</v>
      </c>
      <c r="H27" s="90">
        <f t="shared" si="8"/>
        <v>191.68</v>
      </c>
      <c r="I27" s="91" t="str">
        <f t="shared" si="9"/>
        <v>1동1,2라인</v>
      </c>
      <c r="J27" s="92" t="s">
        <v>215</v>
      </c>
      <c r="L27" s="89">
        <v>2</v>
      </c>
      <c r="M27" s="78">
        <f t="shared" si="10"/>
        <v>20</v>
      </c>
      <c r="N27" s="78"/>
      <c r="O27" s="78">
        <f t="shared" si="11"/>
        <v>40</v>
      </c>
    </row>
    <row r="28" spans="1:15" ht="18" customHeight="1">
      <c r="A28" s="104"/>
      <c r="B28" s="93"/>
      <c r="C28" s="87"/>
      <c r="D28" s="88">
        <v>228</v>
      </c>
      <c r="E28" s="88">
        <v>910</v>
      </c>
      <c r="F28" s="89">
        <f t="shared" si="6"/>
        <v>40</v>
      </c>
      <c r="G28" s="90">
        <f t="shared" si="7"/>
        <v>90.396366369310201</v>
      </c>
      <c r="H28" s="90">
        <f t="shared" si="8"/>
        <v>182.07999999999998</v>
      </c>
      <c r="I28" s="91" t="str">
        <f t="shared" si="9"/>
        <v>1동1,2라인</v>
      </c>
      <c r="J28" s="92" t="s">
        <v>216</v>
      </c>
      <c r="L28" s="89">
        <v>2</v>
      </c>
      <c r="M28" s="78">
        <f t="shared" si="10"/>
        <v>20</v>
      </c>
      <c r="N28" s="78"/>
      <c r="O28" s="78">
        <f t="shared" si="11"/>
        <v>40</v>
      </c>
    </row>
    <row r="29" spans="1:15" ht="18" customHeight="1">
      <c r="A29" s="104"/>
      <c r="B29" s="93"/>
      <c r="C29" s="87"/>
      <c r="D29" s="88">
        <v>438</v>
      </c>
      <c r="E29" s="88">
        <v>270</v>
      </c>
      <c r="F29" s="89">
        <f t="shared" si="6"/>
        <v>40</v>
      </c>
      <c r="G29" s="90">
        <f t="shared" si="7"/>
        <v>51.524360356827763</v>
      </c>
      <c r="H29" s="90">
        <f t="shared" si="8"/>
        <v>113.28</v>
      </c>
      <c r="I29" s="91" t="str">
        <f t="shared" si="9"/>
        <v>1동1,2라인</v>
      </c>
      <c r="J29" s="92" t="s">
        <v>217</v>
      </c>
      <c r="L29" s="89">
        <v>2</v>
      </c>
      <c r="M29" s="78">
        <f t="shared" si="10"/>
        <v>20</v>
      </c>
      <c r="N29" s="78"/>
      <c r="O29" s="78">
        <f t="shared" si="11"/>
        <v>40</v>
      </c>
    </row>
    <row r="30" spans="1:15" ht="18" customHeight="1">
      <c r="A30" s="104"/>
      <c r="B30" s="93"/>
      <c r="C30" s="87"/>
      <c r="D30" s="88">
        <v>208</v>
      </c>
      <c r="E30" s="88">
        <v>910</v>
      </c>
      <c r="F30" s="89">
        <f t="shared" si="6"/>
        <v>40</v>
      </c>
      <c r="G30" s="90">
        <f t="shared" si="7"/>
        <v>82.466860547440888</v>
      </c>
      <c r="H30" s="90">
        <f t="shared" si="8"/>
        <v>178.88</v>
      </c>
      <c r="I30" s="91" t="str">
        <f t="shared" si="9"/>
        <v>1동1,2라인</v>
      </c>
      <c r="J30" s="92" t="s">
        <v>218</v>
      </c>
      <c r="L30" s="89">
        <v>2</v>
      </c>
      <c r="M30" s="78">
        <f t="shared" si="10"/>
        <v>20</v>
      </c>
      <c r="N30" s="78"/>
      <c r="O30" s="78">
        <f t="shared" si="11"/>
        <v>40</v>
      </c>
    </row>
    <row r="31" spans="1:15" ht="18" customHeight="1">
      <c r="A31" s="104"/>
      <c r="B31" s="87"/>
      <c r="C31" s="87"/>
      <c r="D31" s="325" t="s">
        <v>0</v>
      </c>
      <c r="E31" s="325"/>
      <c r="F31" s="171">
        <f>SUM(F24:F30)</f>
        <v>300</v>
      </c>
      <c r="G31" s="95">
        <f>SUM(G24:G30)</f>
        <v>2446.6925900510846</v>
      </c>
      <c r="H31" s="95">
        <f>SUM(H24:H30)</f>
        <v>2012.48</v>
      </c>
      <c r="I31" s="97"/>
      <c r="J31" s="98"/>
    </row>
    <row r="32" spans="1:15">
      <c r="A32" s="105"/>
      <c r="B32" s="9"/>
      <c r="C32" s="9"/>
      <c r="D32" s="51"/>
      <c r="E32" s="51"/>
      <c r="F32" s="51"/>
      <c r="G32" s="106"/>
      <c r="H32" s="106"/>
      <c r="I32" s="9"/>
      <c r="J32" s="107"/>
    </row>
    <row r="33" spans="1:16" ht="18" customHeight="1">
      <c r="A33" s="85"/>
      <c r="B33" s="163" t="s">
        <v>199</v>
      </c>
      <c r="C33" s="163">
        <v>22</v>
      </c>
      <c r="D33" s="88">
        <v>738</v>
      </c>
      <c r="E33" s="88">
        <v>1810</v>
      </c>
      <c r="F33" s="89">
        <f t="shared" ref="F33:F34" si="12">O33</f>
        <v>20</v>
      </c>
      <c r="G33" s="90">
        <f t="shared" ref="G33:G34" si="13">D33*E33/91809*F33</f>
        <v>290.99107930595039</v>
      </c>
      <c r="H33" s="90">
        <f t="shared" ref="H33:H34" si="14">(D33/1000)*4*F33+(E33/1000)*4*F33</f>
        <v>203.84</v>
      </c>
      <c r="I33" s="91" t="str">
        <f>I24</f>
        <v>1동1,2라인</v>
      </c>
      <c r="J33" s="92" t="s">
        <v>219</v>
      </c>
      <c r="L33" s="89">
        <v>2</v>
      </c>
      <c r="M33" s="78">
        <f>M15</f>
        <v>20</v>
      </c>
      <c r="N33" s="84">
        <v>10</v>
      </c>
      <c r="O33" s="78">
        <f>L33*M33-N33*L33</f>
        <v>20</v>
      </c>
      <c r="P33" s="64" t="s">
        <v>244</v>
      </c>
    </row>
    <row r="34" spans="1:16" ht="18" customHeight="1">
      <c r="A34" s="85"/>
      <c r="B34" s="86"/>
      <c r="C34" s="87"/>
      <c r="D34" s="88">
        <v>250</v>
      </c>
      <c r="E34" s="88">
        <v>930</v>
      </c>
      <c r="F34" s="89">
        <f t="shared" si="12"/>
        <v>40</v>
      </c>
      <c r="G34" s="90">
        <f t="shared" si="13"/>
        <v>101.29725843871515</v>
      </c>
      <c r="H34" s="90">
        <f t="shared" si="14"/>
        <v>188.8</v>
      </c>
      <c r="I34" s="91" t="str">
        <f>I33</f>
        <v>1동1,2라인</v>
      </c>
      <c r="J34" s="92" t="s">
        <v>220</v>
      </c>
      <c r="L34" s="89">
        <v>2</v>
      </c>
      <c r="M34" s="78">
        <f>M33</f>
        <v>20</v>
      </c>
      <c r="N34" s="84"/>
      <c r="O34" s="78">
        <f t="shared" ref="O34" si="15">L34*M34-N34*L34</f>
        <v>40</v>
      </c>
    </row>
    <row r="35" spans="1:16" ht="18" customHeight="1">
      <c r="A35" s="85"/>
      <c r="B35" s="93"/>
      <c r="C35" s="87"/>
      <c r="D35" s="325" t="s">
        <v>0</v>
      </c>
      <c r="E35" s="325"/>
      <c r="F35" s="94">
        <f>SUM(F33:F34)</f>
        <v>60</v>
      </c>
      <c r="G35" s="95">
        <f>SUM(G33:G34)</f>
        <v>392.28833774466557</v>
      </c>
      <c r="H35" s="95">
        <f>SUM(H33:H34)</f>
        <v>392.64</v>
      </c>
      <c r="I35" s="97"/>
      <c r="J35" s="98"/>
    </row>
    <row r="36" spans="1:16" ht="18" customHeight="1">
      <c r="A36" s="108"/>
      <c r="B36" s="164"/>
      <c r="C36" s="109"/>
      <c r="D36" s="165"/>
      <c r="E36" s="165"/>
      <c r="F36" s="110"/>
      <c r="G36" s="111"/>
      <c r="H36" s="111"/>
      <c r="I36" s="112"/>
      <c r="J36" s="113"/>
    </row>
    <row r="37" spans="1:16" ht="18" customHeight="1">
      <c r="A37" s="85" t="s">
        <v>235</v>
      </c>
      <c r="B37" s="23" t="s">
        <v>201</v>
      </c>
      <c r="C37" s="24">
        <v>22</v>
      </c>
      <c r="D37" s="88">
        <v>861</v>
      </c>
      <c r="E37" s="88">
        <v>1810</v>
      </c>
      <c r="F37" s="89">
        <f t="shared" ref="F37:F40" si="16">O37</f>
        <v>10</v>
      </c>
      <c r="G37" s="90">
        <f t="shared" ref="G37:G40" si="17">D37*E37/91809*F37</f>
        <v>169.7447962618044</v>
      </c>
      <c r="H37" s="90">
        <f t="shared" ref="H37:H40" si="18">(D37/1000)*4*F37+(E37/1000)*4*F37</f>
        <v>106.84</v>
      </c>
      <c r="I37" s="91" t="s">
        <v>239</v>
      </c>
      <c r="J37" s="92" t="s">
        <v>205</v>
      </c>
      <c r="L37" s="89">
        <v>1</v>
      </c>
      <c r="M37" s="78">
        <v>10</v>
      </c>
      <c r="N37" s="84"/>
      <c r="O37" s="78">
        <f>L37*M37-N37*L37</f>
        <v>10</v>
      </c>
      <c r="P37" s="64"/>
    </row>
    <row r="38" spans="1:16" ht="18" customHeight="1">
      <c r="A38" s="85"/>
      <c r="B38" s="86"/>
      <c r="C38" s="87"/>
      <c r="D38" s="88">
        <v>738</v>
      </c>
      <c r="E38" s="88">
        <v>1310</v>
      </c>
      <c r="F38" s="89">
        <f t="shared" si="16"/>
        <v>40</v>
      </c>
      <c r="G38" s="90">
        <f t="shared" si="17"/>
        <v>421.2136065091658</v>
      </c>
      <c r="H38" s="90">
        <f t="shared" si="18"/>
        <v>327.68</v>
      </c>
      <c r="I38" s="91" t="str">
        <f>I37</f>
        <v>1동3라인</v>
      </c>
      <c r="J38" s="92" t="s">
        <v>207</v>
      </c>
      <c r="L38" s="89">
        <v>4</v>
      </c>
      <c r="M38" s="78">
        <f>M37</f>
        <v>10</v>
      </c>
      <c r="N38" s="84"/>
      <c r="O38" s="78">
        <f t="shared" ref="O38:O40" si="19">L38*M38-N38*L38</f>
        <v>40</v>
      </c>
    </row>
    <row r="39" spans="1:16" ht="18" customHeight="1">
      <c r="A39" s="85"/>
      <c r="B39" s="86"/>
      <c r="C39" s="87"/>
      <c r="D39" s="88">
        <v>228</v>
      </c>
      <c r="E39" s="88">
        <v>910</v>
      </c>
      <c r="F39" s="89">
        <f t="shared" si="16"/>
        <v>20</v>
      </c>
      <c r="G39" s="90">
        <f t="shared" si="17"/>
        <v>45.1981831846551</v>
      </c>
      <c r="H39" s="90">
        <f t="shared" si="18"/>
        <v>91.039999999999992</v>
      </c>
      <c r="I39" s="91" t="str">
        <f t="shared" ref="I39:I40" si="20">I38</f>
        <v>1동3라인</v>
      </c>
      <c r="J39" s="92" t="s">
        <v>209</v>
      </c>
      <c r="L39" s="89">
        <v>2</v>
      </c>
      <c r="M39" s="78">
        <f t="shared" ref="M39:M40" si="21">M38</f>
        <v>10</v>
      </c>
      <c r="N39" s="78"/>
      <c r="O39" s="78">
        <f t="shared" si="19"/>
        <v>20</v>
      </c>
    </row>
    <row r="40" spans="1:16" ht="18" customHeight="1">
      <c r="A40" s="85"/>
      <c r="B40" s="86"/>
      <c r="C40" s="87"/>
      <c r="D40" s="88">
        <v>438</v>
      </c>
      <c r="E40" s="88">
        <v>270</v>
      </c>
      <c r="F40" s="89">
        <f t="shared" si="16"/>
        <v>20</v>
      </c>
      <c r="G40" s="90">
        <f t="shared" si="17"/>
        <v>25.762180178413882</v>
      </c>
      <c r="H40" s="90">
        <f t="shared" si="18"/>
        <v>56.64</v>
      </c>
      <c r="I40" s="91" t="str">
        <f t="shared" si="20"/>
        <v>1동3라인</v>
      </c>
      <c r="J40" s="92" t="s">
        <v>210</v>
      </c>
      <c r="L40" s="89">
        <v>2</v>
      </c>
      <c r="M40" s="78">
        <f t="shared" si="21"/>
        <v>10</v>
      </c>
      <c r="N40" s="78"/>
      <c r="O40" s="78">
        <f t="shared" si="19"/>
        <v>20</v>
      </c>
    </row>
    <row r="41" spans="1:16" ht="18" customHeight="1">
      <c r="A41" s="85"/>
      <c r="B41" s="93"/>
      <c r="C41" s="87"/>
      <c r="D41" s="325" t="s">
        <v>0</v>
      </c>
      <c r="E41" s="325"/>
      <c r="F41" s="94">
        <f>SUM(F37:F40)</f>
        <v>90</v>
      </c>
      <c r="G41" s="95">
        <f>SUM(G37:G40)</f>
        <v>661.91876613403929</v>
      </c>
      <c r="H41" s="96">
        <f>SUM(H37:H40)</f>
        <v>582.19999999999993</v>
      </c>
      <c r="I41" s="97"/>
      <c r="J41" s="162"/>
    </row>
    <row r="42" spans="1:16" ht="18" customHeight="1">
      <c r="A42" s="85"/>
      <c r="B42" s="93"/>
      <c r="C42" s="87"/>
      <c r="D42" s="161"/>
      <c r="E42" s="161"/>
      <c r="F42" s="89"/>
      <c r="G42" s="100"/>
      <c r="H42" s="101"/>
      <c r="I42" s="102"/>
      <c r="J42" s="121"/>
      <c r="L42" s="252"/>
      <c r="M42" s="252"/>
      <c r="N42" s="252"/>
      <c r="O42" s="252"/>
    </row>
    <row r="43" spans="1:16" ht="18" customHeight="1">
      <c r="A43" s="85"/>
      <c r="B43" s="23" t="s">
        <v>198</v>
      </c>
      <c r="C43" s="24">
        <v>22</v>
      </c>
      <c r="D43" s="88">
        <v>861</v>
      </c>
      <c r="E43" s="88">
        <v>1810</v>
      </c>
      <c r="F43" s="89">
        <f t="shared" ref="F43:F47" si="22">O43</f>
        <v>10</v>
      </c>
      <c r="G43" s="90">
        <f t="shared" ref="G43:G47" si="23">D43*E43/91809*F43</f>
        <v>169.7447962618044</v>
      </c>
      <c r="H43" s="90">
        <f t="shared" ref="H43:H47" si="24">(D43/1000)*4*F43+(E43/1000)*4*F43</f>
        <v>106.84</v>
      </c>
      <c r="I43" s="103" t="str">
        <f>I37</f>
        <v>1동3라인</v>
      </c>
      <c r="J43" s="92" t="s">
        <v>212</v>
      </c>
      <c r="L43" s="89">
        <v>1</v>
      </c>
      <c r="M43" s="78">
        <f>M37</f>
        <v>10</v>
      </c>
      <c r="N43" s="84"/>
      <c r="O43" s="78">
        <f>L43*M43-N43*L43</f>
        <v>10</v>
      </c>
    </row>
    <row r="44" spans="1:16" ht="18" customHeight="1">
      <c r="A44" s="85"/>
      <c r="B44" s="86"/>
      <c r="C44" s="87"/>
      <c r="D44" s="88">
        <v>2114</v>
      </c>
      <c r="E44" s="88">
        <v>1810</v>
      </c>
      <c r="F44" s="89">
        <f t="shared" si="22"/>
        <v>10</v>
      </c>
      <c r="G44" s="90">
        <f t="shared" si="23"/>
        <v>416.77177618751978</v>
      </c>
      <c r="H44" s="90">
        <f t="shared" si="24"/>
        <v>156.96</v>
      </c>
      <c r="I44" s="91" t="str">
        <f>I37</f>
        <v>1동3라인</v>
      </c>
      <c r="J44" s="92" t="s">
        <v>213</v>
      </c>
      <c r="L44" s="89">
        <v>1</v>
      </c>
      <c r="M44" s="78">
        <f>M43</f>
        <v>10</v>
      </c>
      <c r="N44" s="84"/>
      <c r="O44" s="78">
        <f>L44*M44-N44*L44</f>
        <v>10</v>
      </c>
    </row>
    <row r="45" spans="1:16" ht="18" customHeight="1">
      <c r="A45" s="104"/>
      <c r="B45" s="93"/>
      <c r="C45" s="87"/>
      <c r="D45" s="88">
        <v>738</v>
      </c>
      <c r="E45" s="88">
        <v>1310</v>
      </c>
      <c r="F45" s="89">
        <f t="shared" si="22"/>
        <v>40</v>
      </c>
      <c r="G45" s="90">
        <f t="shared" si="23"/>
        <v>421.2136065091658</v>
      </c>
      <c r="H45" s="90">
        <f t="shared" si="24"/>
        <v>327.68</v>
      </c>
      <c r="I45" s="91" t="str">
        <f>I44</f>
        <v>1동3라인</v>
      </c>
      <c r="J45" s="92" t="s">
        <v>214</v>
      </c>
      <c r="L45" s="89">
        <v>4</v>
      </c>
      <c r="M45" s="78">
        <f t="shared" ref="M45:M47" si="25">M44</f>
        <v>10</v>
      </c>
      <c r="N45" s="84"/>
      <c r="O45" s="78">
        <f t="shared" ref="O45:O47" si="26">L45*M45-N45*L45</f>
        <v>40</v>
      </c>
    </row>
    <row r="46" spans="1:16" ht="18" customHeight="1">
      <c r="A46" s="104"/>
      <c r="B46" s="93"/>
      <c r="C46" s="87"/>
      <c r="D46" s="88">
        <v>228</v>
      </c>
      <c r="E46" s="88">
        <v>910</v>
      </c>
      <c r="F46" s="89">
        <f t="shared" si="22"/>
        <v>20</v>
      </c>
      <c r="G46" s="90">
        <f t="shared" si="23"/>
        <v>45.1981831846551</v>
      </c>
      <c r="H46" s="90">
        <f t="shared" si="24"/>
        <v>91.039999999999992</v>
      </c>
      <c r="I46" s="91" t="str">
        <f t="shared" ref="I46:I47" si="27">I45</f>
        <v>1동3라인</v>
      </c>
      <c r="J46" s="92" t="s">
        <v>216</v>
      </c>
      <c r="L46" s="89">
        <v>2</v>
      </c>
      <c r="M46" s="78">
        <f t="shared" si="25"/>
        <v>10</v>
      </c>
      <c r="N46" s="78"/>
      <c r="O46" s="78">
        <f t="shared" si="26"/>
        <v>20</v>
      </c>
    </row>
    <row r="47" spans="1:16" ht="18" customHeight="1">
      <c r="A47" s="104"/>
      <c r="B47" s="93"/>
      <c r="C47" s="87"/>
      <c r="D47" s="88">
        <v>438</v>
      </c>
      <c r="E47" s="88">
        <v>270</v>
      </c>
      <c r="F47" s="89">
        <f t="shared" si="22"/>
        <v>20</v>
      </c>
      <c r="G47" s="90">
        <f t="shared" si="23"/>
        <v>25.762180178413882</v>
      </c>
      <c r="H47" s="90">
        <f t="shared" si="24"/>
        <v>56.64</v>
      </c>
      <c r="I47" s="91" t="str">
        <f t="shared" si="27"/>
        <v>1동3라인</v>
      </c>
      <c r="J47" s="92" t="s">
        <v>217</v>
      </c>
      <c r="L47" s="89">
        <v>2</v>
      </c>
      <c r="M47" s="78">
        <f t="shared" si="25"/>
        <v>10</v>
      </c>
      <c r="N47" s="78"/>
      <c r="O47" s="78">
        <f t="shared" si="26"/>
        <v>20</v>
      </c>
    </row>
    <row r="48" spans="1:16" ht="18" customHeight="1">
      <c r="A48" s="104"/>
      <c r="B48" s="87"/>
      <c r="C48" s="87"/>
      <c r="D48" s="325" t="s">
        <v>0</v>
      </c>
      <c r="E48" s="325"/>
      <c r="F48" s="171">
        <f>SUM(F43:F47)</f>
        <v>100</v>
      </c>
      <c r="G48" s="95">
        <f>SUM(G43:G47)</f>
        <v>1078.690542321559</v>
      </c>
      <c r="H48" s="95">
        <f>SUM(H43:H47)</f>
        <v>739.16</v>
      </c>
      <c r="I48" s="97"/>
      <c r="J48" s="98"/>
    </row>
    <row r="49" spans="1:16">
      <c r="A49" s="105"/>
      <c r="B49" s="9"/>
      <c r="C49" s="9"/>
      <c r="D49" s="51"/>
      <c r="E49" s="51"/>
      <c r="F49" s="51"/>
      <c r="G49" s="106"/>
      <c r="H49" s="106"/>
      <c r="I49" s="9"/>
      <c r="J49" s="107"/>
    </row>
    <row r="50" spans="1:16" ht="18" customHeight="1">
      <c r="A50" s="85"/>
      <c r="B50" s="23" t="s">
        <v>237</v>
      </c>
      <c r="C50" s="24">
        <v>22</v>
      </c>
      <c r="D50" s="88">
        <v>2114</v>
      </c>
      <c r="E50" s="88">
        <v>1810</v>
      </c>
      <c r="F50" s="89">
        <f t="shared" ref="F50" si="28">O50</f>
        <v>10</v>
      </c>
      <c r="G50" s="90">
        <f t="shared" ref="G50" si="29">D50*E50/91809*F50</f>
        <v>416.77177618751978</v>
      </c>
      <c r="H50" s="90">
        <f t="shared" ref="H50" si="30">(D50/1000)*4*F50+(E50/1000)*4*F50</f>
        <v>156.96</v>
      </c>
      <c r="I50" s="91" t="str">
        <f>I43</f>
        <v>1동3라인</v>
      </c>
      <c r="J50" s="92" t="s">
        <v>206</v>
      </c>
      <c r="L50" s="89">
        <v>1</v>
      </c>
      <c r="M50" s="78">
        <f>M37</f>
        <v>10</v>
      </c>
      <c r="N50" s="84"/>
      <c r="O50" s="78">
        <f>L50*M50-N50*L50</f>
        <v>10</v>
      </c>
    </row>
    <row r="51" spans="1:16" ht="18" customHeight="1">
      <c r="A51" s="85"/>
      <c r="B51" s="93"/>
      <c r="C51" s="87"/>
      <c r="D51" s="325" t="s">
        <v>0</v>
      </c>
      <c r="E51" s="325"/>
      <c r="F51" s="94">
        <f>SUM(F50:F50)</f>
        <v>10</v>
      </c>
      <c r="G51" s="95">
        <f>SUM(G50:G50)</f>
        <v>416.77177618751978</v>
      </c>
      <c r="H51" s="95">
        <f>SUM(H50:H50)</f>
        <v>156.96</v>
      </c>
      <c r="I51" s="97"/>
      <c r="J51" s="98"/>
    </row>
    <row r="52" spans="1:16" ht="18" customHeight="1">
      <c r="A52" s="218"/>
      <c r="B52" s="219"/>
      <c r="C52" s="220"/>
      <c r="D52" s="161"/>
      <c r="E52" s="161"/>
      <c r="F52" s="89"/>
      <c r="G52" s="100"/>
      <c r="H52" s="100"/>
      <c r="I52" s="102"/>
      <c r="J52" s="221"/>
    </row>
    <row r="53" spans="1:16" ht="18" customHeight="1">
      <c r="A53" s="85"/>
      <c r="B53" s="23" t="s">
        <v>203</v>
      </c>
      <c r="C53" s="24">
        <v>22</v>
      </c>
      <c r="D53" s="88">
        <v>738</v>
      </c>
      <c r="E53" s="88">
        <v>1810</v>
      </c>
      <c r="F53" s="89">
        <f t="shared" ref="F53:F54" si="31">O53</f>
        <v>20</v>
      </c>
      <c r="G53" s="90">
        <f t="shared" ref="G53:G54" si="32">D53*E53/91809*F53</f>
        <v>290.99107930595039</v>
      </c>
      <c r="H53" s="90">
        <f t="shared" ref="H53:H54" si="33">(D53/1000)*4*F53+(E53/1000)*4*F53</f>
        <v>203.84</v>
      </c>
      <c r="I53" s="91" t="str">
        <f>I50</f>
        <v>1동3라인</v>
      </c>
      <c r="J53" s="92" t="s">
        <v>219</v>
      </c>
      <c r="L53" s="89">
        <v>2</v>
      </c>
      <c r="M53" s="78">
        <f>M50</f>
        <v>10</v>
      </c>
      <c r="N53" s="84"/>
      <c r="O53" s="78">
        <f>L53*M53-N53*L53</f>
        <v>20</v>
      </c>
      <c r="P53" s="64"/>
    </row>
    <row r="54" spans="1:16" ht="18" customHeight="1">
      <c r="A54" s="85"/>
      <c r="B54" s="86"/>
      <c r="C54" s="87"/>
      <c r="D54" s="88">
        <v>250</v>
      </c>
      <c r="E54" s="88">
        <v>930</v>
      </c>
      <c r="F54" s="89">
        <f t="shared" si="31"/>
        <v>20</v>
      </c>
      <c r="G54" s="90">
        <f t="shared" si="32"/>
        <v>50.648629219357574</v>
      </c>
      <c r="H54" s="90">
        <f t="shared" si="33"/>
        <v>94.4</v>
      </c>
      <c r="I54" s="91" t="str">
        <f>I53</f>
        <v>1동3라인</v>
      </c>
      <c r="J54" s="92" t="s">
        <v>220</v>
      </c>
      <c r="L54" s="89">
        <v>2</v>
      </c>
      <c r="M54" s="78">
        <f>M53</f>
        <v>10</v>
      </c>
      <c r="N54" s="84"/>
      <c r="O54" s="78">
        <f t="shared" ref="O54" si="34">L54*M54-N54*L54</f>
        <v>20</v>
      </c>
    </row>
    <row r="55" spans="1:16" ht="18" customHeight="1">
      <c r="A55" s="85"/>
      <c r="B55" s="93"/>
      <c r="C55" s="87"/>
      <c r="D55" s="325" t="s">
        <v>0</v>
      </c>
      <c r="E55" s="325"/>
      <c r="F55" s="94">
        <f>SUM(F53:F54)</f>
        <v>40</v>
      </c>
      <c r="G55" s="95">
        <f>SUM(G53:G54)</f>
        <v>341.63970852530798</v>
      </c>
      <c r="H55" s="96">
        <f>SUM(H53:H54)</f>
        <v>298.24</v>
      </c>
      <c r="I55" s="97"/>
      <c r="J55" s="162"/>
    </row>
    <row r="56" spans="1:16" ht="18" customHeight="1" thickBot="1">
      <c r="A56" s="222"/>
      <c r="B56" s="223"/>
      <c r="C56" s="224"/>
      <c r="D56" s="225"/>
      <c r="E56" s="225"/>
      <c r="F56" s="226"/>
      <c r="G56" s="227"/>
      <c r="H56" s="228"/>
      <c r="I56" s="229"/>
      <c r="J56" s="230"/>
      <c r="L56" s="78" t="s">
        <v>48</v>
      </c>
      <c r="M56" s="78" t="s">
        <v>49</v>
      </c>
      <c r="N56" s="78" t="s">
        <v>50</v>
      </c>
      <c r="O56" s="78" t="s">
        <v>55</v>
      </c>
    </row>
    <row r="57" spans="1:16" ht="18" customHeight="1">
      <c r="A57" s="79" t="s">
        <v>234</v>
      </c>
      <c r="B57" s="231" t="s">
        <v>195</v>
      </c>
      <c r="C57" s="232">
        <v>22</v>
      </c>
      <c r="D57" s="80">
        <v>761</v>
      </c>
      <c r="E57" s="80">
        <v>1810</v>
      </c>
      <c r="F57" s="233">
        <f>O57</f>
        <v>18</v>
      </c>
      <c r="G57" s="81">
        <f t="shared" ref="G57:G63" si="35">D57*E57/91809*F57</f>
        <v>270.05391628271741</v>
      </c>
      <c r="H57" s="81">
        <f t="shared" ref="H57:H63" si="36">(D57/1000)*4*F57+(E57/1000)*4*F57</f>
        <v>185.11199999999999</v>
      </c>
      <c r="I57" s="82" t="s">
        <v>240</v>
      </c>
      <c r="J57" s="83" t="s">
        <v>205</v>
      </c>
      <c r="L57" s="89">
        <v>2</v>
      </c>
      <c r="M57" s="78">
        <v>9</v>
      </c>
      <c r="N57" s="84"/>
      <c r="O57" s="78">
        <f>L57*M57-N57*L57</f>
        <v>18</v>
      </c>
      <c r="P57" s="64"/>
    </row>
    <row r="58" spans="1:16" ht="18" customHeight="1">
      <c r="A58" s="85"/>
      <c r="B58" s="86"/>
      <c r="C58" s="87"/>
      <c r="D58" s="88">
        <v>1688</v>
      </c>
      <c r="E58" s="88">
        <v>1810</v>
      </c>
      <c r="F58" s="89">
        <f t="shared" ref="F58:F63" si="37">O58</f>
        <v>9</v>
      </c>
      <c r="G58" s="90">
        <f t="shared" si="35"/>
        <v>299.50789138319772</v>
      </c>
      <c r="H58" s="90">
        <f t="shared" si="36"/>
        <v>125.928</v>
      </c>
      <c r="I58" s="91" t="str">
        <f>I57</f>
        <v>1동4라인</v>
      </c>
      <c r="J58" s="92" t="s">
        <v>206</v>
      </c>
      <c r="L58" s="89">
        <v>1</v>
      </c>
      <c r="M58" s="78">
        <f>M57</f>
        <v>9</v>
      </c>
      <c r="N58" s="84"/>
      <c r="O58" s="78">
        <f t="shared" ref="O58:O63" si="38">L58*M58-N58*L58</f>
        <v>9</v>
      </c>
    </row>
    <row r="59" spans="1:16" ht="18" customHeight="1">
      <c r="A59" s="85"/>
      <c r="B59" s="86"/>
      <c r="C59" s="87"/>
      <c r="D59" s="88">
        <v>738</v>
      </c>
      <c r="E59" s="88">
        <v>1310</v>
      </c>
      <c r="F59" s="89">
        <f t="shared" si="37"/>
        <v>36</v>
      </c>
      <c r="G59" s="90">
        <f t="shared" si="35"/>
        <v>379.09224585824921</v>
      </c>
      <c r="H59" s="90">
        <f t="shared" si="36"/>
        <v>294.91200000000003</v>
      </c>
      <c r="I59" s="91" t="str">
        <f t="shared" ref="I59:I63" si="39">I58</f>
        <v>1동4라인</v>
      </c>
      <c r="J59" s="92" t="s">
        <v>207</v>
      </c>
      <c r="L59" s="89">
        <v>4</v>
      </c>
      <c r="M59" s="78">
        <f t="shared" ref="M59:M62" si="40">M58</f>
        <v>9</v>
      </c>
      <c r="N59" s="78"/>
      <c r="O59" s="78">
        <f t="shared" si="38"/>
        <v>36</v>
      </c>
    </row>
    <row r="60" spans="1:16" ht="18" customHeight="1">
      <c r="A60" s="85"/>
      <c r="B60" s="86"/>
      <c r="C60" s="87"/>
      <c r="D60" s="88">
        <v>288</v>
      </c>
      <c r="E60" s="88">
        <v>910</v>
      </c>
      <c r="F60" s="89">
        <f t="shared" si="37"/>
        <v>18</v>
      </c>
      <c r="G60" s="90">
        <f t="shared" si="35"/>
        <v>51.383197725713167</v>
      </c>
      <c r="H60" s="90">
        <f t="shared" si="36"/>
        <v>86.256</v>
      </c>
      <c r="I60" s="91" t="str">
        <f t="shared" si="39"/>
        <v>1동4라인</v>
      </c>
      <c r="J60" s="92" t="s">
        <v>208</v>
      </c>
      <c r="L60" s="89">
        <v>2</v>
      </c>
      <c r="M60" s="78">
        <f t="shared" si="40"/>
        <v>9</v>
      </c>
      <c r="N60" s="78"/>
      <c r="O60" s="78">
        <f t="shared" si="38"/>
        <v>18</v>
      </c>
    </row>
    <row r="61" spans="1:16" ht="18" customHeight="1">
      <c r="A61" s="85"/>
      <c r="B61" s="86"/>
      <c r="C61" s="87"/>
      <c r="D61" s="88">
        <v>228</v>
      </c>
      <c r="E61" s="88">
        <v>910</v>
      </c>
      <c r="F61" s="89">
        <f t="shared" si="37"/>
        <v>18</v>
      </c>
      <c r="G61" s="90">
        <f t="shared" si="35"/>
        <v>40.67836486618959</v>
      </c>
      <c r="H61" s="90">
        <f t="shared" si="36"/>
        <v>81.935999999999993</v>
      </c>
      <c r="I61" s="91" t="str">
        <f t="shared" si="39"/>
        <v>1동4라인</v>
      </c>
      <c r="J61" s="92" t="s">
        <v>209</v>
      </c>
      <c r="L61" s="89">
        <v>2</v>
      </c>
      <c r="M61" s="78">
        <f t="shared" si="40"/>
        <v>9</v>
      </c>
      <c r="N61" s="78"/>
      <c r="O61" s="78">
        <f t="shared" si="38"/>
        <v>18</v>
      </c>
    </row>
    <row r="62" spans="1:16" ht="18" customHeight="1">
      <c r="A62" s="85"/>
      <c r="B62" s="86"/>
      <c r="C62" s="87"/>
      <c r="D62" s="88">
        <v>438</v>
      </c>
      <c r="E62" s="88">
        <v>270</v>
      </c>
      <c r="F62" s="89">
        <f t="shared" si="37"/>
        <v>18</v>
      </c>
      <c r="G62" s="90">
        <f t="shared" si="35"/>
        <v>23.185962160572494</v>
      </c>
      <c r="H62" s="90">
        <f t="shared" si="36"/>
        <v>50.975999999999999</v>
      </c>
      <c r="I62" s="91" t="str">
        <f t="shared" si="39"/>
        <v>1동4라인</v>
      </c>
      <c r="J62" s="92" t="s">
        <v>210</v>
      </c>
      <c r="L62" s="89">
        <v>2</v>
      </c>
      <c r="M62" s="78">
        <f t="shared" si="40"/>
        <v>9</v>
      </c>
      <c r="N62" s="78"/>
      <c r="O62" s="78">
        <f t="shared" si="38"/>
        <v>18</v>
      </c>
    </row>
    <row r="63" spans="1:16" ht="18" customHeight="1">
      <c r="A63" s="85"/>
      <c r="B63" s="86"/>
      <c r="C63" s="87"/>
      <c r="D63" s="88">
        <v>208</v>
      </c>
      <c r="E63" s="88">
        <v>910</v>
      </c>
      <c r="F63" s="89">
        <f t="shared" si="37"/>
        <v>18</v>
      </c>
      <c r="G63" s="90">
        <f t="shared" si="35"/>
        <v>37.1100872463484</v>
      </c>
      <c r="H63" s="90">
        <f t="shared" si="36"/>
        <v>80.495999999999995</v>
      </c>
      <c r="I63" s="91" t="str">
        <f t="shared" si="39"/>
        <v>1동4라인</v>
      </c>
      <c r="J63" s="92" t="s">
        <v>211</v>
      </c>
      <c r="L63" s="89">
        <v>2</v>
      </c>
      <c r="M63" s="78">
        <f>M62</f>
        <v>9</v>
      </c>
      <c r="N63" s="78"/>
      <c r="O63" s="78">
        <f t="shared" si="38"/>
        <v>18</v>
      </c>
    </row>
    <row r="64" spans="1:16" ht="18" customHeight="1">
      <c r="A64" s="85"/>
      <c r="B64" s="93"/>
      <c r="C64" s="87"/>
      <c r="D64" s="325" t="s">
        <v>0</v>
      </c>
      <c r="E64" s="325"/>
      <c r="F64" s="94">
        <f>SUM(F57:F63)</f>
        <v>135</v>
      </c>
      <c r="G64" s="95">
        <f>SUM(G57:G63)</f>
        <v>1101.0116655229881</v>
      </c>
      <c r="H64" s="96">
        <f>SUM(H57:H63)</f>
        <v>905.61599999999999</v>
      </c>
      <c r="I64" s="97"/>
      <c r="J64" s="162"/>
    </row>
    <row r="65" spans="1:16" ht="18" customHeight="1">
      <c r="A65" s="85"/>
      <c r="B65" s="93"/>
      <c r="C65" s="87"/>
      <c r="D65" s="161"/>
      <c r="E65" s="161"/>
      <c r="F65" s="89"/>
      <c r="G65" s="100"/>
      <c r="H65" s="101"/>
      <c r="I65" s="102"/>
      <c r="J65" s="121"/>
      <c r="L65" s="78" t="s">
        <v>48</v>
      </c>
      <c r="M65" s="78" t="s">
        <v>54</v>
      </c>
      <c r="N65" s="78" t="s">
        <v>50</v>
      </c>
      <c r="O65" s="78" t="s">
        <v>55</v>
      </c>
    </row>
    <row r="66" spans="1:16" ht="18" customHeight="1">
      <c r="A66" s="85"/>
      <c r="B66" s="23" t="s">
        <v>197</v>
      </c>
      <c r="C66" s="24">
        <v>22</v>
      </c>
      <c r="D66" s="88">
        <v>761</v>
      </c>
      <c r="E66" s="88">
        <v>1810</v>
      </c>
      <c r="F66" s="89">
        <f t="shared" ref="F66:F72" si="41">O66</f>
        <v>18</v>
      </c>
      <c r="G66" s="90">
        <f t="shared" ref="G66:G72" si="42">D66*E66/91809*F66</f>
        <v>270.05391628271741</v>
      </c>
      <c r="H66" s="90">
        <f t="shared" ref="H66:H72" si="43">(D66/1000)*4*F66+(E66/1000)*4*F66</f>
        <v>185.11199999999999</v>
      </c>
      <c r="I66" s="91" t="str">
        <f t="shared" ref="I66:I72" si="44">I57</f>
        <v>1동4라인</v>
      </c>
      <c r="J66" s="92" t="s">
        <v>212</v>
      </c>
      <c r="L66" s="89">
        <v>2</v>
      </c>
      <c r="M66" s="78">
        <f>M57</f>
        <v>9</v>
      </c>
      <c r="N66" s="84"/>
      <c r="O66" s="78">
        <f>L66*M66-N66*L66</f>
        <v>18</v>
      </c>
    </row>
    <row r="67" spans="1:16" ht="18" customHeight="1">
      <c r="A67" s="85"/>
      <c r="B67" s="86"/>
      <c r="C67" s="87"/>
      <c r="D67" s="88">
        <v>1688</v>
      </c>
      <c r="E67" s="88">
        <v>1810</v>
      </c>
      <c r="F67" s="89">
        <f t="shared" si="41"/>
        <v>9</v>
      </c>
      <c r="G67" s="90">
        <f t="shared" si="42"/>
        <v>299.50789138319772</v>
      </c>
      <c r="H67" s="90">
        <f t="shared" si="43"/>
        <v>125.928</v>
      </c>
      <c r="I67" s="91" t="str">
        <f t="shared" si="44"/>
        <v>1동4라인</v>
      </c>
      <c r="J67" s="92" t="s">
        <v>213</v>
      </c>
      <c r="L67" s="89">
        <v>1</v>
      </c>
      <c r="M67" s="78">
        <f>M66</f>
        <v>9</v>
      </c>
      <c r="N67" s="84"/>
      <c r="O67" s="78">
        <f>L67*M67-N67*L67</f>
        <v>9</v>
      </c>
    </row>
    <row r="68" spans="1:16" ht="18" customHeight="1">
      <c r="A68" s="104"/>
      <c r="B68" s="93"/>
      <c r="C68" s="87"/>
      <c r="D68" s="88">
        <v>738</v>
      </c>
      <c r="E68" s="88">
        <v>1310</v>
      </c>
      <c r="F68" s="89">
        <f t="shared" si="41"/>
        <v>36</v>
      </c>
      <c r="G68" s="90">
        <f t="shared" si="42"/>
        <v>379.09224585824921</v>
      </c>
      <c r="H68" s="90">
        <f t="shared" si="43"/>
        <v>294.91200000000003</v>
      </c>
      <c r="I68" s="91" t="str">
        <f t="shared" si="44"/>
        <v>1동4라인</v>
      </c>
      <c r="J68" s="92" t="s">
        <v>214</v>
      </c>
      <c r="L68" s="89">
        <v>4</v>
      </c>
      <c r="M68" s="78">
        <f t="shared" ref="M68:M72" si="45">M67</f>
        <v>9</v>
      </c>
      <c r="N68" s="84"/>
      <c r="O68" s="78">
        <f t="shared" ref="O68:O72" si="46">L68*M68-N68*L68</f>
        <v>36</v>
      </c>
    </row>
    <row r="69" spans="1:16" ht="18" customHeight="1">
      <c r="A69" s="104"/>
      <c r="B69" s="93"/>
      <c r="C69" s="87"/>
      <c r="D69" s="88">
        <v>288</v>
      </c>
      <c r="E69" s="88">
        <v>910</v>
      </c>
      <c r="F69" s="89">
        <f t="shared" si="41"/>
        <v>18</v>
      </c>
      <c r="G69" s="90">
        <f t="shared" si="42"/>
        <v>51.383197725713167</v>
      </c>
      <c r="H69" s="90">
        <f t="shared" si="43"/>
        <v>86.256</v>
      </c>
      <c r="I69" s="91" t="str">
        <f t="shared" si="44"/>
        <v>1동4라인</v>
      </c>
      <c r="J69" s="92" t="s">
        <v>215</v>
      </c>
      <c r="L69" s="89">
        <v>2</v>
      </c>
      <c r="M69" s="78">
        <f t="shared" si="45"/>
        <v>9</v>
      </c>
      <c r="N69" s="78"/>
      <c r="O69" s="78">
        <f t="shared" si="46"/>
        <v>18</v>
      </c>
    </row>
    <row r="70" spans="1:16" ht="18" customHeight="1">
      <c r="A70" s="104"/>
      <c r="B70" s="93"/>
      <c r="C70" s="87"/>
      <c r="D70" s="88">
        <v>228</v>
      </c>
      <c r="E70" s="88">
        <v>910</v>
      </c>
      <c r="F70" s="89">
        <f t="shared" si="41"/>
        <v>18</v>
      </c>
      <c r="G70" s="90">
        <f t="shared" si="42"/>
        <v>40.67836486618959</v>
      </c>
      <c r="H70" s="90">
        <f t="shared" si="43"/>
        <v>81.935999999999993</v>
      </c>
      <c r="I70" s="91" t="str">
        <f t="shared" si="44"/>
        <v>1동4라인</v>
      </c>
      <c r="J70" s="92" t="s">
        <v>216</v>
      </c>
      <c r="L70" s="89">
        <v>2</v>
      </c>
      <c r="M70" s="78">
        <f t="shared" si="45"/>
        <v>9</v>
      </c>
      <c r="N70" s="78"/>
      <c r="O70" s="78">
        <f t="shared" si="46"/>
        <v>18</v>
      </c>
    </row>
    <row r="71" spans="1:16" ht="18" customHeight="1">
      <c r="A71" s="104"/>
      <c r="B71" s="93"/>
      <c r="C71" s="87"/>
      <c r="D71" s="88">
        <v>438</v>
      </c>
      <c r="E71" s="88">
        <v>270</v>
      </c>
      <c r="F71" s="89">
        <f t="shared" si="41"/>
        <v>18</v>
      </c>
      <c r="G71" s="90">
        <f t="shared" si="42"/>
        <v>23.185962160572494</v>
      </c>
      <c r="H71" s="90">
        <f t="shared" si="43"/>
        <v>50.975999999999999</v>
      </c>
      <c r="I71" s="91" t="str">
        <f t="shared" si="44"/>
        <v>1동4라인</v>
      </c>
      <c r="J71" s="92" t="s">
        <v>217</v>
      </c>
      <c r="L71" s="89">
        <v>2</v>
      </c>
      <c r="M71" s="78">
        <f t="shared" si="45"/>
        <v>9</v>
      </c>
      <c r="N71" s="78"/>
      <c r="O71" s="78">
        <f t="shared" si="46"/>
        <v>18</v>
      </c>
    </row>
    <row r="72" spans="1:16" ht="18" customHeight="1">
      <c r="A72" s="104"/>
      <c r="B72" s="93"/>
      <c r="C72" s="87"/>
      <c r="D72" s="88">
        <v>208</v>
      </c>
      <c r="E72" s="88">
        <v>910</v>
      </c>
      <c r="F72" s="89">
        <f t="shared" si="41"/>
        <v>18</v>
      </c>
      <c r="G72" s="90">
        <f t="shared" si="42"/>
        <v>37.1100872463484</v>
      </c>
      <c r="H72" s="90">
        <f t="shared" si="43"/>
        <v>80.495999999999995</v>
      </c>
      <c r="I72" s="91" t="str">
        <f t="shared" si="44"/>
        <v>1동4라인</v>
      </c>
      <c r="J72" s="92" t="s">
        <v>218</v>
      </c>
      <c r="L72" s="89">
        <v>2</v>
      </c>
      <c r="M72" s="78">
        <f t="shared" si="45"/>
        <v>9</v>
      </c>
      <c r="N72" s="78"/>
      <c r="O72" s="78">
        <f t="shared" si="46"/>
        <v>18</v>
      </c>
    </row>
    <row r="73" spans="1:16" ht="18" customHeight="1">
      <c r="A73" s="104"/>
      <c r="B73" s="87"/>
      <c r="C73" s="87"/>
      <c r="D73" s="325" t="s">
        <v>0</v>
      </c>
      <c r="E73" s="325"/>
      <c r="F73" s="171">
        <f>SUM(F66:F72)</f>
        <v>135</v>
      </c>
      <c r="G73" s="95">
        <f>SUM(G66:G72)</f>
        <v>1101.0116655229881</v>
      </c>
      <c r="H73" s="95">
        <f>SUM(H66:H72)</f>
        <v>905.61599999999999</v>
      </c>
      <c r="I73" s="97"/>
      <c r="J73" s="98"/>
    </row>
    <row r="74" spans="1:16">
      <c r="A74" s="105"/>
      <c r="B74" s="9"/>
      <c r="C74" s="9"/>
      <c r="D74" s="51"/>
      <c r="E74" s="51"/>
      <c r="F74" s="51"/>
      <c r="G74" s="106"/>
      <c r="H74" s="106"/>
      <c r="I74" s="9"/>
      <c r="J74" s="107"/>
    </row>
    <row r="75" spans="1:16" ht="18" customHeight="1">
      <c r="A75" s="85"/>
      <c r="B75" s="163" t="s">
        <v>199</v>
      </c>
      <c r="C75" s="163">
        <v>22</v>
      </c>
      <c r="D75" s="88">
        <v>738</v>
      </c>
      <c r="E75" s="88">
        <v>1810</v>
      </c>
      <c r="F75" s="89">
        <f t="shared" ref="F75:F76" si="47">O75</f>
        <v>18</v>
      </c>
      <c r="G75" s="90">
        <f t="shared" ref="G75:G76" si="48">D75*E75/91809*F75</f>
        <v>261.89197137535535</v>
      </c>
      <c r="H75" s="90">
        <f t="shared" ref="H75:H76" si="49">(D75/1000)*4*F75+(E75/1000)*4*F75</f>
        <v>183.45599999999999</v>
      </c>
      <c r="I75" s="91" t="str">
        <f>I66</f>
        <v>1동4라인</v>
      </c>
      <c r="J75" s="92" t="s">
        <v>219</v>
      </c>
      <c r="L75" s="89">
        <v>2</v>
      </c>
      <c r="M75" s="78">
        <f>M57</f>
        <v>9</v>
      </c>
      <c r="N75" s="84"/>
      <c r="O75" s="78">
        <f>L75*M75-N75*L75</f>
        <v>18</v>
      </c>
      <c r="P75" s="64"/>
    </row>
    <row r="76" spans="1:16" ht="18" customHeight="1">
      <c r="A76" s="85"/>
      <c r="B76" s="86"/>
      <c r="C76" s="87"/>
      <c r="D76" s="88">
        <v>250</v>
      </c>
      <c r="E76" s="88">
        <v>930</v>
      </c>
      <c r="F76" s="89">
        <f t="shared" si="47"/>
        <v>18</v>
      </c>
      <c r="G76" s="90">
        <f t="shared" si="48"/>
        <v>45.583766297421818</v>
      </c>
      <c r="H76" s="90">
        <f t="shared" si="49"/>
        <v>84.960000000000008</v>
      </c>
      <c r="I76" s="91" t="str">
        <f>I75</f>
        <v>1동4라인</v>
      </c>
      <c r="J76" s="92" t="s">
        <v>220</v>
      </c>
      <c r="L76" s="89">
        <v>2</v>
      </c>
      <c r="M76" s="78">
        <f>M75</f>
        <v>9</v>
      </c>
      <c r="N76" s="84"/>
      <c r="O76" s="78">
        <f t="shared" ref="O76" si="50">L76*M76-N76*L76</f>
        <v>18</v>
      </c>
    </row>
    <row r="77" spans="1:16" ht="18" customHeight="1">
      <c r="A77" s="85"/>
      <c r="B77" s="93"/>
      <c r="C77" s="87"/>
      <c r="D77" s="325" t="s">
        <v>0</v>
      </c>
      <c r="E77" s="325"/>
      <c r="F77" s="94">
        <f>SUM(F75:F76)</f>
        <v>36</v>
      </c>
      <c r="G77" s="95">
        <f>SUM(G75:G76)</f>
        <v>307.4757376727772</v>
      </c>
      <c r="H77" s="95">
        <f>SUM(H75:H76)</f>
        <v>268.416</v>
      </c>
      <c r="I77" s="97"/>
      <c r="J77" s="98"/>
    </row>
    <row r="78" spans="1:16" ht="18" customHeight="1">
      <c r="A78" s="236"/>
      <c r="B78" s="237"/>
      <c r="C78" s="238"/>
      <c r="D78" s="362"/>
      <c r="E78" s="362"/>
      <c r="F78" s="239"/>
      <c r="G78" s="240"/>
      <c r="H78" s="241"/>
      <c r="I78" s="242"/>
      <c r="J78" s="243"/>
    </row>
    <row r="79" spans="1:16" ht="18" customHeight="1">
      <c r="A79" s="244" t="s">
        <v>234</v>
      </c>
      <c r="B79" s="23" t="s">
        <v>195</v>
      </c>
      <c r="C79" s="24">
        <v>22</v>
      </c>
      <c r="D79" s="88">
        <v>761</v>
      </c>
      <c r="E79" s="88">
        <v>1810</v>
      </c>
      <c r="F79" s="89">
        <f>O79</f>
        <v>20</v>
      </c>
      <c r="G79" s="90">
        <f t="shared" ref="G79:G85" si="51">D79*E79/91809*F79</f>
        <v>300.05990698079711</v>
      </c>
      <c r="H79" s="90">
        <f t="shared" ref="H79:H85" si="52">(D79/1000)*4*F79+(E79/1000)*4*F79</f>
        <v>205.68</v>
      </c>
      <c r="I79" s="91" t="s">
        <v>241</v>
      </c>
      <c r="J79" s="163" t="s">
        <v>205</v>
      </c>
      <c r="L79" s="89">
        <v>2</v>
      </c>
      <c r="M79" s="78">
        <v>10</v>
      </c>
      <c r="N79" s="84"/>
      <c r="O79" s="78">
        <f>L79*M79-N79*L79</f>
        <v>20</v>
      </c>
      <c r="P79" s="64"/>
    </row>
    <row r="80" spans="1:16" ht="18" customHeight="1">
      <c r="A80" s="85"/>
      <c r="B80" s="86"/>
      <c r="C80" s="87"/>
      <c r="D80" s="88">
        <v>1688</v>
      </c>
      <c r="E80" s="88">
        <v>1810</v>
      </c>
      <c r="F80" s="89">
        <f t="shared" ref="F80:F85" si="53">O80</f>
        <v>10</v>
      </c>
      <c r="G80" s="90">
        <f t="shared" si="51"/>
        <v>332.78654598133079</v>
      </c>
      <c r="H80" s="90">
        <f t="shared" si="52"/>
        <v>139.92000000000002</v>
      </c>
      <c r="I80" s="91" t="str">
        <f>I79</f>
        <v>1동5라인</v>
      </c>
      <c r="J80" s="92" t="s">
        <v>206</v>
      </c>
      <c r="L80" s="89">
        <v>1</v>
      </c>
      <c r="M80" s="78">
        <f>M79</f>
        <v>10</v>
      </c>
      <c r="N80" s="84"/>
      <c r="O80" s="78">
        <f t="shared" ref="O80:O85" si="54">L80*M80-N80*L80</f>
        <v>10</v>
      </c>
    </row>
    <row r="81" spans="1:15" ht="18" customHeight="1">
      <c r="A81" s="85"/>
      <c r="B81" s="86"/>
      <c r="C81" s="87"/>
      <c r="D81" s="88">
        <v>738</v>
      </c>
      <c r="E81" s="88">
        <v>1310</v>
      </c>
      <c r="F81" s="89">
        <f t="shared" si="53"/>
        <v>40</v>
      </c>
      <c r="G81" s="90">
        <f t="shared" si="51"/>
        <v>421.2136065091658</v>
      </c>
      <c r="H81" s="90">
        <f t="shared" si="52"/>
        <v>327.68</v>
      </c>
      <c r="I81" s="91" t="str">
        <f t="shared" ref="I81:I85" si="55">I80</f>
        <v>1동5라인</v>
      </c>
      <c r="J81" s="92" t="s">
        <v>207</v>
      </c>
      <c r="L81" s="89">
        <v>4</v>
      </c>
      <c r="M81" s="78">
        <f t="shared" ref="M81:M84" si="56">M80</f>
        <v>10</v>
      </c>
      <c r="N81" s="78"/>
      <c r="O81" s="78">
        <f t="shared" si="54"/>
        <v>40</v>
      </c>
    </row>
    <row r="82" spans="1:15" ht="18" customHeight="1">
      <c r="A82" s="85"/>
      <c r="B82" s="86"/>
      <c r="C82" s="87"/>
      <c r="D82" s="88">
        <v>288</v>
      </c>
      <c r="E82" s="88">
        <v>910</v>
      </c>
      <c r="F82" s="89">
        <f t="shared" si="53"/>
        <v>20</v>
      </c>
      <c r="G82" s="90">
        <f t="shared" si="51"/>
        <v>57.09244191745907</v>
      </c>
      <c r="H82" s="90">
        <f t="shared" si="52"/>
        <v>95.84</v>
      </c>
      <c r="I82" s="91" t="str">
        <f t="shared" si="55"/>
        <v>1동5라인</v>
      </c>
      <c r="J82" s="92" t="s">
        <v>208</v>
      </c>
      <c r="L82" s="89">
        <v>2</v>
      </c>
      <c r="M82" s="78">
        <f t="shared" si="56"/>
        <v>10</v>
      </c>
      <c r="N82" s="78"/>
      <c r="O82" s="78">
        <f t="shared" si="54"/>
        <v>20</v>
      </c>
    </row>
    <row r="83" spans="1:15" ht="18" customHeight="1">
      <c r="A83" s="85"/>
      <c r="B83" s="86"/>
      <c r="C83" s="87"/>
      <c r="D83" s="88">
        <v>228</v>
      </c>
      <c r="E83" s="88">
        <v>910</v>
      </c>
      <c r="F83" s="89">
        <f t="shared" si="53"/>
        <v>20</v>
      </c>
      <c r="G83" s="90">
        <f t="shared" si="51"/>
        <v>45.1981831846551</v>
      </c>
      <c r="H83" s="90">
        <f t="shared" si="52"/>
        <v>91.039999999999992</v>
      </c>
      <c r="I83" s="91" t="str">
        <f t="shared" si="55"/>
        <v>1동5라인</v>
      </c>
      <c r="J83" s="92" t="s">
        <v>209</v>
      </c>
      <c r="L83" s="89">
        <v>2</v>
      </c>
      <c r="M83" s="78">
        <f t="shared" si="56"/>
        <v>10</v>
      </c>
      <c r="N83" s="78"/>
      <c r="O83" s="78">
        <f t="shared" si="54"/>
        <v>20</v>
      </c>
    </row>
    <row r="84" spans="1:15" ht="18" customHeight="1">
      <c r="A84" s="85"/>
      <c r="B84" s="86"/>
      <c r="C84" s="87"/>
      <c r="D84" s="88">
        <v>438</v>
      </c>
      <c r="E84" s="88">
        <v>270</v>
      </c>
      <c r="F84" s="89">
        <f t="shared" si="53"/>
        <v>20</v>
      </c>
      <c r="G84" s="90">
        <f t="shared" si="51"/>
        <v>25.762180178413882</v>
      </c>
      <c r="H84" s="90">
        <f t="shared" si="52"/>
        <v>56.64</v>
      </c>
      <c r="I84" s="91" t="str">
        <f t="shared" si="55"/>
        <v>1동5라인</v>
      </c>
      <c r="J84" s="92" t="s">
        <v>210</v>
      </c>
      <c r="L84" s="89">
        <v>2</v>
      </c>
      <c r="M84" s="78">
        <f t="shared" si="56"/>
        <v>10</v>
      </c>
      <c r="N84" s="78"/>
      <c r="O84" s="78">
        <f t="shared" si="54"/>
        <v>20</v>
      </c>
    </row>
    <row r="85" spans="1:15" ht="18" customHeight="1">
      <c r="A85" s="85"/>
      <c r="B85" s="86"/>
      <c r="C85" s="87"/>
      <c r="D85" s="88">
        <v>208</v>
      </c>
      <c r="E85" s="88">
        <v>910</v>
      </c>
      <c r="F85" s="89">
        <f t="shared" si="53"/>
        <v>20</v>
      </c>
      <c r="G85" s="90">
        <f t="shared" si="51"/>
        <v>41.233430273720444</v>
      </c>
      <c r="H85" s="90">
        <f t="shared" si="52"/>
        <v>89.44</v>
      </c>
      <c r="I85" s="91" t="str">
        <f t="shared" si="55"/>
        <v>1동5라인</v>
      </c>
      <c r="J85" s="92" t="s">
        <v>211</v>
      </c>
      <c r="L85" s="89">
        <v>2</v>
      </c>
      <c r="M85" s="78">
        <f>M84</f>
        <v>10</v>
      </c>
      <c r="N85" s="78"/>
      <c r="O85" s="78">
        <f t="shared" si="54"/>
        <v>20</v>
      </c>
    </row>
    <row r="86" spans="1:15" ht="18" customHeight="1">
      <c r="A86" s="85"/>
      <c r="B86" s="93"/>
      <c r="C86" s="87"/>
      <c r="D86" s="325" t="s">
        <v>0</v>
      </c>
      <c r="E86" s="325"/>
      <c r="F86" s="94">
        <f>SUM(F79:F85)</f>
        <v>150</v>
      </c>
      <c r="G86" s="95">
        <f>SUM(G79:G85)</f>
        <v>1223.3462950255423</v>
      </c>
      <c r="H86" s="96">
        <f>SUM(H79:H85)</f>
        <v>1006.24</v>
      </c>
      <c r="I86" s="97"/>
      <c r="J86" s="162"/>
    </row>
    <row r="87" spans="1:15" ht="18" customHeight="1">
      <c r="A87" s="85"/>
      <c r="B87" s="93"/>
      <c r="C87" s="87"/>
      <c r="D87" s="161"/>
      <c r="E87" s="161"/>
      <c r="F87" s="89"/>
      <c r="G87" s="100"/>
      <c r="H87" s="101"/>
      <c r="I87" s="102"/>
      <c r="J87" s="121"/>
      <c r="L87" s="78" t="s">
        <v>48</v>
      </c>
      <c r="M87" s="78" t="s">
        <v>54</v>
      </c>
      <c r="N87" s="78" t="s">
        <v>50</v>
      </c>
      <c r="O87" s="78" t="s">
        <v>55</v>
      </c>
    </row>
    <row r="88" spans="1:15" ht="18" customHeight="1">
      <c r="A88" s="85"/>
      <c r="B88" s="23" t="s">
        <v>197</v>
      </c>
      <c r="C88" s="24">
        <v>22</v>
      </c>
      <c r="D88" s="88">
        <v>761</v>
      </c>
      <c r="E88" s="88">
        <v>1810</v>
      </c>
      <c r="F88" s="89">
        <f t="shared" ref="F88:F94" si="57">O88</f>
        <v>20</v>
      </c>
      <c r="G88" s="90">
        <f t="shared" ref="G88:G94" si="58">D88*E88/91809*F88</f>
        <v>300.05990698079711</v>
      </c>
      <c r="H88" s="90">
        <f t="shared" ref="H88:H94" si="59">(D88/1000)*4*F88+(E88/1000)*4*F88</f>
        <v>205.68</v>
      </c>
      <c r="I88" s="91" t="str">
        <f t="shared" ref="I88:I94" si="60">I79</f>
        <v>1동5라인</v>
      </c>
      <c r="J88" s="92" t="s">
        <v>212</v>
      </c>
      <c r="L88" s="89">
        <v>2</v>
      </c>
      <c r="M88" s="78">
        <f>M79</f>
        <v>10</v>
      </c>
      <c r="N88" s="84"/>
      <c r="O88" s="78">
        <f>L88*M88-N88*L88</f>
        <v>20</v>
      </c>
    </row>
    <row r="89" spans="1:15" ht="18" customHeight="1">
      <c r="A89" s="85"/>
      <c r="B89" s="86"/>
      <c r="C89" s="87"/>
      <c r="D89" s="88">
        <v>1688</v>
      </c>
      <c r="E89" s="88">
        <v>1810</v>
      </c>
      <c r="F89" s="89">
        <f t="shared" si="57"/>
        <v>10</v>
      </c>
      <c r="G89" s="90">
        <f t="shared" si="58"/>
        <v>332.78654598133079</v>
      </c>
      <c r="H89" s="90">
        <f t="shared" si="59"/>
        <v>139.92000000000002</v>
      </c>
      <c r="I89" s="91" t="str">
        <f t="shared" si="60"/>
        <v>1동5라인</v>
      </c>
      <c r="J89" s="92" t="s">
        <v>213</v>
      </c>
      <c r="L89" s="89">
        <v>1</v>
      </c>
      <c r="M89" s="78">
        <f>M88</f>
        <v>10</v>
      </c>
      <c r="N89" s="84"/>
      <c r="O89" s="78">
        <f>L89*M89-N89*L89</f>
        <v>10</v>
      </c>
    </row>
    <row r="90" spans="1:15" ht="18" customHeight="1">
      <c r="A90" s="104"/>
      <c r="B90" s="93"/>
      <c r="C90" s="87"/>
      <c r="D90" s="88">
        <v>738</v>
      </c>
      <c r="E90" s="88">
        <v>1310</v>
      </c>
      <c r="F90" s="89">
        <f t="shared" si="57"/>
        <v>40</v>
      </c>
      <c r="G90" s="90">
        <f t="shared" si="58"/>
        <v>421.2136065091658</v>
      </c>
      <c r="H90" s="90">
        <f t="shared" si="59"/>
        <v>327.68</v>
      </c>
      <c r="I90" s="91" t="str">
        <f t="shared" si="60"/>
        <v>1동5라인</v>
      </c>
      <c r="J90" s="92" t="s">
        <v>214</v>
      </c>
      <c r="L90" s="89">
        <v>4</v>
      </c>
      <c r="M90" s="78">
        <f t="shared" ref="M90:M94" si="61">M89</f>
        <v>10</v>
      </c>
      <c r="N90" s="84"/>
      <c r="O90" s="78">
        <f t="shared" ref="O90:O94" si="62">L90*M90-N90*L90</f>
        <v>40</v>
      </c>
    </row>
    <row r="91" spans="1:15" ht="18" customHeight="1">
      <c r="A91" s="104"/>
      <c r="B91" s="93"/>
      <c r="C91" s="87"/>
      <c r="D91" s="88">
        <v>288</v>
      </c>
      <c r="E91" s="88">
        <v>910</v>
      </c>
      <c r="F91" s="89">
        <f t="shared" si="57"/>
        <v>20</v>
      </c>
      <c r="G91" s="90">
        <f t="shared" si="58"/>
        <v>57.09244191745907</v>
      </c>
      <c r="H91" s="90">
        <f t="shared" si="59"/>
        <v>95.84</v>
      </c>
      <c r="I91" s="91" t="str">
        <f t="shared" si="60"/>
        <v>1동5라인</v>
      </c>
      <c r="J91" s="92" t="s">
        <v>215</v>
      </c>
      <c r="L91" s="89">
        <v>2</v>
      </c>
      <c r="M91" s="78">
        <f t="shared" si="61"/>
        <v>10</v>
      </c>
      <c r="N91" s="78"/>
      <c r="O91" s="78">
        <f t="shared" si="62"/>
        <v>20</v>
      </c>
    </row>
    <row r="92" spans="1:15" ht="18" customHeight="1">
      <c r="A92" s="104"/>
      <c r="B92" s="93"/>
      <c r="C92" s="87"/>
      <c r="D92" s="88">
        <v>228</v>
      </c>
      <c r="E92" s="88">
        <v>910</v>
      </c>
      <c r="F92" s="89">
        <f t="shared" si="57"/>
        <v>20</v>
      </c>
      <c r="G92" s="90">
        <f t="shared" si="58"/>
        <v>45.1981831846551</v>
      </c>
      <c r="H92" s="90">
        <f t="shared" si="59"/>
        <v>91.039999999999992</v>
      </c>
      <c r="I92" s="91" t="str">
        <f t="shared" si="60"/>
        <v>1동5라인</v>
      </c>
      <c r="J92" s="92" t="s">
        <v>216</v>
      </c>
      <c r="L92" s="89">
        <v>2</v>
      </c>
      <c r="M92" s="78">
        <f t="shared" si="61"/>
        <v>10</v>
      </c>
      <c r="N92" s="78"/>
      <c r="O92" s="78">
        <f t="shared" si="62"/>
        <v>20</v>
      </c>
    </row>
    <row r="93" spans="1:15" ht="18" customHeight="1">
      <c r="A93" s="104"/>
      <c r="B93" s="93"/>
      <c r="C93" s="87"/>
      <c r="D93" s="88">
        <v>438</v>
      </c>
      <c r="E93" s="88">
        <v>270</v>
      </c>
      <c r="F93" s="89">
        <f t="shared" si="57"/>
        <v>20</v>
      </c>
      <c r="G93" s="90">
        <f t="shared" si="58"/>
        <v>25.762180178413882</v>
      </c>
      <c r="H93" s="90">
        <f t="shared" si="59"/>
        <v>56.64</v>
      </c>
      <c r="I93" s="91" t="str">
        <f t="shared" si="60"/>
        <v>1동5라인</v>
      </c>
      <c r="J93" s="92" t="s">
        <v>217</v>
      </c>
      <c r="L93" s="89">
        <v>2</v>
      </c>
      <c r="M93" s="78">
        <f t="shared" si="61"/>
        <v>10</v>
      </c>
      <c r="N93" s="78"/>
      <c r="O93" s="78">
        <f t="shared" si="62"/>
        <v>20</v>
      </c>
    </row>
    <row r="94" spans="1:15" ht="18" customHeight="1">
      <c r="A94" s="104"/>
      <c r="B94" s="93"/>
      <c r="C94" s="87"/>
      <c r="D94" s="88">
        <v>208</v>
      </c>
      <c r="E94" s="88">
        <v>910</v>
      </c>
      <c r="F94" s="89">
        <f t="shared" si="57"/>
        <v>20</v>
      </c>
      <c r="G94" s="90">
        <f t="shared" si="58"/>
        <v>41.233430273720444</v>
      </c>
      <c r="H94" s="90">
        <f t="shared" si="59"/>
        <v>89.44</v>
      </c>
      <c r="I94" s="91" t="str">
        <f t="shared" si="60"/>
        <v>1동5라인</v>
      </c>
      <c r="J94" s="92" t="s">
        <v>218</v>
      </c>
      <c r="L94" s="89">
        <v>2</v>
      </c>
      <c r="M94" s="78">
        <f t="shared" si="61"/>
        <v>10</v>
      </c>
      <c r="N94" s="78"/>
      <c r="O94" s="78">
        <f t="shared" si="62"/>
        <v>20</v>
      </c>
    </row>
    <row r="95" spans="1:15" ht="18" customHeight="1">
      <c r="A95" s="104"/>
      <c r="B95" s="87"/>
      <c r="C95" s="87"/>
      <c r="D95" s="325" t="s">
        <v>0</v>
      </c>
      <c r="E95" s="325"/>
      <c r="F95" s="171">
        <f>SUM(F88:F94)</f>
        <v>150</v>
      </c>
      <c r="G95" s="95">
        <f>SUM(G88:G94)</f>
        <v>1223.3462950255423</v>
      </c>
      <c r="H95" s="95">
        <f>SUM(H88:H94)</f>
        <v>1006.24</v>
      </c>
      <c r="I95" s="97"/>
      <c r="J95" s="98"/>
    </row>
    <row r="96" spans="1:15">
      <c r="A96" s="105"/>
      <c r="B96" s="9"/>
      <c r="C96" s="9"/>
      <c r="D96" s="51"/>
      <c r="E96" s="51"/>
      <c r="F96" s="51"/>
      <c r="G96" s="106"/>
      <c r="H96" s="106"/>
      <c r="I96" s="9"/>
      <c r="J96" s="107"/>
    </row>
    <row r="97" spans="1:16" ht="18" customHeight="1">
      <c r="A97" s="85"/>
      <c r="B97" s="163" t="s">
        <v>199</v>
      </c>
      <c r="C97" s="163">
        <v>22</v>
      </c>
      <c r="D97" s="88">
        <v>738</v>
      </c>
      <c r="E97" s="88">
        <v>1810</v>
      </c>
      <c r="F97" s="89">
        <f t="shared" ref="F97:F98" si="63">O97</f>
        <v>20</v>
      </c>
      <c r="G97" s="90">
        <f t="shared" ref="G97:G98" si="64">D97*E97/91809*F97</f>
        <v>290.99107930595039</v>
      </c>
      <c r="H97" s="90">
        <f t="shared" ref="H97:H98" si="65">(D97/1000)*4*F97+(E97/1000)*4*F97</f>
        <v>203.84</v>
      </c>
      <c r="I97" s="91" t="str">
        <f>I88</f>
        <v>1동5라인</v>
      </c>
      <c r="J97" s="92" t="s">
        <v>219</v>
      </c>
      <c r="L97" s="89">
        <v>2</v>
      </c>
      <c r="M97" s="78">
        <f>M79</f>
        <v>10</v>
      </c>
      <c r="N97" s="84"/>
      <c r="O97" s="78">
        <f>L97*M97-N97*L97</f>
        <v>20</v>
      </c>
      <c r="P97" s="64"/>
    </row>
    <row r="98" spans="1:16" ht="18" customHeight="1">
      <c r="A98" s="85"/>
      <c r="B98" s="86"/>
      <c r="C98" s="87"/>
      <c r="D98" s="88">
        <v>250</v>
      </c>
      <c r="E98" s="88">
        <v>930</v>
      </c>
      <c r="F98" s="89">
        <f t="shared" si="63"/>
        <v>20</v>
      </c>
      <c r="G98" s="90">
        <f t="shared" si="64"/>
        <v>50.648629219357574</v>
      </c>
      <c r="H98" s="90">
        <f t="shared" si="65"/>
        <v>94.4</v>
      </c>
      <c r="I98" s="91" t="str">
        <f>I97</f>
        <v>1동5라인</v>
      </c>
      <c r="J98" s="92" t="s">
        <v>220</v>
      </c>
      <c r="L98" s="89">
        <v>2</v>
      </c>
      <c r="M98" s="78">
        <f>M97</f>
        <v>10</v>
      </c>
      <c r="N98" s="84"/>
      <c r="O98" s="78">
        <f t="shared" ref="O98" si="66">L98*M98-N98*L98</f>
        <v>20</v>
      </c>
    </row>
    <row r="99" spans="1:16" ht="18" customHeight="1">
      <c r="A99" s="85"/>
      <c r="B99" s="93"/>
      <c r="C99" s="87"/>
      <c r="D99" s="325" t="s">
        <v>0</v>
      </c>
      <c r="E99" s="325"/>
      <c r="F99" s="94">
        <f>SUM(F97:F98)</f>
        <v>40</v>
      </c>
      <c r="G99" s="95">
        <f>SUM(G97:G98)</f>
        <v>341.63970852530798</v>
      </c>
      <c r="H99" s="95">
        <f>SUM(H97:H98)</f>
        <v>298.24</v>
      </c>
      <c r="I99" s="97"/>
      <c r="J99" s="98"/>
    </row>
    <row r="100" spans="1:16" ht="18" customHeight="1" thickBot="1">
      <c r="A100" s="222"/>
      <c r="B100" s="245"/>
      <c r="C100" s="224"/>
      <c r="D100" s="246"/>
      <c r="E100" s="246"/>
      <c r="F100" s="226"/>
      <c r="G100" s="247"/>
      <c r="H100" s="247"/>
      <c r="I100" s="248"/>
      <c r="J100" s="249"/>
      <c r="L100" s="250"/>
      <c r="M100" s="250"/>
      <c r="N100" s="250"/>
      <c r="O100" s="250"/>
    </row>
    <row r="101" spans="1:16" ht="18" customHeight="1">
      <c r="A101" s="79" t="s">
        <v>242</v>
      </c>
      <c r="B101" s="231" t="s">
        <v>195</v>
      </c>
      <c r="C101" s="232">
        <v>22</v>
      </c>
      <c r="D101" s="80">
        <v>761</v>
      </c>
      <c r="E101" s="80">
        <v>1810</v>
      </c>
      <c r="F101" s="233">
        <f t="shared" ref="F101:F106" si="67">O101</f>
        <v>20</v>
      </c>
      <c r="G101" s="81">
        <f t="shared" ref="G101:G106" si="68">D101*E101/91809*F101</f>
        <v>300.05990698079711</v>
      </c>
      <c r="H101" s="81">
        <f t="shared" ref="H101:H106" si="69">(D101/1000)*4*F101+(E101/1000)*4*F101</f>
        <v>205.68</v>
      </c>
      <c r="I101" s="82" t="s">
        <v>243</v>
      </c>
      <c r="J101" s="83" t="s">
        <v>205</v>
      </c>
      <c r="L101" s="89">
        <v>2</v>
      </c>
      <c r="M101" s="78">
        <v>10</v>
      </c>
      <c r="N101" s="78"/>
      <c r="O101" s="78">
        <f t="shared" ref="O101:O105" si="70">L101*M101-N101*L101</f>
        <v>20</v>
      </c>
    </row>
    <row r="102" spans="1:16" ht="18" customHeight="1">
      <c r="A102" s="85"/>
      <c r="B102" s="86"/>
      <c r="C102" s="87"/>
      <c r="D102" s="88">
        <v>1688</v>
      </c>
      <c r="E102" s="88">
        <v>1810</v>
      </c>
      <c r="F102" s="89">
        <f t="shared" si="67"/>
        <v>10</v>
      </c>
      <c r="G102" s="90">
        <f t="shared" si="68"/>
        <v>332.78654598133079</v>
      </c>
      <c r="H102" s="90">
        <f t="shared" si="69"/>
        <v>139.92000000000002</v>
      </c>
      <c r="I102" s="91" t="str">
        <f>I101</f>
        <v>1동6라인</v>
      </c>
      <c r="J102" s="92" t="s">
        <v>206</v>
      </c>
      <c r="L102" s="89">
        <v>1</v>
      </c>
      <c r="M102" s="78">
        <f t="shared" ref="M102:M105" si="71">M101</f>
        <v>10</v>
      </c>
      <c r="N102" s="78"/>
      <c r="O102" s="78">
        <f t="shared" si="70"/>
        <v>10</v>
      </c>
    </row>
    <row r="103" spans="1:16" ht="18" customHeight="1">
      <c r="A103" s="85"/>
      <c r="B103" s="86"/>
      <c r="C103" s="87"/>
      <c r="D103" s="88">
        <v>738</v>
      </c>
      <c r="E103" s="88">
        <v>1310</v>
      </c>
      <c r="F103" s="89">
        <f t="shared" si="67"/>
        <v>40</v>
      </c>
      <c r="G103" s="90">
        <f t="shared" si="68"/>
        <v>421.2136065091658</v>
      </c>
      <c r="H103" s="90">
        <f t="shared" si="69"/>
        <v>327.68</v>
      </c>
      <c r="I103" s="91" t="str">
        <f t="shared" ref="I103:I106" si="72">I102</f>
        <v>1동6라인</v>
      </c>
      <c r="J103" s="92" t="s">
        <v>207</v>
      </c>
      <c r="L103" s="89">
        <v>4</v>
      </c>
      <c r="M103" s="78">
        <f t="shared" si="71"/>
        <v>10</v>
      </c>
      <c r="N103" s="78"/>
      <c r="O103" s="78">
        <f t="shared" si="70"/>
        <v>40</v>
      </c>
    </row>
    <row r="104" spans="1:16" ht="18" customHeight="1">
      <c r="A104" s="85"/>
      <c r="B104" s="86"/>
      <c r="C104" s="87"/>
      <c r="D104" s="88">
        <v>438</v>
      </c>
      <c r="E104" s="88">
        <v>910</v>
      </c>
      <c r="F104" s="89">
        <f t="shared" si="67"/>
        <v>20</v>
      </c>
      <c r="G104" s="90">
        <f t="shared" si="68"/>
        <v>86.828088749469003</v>
      </c>
      <c r="H104" s="90">
        <f t="shared" si="69"/>
        <v>107.84</v>
      </c>
      <c r="I104" s="91" t="str">
        <f t="shared" si="72"/>
        <v>1동6라인</v>
      </c>
      <c r="J104" s="92" t="s">
        <v>223</v>
      </c>
      <c r="L104" s="89">
        <v>2</v>
      </c>
      <c r="M104" s="78">
        <f t="shared" si="71"/>
        <v>10</v>
      </c>
      <c r="N104" s="78"/>
      <c r="O104" s="78">
        <f t="shared" si="70"/>
        <v>20</v>
      </c>
    </row>
    <row r="105" spans="1:16" ht="18" customHeight="1">
      <c r="A105" s="85"/>
      <c r="B105" s="86"/>
      <c r="C105" s="87"/>
      <c r="D105" s="88">
        <v>228</v>
      </c>
      <c r="E105" s="88">
        <v>910</v>
      </c>
      <c r="F105" s="89">
        <f t="shared" si="67"/>
        <v>20</v>
      </c>
      <c r="G105" s="90">
        <f t="shared" si="68"/>
        <v>45.1981831846551</v>
      </c>
      <c r="H105" s="90">
        <f t="shared" si="69"/>
        <v>91.039999999999992</v>
      </c>
      <c r="I105" s="91" t="str">
        <f t="shared" si="72"/>
        <v>1동6라인</v>
      </c>
      <c r="J105" s="92" t="s">
        <v>209</v>
      </c>
      <c r="L105" s="89">
        <v>2</v>
      </c>
      <c r="M105" s="78">
        <f t="shared" si="71"/>
        <v>10</v>
      </c>
      <c r="N105" s="78"/>
      <c r="O105" s="78">
        <f t="shared" si="70"/>
        <v>20</v>
      </c>
    </row>
    <row r="106" spans="1:16" ht="18" customHeight="1">
      <c r="A106" s="85"/>
      <c r="B106" s="86"/>
      <c r="C106" s="87"/>
      <c r="D106" s="88">
        <v>438</v>
      </c>
      <c r="E106" s="88">
        <v>270</v>
      </c>
      <c r="F106" s="89">
        <f t="shared" si="67"/>
        <v>20</v>
      </c>
      <c r="G106" s="90">
        <f t="shared" si="68"/>
        <v>25.762180178413882</v>
      </c>
      <c r="H106" s="90">
        <f t="shared" si="69"/>
        <v>56.64</v>
      </c>
      <c r="I106" s="91" t="str">
        <f t="shared" si="72"/>
        <v>1동6라인</v>
      </c>
      <c r="J106" s="92" t="s">
        <v>210</v>
      </c>
      <c r="L106" s="89">
        <v>2</v>
      </c>
      <c r="M106" s="78">
        <f t="shared" ref="M106:M118" si="73">M105</f>
        <v>10</v>
      </c>
      <c r="N106" s="78"/>
      <c r="O106" s="78">
        <f t="shared" ref="O106" si="74">L106*M106-N106*L106</f>
        <v>20</v>
      </c>
    </row>
    <row r="107" spans="1:16" ht="18" customHeight="1">
      <c r="A107" s="85"/>
      <c r="B107" s="93"/>
      <c r="C107" s="87"/>
      <c r="D107" s="325" t="s">
        <v>0</v>
      </c>
      <c r="E107" s="325"/>
      <c r="F107" s="94">
        <f>SUM(F101:F106)</f>
        <v>130</v>
      </c>
      <c r="G107" s="95">
        <f>SUM(G101:G106)</f>
        <v>1211.8485115838319</v>
      </c>
      <c r="H107" s="96">
        <f>SUM(H101:H106)</f>
        <v>928.8</v>
      </c>
      <c r="I107" s="97"/>
      <c r="J107" s="162"/>
      <c r="L107" s="250"/>
      <c r="M107" s="250"/>
      <c r="N107" s="250"/>
      <c r="O107" s="250"/>
    </row>
    <row r="108" spans="1:16" ht="18" customHeight="1">
      <c r="A108" s="85"/>
      <c r="B108" s="93"/>
      <c r="C108" s="87"/>
      <c r="D108" s="161"/>
      <c r="E108" s="161"/>
      <c r="F108" s="89"/>
      <c r="G108" s="100"/>
      <c r="H108" s="101"/>
      <c r="I108" s="102"/>
      <c r="J108" s="121"/>
      <c r="L108" s="250"/>
      <c r="M108" s="250"/>
      <c r="N108" s="250"/>
      <c r="O108" s="250"/>
    </row>
    <row r="109" spans="1:16" ht="18" customHeight="1">
      <c r="A109" s="85"/>
      <c r="B109" s="23" t="s">
        <v>197</v>
      </c>
      <c r="C109" s="24">
        <v>22</v>
      </c>
      <c r="D109" s="88">
        <v>761</v>
      </c>
      <c r="E109" s="88">
        <v>1810</v>
      </c>
      <c r="F109" s="89">
        <f t="shared" ref="F109:F114" si="75">O109</f>
        <v>20</v>
      </c>
      <c r="G109" s="90">
        <f t="shared" ref="G109:G114" si="76">D109*E109/91809*F109</f>
        <v>300.05990698079711</v>
      </c>
      <c r="H109" s="90">
        <f t="shared" ref="H109:H114" si="77">(D109/1000)*4*F109+(E109/1000)*4*F109</f>
        <v>205.68</v>
      </c>
      <c r="I109" s="91" t="str">
        <f>I101</f>
        <v>1동6라인</v>
      </c>
      <c r="J109" s="92" t="s">
        <v>212</v>
      </c>
      <c r="L109" s="89">
        <v>2</v>
      </c>
      <c r="M109" s="78">
        <f>M106</f>
        <v>10</v>
      </c>
      <c r="N109" s="78"/>
      <c r="O109" s="78">
        <f t="shared" ref="O109:O118" si="78">L109*M109-N109*L109</f>
        <v>20</v>
      </c>
    </row>
    <row r="110" spans="1:16" ht="18" customHeight="1">
      <c r="A110" s="85"/>
      <c r="B110" s="86"/>
      <c r="C110" s="87"/>
      <c r="D110" s="88">
        <v>1688</v>
      </c>
      <c r="E110" s="88">
        <v>1810</v>
      </c>
      <c r="F110" s="89">
        <f t="shared" si="75"/>
        <v>10</v>
      </c>
      <c r="G110" s="90">
        <f t="shared" si="76"/>
        <v>332.78654598133079</v>
      </c>
      <c r="H110" s="90">
        <f t="shared" si="77"/>
        <v>139.92000000000002</v>
      </c>
      <c r="I110" s="91" t="str">
        <f>I101</f>
        <v>1동6라인</v>
      </c>
      <c r="J110" s="92" t="s">
        <v>213</v>
      </c>
      <c r="L110" s="89">
        <v>1</v>
      </c>
      <c r="M110" s="78">
        <f t="shared" si="73"/>
        <v>10</v>
      </c>
      <c r="N110" s="78"/>
      <c r="O110" s="78">
        <f t="shared" si="78"/>
        <v>10</v>
      </c>
    </row>
    <row r="111" spans="1:16">
      <c r="A111" s="104"/>
      <c r="B111" s="93"/>
      <c r="C111" s="87"/>
      <c r="D111" s="88">
        <v>738</v>
      </c>
      <c r="E111" s="88">
        <v>1310</v>
      </c>
      <c r="F111" s="89">
        <f t="shared" si="75"/>
        <v>40</v>
      </c>
      <c r="G111" s="90">
        <f t="shared" si="76"/>
        <v>421.2136065091658</v>
      </c>
      <c r="H111" s="90">
        <f t="shared" si="77"/>
        <v>327.68</v>
      </c>
      <c r="I111" s="91" t="str">
        <f>I110</f>
        <v>1동6라인</v>
      </c>
      <c r="J111" s="92" t="s">
        <v>214</v>
      </c>
      <c r="L111" s="89">
        <v>4</v>
      </c>
      <c r="M111" s="78">
        <f t="shared" si="73"/>
        <v>10</v>
      </c>
      <c r="N111" s="78"/>
      <c r="O111" s="78">
        <f t="shared" si="78"/>
        <v>40</v>
      </c>
    </row>
    <row r="112" spans="1:16" ht="18" customHeight="1">
      <c r="A112" s="104"/>
      <c r="B112" s="93"/>
      <c r="C112" s="87"/>
      <c r="D112" s="88">
        <v>438</v>
      </c>
      <c r="E112" s="88">
        <v>910</v>
      </c>
      <c r="F112" s="89">
        <f t="shared" si="75"/>
        <v>20</v>
      </c>
      <c r="G112" s="90">
        <f t="shared" si="76"/>
        <v>86.828088749469003</v>
      </c>
      <c r="H112" s="90">
        <f t="shared" si="77"/>
        <v>107.84</v>
      </c>
      <c r="I112" s="91" t="str">
        <f t="shared" ref="I112:I114" si="79">I111</f>
        <v>1동6라인</v>
      </c>
      <c r="J112" s="92" t="s">
        <v>225</v>
      </c>
      <c r="L112" s="89">
        <v>2</v>
      </c>
      <c r="M112" s="78">
        <f t="shared" si="73"/>
        <v>10</v>
      </c>
      <c r="N112" s="78"/>
      <c r="O112" s="78">
        <f t="shared" si="78"/>
        <v>20</v>
      </c>
      <c r="P112" s="64"/>
    </row>
    <row r="113" spans="1:16" ht="18" customHeight="1">
      <c r="A113" s="104"/>
      <c r="B113" s="93"/>
      <c r="C113" s="87"/>
      <c r="D113" s="88">
        <v>228</v>
      </c>
      <c r="E113" s="88">
        <v>910</v>
      </c>
      <c r="F113" s="89">
        <f t="shared" si="75"/>
        <v>20</v>
      </c>
      <c r="G113" s="90">
        <f t="shared" si="76"/>
        <v>45.1981831846551</v>
      </c>
      <c r="H113" s="90">
        <f t="shared" si="77"/>
        <v>91.039999999999992</v>
      </c>
      <c r="I113" s="91" t="str">
        <f t="shared" si="79"/>
        <v>1동6라인</v>
      </c>
      <c r="J113" s="92" t="s">
        <v>216</v>
      </c>
      <c r="L113" s="89">
        <v>2</v>
      </c>
      <c r="M113" s="78">
        <f t="shared" si="73"/>
        <v>10</v>
      </c>
      <c r="N113" s="78"/>
      <c r="O113" s="78">
        <f t="shared" si="78"/>
        <v>20</v>
      </c>
    </row>
    <row r="114" spans="1:16" ht="18" customHeight="1">
      <c r="A114" s="104"/>
      <c r="B114" s="93"/>
      <c r="C114" s="87"/>
      <c r="D114" s="88">
        <v>438</v>
      </c>
      <c r="E114" s="88">
        <v>270</v>
      </c>
      <c r="F114" s="89">
        <f t="shared" si="75"/>
        <v>20</v>
      </c>
      <c r="G114" s="90">
        <f t="shared" si="76"/>
        <v>25.762180178413882</v>
      </c>
      <c r="H114" s="90">
        <f t="shared" si="77"/>
        <v>56.64</v>
      </c>
      <c r="I114" s="91" t="str">
        <f t="shared" si="79"/>
        <v>1동6라인</v>
      </c>
      <c r="J114" s="92" t="s">
        <v>217</v>
      </c>
      <c r="L114" s="89">
        <v>2</v>
      </c>
      <c r="M114" s="78">
        <f t="shared" si="73"/>
        <v>10</v>
      </c>
      <c r="N114" s="78"/>
      <c r="O114" s="78">
        <f t="shared" si="78"/>
        <v>20</v>
      </c>
    </row>
    <row r="115" spans="1:16">
      <c r="A115" s="104"/>
      <c r="B115" s="87"/>
      <c r="C115" s="87"/>
      <c r="D115" s="325" t="s">
        <v>0</v>
      </c>
      <c r="E115" s="325"/>
      <c r="F115" s="171">
        <f>SUM(F109:F114)</f>
        <v>130</v>
      </c>
      <c r="G115" s="95">
        <f>SUM(G109:G114)</f>
        <v>1211.8485115838319</v>
      </c>
      <c r="H115" s="95">
        <f>SUM(H109:H114)</f>
        <v>928.8</v>
      </c>
      <c r="I115" s="97"/>
      <c r="J115" s="98"/>
      <c r="L115" s="250"/>
      <c r="M115" s="250"/>
      <c r="N115" s="250"/>
      <c r="O115" s="250"/>
    </row>
    <row r="116" spans="1:16">
      <c r="A116" s="105"/>
      <c r="B116" s="9"/>
      <c r="C116" s="9"/>
      <c r="D116" s="51"/>
      <c r="E116" s="51"/>
      <c r="F116" s="51"/>
      <c r="G116" s="106"/>
      <c r="H116" s="106"/>
      <c r="I116" s="9"/>
      <c r="J116" s="107"/>
      <c r="L116" s="250"/>
      <c r="M116" s="250"/>
      <c r="N116" s="250"/>
      <c r="O116" s="250"/>
    </row>
    <row r="117" spans="1:16" ht="18" customHeight="1">
      <c r="A117" s="85"/>
      <c r="B117" s="163" t="s">
        <v>199</v>
      </c>
      <c r="C117" s="163">
        <v>22</v>
      </c>
      <c r="D117" s="88">
        <v>738</v>
      </c>
      <c r="E117" s="88">
        <v>1810</v>
      </c>
      <c r="F117" s="89">
        <f t="shared" ref="F117:F118" si="80">O117</f>
        <v>0</v>
      </c>
      <c r="G117" s="90">
        <f t="shared" ref="G117:G119" si="81">D117*E117/91809*F117</f>
        <v>0</v>
      </c>
      <c r="H117" s="90">
        <f t="shared" ref="H117:H119" si="82">(D117/1000)*4*F117+(E117/1000)*4*F117</f>
        <v>0</v>
      </c>
      <c r="I117" s="91" t="str">
        <f>I109</f>
        <v>1동6라인</v>
      </c>
      <c r="J117" s="92" t="s">
        <v>219</v>
      </c>
      <c r="L117" s="89">
        <v>2</v>
      </c>
      <c r="M117" s="78">
        <f>M114</f>
        <v>10</v>
      </c>
      <c r="N117" s="78">
        <v>10</v>
      </c>
      <c r="O117" s="78">
        <f t="shared" si="78"/>
        <v>0</v>
      </c>
      <c r="P117" s="64" t="s">
        <v>245</v>
      </c>
    </row>
    <row r="118" spans="1:16" ht="18" customHeight="1">
      <c r="A118" s="85"/>
      <c r="B118" s="86"/>
      <c r="C118" s="87"/>
      <c r="D118" s="88">
        <v>250</v>
      </c>
      <c r="E118" s="88">
        <v>930</v>
      </c>
      <c r="F118" s="89">
        <f t="shared" si="80"/>
        <v>20</v>
      </c>
      <c r="G118" s="90">
        <f t="shared" si="81"/>
        <v>50.648629219357574</v>
      </c>
      <c r="H118" s="90">
        <f t="shared" si="82"/>
        <v>94.4</v>
      </c>
      <c r="I118" s="91" t="str">
        <f>I117</f>
        <v>1동6라인</v>
      </c>
      <c r="J118" s="92" t="s">
        <v>220</v>
      </c>
      <c r="L118" s="89">
        <v>2</v>
      </c>
      <c r="M118" s="78">
        <f t="shared" si="73"/>
        <v>10</v>
      </c>
      <c r="N118" s="78"/>
      <c r="O118" s="78">
        <f t="shared" si="78"/>
        <v>20</v>
      </c>
    </row>
    <row r="119" spans="1:16" ht="18" customHeight="1">
      <c r="A119" s="85"/>
      <c r="B119" s="86"/>
      <c r="C119" s="87"/>
      <c r="D119" s="88"/>
      <c r="E119" s="88"/>
      <c r="F119" s="89"/>
      <c r="G119" s="90">
        <f t="shared" si="81"/>
        <v>0</v>
      </c>
      <c r="H119" s="90">
        <f t="shared" si="82"/>
        <v>0</v>
      </c>
      <c r="I119" s="91"/>
      <c r="J119" s="92"/>
      <c r="L119" s="250"/>
      <c r="M119" s="250"/>
      <c r="N119" s="250"/>
      <c r="O119" s="250"/>
    </row>
    <row r="120" spans="1:16" ht="18" customHeight="1">
      <c r="A120" s="85"/>
      <c r="B120" s="93"/>
      <c r="C120" s="87"/>
      <c r="D120" s="325" t="s">
        <v>0</v>
      </c>
      <c r="E120" s="325"/>
      <c r="F120" s="94">
        <f>SUM(F117:F119)</f>
        <v>20</v>
      </c>
      <c r="G120" s="95">
        <f>SUM(G117:G119)</f>
        <v>50.648629219357574</v>
      </c>
      <c r="H120" s="95">
        <f>SUM(H117:H119)</f>
        <v>94.4</v>
      </c>
      <c r="I120" s="97"/>
      <c r="J120" s="98"/>
      <c r="L120" s="250"/>
      <c r="M120" s="250"/>
      <c r="N120" s="250"/>
      <c r="O120" s="250"/>
    </row>
    <row r="121" spans="1:16" ht="18" customHeight="1">
      <c r="A121" s="253"/>
      <c r="B121" s="254"/>
      <c r="C121" s="255"/>
      <c r="D121" s="361"/>
      <c r="E121" s="361"/>
      <c r="F121" s="256"/>
      <c r="G121" s="257"/>
      <c r="H121" s="258"/>
      <c r="I121" s="259"/>
      <c r="J121" s="260"/>
      <c r="L121" s="250"/>
      <c r="M121" s="250"/>
      <c r="N121" s="250"/>
      <c r="O121" s="250"/>
    </row>
    <row r="122" spans="1:16" ht="18" customHeight="1">
      <c r="A122" s="85">
        <v>74</v>
      </c>
      <c r="B122" s="23" t="s">
        <v>201</v>
      </c>
      <c r="C122" s="24">
        <v>22</v>
      </c>
      <c r="D122" s="88">
        <v>861</v>
      </c>
      <c r="E122" s="88">
        <v>1810</v>
      </c>
      <c r="F122" s="89">
        <f t="shared" ref="F122:F126" si="83">O122</f>
        <v>20</v>
      </c>
      <c r="G122" s="90">
        <f t="shared" ref="G122:G126" si="84">D122*E122/91809*F122</f>
        <v>339.48959252360879</v>
      </c>
      <c r="H122" s="90">
        <f t="shared" ref="H122:H126" si="85">(D122/1000)*4*F122+(E122/1000)*4*F122</f>
        <v>213.68</v>
      </c>
      <c r="I122" s="91" t="s">
        <v>246</v>
      </c>
      <c r="J122" s="92" t="s">
        <v>205</v>
      </c>
      <c r="L122" s="89">
        <v>1</v>
      </c>
      <c r="M122" s="78">
        <v>20</v>
      </c>
      <c r="N122" s="84"/>
      <c r="O122" s="78">
        <f>L122*M122-N122*L122</f>
        <v>20</v>
      </c>
      <c r="P122" s="64"/>
    </row>
    <row r="123" spans="1:16" ht="18" customHeight="1">
      <c r="A123" s="85"/>
      <c r="B123" s="86"/>
      <c r="C123" s="87"/>
      <c r="D123" s="88">
        <v>738</v>
      </c>
      <c r="E123" s="88">
        <v>1310</v>
      </c>
      <c r="F123" s="89">
        <f t="shared" si="83"/>
        <v>80</v>
      </c>
      <c r="G123" s="90">
        <f t="shared" si="84"/>
        <v>842.4272130183316</v>
      </c>
      <c r="H123" s="90">
        <f t="shared" si="85"/>
        <v>655.36</v>
      </c>
      <c r="I123" s="91" t="str">
        <f>I122</f>
        <v>2동1,2라인</v>
      </c>
      <c r="J123" s="92" t="s">
        <v>207</v>
      </c>
      <c r="L123" s="89">
        <v>4</v>
      </c>
      <c r="M123" s="78">
        <f>M122</f>
        <v>20</v>
      </c>
      <c r="N123" s="84"/>
      <c r="O123" s="78">
        <f t="shared" ref="O123:O126" si="86">L123*M123-N123*L123</f>
        <v>80</v>
      </c>
    </row>
    <row r="124" spans="1:16" ht="18" customHeight="1">
      <c r="A124" s="85"/>
      <c r="B124" s="86"/>
      <c r="C124" s="87"/>
      <c r="D124" s="88">
        <v>288</v>
      </c>
      <c r="E124" s="88">
        <v>910</v>
      </c>
      <c r="F124" s="89">
        <f t="shared" si="83"/>
        <v>40</v>
      </c>
      <c r="G124" s="90">
        <f t="shared" si="84"/>
        <v>114.18488383491814</v>
      </c>
      <c r="H124" s="90">
        <f t="shared" si="85"/>
        <v>191.68</v>
      </c>
      <c r="I124" s="91" t="str">
        <f t="shared" ref="I124:I125" si="87">I123</f>
        <v>2동1,2라인</v>
      </c>
      <c r="J124" s="92" t="s">
        <v>208</v>
      </c>
      <c r="L124" s="89">
        <v>2</v>
      </c>
      <c r="M124" s="78">
        <f t="shared" ref="M124" si="88">M123</f>
        <v>20</v>
      </c>
      <c r="N124" s="78"/>
      <c r="O124" s="78">
        <f t="shared" si="86"/>
        <v>40</v>
      </c>
    </row>
    <row r="125" spans="1:16" ht="18" customHeight="1">
      <c r="A125" s="85"/>
      <c r="B125" s="86"/>
      <c r="C125" s="87"/>
      <c r="D125" s="88">
        <v>228</v>
      </c>
      <c r="E125" s="88">
        <v>910</v>
      </c>
      <c r="F125" s="89">
        <f t="shared" si="83"/>
        <v>40</v>
      </c>
      <c r="G125" s="90">
        <f t="shared" ref="G125" si="89">D125*E125/91809*F125</f>
        <v>90.396366369310201</v>
      </c>
      <c r="H125" s="90">
        <f t="shared" ref="H125" si="90">(D125/1000)*4*F125+(E125/1000)*4*F125</f>
        <v>182.07999999999998</v>
      </c>
      <c r="I125" s="91" t="str">
        <f t="shared" si="87"/>
        <v>2동1,2라인</v>
      </c>
      <c r="J125" s="92" t="s">
        <v>209</v>
      </c>
      <c r="L125" s="89">
        <v>2</v>
      </c>
      <c r="M125" s="78">
        <f>M124</f>
        <v>20</v>
      </c>
      <c r="N125" s="78"/>
      <c r="O125" s="78">
        <f t="shared" si="86"/>
        <v>40</v>
      </c>
    </row>
    <row r="126" spans="1:16" ht="18" customHeight="1">
      <c r="A126" s="85"/>
      <c r="B126" s="86"/>
      <c r="C126" s="87"/>
      <c r="D126" s="88">
        <v>438</v>
      </c>
      <c r="E126" s="88">
        <v>270</v>
      </c>
      <c r="F126" s="89">
        <f t="shared" si="83"/>
        <v>40</v>
      </c>
      <c r="G126" s="90">
        <f t="shared" si="84"/>
        <v>51.524360356827763</v>
      </c>
      <c r="H126" s="90">
        <f t="shared" si="85"/>
        <v>113.28</v>
      </c>
      <c r="I126" s="91" t="str">
        <f>I124</f>
        <v>2동1,2라인</v>
      </c>
      <c r="J126" s="92" t="s">
        <v>210</v>
      </c>
      <c r="L126" s="89">
        <v>2</v>
      </c>
      <c r="M126" s="78">
        <f>M124</f>
        <v>20</v>
      </c>
      <c r="N126" s="78"/>
      <c r="O126" s="78">
        <f t="shared" si="86"/>
        <v>40</v>
      </c>
    </row>
    <row r="127" spans="1:16" ht="18" customHeight="1">
      <c r="A127" s="85"/>
      <c r="B127" s="93"/>
      <c r="C127" s="87"/>
      <c r="D127" s="325" t="s">
        <v>0</v>
      </c>
      <c r="E127" s="325"/>
      <c r="F127" s="94">
        <f>SUM(F122:F126)</f>
        <v>220</v>
      </c>
      <c r="G127" s="95">
        <f>SUM(G122:G126)</f>
        <v>1438.0224161029967</v>
      </c>
      <c r="H127" s="96">
        <f>SUM(H122:H126)</f>
        <v>1356.08</v>
      </c>
      <c r="I127" s="97"/>
      <c r="J127" s="162"/>
    </row>
    <row r="128" spans="1:16" ht="18" customHeight="1">
      <c r="A128" s="85"/>
      <c r="B128" s="93"/>
      <c r="C128" s="87"/>
      <c r="D128" s="161"/>
      <c r="E128" s="161"/>
      <c r="F128" s="89"/>
      <c r="G128" s="100"/>
      <c r="H128" s="101"/>
      <c r="I128" s="102"/>
      <c r="J128" s="121"/>
      <c r="L128" s="252"/>
      <c r="M128" s="252"/>
      <c r="N128" s="252"/>
      <c r="O128" s="252"/>
    </row>
    <row r="129" spans="1:16" ht="18" customHeight="1">
      <c r="A129" s="85"/>
      <c r="B129" s="23" t="s">
        <v>198</v>
      </c>
      <c r="C129" s="24">
        <v>22</v>
      </c>
      <c r="D129" s="88">
        <v>861</v>
      </c>
      <c r="E129" s="88">
        <v>1810</v>
      </c>
      <c r="F129" s="89">
        <f t="shared" ref="F129:F134" si="91">O129</f>
        <v>20</v>
      </c>
      <c r="G129" s="90">
        <f t="shared" ref="G129:G134" si="92">D129*E129/91809*F129</f>
        <v>339.48959252360879</v>
      </c>
      <c r="H129" s="90">
        <f t="shared" ref="H129:H134" si="93">(D129/1000)*4*F129+(E129/1000)*4*F129</f>
        <v>213.68</v>
      </c>
      <c r="I129" s="91" t="str">
        <f>I122</f>
        <v>2동1,2라인</v>
      </c>
      <c r="J129" s="92" t="s">
        <v>212</v>
      </c>
      <c r="L129" s="89">
        <v>1</v>
      </c>
      <c r="M129" s="78">
        <f>M122</f>
        <v>20</v>
      </c>
      <c r="N129" s="84"/>
      <c r="O129" s="78">
        <f>L129*M129-N129*L129</f>
        <v>20</v>
      </c>
    </row>
    <row r="130" spans="1:16" ht="18" customHeight="1">
      <c r="A130" s="85"/>
      <c r="B130" s="86"/>
      <c r="C130" s="87"/>
      <c r="D130" s="88">
        <v>2114</v>
      </c>
      <c r="E130" s="88">
        <v>1810</v>
      </c>
      <c r="F130" s="89">
        <f t="shared" si="91"/>
        <v>20</v>
      </c>
      <c r="G130" s="90">
        <f t="shared" si="92"/>
        <v>833.54355237503955</v>
      </c>
      <c r="H130" s="90">
        <f t="shared" si="93"/>
        <v>313.92</v>
      </c>
      <c r="I130" s="91" t="str">
        <f>I122</f>
        <v>2동1,2라인</v>
      </c>
      <c r="J130" s="92" t="s">
        <v>213</v>
      </c>
      <c r="L130" s="89">
        <v>1</v>
      </c>
      <c r="M130" s="78">
        <f>M129</f>
        <v>20</v>
      </c>
      <c r="N130" s="84"/>
      <c r="O130" s="78">
        <f>L130*M130-N130*L130</f>
        <v>20</v>
      </c>
    </row>
    <row r="131" spans="1:16" ht="18" customHeight="1">
      <c r="A131" s="104"/>
      <c r="B131" s="93"/>
      <c r="C131" s="87"/>
      <c r="D131" s="88">
        <v>738</v>
      </c>
      <c r="E131" s="88">
        <v>1310</v>
      </c>
      <c r="F131" s="89">
        <f t="shared" si="91"/>
        <v>80</v>
      </c>
      <c r="G131" s="90">
        <f t="shared" si="92"/>
        <v>842.4272130183316</v>
      </c>
      <c r="H131" s="90">
        <f t="shared" si="93"/>
        <v>655.36</v>
      </c>
      <c r="I131" s="91" t="str">
        <f>I130</f>
        <v>2동1,2라인</v>
      </c>
      <c r="J131" s="92" t="s">
        <v>214</v>
      </c>
      <c r="L131" s="89">
        <v>4</v>
      </c>
      <c r="M131" s="78">
        <f t="shared" ref="M131:M134" si="94">M130</f>
        <v>20</v>
      </c>
      <c r="N131" s="84"/>
      <c r="O131" s="78">
        <f t="shared" ref="O131:O134" si="95">L131*M131-N131*L131</f>
        <v>80</v>
      </c>
    </row>
    <row r="132" spans="1:16" ht="18" customHeight="1">
      <c r="A132" s="104"/>
      <c r="B132" s="93"/>
      <c r="C132" s="87"/>
      <c r="D132" s="88">
        <v>288</v>
      </c>
      <c r="E132" s="88">
        <v>910</v>
      </c>
      <c r="F132" s="89">
        <f t="shared" si="91"/>
        <v>40</v>
      </c>
      <c r="G132" s="90">
        <f t="shared" ref="G132" si="96">D132*E132/91809*F132</f>
        <v>114.18488383491814</v>
      </c>
      <c r="H132" s="90">
        <f t="shared" ref="H132" si="97">(D132/1000)*4*F132+(E132/1000)*4*F132</f>
        <v>191.68</v>
      </c>
      <c r="I132" s="91" t="str">
        <f>I131</f>
        <v>2동1,2라인</v>
      </c>
      <c r="J132" s="92" t="s">
        <v>215</v>
      </c>
      <c r="L132" s="89">
        <v>2</v>
      </c>
      <c r="M132" s="78">
        <f>M131</f>
        <v>20</v>
      </c>
      <c r="N132" s="84"/>
      <c r="O132" s="78">
        <f t="shared" si="95"/>
        <v>40</v>
      </c>
    </row>
    <row r="133" spans="1:16" ht="18" customHeight="1">
      <c r="A133" s="104"/>
      <c r="B133" s="93"/>
      <c r="C133" s="87"/>
      <c r="D133" s="88">
        <v>228</v>
      </c>
      <c r="E133" s="88">
        <v>910</v>
      </c>
      <c r="F133" s="89">
        <f t="shared" si="91"/>
        <v>40</v>
      </c>
      <c r="G133" s="90">
        <f t="shared" si="92"/>
        <v>90.396366369310201</v>
      </c>
      <c r="H133" s="90">
        <f t="shared" si="93"/>
        <v>182.07999999999998</v>
      </c>
      <c r="I133" s="91" t="str">
        <f>I131</f>
        <v>2동1,2라인</v>
      </c>
      <c r="J133" s="92" t="s">
        <v>216</v>
      </c>
      <c r="L133" s="89">
        <v>2</v>
      </c>
      <c r="M133" s="78">
        <f>M131</f>
        <v>20</v>
      </c>
      <c r="N133" s="78"/>
      <c r="O133" s="78">
        <f t="shared" si="95"/>
        <v>40</v>
      </c>
    </row>
    <row r="134" spans="1:16" ht="18" customHeight="1">
      <c r="A134" s="104"/>
      <c r="B134" s="93"/>
      <c r="C134" s="87"/>
      <c r="D134" s="88">
        <v>438</v>
      </c>
      <c r="E134" s="88">
        <v>270</v>
      </c>
      <c r="F134" s="89">
        <f t="shared" si="91"/>
        <v>40</v>
      </c>
      <c r="G134" s="90">
        <f t="shared" si="92"/>
        <v>51.524360356827763</v>
      </c>
      <c r="H134" s="90">
        <f t="shared" si="93"/>
        <v>113.28</v>
      </c>
      <c r="I134" s="91" t="str">
        <f t="shared" ref="I134" si="98">I133</f>
        <v>2동1,2라인</v>
      </c>
      <c r="J134" s="92" t="s">
        <v>217</v>
      </c>
      <c r="L134" s="89">
        <v>2</v>
      </c>
      <c r="M134" s="78">
        <f t="shared" si="94"/>
        <v>20</v>
      </c>
      <c r="N134" s="78"/>
      <c r="O134" s="78">
        <f t="shared" si="95"/>
        <v>40</v>
      </c>
    </row>
    <row r="135" spans="1:16" ht="18" customHeight="1">
      <c r="A135" s="104"/>
      <c r="B135" s="87"/>
      <c r="C135" s="87"/>
      <c r="D135" s="325" t="s">
        <v>0</v>
      </c>
      <c r="E135" s="325"/>
      <c r="F135" s="171">
        <f>SUM(F129:F134)</f>
        <v>240</v>
      </c>
      <c r="G135" s="95">
        <f>SUM(G129:G134)</f>
        <v>2271.5659684780362</v>
      </c>
      <c r="H135" s="95">
        <f>SUM(H129:H134)</f>
        <v>1670</v>
      </c>
      <c r="I135" s="97"/>
      <c r="J135" s="98"/>
    </row>
    <row r="136" spans="1:16">
      <c r="A136" s="105"/>
      <c r="B136" s="9"/>
      <c r="C136" s="9"/>
      <c r="D136" s="51"/>
      <c r="E136" s="51"/>
      <c r="F136" s="51"/>
      <c r="G136" s="106"/>
      <c r="H136" s="106"/>
      <c r="I136" s="9"/>
      <c r="J136" s="107"/>
    </row>
    <row r="137" spans="1:16" ht="18" customHeight="1">
      <c r="A137" s="85"/>
      <c r="B137" s="23" t="s">
        <v>237</v>
      </c>
      <c r="C137" s="24">
        <v>22</v>
      </c>
      <c r="D137" s="88">
        <v>2114</v>
      </c>
      <c r="E137" s="88">
        <v>1810</v>
      </c>
      <c r="F137" s="89">
        <f t="shared" ref="F137" si="99">O137</f>
        <v>20</v>
      </c>
      <c r="G137" s="90">
        <f t="shared" ref="G137" si="100">D137*E137/91809*F137</f>
        <v>833.54355237503955</v>
      </c>
      <c r="H137" s="90">
        <f t="shared" ref="H137" si="101">(D137/1000)*4*F137+(E137/1000)*4*F137</f>
        <v>313.92</v>
      </c>
      <c r="I137" s="91" t="str">
        <f>I129</f>
        <v>2동1,2라인</v>
      </c>
      <c r="J137" s="92" t="s">
        <v>206</v>
      </c>
      <c r="L137" s="89">
        <v>1</v>
      </c>
      <c r="M137" s="78">
        <f>M122</f>
        <v>20</v>
      </c>
      <c r="N137" s="84"/>
      <c r="O137" s="78">
        <f>L137*M137-N137*L137</f>
        <v>20</v>
      </c>
    </row>
    <row r="138" spans="1:16" ht="18" customHeight="1">
      <c r="A138" s="85"/>
      <c r="B138" s="93"/>
      <c r="C138" s="87"/>
      <c r="D138" s="325" t="s">
        <v>0</v>
      </c>
      <c r="E138" s="325"/>
      <c r="F138" s="94">
        <f>SUM(F137:F137)</f>
        <v>20</v>
      </c>
      <c r="G138" s="95">
        <f>SUM(G137:G137)</f>
        <v>833.54355237503955</v>
      </c>
      <c r="H138" s="95">
        <f>SUM(H137:H137)</f>
        <v>313.92</v>
      </c>
      <c r="I138" s="97"/>
      <c r="J138" s="98"/>
    </row>
    <row r="139" spans="1:16" ht="18" customHeight="1">
      <c r="A139" s="218"/>
      <c r="B139" s="219"/>
      <c r="C139" s="220"/>
      <c r="D139" s="161"/>
      <c r="E139" s="161"/>
      <c r="F139" s="89"/>
      <c r="G139" s="100"/>
      <c r="H139" s="100"/>
      <c r="I139" s="102"/>
      <c r="J139" s="221"/>
    </row>
    <row r="140" spans="1:16" ht="18" customHeight="1">
      <c r="A140" s="85"/>
      <c r="B140" s="23" t="s">
        <v>203</v>
      </c>
      <c r="C140" s="24">
        <v>22</v>
      </c>
      <c r="D140" s="88">
        <v>638</v>
      </c>
      <c r="E140" s="88">
        <v>1810</v>
      </c>
      <c r="F140" s="89">
        <f t="shared" ref="F140:F141" si="102">O140</f>
        <v>20</v>
      </c>
      <c r="G140" s="90">
        <f t="shared" ref="G140:G141" si="103">D140*E140/91809*F140</f>
        <v>251.56139376313871</v>
      </c>
      <c r="H140" s="90">
        <f t="shared" ref="H140:H141" si="104">(D140/1000)*4*F140+(E140/1000)*4*F140</f>
        <v>195.84</v>
      </c>
      <c r="I140" s="91" t="str">
        <f>I137</f>
        <v>2동1,2라인</v>
      </c>
      <c r="J140" s="92" t="s">
        <v>219</v>
      </c>
      <c r="L140" s="89">
        <v>2</v>
      </c>
      <c r="M140" s="78">
        <f>M137</f>
        <v>20</v>
      </c>
      <c r="N140" s="84">
        <v>10</v>
      </c>
      <c r="O140" s="78">
        <f>L140*M140-N140*L140</f>
        <v>20</v>
      </c>
      <c r="P140" s="64" t="s">
        <v>247</v>
      </c>
    </row>
    <row r="141" spans="1:16" ht="18" customHeight="1">
      <c r="A141" s="85"/>
      <c r="B141" s="86"/>
      <c r="C141" s="87"/>
      <c r="D141" s="88">
        <v>250</v>
      </c>
      <c r="E141" s="88">
        <v>930</v>
      </c>
      <c r="F141" s="89">
        <f t="shared" si="102"/>
        <v>40</v>
      </c>
      <c r="G141" s="90">
        <f t="shared" si="103"/>
        <v>101.29725843871515</v>
      </c>
      <c r="H141" s="90">
        <f t="shared" si="104"/>
        <v>188.8</v>
      </c>
      <c r="I141" s="91" t="str">
        <f>I140</f>
        <v>2동1,2라인</v>
      </c>
      <c r="J141" s="92" t="s">
        <v>220</v>
      </c>
      <c r="L141" s="89">
        <v>2</v>
      </c>
      <c r="M141" s="78">
        <f>M140</f>
        <v>20</v>
      </c>
      <c r="N141" s="84"/>
      <c r="O141" s="78">
        <f t="shared" ref="O141" si="105">L141*M141-N141*L141</f>
        <v>40</v>
      </c>
    </row>
    <row r="142" spans="1:16" ht="18" customHeight="1">
      <c r="A142" s="85"/>
      <c r="B142" s="93"/>
      <c r="C142" s="87"/>
      <c r="D142" s="325" t="s">
        <v>0</v>
      </c>
      <c r="E142" s="325"/>
      <c r="F142" s="94">
        <f>SUM(F140:F141)</f>
        <v>60</v>
      </c>
      <c r="G142" s="95">
        <f>SUM(G140:G141)</f>
        <v>352.85865220185383</v>
      </c>
      <c r="H142" s="96">
        <f>SUM(H140:H141)</f>
        <v>384.64</v>
      </c>
      <c r="I142" s="97"/>
      <c r="J142" s="162"/>
    </row>
    <row r="143" spans="1:16">
      <c r="A143" s="16"/>
      <c r="B143" s="16"/>
      <c r="C143" s="16"/>
      <c r="D143" s="261"/>
      <c r="E143" s="261"/>
      <c r="F143" s="261"/>
      <c r="G143" s="19"/>
      <c r="H143" s="19"/>
      <c r="I143" s="16"/>
      <c r="J143" s="16"/>
    </row>
    <row r="144" spans="1:16" ht="18" customHeight="1">
      <c r="A144" s="85" t="s">
        <v>235</v>
      </c>
      <c r="B144" s="23" t="s">
        <v>201</v>
      </c>
      <c r="C144" s="24">
        <v>22</v>
      </c>
      <c r="D144" s="88">
        <v>861</v>
      </c>
      <c r="E144" s="88">
        <v>1810</v>
      </c>
      <c r="F144" s="89">
        <f t="shared" ref="F144:F147" si="106">O144</f>
        <v>10</v>
      </c>
      <c r="G144" s="90">
        <f t="shared" ref="G144:G147" si="107">D144*E144/91809*F144</f>
        <v>169.7447962618044</v>
      </c>
      <c r="H144" s="90">
        <f t="shared" ref="H144:H147" si="108">(D144/1000)*4*F144+(E144/1000)*4*F144</f>
        <v>106.84</v>
      </c>
      <c r="I144" s="91" t="s">
        <v>248</v>
      </c>
      <c r="J144" s="92" t="s">
        <v>205</v>
      </c>
      <c r="L144" s="89">
        <v>1</v>
      </c>
      <c r="M144" s="78">
        <v>10</v>
      </c>
      <c r="N144" s="84"/>
      <c r="O144" s="78">
        <f>L144*M144-N144*L144</f>
        <v>10</v>
      </c>
      <c r="P144" s="64"/>
    </row>
    <row r="145" spans="1:16" ht="18" customHeight="1">
      <c r="A145" s="85"/>
      <c r="B145" s="86"/>
      <c r="C145" s="87"/>
      <c r="D145" s="88">
        <v>738</v>
      </c>
      <c r="E145" s="88">
        <v>1310</v>
      </c>
      <c r="F145" s="89">
        <f t="shared" si="106"/>
        <v>40</v>
      </c>
      <c r="G145" s="90">
        <f t="shared" si="107"/>
        <v>421.2136065091658</v>
      </c>
      <c r="H145" s="90">
        <f t="shared" si="108"/>
        <v>327.68</v>
      </c>
      <c r="I145" s="91" t="str">
        <f>I144</f>
        <v>2동3라인</v>
      </c>
      <c r="J145" s="92" t="s">
        <v>207</v>
      </c>
      <c r="L145" s="89">
        <v>4</v>
      </c>
      <c r="M145" s="78">
        <f>M144</f>
        <v>10</v>
      </c>
      <c r="N145" s="84"/>
      <c r="O145" s="78">
        <f t="shared" ref="O145:O147" si="109">L145*M145-N145*L145</f>
        <v>40</v>
      </c>
    </row>
    <row r="146" spans="1:16" ht="18" customHeight="1">
      <c r="A146" s="85"/>
      <c r="B146" s="86"/>
      <c r="C146" s="87"/>
      <c r="D146" s="88">
        <v>228</v>
      </c>
      <c r="E146" s="88">
        <v>910</v>
      </c>
      <c r="F146" s="89">
        <f t="shared" si="106"/>
        <v>20</v>
      </c>
      <c r="G146" s="90">
        <f t="shared" si="107"/>
        <v>45.1981831846551</v>
      </c>
      <c r="H146" s="90">
        <f t="shared" si="108"/>
        <v>91.039999999999992</v>
      </c>
      <c r="I146" s="91" t="str">
        <f t="shared" ref="I146:I147" si="110">I145</f>
        <v>2동3라인</v>
      </c>
      <c r="J146" s="92" t="s">
        <v>209</v>
      </c>
      <c r="L146" s="89">
        <v>2</v>
      </c>
      <c r="M146" s="78">
        <f t="shared" ref="M146:M147" si="111">M145</f>
        <v>10</v>
      </c>
      <c r="N146" s="78"/>
      <c r="O146" s="78">
        <f t="shared" si="109"/>
        <v>20</v>
      </c>
    </row>
    <row r="147" spans="1:16" ht="18" customHeight="1">
      <c r="A147" s="85"/>
      <c r="B147" s="86"/>
      <c r="C147" s="87"/>
      <c r="D147" s="88">
        <v>438</v>
      </c>
      <c r="E147" s="88">
        <v>270</v>
      </c>
      <c r="F147" s="89">
        <f t="shared" si="106"/>
        <v>20</v>
      </c>
      <c r="G147" s="90">
        <f t="shared" si="107"/>
        <v>25.762180178413882</v>
      </c>
      <c r="H147" s="90">
        <f t="shared" si="108"/>
        <v>56.64</v>
      </c>
      <c r="I147" s="91" t="str">
        <f t="shared" si="110"/>
        <v>2동3라인</v>
      </c>
      <c r="J147" s="92" t="s">
        <v>210</v>
      </c>
      <c r="L147" s="89">
        <v>2</v>
      </c>
      <c r="M147" s="78">
        <f t="shared" si="111"/>
        <v>10</v>
      </c>
      <c r="N147" s="78"/>
      <c r="O147" s="78">
        <f t="shared" si="109"/>
        <v>20</v>
      </c>
    </row>
    <row r="148" spans="1:16" ht="18" customHeight="1">
      <c r="A148" s="85"/>
      <c r="B148" s="93"/>
      <c r="C148" s="87"/>
      <c r="D148" s="325" t="s">
        <v>0</v>
      </c>
      <c r="E148" s="325"/>
      <c r="F148" s="94">
        <f>SUM(F144:F147)</f>
        <v>90</v>
      </c>
      <c r="G148" s="95">
        <f>SUM(G144:G147)</f>
        <v>661.91876613403929</v>
      </c>
      <c r="H148" s="96">
        <f>SUM(H144:H147)</f>
        <v>582.19999999999993</v>
      </c>
      <c r="I148" s="97"/>
      <c r="J148" s="162"/>
    </row>
    <row r="149" spans="1:16" ht="18" customHeight="1">
      <c r="A149" s="85"/>
      <c r="B149" s="93"/>
      <c r="C149" s="87"/>
      <c r="D149" s="161"/>
      <c r="E149" s="161"/>
      <c r="F149" s="89"/>
      <c r="G149" s="100"/>
      <c r="H149" s="101"/>
      <c r="I149" s="102"/>
      <c r="J149" s="121"/>
      <c r="L149" s="252"/>
      <c r="M149" s="252"/>
      <c r="N149" s="252"/>
      <c r="O149" s="252"/>
    </row>
    <row r="150" spans="1:16" ht="18" customHeight="1">
      <c r="A150" s="85"/>
      <c r="B150" s="23" t="s">
        <v>198</v>
      </c>
      <c r="C150" s="24">
        <v>22</v>
      </c>
      <c r="D150" s="88">
        <v>861</v>
      </c>
      <c r="E150" s="88">
        <v>1810</v>
      </c>
      <c r="F150" s="89">
        <f t="shared" ref="F150:F154" si="112">O150</f>
        <v>10</v>
      </c>
      <c r="G150" s="90">
        <f t="shared" ref="G150:G154" si="113">D150*E150/91809*F150</f>
        <v>169.7447962618044</v>
      </c>
      <c r="H150" s="90">
        <f t="shared" ref="H150:H154" si="114">(D150/1000)*4*F150+(E150/1000)*4*F150</f>
        <v>106.84</v>
      </c>
      <c r="I150" s="91" t="str">
        <f>I144</f>
        <v>2동3라인</v>
      </c>
      <c r="J150" s="92" t="s">
        <v>212</v>
      </c>
      <c r="L150" s="89">
        <v>1</v>
      </c>
      <c r="M150" s="78">
        <f>M144</f>
        <v>10</v>
      </c>
      <c r="N150" s="84"/>
      <c r="O150" s="78">
        <f>L150*M150-N150*L150</f>
        <v>10</v>
      </c>
    </row>
    <row r="151" spans="1:16" ht="18" customHeight="1">
      <c r="A151" s="85"/>
      <c r="B151" s="86"/>
      <c r="C151" s="87"/>
      <c r="D151" s="88">
        <v>2114</v>
      </c>
      <c r="E151" s="88">
        <v>1810</v>
      </c>
      <c r="F151" s="89">
        <f t="shared" si="112"/>
        <v>10</v>
      </c>
      <c r="G151" s="90">
        <f t="shared" si="113"/>
        <v>416.77177618751978</v>
      </c>
      <c r="H151" s="90">
        <f t="shared" si="114"/>
        <v>156.96</v>
      </c>
      <c r="I151" s="91" t="str">
        <f>I144</f>
        <v>2동3라인</v>
      </c>
      <c r="J151" s="92" t="s">
        <v>213</v>
      </c>
      <c r="L151" s="89">
        <v>1</v>
      </c>
      <c r="M151" s="78">
        <f>M150</f>
        <v>10</v>
      </c>
      <c r="N151" s="84"/>
      <c r="O151" s="78">
        <f>L151*M151-N151*L151</f>
        <v>10</v>
      </c>
    </row>
    <row r="152" spans="1:16" ht="18" customHeight="1">
      <c r="A152" s="104"/>
      <c r="B152" s="93"/>
      <c r="C152" s="87"/>
      <c r="D152" s="88">
        <v>738</v>
      </c>
      <c r="E152" s="88">
        <v>1310</v>
      </c>
      <c r="F152" s="89">
        <f t="shared" si="112"/>
        <v>40</v>
      </c>
      <c r="G152" s="90">
        <f t="shared" si="113"/>
        <v>421.2136065091658</v>
      </c>
      <c r="H152" s="90">
        <f t="shared" si="114"/>
        <v>327.68</v>
      </c>
      <c r="I152" s="91" t="str">
        <f>I151</f>
        <v>2동3라인</v>
      </c>
      <c r="J152" s="92" t="s">
        <v>214</v>
      </c>
      <c r="L152" s="89">
        <v>4</v>
      </c>
      <c r="M152" s="78">
        <f t="shared" ref="M152:M154" si="115">M151</f>
        <v>10</v>
      </c>
      <c r="N152" s="84"/>
      <c r="O152" s="78">
        <f t="shared" ref="O152:O154" si="116">L152*M152-N152*L152</f>
        <v>40</v>
      </c>
    </row>
    <row r="153" spans="1:16" ht="18" customHeight="1">
      <c r="A153" s="104"/>
      <c r="B153" s="93"/>
      <c r="C153" s="87"/>
      <c r="D153" s="88">
        <v>228</v>
      </c>
      <c r="E153" s="88">
        <v>910</v>
      </c>
      <c r="F153" s="89">
        <f t="shared" si="112"/>
        <v>20</v>
      </c>
      <c r="G153" s="90">
        <f t="shared" si="113"/>
        <v>45.1981831846551</v>
      </c>
      <c r="H153" s="90">
        <f t="shared" si="114"/>
        <v>91.039999999999992</v>
      </c>
      <c r="I153" s="91" t="str">
        <f t="shared" ref="I153:I154" si="117">I152</f>
        <v>2동3라인</v>
      </c>
      <c r="J153" s="92" t="s">
        <v>216</v>
      </c>
      <c r="L153" s="89">
        <v>2</v>
      </c>
      <c r="M153" s="78">
        <f t="shared" si="115"/>
        <v>10</v>
      </c>
      <c r="N153" s="78"/>
      <c r="O153" s="78">
        <f t="shared" si="116"/>
        <v>20</v>
      </c>
    </row>
    <row r="154" spans="1:16" ht="18" customHeight="1">
      <c r="A154" s="104"/>
      <c r="B154" s="93"/>
      <c r="C154" s="87"/>
      <c r="D154" s="88">
        <v>438</v>
      </c>
      <c r="E154" s="88">
        <v>270</v>
      </c>
      <c r="F154" s="89">
        <f t="shared" si="112"/>
        <v>20</v>
      </c>
      <c r="G154" s="90">
        <f t="shared" si="113"/>
        <v>25.762180178413882</v>
      </c>
      <c r="H154" s="90">
        <f t="shared" si="114"/>
        <v>56.64</v>
      </c>
      <c r="I154" s="91" t="str">
        <f t="shared" si="117"/>
        <v>2동3라인</v>
      </c>
      <c r="J154" s="92" t="s">
        <v>217</v>
      </c>
      <c r="L154" s="89">
        <v>2</v>
      </c>
      <c r="M154" s="78">
        <f t="shared" si="115"/>
        <v>10</v>
      </c>
      <c r="N154" s="78"/>
      <c r="O154" s="78">
        <f t="shared" si="116"/>
        <v>20</v>
      </c>
    </row>
    <row r="155" spans="1:16" ht="18" customHeight="1">
      <c r="A155" s="104"/>
      <c r="B155" s="87"/>
      <c r="C155" s="87"/>
      <c r="D155" s="325" t="s">
        <v>0</v>
      </c>
      <c r="E155" s="325"/>
      <c r="F155" s="171">
        <f>SUM(F150:F154)</f>
        <v>100</v>
      </c>
      <c r="G155" s="95">
        <f>SUM(G150:G154)</f>
        <v>1078.690542321559</v>
      </c>
      <c r="H155" s="95">
        <f>SUM(H150:H154)</f>
        <v>739.16</v>
      </c>
      <c r="I155" s="97"/>
      <c r="J155" s="98"/>
    </row>
    <row r="156" spans="1:16">
      <c r="A156" s="105"/>
      <c r="B156" s="9"/>
      <c r="C156" s="9"/>
      <c r="D156" s="51"/>
      <c r="E156" s="51"/>
      <c r="F156" s="51"/>
      <c r="G156" s="106"/>
      <c r="H156" s="106"/>
      <c r="I156" s="9"/>
      <c r="J156" s="107"/>
    </row>
    <row r="157" spans="1:16" ht="18" customHeight="1">
      <c r="A157" s="85"/>
      <c r="B157" s="23" t="s">
        <v>237</v>
      </c>
      <c r="C157" s="24">
        <v>22</v>
      </c>
      <c r="D157" s="88">
        <v>2114</v>
      </c>
      <c r="E157" s="88">
        <v>1810</v>
      </c>
      <c r="F157" s="89">
        <f t="shared" ref="F157" si="118">O157</f>
        <v>10</v>
      </c>
      <c r="G157" s="90">
        <f t="shared" ref="G157" si="119">D157*E157/91809*F157</f>
        <v>416.77177618751978</v>
      </c>
      <c r="H157" s="90">
        <f t="shared" ref="H157" si="120">(D157/1000)*4*F157+(E157/1000)*4*F157</f>
        <v>156.96</v>
      </c>
      <c r="I157" s="91" t="str">
        <f>I150</f>
        <v>2동3라인</v>
      </c>
      <c r="J157" s="92" t="s">
        <v>206</v>
      </c>
      <c r="L157" s="89">
        <v>1</v>
      </c>
      <c r="M157" s="78">
        <f>M144</f>
        <v>10</v>
      </c>
      <c r="N157" s="84"/>
      <c r="O157" s="78">
        <f>L157*M157-N157*L157</f>
        <v>10</v>
      </c>
    </row>
    <row r="158" spans="1:16" ht="18" customHeight="1">
      <c r="A158" s="85"/>
      <c r="B158" s="93"/>
      <c r="C158" s="87"/>
      <c r="D158" s="325" t="s">
        <v>0</v>
      </c>
      <c r="E158" s="325"/>
      <c r="F158" s="94">
        <f>SUM(F157:F157)</f>
        <v>10</v>
      </c>
      <c r="G158" s="95">
        <f>SUM(G157:G157)</f>
        <v>416.77177618751978</v>
      </c>
      <c r="H158" s="95">
        <f>SUM(H157:H157)</f>
        <v>156.96</v>
      </c>
      <c r="I158" s="97"/>
      <c r="J158" s="98"/>
    </row>
    <row r="159" spans="1:16" ht="18" customHeight="1">
      <c r="A159" s="218"/>
      <c r="B159" s="219"/>
      <c r="C159" s="220"/>
      <c r="D159" s="161"/>
      <c r="E159" s="161"/>
      <c r="F159" s="89"/>
      <c r="G159" s="100"/>
      <c r="H159" s="100"/>
      <c r="I159" s="102"/>
      <c r="J159" s="221"/>
    </row>
    <row r="160" spans="1:16" ht="18" customHeight="1">
      <c r="A160" s="85"/>
      <c r="B160" s="23" t="s">
        <v>203</v>
      </c>
      <c r="C160" s="24">
        <v>22</v>
      </c>
      <c r="D160" s="88">
        <v>738</v>
      </c>
      <c r="E160" s="88">
        <v>1810</v>
      </c>
      <c r="F160" s="89">
        <f t="shared" ref="F160:F161" si="121">O160</f>
        <v>0</v>
      </c>
      <c r="G160" s="90">
        <f t="shared" ref="G160:G161" si="122">D160*E160/91809*F160</f>
        <v>0</v>
      </c>
      <c r="H160" s="90">
        <f t="shared" ref="H160:H161" si="123">(D160/1000)*4*F160+(E160/1000)*4*F160</f>
        <v>0</v>
      </c>
      <c r="I160" s="91" t="str">
        <f>I157</f>
        <v>2동3라인</v>
      </c>
      <c r="J160" s="92" t="s">
        <v>219</v>
      </c>
      <c r="L160" s="89">
        <v>2</v>
      </c>
      <c r="M160" s="78">
        <f>M157</f>
        <v>10</v>
      </c>
      <c r="N160" s="84">
        <v>10</v>
      </c>
      <c r="O160" s="78">
        <f>L160*M160-N160*L160</f>
        <v>0</v>
      </c>
      <c r="P160" s="64" t="s">
        <v>279</v>
      </c>
    </row>
    <row r="161" spans="1:16" ht="18" customHeight="1">
      <c r="A161" s="85"/>
      <c r="B161" s="86"/>
      <c r="C161" s="87"/>
      <c r="D161" s="88">
        <v>250</v>
      </c>
      <c r="E161" s="88">
        <v>930</v>
      </c>
      <c r="F161" s="89">
        <f t="shared" si="121"/>
        <v>20</v>
      </c>
      <c r="G161" s="90">
        <f t="shared" si="122"/>
        <v>50.648629219357574</v>
      </c>
      <c r="H161" s="90">
        <f t="shared" si="123"/>
        <v>94.4</v>
      </c>
      <c r="I161" s="91" t="str">
        <f>I160</f>
        <v>2동3라인</v>
      </c>
      <c r="J161" s="92" t="s">
        <v>220</v>
      </c>
      <c r="L161" s="89">
        <v>2</v>
      </c>
      <c r="M161" s="78">
        <f>M160</f>
        <v>10</v>
      </c>
      <c r="N161" s="84"/>
      <c r="O161" s="78">
        <f t="shared" ref="O161" si="124">L161*M161-N161*L161</f>
        <v>20</v>
      </c>
    </row>
    <row r="162" spans="1:16" ht="18" customHeight="1">
      <c r="A162" s="85"/>
      <c r="B162" s="93"/>
      <c r="C162" s="87"/>
      <c r="D162" s="325" t="s">
        <v>0</v>
      </c>
      <c r="E162" s="325"/>
      <c r="F162" s="94">
        <f>SUM(F160:F161)</f>
        <v>20</v>
      </c>
      <c r="G162" s="95">
        <f>SUM(G160:G161)</f>
        <v>50.648629219357574</v>
      </c>
      <c r="H162" s="96">
        <f>SUM(H160:H161)</f>
        <v>94.4</v>
      </c>
      <c r="I162" s="97"/>
      <c r="J162" s="162"/>
    </row>
    <row r="163" spans="1:16" ht="18" customHeight="1" thickBot="1">
      <c r="A163" s="222"/>
      <c r="B163" s="223"/>
      <c r="C163" s="224"/>
      <c r="D163" s="225"/>
      <c r="E163" s="225"/>
      <c r="F163" s="226"/>
      <c r="G163" s="227"/>
      <c r="H163" s="228"/>
      <c r="I163" s="229"/>
      <c r="J163" s="230"/>
      <c r="L163" s="78" t="s">
        <v>48</v>
      </c>
      <c r="M163" s="78" t="s">
        <v>49</v>
      </c>
      <c r="N163" s="78" t="s">
        <v>50</v>
      </c>
      <c r="O163" s="78" t="s">
        <v>55</v>
      </c>
    </row>
    <row r="164" spans="1:16" ht="18" customHeight="1">
      <c r="A164" s="79" t="s">
        <v>234</v>
      </c>
      <c r="B164" s="231" t="s">
        <v>195</v>
      </c>
      <c r="C164" s="232">
        <v>22</v>
      </c>
      <c r="D164" s="80">
        <v>761</v>
      </c>
      <c r="E164" s="80">
        <v>1810</v>
      </c>
      <c r="F164" s="233">
        <f>O164</f>
        <v>18</v>
      </c>
      <c r="G164" s="81">
        <f t="shared" ref="G164:G170" si="125">D164*E164/91809*F164</f>
        <v>270.05391628271741</v>
      </c>
      <c r="H164" s="81">
        <f t="shared" ref="H164:H170" si="126">(D164/1000)*4*F164+(E164/1000)*4*F164</f>
        <v>185.11199999999999</v>
      </c>
      <c r="I164" s="82" t="s">
        <v>249</v>
      </c>
      <c r="J164" s="83" t="s">
        <v>205</v>
      </c>
      <c r="L164" s="89">
        <v>2</v>
      </c>
      <c r="M164" s="78">
        <v>9</v>
      </c>
      <c r="N164" s="84"/>
      <c r="O164" s="78">
        <f>L164*M164-N164*L164</f>
        <v>18</v>
      </c>
      <c r="P164" s="64"/>
    </row>
    <row r="165" spans="1:16" ht="18" customHeight="1">
      <c r="A165" s="85"/>
      <c r="B165" s="86"/>
      <c r="C165" s="87"/>
      <c r="D165" s="88">
        <v>1688</v>
      </c>
      <c r="E165" s="88">
        <v>1810</v>
      </c>
      <c r="F165" s="89">
        <f t="shared" ref="F165:F170" si="127">O165</f>
        <v>9</v>
      </c>
      <c r="G165" s="90">
        <f t="shared" si="125"/>
        <v>299.50789138319772</v>
      </c>
      <c r="H165" s="90">
        <f t="shared" si="126"/>
        <v>125.928</v>
      </c>
      <c r="I165" s="91" t="str">
        <f>I164</f>
        <v>2동4라인</v>
      </c>
      <c r="J165" s="92" t="s">
        <v>206</v>
      </c>
      <c r="L165" s="89">
        <v>1</v>
      </c>
      <c r="M165" s="78">
        <f>M164</f>
        <v>9</v>
      </c>
      <c r="N165" s="84"/>
      <c r="O165" s="78">
        <f t="shared" ref="O165:O170" si="128">L165*M165-N165*L165</f>
        <v>9</v>
      </c>
    </row>
    <row r="166" spans="1:16" ht="18" customHeight="1">
      <c r="A166" s="85"/>
      <c r="B166" s="86"/>
      <c r="C166" s="87"/>
      <c r="D166" s="88">
        <v>738</v>
      </c>
      <c r="E166" s="88">
        <v>1310</v>
      </c>
      <c r="F166" s="89">
        <f t="shared" si="127"/>
        <v>36</v>
      </c>
      <c r="G166" s="90">
        <f t="shared" si="125"/>
        <v>379.09224585824921</v>
      </c>
      <c r="H166" s="90">
        <f t="shared" si="126"/>
        <v>294.91200000000003</v>
      </c>
      <c r="I166" s="91" t="str">
        <f t="shared" ref="I166:I170" si="129">I165</f>
        <v>2동4라인</v>
      </c>
      <c r="J166" s="92" t="s">
        <v>207</v>
      </c>
      <c r="L166" s="89">
        <v>4</v>
      </c>
      <c r="M166" s="78">
        <f t="shared" ref="M166:M169" si="130">M165</f>
        <v>9</v>
      </c>
      <c r="N166" s="78"/>
      <c r="O166" s="78">
        <f t="shared" si="128"/>
        <v>36</v>
      </c>
    </row>
    <row r="167" spans="1:16" ht="18" customHeight="1">
      <c r="A167" s="85"/>
      <c r="B167" s="86"/>
      <c r="C167" s="87"/>
      <c r="D167" s="88">
        <v>288</v>
      </c>
      <c r="E167" s="88">
        <v>910</v>
      </c>
      <c r="F167" s="89">
        <f t="shared" si="127"/>
        <v>18</v>
      </c>
      <c r="G167" s="90">
        <f t="shared" si="125"/>
        <v>51.383197725713167</v>
      </c>
      <c r="H167" s="90">
        <f t="shared" si="126"/>
        <v>86.256</v>
      </c>
      <c r="I167" s="91" t="str">
        <f t="shared" si="129"/>
        <v>2동4라인</v>
      </c>
      <c r="J167" s="92" t="s">
        <v>208</v>
      </c>
      <c r="L167" s="89">
        <v>2</v>
      </c>
      <c r="M167" s="78">
        <f t="shared" si="130"/>
        <v>9</v>
      </c>
      <c r="N167" s="78"/>
      <c r="O167" s="78">
        <f t="shared" si="128"/>
        <v>18</v>
      </c>
    </row>
    <row r="168" spans="1:16" ht="18" customHeight="1">
      <c r="A168" s="85"/>
      <c r="B168" s="86"/>
      <c r="C168" s="87"/>
      <c r="D168" s="88">
        <v>228</v>
      </c>
      <c r="E168" s="88">
        <v>910</v>
      </c>
      <c r="F168" s="89">
        <f t="shared" si="127"/>
        <v>18</v>
      </c>
      <c r="G168" s="90">
        <f t="shared" si="125"/>
        <v>40.67836486618959</v>
      </c>
      <c r="H168" s="90">
        <f t="shared" si="126"/>
        <v>81.935999999999993</v>
      </c>
      <c r="I168" s="91" t="str">
        <f t="shared" si="129"/>
        <v>2동4라인</v>
      </c>
      <c r="J168" s="92" t="s">
        <v>209</v>
      </c>
      <c r="L168" s="89">
        <v>2</v>
      </c>
      <c r="M168" s="78">
        <f t="shared" si="130"/>
        <v>9</v>
      </c>
      <c r="N168" s="78"/>
      <c r="O168" s="78">
        <f t="shared" si="128"/>
        <v>18</v>
      </c>
    </row>
    <row r="169" spans="1:16" ht="18" customHeight="1">
      <c r="A169" s="85"/>
      <c r="B169" s="86"/>
      <c r="C169" s="87"/>
      <c r="D169" s="88">
        <v>438</v>
      </c>
      <c r="E169" s="88">
        <v>270</v>
      </c>
      <c r="F169" s="89">
        <f t="shared" si="127"/>
        <v>18</v>
      </c>
      <c r="G169" s="90">
        <f t="shared" si="125"/>
        <v>23.185962160572494</v>
      </c>
      <c r="H169" s="90">
        <f t="shared" si="126"/>
        <v>50.975999999999999</v>
      </c>
      <c r="I169" s="91" t="str">
        <f t="shared" si="129"/>
        <v>2동4라인</v>
      </c>
      <c r="J169" s="92" t="s">
        <v>210</v>
      </c>
      <c r="L169" s="89">
        <v>2</v>
      </c>
      <c r="M169" s="78">
        <f t="shared" si="130"/>
        <v>9</v>
      </c>
      <c r="N169" s="78"/>
      <c r="O169" s="78">
        <f t="shared" si="128"/>
        <v>18</v>
      </c>
    </row>
    <row r="170" spans="1:16" ht="18" customHeight="1">
      <c r="A170" s="85"/>
      <c r="B170" s="86"/>
      <c r="C170" s="87"/>
      <c r="D170" s="88">
        <v>208</v>
      </c>
      <c r="E170" s="88">
        <v>910</v>
      </c>
      <c r="F170" s="89">
        <f t="shared" si="127"/>
        <v>18</v>
      </c>
      <c r="G170" s="90">
        <f t="shared" si="125"/>
        <v>37.1100872463484</v>
      </c>
      <c r="H170" s="90">
        <f t="shared" si="126"/>
        <v>80.495999999999995</v>
      </c>
      <c r="I170" s="91" t="str">
        <f t="shared" si="129"/>
        <v>2동4라인</v>
      </c>
      <c r="J170" s="92" t="s">
        <v>211</v>
      </c>
      <c r="L170" s="89">
        <v>2</v>
      </c>
      <c r="M170" s="78">
        <f>M169</f>
        <v>9</v>
      </c>
      <c r="N170" s="78"/>
      <c r="O170" s="78">
        <f t="shared" si="128"/>
        <v>18</v>
      </c>
    </row>
    <row r="171" spans="1:16" ht="18" customHeight="1">
      <c r="A171" s="85"/>
      <c r="B171" s="93"/>
      <c r="C171" s="87"/>
      <c r="D171" s="325" t="s">
        <v>0</v>
      </c>
      <c r="E171" s="325"/>
      <c r="F171" s="94">
        <f>SUM(F164:F170)</f>
        <v>135</v>
      </c>
      <c r="G171" s="95">
        <f>SUM(G164:G170)</f>
        <v>1101.0116655229881</v>
      </c>
      <c r="H171" s="96">
        <f>SUM(H164:H170)</f>
        <v>905.61599999999999</v>
      </c>
      <c r="I171" s="97"/>
      <c r="J171" s="162"/>
    </row>
    <row r="172" spans="1:16" ht="18" customHeight="1">
      <c r="A172" s="85"/>
      <c r="B172" s="93"/>
      <c r="C172" s="87"/>
      <c r="D172" s="161"/>
      <c r="E172" s="161"/>
      <c r="F172" s="89"/>
      <c r="G172" s="100"/>
      <c r="H172" s="101"/>
      <c r="I172" s="102"/>
      <c r="J172" s="121"/>
      <c r="L172" s="78" t="s">
        <v>48</v>
      </c>
      <c r="M172" s="78" t="s">
        <v>54</v>
      </c>
      <c r="N172" s="78" t="s">
        <v>50</v>
      </c>
      <c r="O172" s="78" t="s">
        <v>55</v>
      </c>
    </row>
    <row r="173" spans="1:16" ht="18" customHeight="1">
      <c r="A173" s="85"/>
      <c r="B173" s="23" t="s">
        <v>197</v>
      </c>
      <c r="C173" s="24">
        <v>22</v>
      </c>
      <c r="D173" s="88">
        <v>761</v>
      </c>
      <c r="E173" s="88">
        <v>1810</v>
      </c>
      <c r="F173" s="89">
        <f t="shared" ref="F173:F179" si="131">O173</f>
        <v>18</v>
      </c>
      <c r="G173" s="90">
        <f t="shared" ref="G173:G179" si="132">D173*E173/91809*F173</f>
        <v>270.05391628271741</v>
      </c>
      <c r="H173" s="90">
        <f t="shared" ref="H173:H179" si="133">(D173/1000)*4*F173+(E173/1000)*4*F173</f>
        <v>185.11199999999999</v>
      </c>
      <c r="I173" s="91" t="str">
        <f t="shared" ref="I173:I179" si="134">I164</f>
        <v>2동4라인</v>
      </c>
      <c r="J173" s="92" t="s">
        <v>212</v>
      </c>
      <c r="L173" s="89">
        <v>2</v>
      </c>
      <c r="M173" s="78">
        <f>M164</f>
        <v>9</v>
      </c>
      <c r="N173" s="84"/>
      <c r="O173" s="78">
        <f>L173*M173-N173*L173</f>
        <v>18</v>
      </c>
    </row>
    <row r="174" spans="1:16" ht="18" customHeight="1">
      <c r="A174" s="85"/>
      <c r="B174" s="86"/>
      <c r="C174" s="87"/>
      <c r="D174" s="88">
        <v>1688</v>
      </c>
      <c r="E174" s="88">
        <v>1810</v>
      </c>
      <c r="F174" s="89">
        <f t="shared" si="131"/>
        <v>9</v>
      </c>
      <c r="G174" s="90">
        <f t="shared" si="132"/>
        <v>299.50789138319772</v>
      </c>
      <c r="H174" s="90">
        <f t="shared" si="133"/>
        <v>125.928</v>
      </c>
      <c r="I174" s="91" t="str">
        <f t="shared" si="134"/>
        <v>2동4라인</v>
      </c>
      <c r="J174" s="92" t="s">
        <v>213</v>
      </c>
      <c r="L174" s="89">
        <v>1</v>
      </c>
      <c r="M174" s="78">
        <f>M173</f>
        <v>9</v>
      </c>
      <c r="N174" s="84"/>
      <c r="O174" s="78">
        <f>L174*M174-N174*L174</f>
        <v>9</v>
      </c>
    </row>
    <row r="175" spans="1:16" ht="18" customHeight="1">
      <c r="A175" s="104"/>
      <c r="B175" s="93"/>
      <c r="C175" s="87"/>
      <c r="D175" s="88">
        <v>738</v>
      </c>
      <c r="E175" s="88">
        <v>1310</v>
      </c>
      <c r="F175" s="89">
        <f t="shared" si="131"/>
        <v>36</v>
      </c>
      <c r="G175" s="90">
        <f t="shared" si="132"/>
        <v>379.09224585824921</v>
      </c>
      <c r="H175" s="90">
        <f t="shared" si="133"/>
        <v>294.91200000000003</v>
      </c>
      <c r="I175" s="91" t="str">
        <f t="shared" si="134"/>
        <v>2동4라인</v>
      </c>
      <c r="J175" s="92" t="s">
        <v>214</v>
      </c>
      <c r="L175" s="89">
        <v>4</v>
      </c>
      <c r="M175" s="78">
        <f t="shared" ref="M175:M179" si="135">M174</f>
        <v>9</v>
      </c>
      <c r="N175" s="84"/>
      <c r="O175" s="78">
        <f t="shared" ref="O175:O179" si="136">L175*M175-N175*L175</f>
        <v>36</v>
      </c>
    </row>
    <row r="176" spans="1:16" ht="18" customHeight="1">
      <c r="A176" s="104"/>
      <c r="B176" s="93"/>
      <c r="C176" s="87"/>
      <c r="D176" s="88">
        <v>288</v>
      </c>
      <c r="E176" s="88">
        <v>910</v>
      </c>
      <c r="F176" s="89">
        <f t="shared" si="131"/>
        <v>18</v>
      </c>
      <c r="G176" s="90">
        <f t="shared" si="132"/>
        <v>51.383197725713167</v>
      </c>
      <c r="H176" s="90">
        <f t="shared" si="133"/>
        <v>86.256</v>
      </c>
      <c r="I176" s="91" t="str">
        <f t="shared" si="134"/>
        <v>2동4라인</v>
      </c>
      <c r="J176" s="92" t="s">
        <v>215</v>
      </c>
      <c r="L176" s="89">
        <v>2</v>
      </c>
      <c r="M176" s="78">
        <f t="shared" si="135"/>
        <v>9</v>
      </c>
      <c r="N176" s="78"/>
      <c r="O176" s="78">
        <f t="shared" si="136"/>
        <v>18</v>
      </c>
    </row>
    <row r="177" spans="1:16" ht="18" customHeight="1">
      <c r="A177" s="104"/>
      <c r="B177" s="93"/>
      <c r="C177" s="87"/>
      <c r="D177" s="88">
        <v>228</v>
      </c>
      <c r="E177" s="88">
        <v>910</v>
      </c>
      <c r="F177" s="89">
        <f t="shared" si="131"/>
        <v>18</v>
      </c>
      <c r="G177" s="90">
        <f t="shared" si="132"/>
        <v>40.67836486618959</v>
      </c>
      <c r="H177" s="90">
        <f t="shared" si="133"/>
        <v>81.935999999999993</v>
      </c>
      <c r="I177" s="91" t="str">
        <f t="shared" si="134"/>
        <v>2동4라인</v>
      </c>
      <c r="J177" s="92" t="s">
        <v>216</v>
      </c>
      <c r="L177" s="89">
        <v>2</v>
      </c>
      <c r="M177" s="78">
        <f t="shared" si="135"/>
        <v>9</v>
      </c>
      <c r="N177" s="78"/>
      <c r="O177" s="78">
        <f t="shared" si="136"/>
        <v>18</v>
      </c>
    </row>
    <row r="178" spans="1:16" ht="18" customHeight="1">
      <c r="A178" s="104"/>
      <c r="B178" s="93"/>
      <c r="C178" s="87"/>
      <c r="D178" s="88">
        <v>438</v>
      </c>
      <c r="E178" s="88">
        <v>270</v>
      </c>
      <c r="F178" s="89">
        <f t="shared" si="131"/>
        <v>18</v>
      </c>
      <c r="G178" s="90">
        <f t="shared" si="132"/>
        <v>23.185962160572494</v>
      </c>
      <c r="H178" s="90">
        <f t="shared" si="133"/>
        <v>50.975999999999999</v>
      </c>
      <c r="I178" s="91" t="str">
        <f t="shared" si="134"/>
        <v>2동4라인</v>
      </c>
      <c r="J178" s="92" t="s">
        <v>217</v>
      </c>
      <c r="L178" s="89">
        <v>2</v>
      </c>
      <c r="M178" s="78">
        <f t="shared" si="135"/>
        <v>9</v>
      </c>
      <c r="N178" s="78"/>
      <c r="O178" s="78">
        <f t="shared" si="136"/>
        <v>18</v>
      </c>
    </row>
    <row r="179" spans="1:16" ht="18" customHeight="1">
      <c r="A179" s="104"/>
      <c r="B179" s="93"/>
      <c r="C179" s="87"/>
      <c r="D179" s="88">
        <v>208</v>
      </c>
      <c r="E179" s="88">
        <v>910</v>
      </c>
      <c r="F179" s="89">
        <f t="shared" si="131"/>
        <v>18</v>
      </c>
      <c r="G179" s="90">
        <f t="shared" si="132"/>
        <v>37.1100872463484</v>
      </c>
      <c r="H179" s="90">
        <f t="shared" si="133"/>
        <v>80.495999999999995</v>
      </c>
      <c r="I179" s="91" t="str">
        <f t="shared" si="134"/>
        <v>2동4라인</v>
      </c>
      <c r="J179" s="92" t="s">
        <v>218</v>
      </c>
      <c r="L179" s="89">
        <v>2</v>
      </c>
      <c r="M179" s="78">
        <f t="shared" si="135"/>
        <v>9</v>
      </c>
      <c r="N179" s="78"/>
      <c r="O179" s="78">
        <f t="shared" si="136"/>
        <v>18</v>
      </c>
    </row>
    <row r="180" spans="1:16" ht="18" customHeight="1">
      <c r="A180" s="104"/>
      <c r="B180" s="87"/>
      <c r="C180" s="87"/>
      <c r="D180" s="325" t="s">
        <v>0</v>
      </c>
      <c r="E180" s="325"/>
      <c r="F180" s="171">
        <f>SUM(F173:F179)</f>
        <v>135</v>
      </c>
      <c r="G180" s="95">
        <f>SUM(G173:G179)</f>
        <v>1101.0116655229881</v>
      </c>
      <c r="H180" s="95">
        <f>SUM(H173:H179)</f>
        <v>905.61599999999999</v>
      </c>
      <c r="I180" s="97"/>
      <c r="J180" s="98"/>
    </row>
    <row r="181" spans="1:16">
      <c r="A181" s="105"/>
      <c r="B181" s="9"/>
      <c r="C181" s="9"/>
      <c r="D181" s="51"/>
      <c r="E181" s="51"/>
      <c r="F181" s="51"/>
      <c r="G181" s="106"/>
      <c r="H181" s="106"/>
      <c r="I181" s="9"/>
      <c r="J181" s="107"/>
    </row>
    <row r="182" spans="1:16" ht="18" customHeight="1">
      <c r="A182" s="85"/>
      <c r="B182" s="163" t="s">
        <v>199</v>
      </c>
      <c r="C182" s="163">
        <v>22</v>
      </c>
      <c r="D182" s="88">
        <v>738</v>
      </c>
      <c r="E182" s="88">
        <v>1810</v>
      </c>
      <c r="F182" s="89">
        <f t="shared" ref="F182:F183" si="137">O182</f>
        <v>18</v>
      </c>
      <c r="G182" s="90">
        <f t="shared" ref="G182:G183" si="138">D182*E182/91809*F182</f>
        <v>261.89197137535535</v>
      </c>
      <c r="H182" s="90">
        <f t="shared" ref="H182:H183" si="139">(D182/1000)*4*F182+(E182/1000)*4*F182</f>
        <v>183.45599999999999</v>
      </c>
      <c r="I182" s="91" t="str">
        <f>I173</f>
        <v>2동4라인</v>
      </c>
      <c r="J182" s="92" t="s">
        <v>219</v>
      </c>
      <c r="L182" s="89">
        <v>2</v>
      </c>
      <c r="M182" s="78">
        <f>M164</f>
        <v>9</v>
      </c>
      <c r="N182" s="84"/>
      <c r="O182" s="78">
        <f>L182*M182-N182*L182</f>
        <v>18</v>
      </c>
      <c r="P182" s="64"/>
    </row>
    <row r="183" spans="1:16" ht="18" customHeight="1">
      <c r="A183" s="85"/>
      <c r="B183" s="86"/>
      <c r="C183" s="87"/>
      <c r="D183" s="88">
        <v>250</v>
      </c>
      <c r="E183" s="88">
        <v>930</v>
      </c>
      <c r="F183" s="89">
        <f t="shared" si="137"/>
        <v>18</v>
      </c>
      <c r="G183" s="90">
        <f t="shared" si="138"/>
        <v>45.583766297421818</v>
      </c>
      <c r="H183" s="90">
        <f t="shared" si="139"/>
        <v>84.960000000000008</v>
      </c>
      <c r="I183" s="91" t="str">
        <f>I182</f>
        <v>2동4라인</v>
      </c>
      <c r="J183" s="92" t="s">
        <v>220</v>
      </c>
      <c r="L183" s="89">
        <v>2</v>
      </c>
      <c r="M183" s="78">
        <f>M182</f>
        <v>9</v>
      </c>
      <c r="N183" s="84"/>
      <c r="O183" s="78">
        <f t="shared" ref="O183" si="140">L183*M183-N183*L183</f>
        <v>18</v>
      </c>
    </row>
    <row r="184" spans="1:16" ht="18" customHeight="1">
      <c r="A184" s="85"/>
      <c r="B184" s="93"/>
      <c r="C184" s="87"/>
      <c r="D184" s="325" t="s">
        <v>0</v>
      </c>
      <c r="E184" s="325"/>
      <c r="F184" s="94">
        <f>SUM(F182:F183)</f>
        <v>36</v>
      </c>
      <c r="G184" s="95">
        <f>SUM(G182:G183)</f>
        <v>307.4757376727772</v>
      </c>
      <c r="H184" s="95">
        <f>SUM(H182:H183)</f>
        <v>268.416</v>
      </c>
      <c r="I184" s="97"/>
      <c r="J184" s="98"/>
    </row>
    <row r="185" spans="1:16" ht="18" customHeight="1">
      <c r="A185" s="108"/>
      <c r="B185" s="164"/>
      <c r="C185" s="109"/>
      <c r="D185" s="363"/>
      <c r="E185" s="363"/>
      <c r="F185" s="110"/>
      <c r="G185" s="111"/>
      <c r="H185" s="234"/>
      <c r="I185" s="112"/>
      <c r="J185" s="235"/>
    </row>
    <row r="186" spans="1:16" ht="18" customHeight="1">
      <c r="A186" s="262" t="s">
        <v>234</v>
      </c>
      <c r="B186" s="263" t="s">
        <v>195</v>
      </c>
      <c r="C186" s="264">
        <v>22</v>
      </c>
      <c r="D186" s="265">
        <v>761</v>
      </c>
      <c r="E186" s="265">
        <v>1810</v>
      </c>
      <c r="F186" s="251">
        <f>O186</f>
        <v>36</v>
      </c>
      <c r="G186" s="266">
        <f t="shared" ref="G186:G192" si="141">D186*E186/91809*F186</f>
        <v>540.10783256543482</v>
      </c>
      <c r="H186" s="266">
        <f t="shared" ref="H186:H192" si="142">(D186/1000)*4*F186+(E186/1000)*4*F186</f>
        <v>370.22399999999999</v>
      </c>
      <c r="I186" s="267" t="s">
        <v>250</v>
      </c>
      <c r="J186" s="268" t="s">
        <v>205</v>
      </c>
      <c r="L186" s="89">
        <v>2</v>
      </c>
      <c r="M186" s="78">
        <v>18</v>
      </c>
      <c r="N186" s="84"/>
      <c r="O186" s="78">
        <f>L186*M186-N186*L186</f>
        <v>36</v>
      </c>
      <c r="P186" s="64"/>
    </row>
    <row r="187" spans="1:16" ht="18" customHeight="1">
      <c r="A187" s="85"/>
      <c r="B187" s="86"/>
      <c r="C187" s="87"/>
      <c r="D187" s="88">
        <v>1688</v>
      </c>
      <c r="E187" s="88">
        <v>1810</v>
      </c>
      <c r="F187" s="89">
        <f t="shared" ref="F187:F192" si="143">O187</f>
        <v>18</v>
      </c>
      <c r="G187" s="90">
        <f t="shared" si="141"/>
        <v>599.01578276639543</v>
      </c>
      <c r="H187" s="90">
        <f t="shared" si="142"/>
        <v>251.85599999999999</v>
      </c>
      <c r="I187" s="91" t="str">
        <f>I186</f>
        <v>2동5,6라인</v>
      </c>
      <c r="J187" s="92" t="s">
        <v>206</v>
      </c>
      <c r="L187" s="89">
        <v>1</v>
      </c>
      <c r="M187" s="78">
        <f>M186</f>
        <v>18</v>
      </c>
      <c r="N187" s="84"/>
      <c r="O187" s="78">
        <f t="shared" ref="O187:O192" si="144">L187*M187-N187*L187</f>
        <v>18</v>
      </c>
    </row>
    <row r="188" spans="1:16" ht="18" customHeight="1">
      <c r="A188" s="85"/>
      <c r="B188" s="86"/>
      <c r="C188" s="87"/>
      <c r="D188" s="88">
        <v>738</v>
      </c>
      <c r="E188" s="88">
        <v>1310</v>
      </c>
      <c r="F188" s="89">
        <f t="shared" si="143"/>
        <v>72</v>
      </c>
      <c r="G188" s="90">
        <f t="shared" si="141"/>
        <v>758.18449171649843</v>
      </c>
      <c r="H188" s="90">
        <f t="shared" si="142"/>
        <v>589.82400000000007</v>
      </c>
      <c r="I188" s="91" t="str">
        <f t="shared" ref="I188:I192" si="145">I187</f>
        <v>2동5,6라인</v>
      </c>
      <c r="J188" s="92" t="s">
        <v>207</v>
      </c>
      <c r="L188" s="89">
        <v>4</v>
      </c>
      <c r="M188" s="78">
        <f t="shared" ref="M188:M191" si="146">M187</f>
        <v>18</v>
      </c>
      <c r="N188" s="78"/>
      <c r="O188" s="78">
        <f t="shared" si="144"/>
        <v>72</v>
      </c>
    </row>
    <row r="189" spans="1:16" ht="18" customHeight="1">
      <c r="A189" s="85"/>
      <c r="B189" s="86"/>
      <c r="C189" s="87"/>
      <c r="D189" s="88">
        <v>288</v>
      </c>
      <c r="E189" s="88">
        <v>910</v>
      </c>
      <c r="F189" s="89">
        <f t="shared" si="143"/>
        <v>36</v>
      </c>
      <c r="G189" s="90">
        <f t="shared" si="141"/>
        <v>102.76639545142633</v>
      </c>
      <c r="H189" s="90">
        <f t="shared" si="142"/>
        <v>172.512</v>
      </c>
      <c r="I189" s="91" t="str">
        <f t="shared" si="145"/>
        <v>2동5,6라인</v>
      </c>
      <c r="J189" s="92" t="s">
        <v>208</v>
      </c>
      <c r="L189" s="89">
        <v>2</v>
      </c>
      <c r="M189" s="78">
        <f t="shared" si="146"/>
        <v>18</v>
      </c>
      <c r="N189" s="78"/>
      <c r="O189" s="78">
        <f t="shared" si="144"/>
        <v>36</v>
      </c>
    </row>
    <row r="190" spans="1:16" ht="18" customHeight="1">
      <c r="A190" s="85"/>
      <c r="B190" s="86"/>
      <c r="C190" s="87"/>
      <c r="D190" s="88">
        <v>228</v>
      </c>
      <c r="E190" s="88">
        <v>910</v>
      </c>
      <c r="F190" s="89">
        <f t="shared" si="143"/>
        <v>36</v>
      </c>
      <c r="G190" s="90">
        <f t="shared" si="141"/>
        <v>81.356729732379179</v>
      </c>
      <c r="H190" s="90">
        <f t="shared" si="142"/>
        <v>163.87199999999999</v>
      </c>
      <c r="I190" s="91" t="str">
        <f t="shared" si="145"/>
        <v>2동5,6라인</v>
      </c>
      <c r="J190" s="92" t="s">
        <v>209</v>
      </c>
      <c r="L190" s="89">
        <v>2</v>
      </c>
      <c r="M190" s="78">
        <f t="shared" si="146"/>
        <v>18</v>
      </c>
      <c r="N190" s="78"/>
      <c r="O190" s="78">
        <f t="shared" si="144"/>
        <v>36</v>
      </c>
    </row>
    <row r="191" spans="1:16" ht="18" customHeight="1">
      <c r="A191" s="85"/>
      <c r="B191" s="86"/>
      <c r="C191" s="87"/>
      <c r="D191" s="88">
        <v>438</v>
      </c>
      <c r="E191" s="88">
        <v>270</v>
      </c>
      <c r="F191" s="89">
        <f t="shared" si="143"/>
        <v>36</v>
      </c>
      <c r="G191" s="90">
        <f t="shared" si="141"/>
        <v>46.371924321144988</v>
      </c>
      <c r="H191" s="90">
        <f t="shared" si="142"/>
        <v>101.952</v>
      </c>
      <c r="I191" s="91" t="str">
        <f t="shared" si="145"/>
        <v>2동5,6라인</v>
      </c>
      <c r="J191" s="92" t="s">
        <v>210</v>
      </c>
      <c r="L191" s="89">
        <v>2</v>
      </c>
      <c r="M191" s="78">
        <f t="shared" si="146"/>
        <v>18</v>
      </c>
      <c r="N191" s="78"/>
      <c r="O191" s="78">
        <f t="shared" si="144"/>
        <v>36</v>
      </c>
    </row>
    <row r="192" spans="1:16" ht="18" customHeight="1">
      <c r="A192" s="85"/>
      <c r="B192" s="86"/>
      <c r="C192" s="87"/>
      <c r="D192" s="88">
        <v>208</v>
      </c>
      <c r="E192" s="88">
        <v>910</v>
      </c>
      <c r="F192" s="89">
        <f t="shared" si="143"/>
        <v>36</v>
      </c>
      <c r="G192" s="90">
        <f t="shared" si="141"/>
        <v>74.220174492696799</v>
      </c>
      <c r="H192" s="90">
        <f t="shared" si="142"/>
        <v>160.99199999999999</v>
      </c>
      <c r="I192" s="91" t="str">
        <f t="shared" si="145"/>
        <v>2동5,6라인</v>
      </c>
      <c r="J192" s="92" t="s">
        <v>211</v>
      </c>
      <c r="L192" s="89">
        <v>2</v>
      </c>
      <c r="M192" s="78">
        <f>M191</f>
        <v>18</v>
      </c>
      <c r="N192" s="78"/>
      <c r="O192" s="78">
        <f t="shared" si="144"/>
        <v>36</v>
      </c>
    </row>
    <row r="193" spans="1:16" ht="18" customHeight="1">
      <c r="A193" s="85"/>
      <c r="B193" s="93"/>
      <c r="C193" s="87"/>
      <c r="D193" s="325" t="s">
        <v>0</v>
      </c>
      <c r="E193" s="325"/>
      <c r="F193" s="94">
        <f>SUM(F186:F192)</f>
        <v>270</v>
      </c>
      <c r="G193" s="95">
        <f>SUM(G186:G192)</f>
        <v>2202.0233310459762</v>
      </c>
      <c r="H193" s="96">
        <f>SUM(H186:H192)</f>
        <v>1811.232</v>
      </c>
      <c r="I193" s="97"/>
      <c r="J193" s="162"/>
    </row>
    <row r="194" spans="1:16" ht="18" customHeight="1">
      <c r="A194" s="85"/>
      <c r="B194" s="93"/>
      <c r="C194" s="87"/>
      <c r="D194" s="161"/>
      <c r="E194" s="161"/>
      <c r="F194" s="89"/>
      <c r="G194" s="100"/>
      <c r="H194" s="101"/>
      <c r="I194" s="102"/>
      <c r="J194" s="121"/>
      <c r="L194" s="78" t="s">
        <v>48</v>
      </c>
      <c r="M194" s="78" t="s">
        <v>54</v>
      </c>
      <c r="N194" s="78" t="s">
        <v>50</v>
      </c>
      <c r="O194" s="78" t="s">
        <v>55</v>
      </c>
    </row>
    <row r="195" spans="1:16" ht="18" customHeight="1">
      <c r="A195" s="85"/>
      <c r="B195" s="23" t="s">
        <v>197</v>
      </c>
      <c r="C195" s="24">
        <v>22</v>
      </c>
      <c r="D195" s="88">
        <v>761</v>
      </c>
      <c r="E195" s="88">
        <v>1810</v>
      </c>
      <c r="F195" s="89">
        <f t="shared" ref="F195:F201" si="147">O195</f>
        <v>36</v>
      </c>
      <c r="G195" s="90">
        <f t="shared" ref="G195:G201" si="148">D195*E195/91809*F195</f>
        <v>540.10783256543482</v>
      </c>
      <c r="H195" s="90">
        <f t="shared" ref="H195:H201" si="149">(D195/1000)*4*F195+(E195/1000)*4*F195</f>
        <v>370.22399999999999</v>
      </c>
      <c r="I195" s="91" t="str">
        <f t="shared" ref="I195:I201" si="150">I186</f>
        <v>2동5,6라인</v>
      </c>
      <c r="J195" s="92" t="s">
        <v>212</v>
      </c>
      <c r="L195" s="89">
        <v>2</v>
      </c>
      <c r="M195" s="78">
        <f>M186</f>
        <v>18</v>
      </c>
      <c r="N195" s="84"/>
      <c r="O195" s="78">
        <f>L195*M195-N195*L195</f>
        <v>36</v>
      </c>
    </row>
    <row r="196" spans="1:16" ht="18" customHeight="1">
      <c r="A196" s="85"/>
      <c r="B196" s="86"/>
      <c r="C196" s="87"/>
      <c r="D196" s="88">
        <v>1688</v>
      </c>
      <c r="E196" s="88">
        <v>1810</v>
      </c>
      <c r="F196" s="89">
        <f t="shared" si="147"/>
        <v>18</v>
      </c>
      <c r="G196" s="90">
        <f t="shared" si="148"/>
        <v>599.01578276639543</v>
      </c>
      <c r="H196" s="90">
        <f t="shared" si="149"/>
        <v>251.85599999999999</v>
      </c>
      <c r="I196" s="91" t="str">
        <f t="shared" si="150"/>
        <v>2동5,6라인</v>
      </c>
      <c r="J196" s="92" t="s">
        <v>213</v>
      </c>
      <c r="L196" s="89">
        <v>1</v>
      </c>
      <c r="M196" s="78">
        <f>M195</f>
        <v>18</v>
      </c>
      <c r="N196" s="84"/>
      <c r="O196" s="78">
        <f>L196*M196-N196*L196</f>
        <v>18</v>
      </c>
    </row>
    <row r="197" spans="1:16" ht="18" customHeight="1">
      <c r="A197" s="104"/>
      <c r="B197" s="93"/>
      <c r="C197" s="87"/>
      <c r="D197" s="88">
        <v>738</v>
      </c>
      <c r="E197" s="88">
        <v>1310</v>
      </c>
      <c r="F197" s="89">
        <f t="shared" si="147"/>
        <v>72</v>
      </c>
      <c r="G197" s="90">
        <f t="shared" si="148"/>
        <v>758.18449171649843</v>
      </c>
      <c r="H197" s="90">
        <f t="shared" si="149"/>
        <v>589.82400000000007</v>
      </c>
      <c r="I197" s="91" t="str">
        <f t="shared" si="150"/>
        <v>2동5,6라인</v>
      </c>
      <c r="J197" s="92" t="s">
        <v>214</v>
      </c>
      <c r="L197" s="89">
        <v>4</v>
      </c>
      <c r="M197" s="78">
        <f t="shared" ref="M197:M201" si="151">M196</f>
        <v>18</v>
      </c>
      <c r="N197" s="84"/>
      <c r="O197" s="78">
        <f t="shared" ref="O197:O201" si="152">L197*M197-N197*L197</f>
        <v>72</v>
      </c>
    </row>
    <row r="198" spans="1:16" ht="18" customHeight="1">
      <c r="A198" s="104"/>
      <c r="B198" s="93"/>
      <c r="C198" s="87"/>
      <c r="D198" s="88">
        <v>288</v>
      </c>
      <c r="E198" s="88">
        <v>910</v>
      </c>
      <c r="F198" s="89">
        <f t="shared" si="147"/>
        <v>36</v>
      </c>
      <c r="G198" s="90">
        <f t="shared" si="148"/>
        <v>102.76639545142633</v>
      </c>
      <c r="H198" s="90">
        <f t="shared" si="149"/>
        <v>172.512</v>
      </c>
      <c r="I198" s="91" t="str">
        <f t="shared" si="150"/>
        <v>2동5,6라인</v>
      </c>
      <c r="J198" s="92" t="s">
        <v>215</v>
      </c>
      <c r="L198" s="89">
        <v>2</v>
      </c>
      <c r="M198" s="78">
        <f t="shared" si="151"/>
        <v>18</v>
      </c>
      <c r="N198" s="78"/>
      <c r="O198" s="78">
        <f t="shared" si="152"/>
        <v>36</v>
      </c>
    </row>
    <row r="199" spans="1:16" ht="18" customHeight="1">
      <c r="A199" s="104"/>
      <c r="B199" s="93"/>
      <c r="C199" s="87"/>
      <c r="D199" s="88">
        <v>228</v>
      </c>
      <c r="E199" s="88">
        <v>910</v>
      </c>
      <c r="F199" s="89">
        <f t="shared" si="147"/>
        <v>36</v>
      </c>
      <c r="G199" s="90">
        <f t="shared" si="148"/>
        <v>81.356729732379179</v>
      </c>
      <c r="H199" s="90">
        <f t="shared" si="149"/>
        <v>163.87199999999999</v>
      </c>
      <c r="I199" s="91" t="str">
        <f t="shared" si="150"/>
        <v>2동5,6라인</v>
      </c>
      <c r="J199" s="92" t="s">
        <v>216</v>
      </c>
      <c r="L199" s="89">
        <v>2</v>
      </c>
      <c r="M199" s="78">
        <f t="shared" si="151"/>
        <v>18</v>
      </c>
      <c r="N199" s="78"/>
      <c r="O199" s="78">
        <f t="shared" si="152"/>
        <v>36</v>
      </c>
    </row>
    <row r="200" spans="1:16" ht="18" customHeight="1">
      <c r="A200" s="104"/>
      <c r="B200" s="93"/>
      <c r="C200" s="87"/>
      <c r="D200" s="88">
        <v>438</v>
      </c>
      <c r="E200" s="88">
        <v>270</v>
      </c>
      <c r="F200" s="89">
        <f t="shared" si="147"/>
        <v>36</v>
      </c>
      <c r="G200" s="90">
        <f t="shared" si="148"/>
        <v>46.371924321144988</v>
      </c>
      <c r="H200" s="90">
        <f t="shared" si="149"/>
        <v>101.952</v>
      </c>
      <c r="I200" s="91" t="str">
        <f t="shared" si="150"/>
        <v>2동5,6라인</v>
      </c>
      <c r="J200" s="92" t="s">
        <v>217</v>
      </c>
      <c r="L200" s="89">
        <v>2</v>
      </c>
      <c r="M200" s="78">
        <f t="shared" si="151"/>
        <v>18</v>
      </c>
      <c r="N200" s="78"/>
      <c r="O200" s="78">
        <f t="shared" si="152"/>
        <v>36</v>
      </c>
    </row>
    <row r="201" spans="1:16" ht="18" customHeight="1">
      <c r="A201" s="104"/>
      <c r="B201" s="93"/>
      <c r="C201" s="87"/>
      <c r="D201" s="88">
        <v>208</v>
      </c>
      <c r="E201" s="88">
        <v>910</v>
      </c>
      <c r="F201" s="89">
        <f t="shared" si="147"/>
        <v>36</v>
      </c>
      <c r="G201" s="90">
        <f t="shared" si="148"/>
        <v>74.220174492696799</v>
      </c>
      <c r="H201" s="90">
        <f t="shared" si="149"/>
        <v>160.99199999999999</v>
      </c>
      <c r="I201" s="91" t="str">
        <f t="shared" si="150"/>
        <v>2동5,6라인</v>
      </c>
      <c r="J201" s="92" t="s">
        <v>218</v>
      </c>
      <c r="L201" s="89">
        <v>2</v>
      </c>
      <c r="M201" s="78">
        <f t="shared" si="151"/>
        <v>18</v>
      </c>
      <c r="N201" s="78"/>
      <c r="O201" s="78">
        <f t="shared" si="152"/>
        <v>36</v>
      </c>
    </row>
    <row r="202" spans="1:16" ht="18" customHeight="1">
      <c r="A202" s="104"/>
      <c r="B202" s="87"/>
      <c r="C202" s="87"/>
      <c r="D202" s="325" t="s">
        <v>0</v>
      </c>
      <c r="E202" s="325"/>
      <c r="F202" s="171">
        <f>SUM(F195:F201)</f>
        <v>270</v>
      </c>
      <c r="G202" s="95">
        <f>SUM(G195:G201)</f>
        <v>2202.0233310459762</v>
      </c>
      <c r="H202" s="95">
        <f>SUM(H195:H201)</f>
        <v>1811.232</v>
      </c>
      <c r="I202" s="97"/>
      <c r="J202" s="98"/>
    </row>
    <row r="203" spans="1:16">
      <c r="A203" s="105"/>
      <c r="B203" s="9"/>
      <c r="C203" s="9"/>
      <c r="D203" s="51"/>
      <c r="E203" s="51"/>
      <c r="F203" s="51"/>
      <c r="G203" s="106"/>
      <c r="H203" s="106"/>
      <c r="I203" s="9"/>
      <c r="J203" s="107"/>
    </row>
    <row r="204" spans="1:16" ht="18" customHeight="1">
      <c r="A204" s="85"/>
      <c r="B204" s="163" t="s">
        <v>199</v>
      </c>
      <c r="C204" s="163">
        <v>22</v>
      </c>
      <c r="D204" s="88">
        <v>738</v>
      </c>
      <c r="E204" s="88">
        <v>1810</v>
      </c>
      <c r="F204" s="89">
        <f t="shared" ref="F204:F205" si="153">O204</f>
        <v>36</v>
      </c>
      <c r="G204" s="90">
        <f t="shared" ref="G204:G205" si="154">D204*E204/91809*F204</f>
        <v>523.78394275071071</v>
      </c>
      <c r="H204" s="90">
        <f t="shared" ref="H204:H205" si="155">(D204/1000)*4*F204+(E204/1000)*4*F204</f>
        <v>366.91199999999998</v>
      </c>
      <c r="I204" s="91" t="str">
        <f>I195</f>
        <v>2동5,6라인</v>
      </c>
      <c r="J204" s="92" t="s">
        <v>219</v>
      </c>
      <c r="L204" s="89">
        <v>2</v>
      </c>
      <c r="M204" s="78">
        <f>M186</f>
        <v>18</v>
      </c>
      <c r="N204" s="84"/>
      <c r="O204" s="78">
        <f>L204*M204-N204*L204</f>
        <v>36</v>
      </c>
      <c r="P204" s="64"/>
    </row>
    <row r="205" spans="1:16" ht="18" customHeight="1">
      <c r="A205" s="85"/>
      <c r="B205" s="86"/>
      <c r="C205" s="87"/>
      <c r="D205" s="88">
        <v>250</v>
      </c>
      <c r="E205" s="88">
        <v>930</v>
      </c>
      <c r="F205" s="89">
        <f t="shared" si="153"/>
        <v>36</v>
      </c>
      <c r="G205" s="90">
        <f t="shared" si="154"/>
        <v>91.167532594843635</v>
      </c>
      <c r="H205" s="90">
        <f t="shared" si="155"/>
        <v>169.92000000000002</v>
      </c>
      <c r="I205" s="91" t="str">
        <f>I204</f>
        <v>2동5,6라인</v>
      </c>
      <c r="J205" s="92" t="s">
        <v>220</v>
      </c>
      <c r="L205" s="89">
        <v>2</v>
      </c>
      <c r="M205" s="78">
        <f>M204</f>
        <v>18</v>
      </c>
      <c r="N205" s="84"/>
      <c r="O205" s="78">
        <f t="shared" ref="O205" si="156">L205*M205-N205*L205</f>
        <v>36</v>
      </c>
    </row>
    <row r="206" spans="1:16" ht="18" customHeight="1">
      <c r="A206" s="85"/>
      <c r="B206" s="93"/>
      <c r="C206" s="87"/>
      <c r="D206" s="325" t="s">
        <v>0</v>
      </c>
      <c r="E206" s="325"/>
      <c r="F206" s="94">
        <f>SUM(F204:F205)</f>
        <v>72</v>
      </c>
      <c r="G206" s="95">
        <f>SUM(G204:G205)</f>
        <v>614.9514753455544</v>
      </c>
      <c r="H206" s="95">
        <f>SUM(H204:H205)</f>
        <v>536.83199999999999</v>
      </c>
      <c r="I206" s="97"/>
      <c r="J206" s="98"/>
    </row>
    <row r="207" spans="1:16" ht="18" customHeight="1">
      <c r="A207" s="253"/>
      <c r="B207" s="254"/>
      <c r="C207" s="255"/>
      <c r="D207" s="361"/>
      <c r="E207" s="361"/>
      <c r="F207" s="256"/>
      <c r="G207" s="257"/>
      <c r="H207" s="258"/>
      <c r="I207" s="259"/>
      <c r="J207" s="260"/>
      <c r="L207" s="250"/>
      <c r="M207" s="250"/>
      <c r="N207" s="250"/>
      <c r="O207" s="250"/>
    </row>
    <row r="208" spans="1:16" ht="18" customHeight="1">
      <c r="A208" s="85">
        <v>74</v>
      </c>
      <c r="B208" s="23" t="s">
        <v>201</v>
      </c>
      <c r="C208" s="24">
        <v>22</v>
      </c>
      <c r="D208" s="88">
        <v>861</v>
      </c>
      <c r="E208" s="88">
        <v>1810</v>
      </c>
      <c r="F208" s="89">
        <f t="shared" ref="F208:F212" si="157">O208</f>
        <v>20</v>
      </c>
      <c r="G208" s="90">
        <f t="shared" ref="G208:G212" si="158">D208*E208/91809*F208</f>
        <v>339.48959252360879</v>
      </c>
      <c r="H208" s="90">
        <f t="shared" ref="H208:H212" si="159">(D208/1000)*4*F208+(E208/1000)*4*F208</f>
        <v>213.68</v>
      </c>
      <c r="I208" s="91" t="s">
        <v>251</v>
      </c>
      <c r="J208" s="92" t="s">
        <v>205</v>
      </c>
      <c r="L208" s="89">
        <v>1</v>
      </c>
      <c r="M208" s="78">
        <v>20</v>
      </c>
      <c r="N208" s="84"/>
      <c r="O208" s="78">
        <f>L208*M208-N208*L208</f>
        <v>20</v>
      </c>
      <c r="P208" s="64"/>
    </row>
    <row r="209" spans="1:15" ht="18" customHeight="1">
      <c r="A209" s="85"/>
      <c r="B209" s="86"/>
      <c r="C209" s="87"/>
      <c r="D209" s="88">
        <v>738</v>
      </c>
      <c r="E209" s="88">
        <v>1310</v>
      </c>
      <c r="F209" s="89">
        <f t="shared" si="157"/>
        <v>80</v>
      </c>
      <c r="G209" s="90">
        <f t="shared" si="158"/>
        <v>842.4272130183316</v>
      </c>
      <c r="H209" s="90">
        <f t="shared" si="159"/>
        <v>655.36</v>
      </c>
      <c r="I209" s="91" t="str">
        <f>I208</f>
        <v>3동1,2라인</v>
      </c>
      <c r="J209" s="92" t="s">
        <v>207</v>
      </c>
      <c r="L209" s="89">
        <v>4</v>
      </c>
      <c r="M209" s="78">
        <f>M208</f>
        <v>20</v>
      </c>
      <c r="N209" s="84"/>
      <c r="O209" s="78">
        <f t="shared" ref="O209:O212" si="160">L209*M209-N209*L209</f>
        <v>80</v>
      </c>
    </row>
    <row r="210" spans="1:15" ht="18" customHeight="1">
      <c r="A210" s="85"/>
      <c r="B210" s="86"/>
      <c r="C210" s="87"/>
      <c r="D210" s="88">
        <v>288</v>
      </c>
      <c r="E210" s="88">
        <v>910</v>
      </c>
      <c r="F210" s="89">
        <f t="shared" si="157"/>
        <v>40</v>
      </c>
      <c r="G210" s="90">
        <f t="shared" si="158"/>
        <v>114.18488383491814</v>
      </c>
      <c r="H210" s="90">
        <f t="shared" si="159"/>
        <v>191.68</v>
      </c>
      <c r="I210" s="91" t="str">
        <f t="shared" ref="I210:I211" si="161">I209</f>
        <v>3동1,2라인</v>
      </c>
      <c r="J210" s="92" t="s">
        <v>208</v>
      </c>
      <c r="L210" s="89">
        <v>2</v>
      </c>
      <c r="M210" s="78">
        <f t="shared" ref="M210" si="162">M209</f>
        <v>20</v>
      </c>
      <c r="N210" s="78"/>
      <c r="O210" s="78">
        <f t="shared" si="160"/>
        <v>40</v>
      </c>
    </row>
    <row r="211" spans="1:15" ht="18" customHeight="1">
      <c r="A211" s="85"/>
      <c r="B211" s="86"/>
      <c r="C211" s="87"/>
      <c r="D211" s="88">
        <v>228</v>
      </c>
      <c r="E211" s="88">
        <v>910</v>
      </c>
      <c r="F211" s="89">
        <f t="shared" si="157"/>
        <v>40</v>
      </c>
      <c r="G211" s="90">
        <f t="shared" si="158"/>
        <v>90.396366369310201</v>
      </c>
      <c r="H211" s="90">
        <f t="shared" si="159"/>
        <v>182.07999999999998</v>
      </c>
      <c r="I211" s="91" t="str">
        <f t="shared" si="161"/>
        <v>3동1,2라인</v>
      </c>
      <c r="J211" s="92" t="s">
        <v>209</v>
      </c>
      <c r="L211" s="89">
        <v>2</v>
      </c>
      <c r="M211" s="78">
        <f>M210</f>
        <v>20</v>
      </c>
      <c r="N211" s="78"/>
      <c r="O211" s="78">
        <f t="shared" si="160"/>
        <v>40</v>
      </c>
    </row>
    <row r="212" spans="1:15" ht="18" customHeight="1">
      <c r="A212" s="85"/>
      <c r="B212" s="86"/>
      <c r="C212" s="87"/>
      <c r="D212" s="88">
        <v>438</v>
      </c>
      <c r="E212" s="88">
        <v>270</v>
      </c>
      <c r="F212" s="89">
        <f t="shared" si="157"/>
        <v>40</v>
      </c>
      <c r="G212" s="90">
        <f t="shared" si="158"/>
        <v>51.524360356827763</v>
      </c>
      <c r="H212" s="90">
        <f t="shared" si="159"/>
        <v>113.28</v>
      </c>
      <c r="I212" s="91" t="str">
        <f>I210</f>
        <v>3동1,2라인</v>
      </c>
      <c r="J212" s="92" t="s">
        <v>210</v>
      </c>
      <c r="L212" s="89">
        <v>2</v>
      </c>
      <c r="M212" s="78">
        <f>M210</f>
        <v>20</v>
      </c>
      <c r="N212" s="78"/>
      <c r="O212" s="78">
        <f t="shared" si="160"/>
        <v>40</v>
      </c>
    </row>
    <row r="213" spans="1:15" ht="18" customHeight="1">
      <c r="A213" s="85"/>
      <c r="B213" s="93"/>
      <c r="C213" s="87"/>
      <c r="D213" s="325" t="s">
        <v>0</v>
      </c>
      <c r="E213" s="325"/>
      <c r="F213" s="94">
        <f>SUM(F208:F212)</f>
        <v>220</v>
      </c>
      <c r="G213" s="95">
        <f>SUM(G208:G212)</f>
        <v>1438.0224161029967</v>
      </c>
      <c r="H213" s="96">
        <f>SUM(H208:H212)</f>
        <v>1356.08</v>
      </c>
      <c r="I213" s="97"/>
      <c r="J213" s="162"/>
    </row>
    <row r="214" spans="1:15" ht="18" customHeight="1">
      <c r="A214" s="85"/>
      <c r="B214" s="93"/>
      <c r="C214" s="87"/>
      <c r="D214" s="161"/>
      <c r="E214" s="161"/>
      <c r="F214" s="89"/>
      <c r="G214" s="100"/>
      <c r="H214" s="101"/>
      <c r="I214" s="102"/>
      <c r="J214" s="121"/>
      <c r="L214" s="252"/>
      <c r="M214" s="252"/>
      <c r="N214" s="252"/>
      <c r="O214" s="252"/>
    </row>
    <row r="215" spans="1:15" ht="18" customHeight="1">
      <c r="A215" s="85"/>
      <c r="B215" s="23" t="s">
        <v>198</v>
      </c>
      <c r="C215" s="24">
        <v>22</v>
      </c>
      <c r="D215" s="88">
        <v>861</v>
      </c>
      <c r="E215" s="88">
        <v>1810</v>
      </c>
      <c r="F215" s="89">
        <f t="shared" ref="F215:F220" si="163">O215</f>
        <v>20</v>
      </c>
      <c r="G215" s="90">
        <f t="shared" ref="G215:G220" si="164">D215*E215/91809*F215</f>
        <v>339.48959252360879</v>
      </c>
      <c r="H215" s="90">
        <f t="shared" ref="H215:H220" si="165">(D215/1000)*4*F215+(E215/1000)*4*F215</f>
        <v>213.68</v>
      </c>
      <c r="I215" s="91" t="str">
        <f>I208</f>
        <v>3동1,2라인</v>
      </c>
      <c r="J215" s="92" t="s">
        <v>212</v>
      </c>
      <c r="L215" s="89">
        <v>1</v>
      </c>
      <c r="M215" s="78">
        <f>M208</f>
        <v>20</v>
      </c>
      <c r="N215" s="84"/>
      <c r="O215" s="78">
        <f>L215*M215-N215*L215</f>
        <v>20</v>
      </c>
    </row>
    <row r="216" spans="1:15" ht="18" customHeight="1">
      <c r="A216" s="85"/>
      <c r="B216" s="86"/>
      <c r="C216" s="87"/>
      <c r="D216" s="88">
        <v>2114</v>
      </c>
      <c r="E216" s="88">
        <v>1810</v>
      </c>
      <c r="F216" s="89">
        <f t="shared" si="163"/>
        <v>20</v>
      </c>
      <c r="G216" s="90">
        <f t="shared" si="164"/>
        <v>833.54355237503955</v>
      </c>
      <c r="H216" s="90">
        <f t="shared" si="165"/>
        <v>313.92</v>
      </c>
      <c r="I216" s="91" t="str">
        <f>I208</f>
        <v>3동1,2라인</v>
      </c>
      <c r="J216" s="92" t="s">
        <v>213</v>
      </c>
      <c r="L216" s="89">
        <v>1</v>
      </c>
      <c r="M216" s="78">
        <f>M215</f>
        <v>20</v>
      </c>
      <c r="N216" s="84"/>
      <c r="O216" s="78">
        <f>L216*M216-N216*L216</f>
        <v>20</v>
      </c>
    </row>
    <row r="217" spans="1:15" ht="18" customHeight="1">
      <c r="A217" s="104"/>
      <c r="B217" s="93"/>
      <c r="C217" s="87"/>
      <c r="D217" s="88">
        <v>738</v>
      </c>
      <c r="E217" s="88">
        <v>1310</v>
      </c>
      <c r="F217" s="89">
        <f t="shared" si="163"/>
        <v>80</v>
      </c>
      <c r="G217" s="90">
        <f t="shared" si="164"/>
        <v>842.4272130183316</v>
      </c>
      <c r="H217" s="90">
        <f t="shared" si="165"/>
        <v>655.36</v>
      </c>
      <c r="I217" s="91" t="str">
        <f>I216</f>
        <v>3동1,2라인</v>
      </c>
      <c r="J217" s="92" t="s">
        <v>214</v>
      </c>
      <c r="L217" s="89">
        <v>4</v>
      </c>
      <c r="M217" s="78">
        <f t="shared" ref="M217:M220" si="166">M216</f>
        <v>20</v>
      </c>
      <c r="N217" s="84"/>
      <c r="O217" s="78">
        <f t="shared" ref="O217:O220" si="167">L217*M217-N217*L217</f>
        <v>80</v>
      </c>
    </row>
    <row r="218" spans="1:15" ht="18" customHeight="1">
      <c r="A218" s="104"/>
      <c r="B218" s="93"/>
      <c r="C218" s="87"/>
      <c r="D218" s="88">
        <v>288</v>
      </c>
      <c r="E218" s="88">
        <v>910</v>
      </c>
      <c r="F218" s="89">
        <f t="shared" si="163"/>
        <v>40</v>
      </c>
      <c r="G218" s="90">
        <f t="shared" si="164"/>
        <v>114.18488383491814</v>
      </c>
      <c r="H218" s="90">
        <f t="shared" si="165"/>
        <v>191.68</v>
      </c>
      <c r="I218" s="91" t="str">
        <f>I217</f>
        <v>3동1,2라인</v>
      </c>
      <c r="J218" s="92" t="s">
        <v>215</v>
      </c>
      <c r="L218" s="89">
        <v>2</v>
      </c>
      <c r="M218" s="78">
        <f>M217</f>
        <v>20</v>
      </c>
      <c r="N218" s="84"/>
      <c r="O218" s="78">
        <f t="shared" si="167"/>
        <v>40</v>
      </c>
    </row>
    <row r="219" spans="1:15" ht="18" customHeight="1">
      <c r="A219" s="104"/>
      <c r="B219" s="93"/>
      <c r="C219" s="87"/>
      <c r="D219" s="88">
        <v>228</v>
      </c>
      <c r="E219" s="88">
        <v>910</v>
      </c>
      <c r="F219" s="89">
        <f t="shared" si="163"/>
        <v>40</v>
      </c>
      <c r="G219" s="90">
        <f t="shared" si="164"/>
        <v>90.396366369310201</v>
      </c>
      <c r="H219" s="90">
        <f t="shared" si="165"/>
        <v>182.07999999999998</v>
      </c>
      <c r="I219" s="91" t="str">
        <f>I217</f>
        <v>3동1,2라인</v>
      </c>
      <c r="J219" s="92" t="s">
        <v>216</v>
      </c>
      <c r="L219" s="89">
        <v>2</v>
      </c>
      <c r="M219" s="78">
        <f>M217</f>
        <v>20</v>
      </c>
      <c r="N219" s="78"/>
      <c r="O219" s="78">
        <f t="shared" si="167"/>
        <v>40</v>
      </c>
    </row>
    <row r="220" spans="1:15" ht="18" customHeight="1">
      <c r="A220" s="104"/>
      <c r="B220" s="93"/>
      <c r="C220" s="87"/>
      <c r="D220" s="88">
        <v>438</v>
      </c>
      <c r="E220" s="88">
        <v>270</v>
      </c>
      <c r="F220" s="89">
        <f t="shared" si="163"/>
        <v>40</v>
      </c>
      <c r="G220" s="90">
        <f t="shared" si="164"/>
        <v>51.524360356827763</v>
      </c>
      <c r="H220" s="90">
        <f t="shared" si="165"/>
        <v>113.28</v>
      </c>
      <c r="I220" s="91" t="str">
        <f t="shared" ref="I220" si="168">I219</f>
        <v>3동1,2라인</v>
      </c>
      <c r="J220" s="92" t="s">
        <v>217</v>
      </c>
      <c r="L220" s="89">
        <v>2</v>
      </c>
      <c r="M220" s="78">
        <f t="shared" si="166"/>
        <v>20</v>
      </c>
      <c r="N220" s="78"/>
      <c r="O220" s="78">
        <f t="shared" si="167"/>
        <v>40</v>
      </c>
    </row>
    <row r="221" spans="1:15" ht="18" customHeight="1">
      <c r="A221" s="104"/>
      <c r="B221" s="87"/>
      <c r="C221" s="87"/>
      <c r="D221" s="325" t="s">
        <v>0</v>
      </c>
      <c r="E221" s="325"/>
      <c r="F221" s="171">
        <f>SUM(F215:F220)</f>
        <v>240</v>
      </c>
      <c r="G221" s="95">
        <f>SUM(G215:G220)</f>
        <v>2271.5659684780362</v>
      </c>
      <c r="H221" s="95">
        <f>SUM(H215:H220)</f>
        <v>1670</v>
      </c>
      <c r="I221" s="97"/>
      <c r="J221" s="98"/>
    </row>
    <row r="222" spans="1:15">
      <c r="A222" s="105"/>
      <c r="B222" s="9"/>
      <c r="C222" s="9"/>
      <c r="D222" s="51"/>
      <c r="E222" s="51"/>
      <c r="F222" s="51"/>
      <c r="G222" s="106"/>
      <c r="H222" s="106"/>
      <c r="I222" s="9"/>
      <c r="J222" s="107"/>
    </row>
    <row r="223" spans="1:15" ht="18" customHeight="1">
      <c r="A223" s="85"/>
      <c r="B223" s="23" t="s">
        <v>237</v>
      </c>
      <c r="C223" s="24">
        <v>22</v>
      </c>
      <c r="D223" s="88">
        <v>2114</v>
      </c>
      <c r="E223" s="88">
        <v>1810</v>
      </c>
      <c r="F223" s="89">
        <f t="shared" ref="F223" si="169">O223</f>
        <v>20</v>
      </c>
      <c r="G223" s="90">
        <f t="shared" ref="G223" si="170">D223*E223/91809*F223</f>
        <v>833.54355237503955</v>
      </c>
      <c r="H223" s="90">
        <f t="shared" ref="H223" si="171">(D223/1000)*4*F223+(E223/1000)*4*F223</f>
        <v>313.92</v>
      </c>
      <c r="I223" s="91" t="str">
        <f>I215</f>
        <v>3동1,2라인</v>
      </c>
      <c r="J223" s="92" t="s">
        <v>206</v>
      </c>
      <c r="L223" s="89">
        <v>1</v>
      </c>
      <c r="M223" s="78">
        <f>M208</f>
        <v>20</v>
      </c>
      <c r="N223" s="84"/>
      <c r="O223" s="78">
        <f>L223*M223-N223*L223</f>
        <v>20</v>
      </c>
    </row>
    <row r="224" spans="1:15" ht="18" customHeight="1">
      <c r="A224" s="85"/>
      <c r="B224" s="93"/>
      <c r="C224" s="87"/>
      <c r="D224" s="325" t="s">
        <v>0</v>
      </c>
      <c r="E224" s="325"/>
      <c r="F224" s="94">
        <f>SUM(F223:F223)</f>
        <v>20</v>
      </c>
      <c r="G224" s="95">
        <f>SUM(G223:G223)</f>
        <v>833.54355237503955</v>
      </c>
      <c r="H224" s="95">
        <f>SUM(H223:H223)</f>
        <v>313.92</v>
      </c>
      <c r="I224" s="97"/>
      <c r="J224" s="98"/>
    </row>
    <row r="225" spans="1:16" ht="18" customHeight="1">
      <c r="A225" s="218"/>
      <c r="B225" s="219"/>
      <c r="C225" s="220"/>
      <c r="D225" s="161"/>
      <c r="E225" s="161"/>
      <c r="F225" s="89"/>
      <c r="G225" s="100"/>
      <c r="H225" s="100"/>
      <c r="I225" s="102"/>
      <c r="J225" s="221"/>
    </row>
    <row r="226" spans="1:16" ht="18" customHeight="1">
      <c r="A226" s="85"/>
      <c r="B226" s="23" t="s">
        <v>203</v>
      </c>
      <c r="C226" s="24">
        <v>22</v>
      </c>
      <c r="D226" s="88">
        <v>638</v>
      </c>
      <c r="E226" s="88">
        <v>1810</v>
      </c>
      <c r="F226" s="89">
        <f t="shared" ref="F226:F227" si="172">O226</f>
        <v>20</v>
      </c>
      <c r="G226" s="90">
        <f t="shared" ref="G226:G227" si="173">D226*E226/91809*F226</f>
        <v>251.56139376313871</v>
      </c>
      <c r="H226" s="90">
        <f t="shared" ref="H226:H227" si="174">(D226/1000)*4*F226+(E226/1000)*4*F226</f>
        <v>195.84</v>
      </c>
      <c r="I226" s="91" t="str">
        <f>I223</f>
        <v>3동1,2라인</v>
      </c>
      <c r="J226" s="92" t="s">
        <v>219</v>
      </c>
      <c r="L226" s="89">
        <v>2</v>
      </c>
      <c r="M226" s="78">
        <f>M223</f>
        <v>20</v>
      </c>
      <c r="N226" s="84">
        <v>10</v>
      </c>
      <c r="O226" s="78">
        <f>L226*M226-N226*L226</f>
        <v>20</v>
      </c>
      <c r="P226" s="64" t="s">
        <v>247</v>
      </c>
    </row>
    <row r="227" spans="1:16" ht="18" customHeight="1">
      <c r="A227" s="85"/>
      <c r="B227" s="86"/>
      <c r="C227" s="87"/>
      <c r="D227" s="88">
        <v>250</v>
      </c>
      <c r="E227" s="88">
        <v>930</v>
      </c>
      <c r="F227" s="89">
        <f t="shared" si="172"/>
        <v>40</v>
      </c>
      <c r="G227" s="90">
        <f t="shared" si="173"/>
        <v>101.29725843871515</v>
      </c>
      <c r="H227" s="90">
        <f t="shared" si="174"/>
        <v>188.8</v>
      </c>
      <c r="I227" s="91" t="str">
        <f>I226</f>
        <v>3동1,2라인</v>
      </c>
      <c r="J227" s="92" t="s">
        <v>220</v>
      </c>
      <c r="L227" s="89">
        <v>2</v>
      </c>
      <c r="M227" s="78">
        <f>M226</f>
        <v>20</v>
      </c>
      <c r="N227" s="84"/>
      <c r="O227" s="78">
        <f t="shared" ref="O227" si="175">L227*M227-N227*L227</f>
        <v>40</v>
      </c>
    </row>
    <row r="228" spans="1:16" ht="18" customHeight="1">
      <c r="A228" s="85"/>
      <c r="B228" s="93"/>
      <c r="C228" s="87"/>
      <c r="D228" s="325" t="s">
        <v>0</v>
      </c>
      <c r="E228" s="325"/>
      <c r="F228" s="94">
        <f>SUM(F226:F227)</f>
        <v>60</v>
      </c>
      <c r="G228" s="95">
        <f>SUM(G226:G227)</f>
        <v>352.85865220185383</v>
      </c>
      <c r="H228" s="96">
        <f>SUM(H226:H227)</f>
        <v>384.64</v>
      </c>
      <c r="I228" s="97"/>
      <c r="J228" s="162"/>
    </row>
    <row r="229" spans="1:16">
      <c r="A229" s="16"/>
      <c r="B229" s="16"/>
      <c r="C229" s="16"/>
      <c r="D229" s="261"/>
      <c r="E229" s="261"/>
      <c r="F229" s="261"/>
      <c r="G229" s="19"/>
      <c r="H229" s="19"/>
      <c r="I229" s="16"/>
      <c r="J229" s="16"/>
    </row>
    <row r="230" spans="1:16" ht="18" customHeight="1">
      <c r="A230" s="85" t="s">
        <v>235</v>
      </c>
      <c r="B230" s="23" t="s">
        <v>201</v>
      </c>
      <c r="C230" s="24">
        <v>22</v>
      </c>
      <c r="D230" s="88">
        <v>861</v>
      </c>
      <c r="E230" s="88">
        <v>1810</v>
      </c>
      <c r="F230" s="89">
        <f t="shared" ref="F230:F233" si="176">O230</f>
        <v>10</v>
      </c>
      <c r="G230" s="90">
        <f t="shared" ref="G230:G233" si="177">D230*E230/91809*F230</f>
        <v>169.7447962618044</v>
      </c>
      <c r="H230" s="90">
        <f t="shared" ref="H230:H233" si="178">(D230/1000)*4*F230+(E230/1000)*4*F230</f>
        <v>106.84</v>
      </c>
      <c r="I230" s="91" t="s">
        <v>252</v>
      </c>
      <c r="J230" s="92" t="s">
        <v>205</v>
      </c>
      <c r="L230" s="89">
        <v>1</v>
      </c>
      <c r="M230" s="78">
        <v>10</v>
      </c>
      <c r="N230" s="84"/>
      <c r="O230" s="78">
        <f>L230*M230-N230*L230</f>
        <v>10</v>
      </c>
      <c r="P230" s="64"/>
    </row>
    <row r="231" spans="1:16" ht="18" customHeight="1">
      <c r="A231" s="85"/>
      <c r="B231" s="86"/>
      <c r="C231" s="87"/>
      <c r="D231" s="88">
        <v>738</v>
      </c>
      <c r="E231" s="88">
        <v>1310</v>
      </c>
      <c r="F231" s="89">
        <f t="shared" si="176"/>
        <v>40</v>
      </c>
      <c r="G231" s="90">
        <f t="shared" si="177"/>
        <v>421.2136065091658</v>
      </c>
      <c r="H231" s="90">
        <f t="shared" si="178"/>
        <v>327.68</v>
      </c>
      <c r="I231" s="91" t="str">
        <f>I230</f>
        <v>3동3라인</v>
      </c>
      <c r="J231" s="92" t="s">
        <v>207</v>
      </c>
      <c r="L231" s="89">
        <v>4</v>
      </c>
      <c r="M231" s="78">
        <f>M230</f>
        <v>10</v>
      </c>
      <c r="N231" s="84"/>
      <c r="O231" s="78">
        <f t="shared" ref="O231:O233" si="179">L231*M231-N231*L231</f>
        <v>40</v>
      </c>
    </row>
    <row r="232" spans="1:16" ht="18" customHeight="1">
      <c r="A232" s="85"/>
      <c r="B232" s="86"/>
      <c r="C232" s="87"/>
      <c r="D232" s="88">
        <v>228</v>
      </c>
      <c r="E232" s="88">
        <v>910</v>
      </c>
      <c r="F232" s="89">
        <f t="shared" si="176"/>
        <v>20</v>
      </c>
      <c r="G232" s="90">
        <f t="shared" si="177"/>
        <v>45.1981831846551</v>
      </c>
      <c r="H232" s="90">
        <f t="shared" si="178"/>
        <v>91.039999999999992</v>
      </c>
      <c r="I232" s="91" t="str">
        <f t="shared" ref="I232:I233" si="180">I231</f>
        <v>3동3라인</v>
      </c>
      <c r="J232" s="92" t="s">
        <v>209</v>
      </c>
      <c r="L232" s="89">
        <v>2</v>
      </c>
      <c r="M232" s="78">
        <f t="shared" ref="M232:M233" si="181">M231</f>
        <v>10</v>
      </c>
      <c r="N232" s="78"/>
      <c r="O232" s="78">
        <f t="shared" si="179"/>
        <v>20</v>
      </c>
    </row>
    <row r="233" spans="1:16" ht="18" customHeight="1">
      <c r="A233" s="85"/>
      <c r="B233" s="86"/>
      <c r="C233" s="87"/>
      <c r="D233" s="88">
        <v>438</v>
      </c>
      <c r="E233" s="88">
        <v>270</v>
      </c>
      <c r="F233" s="89">
        <f t="shared" si="176"/>
        <v>20</v>
      </c>
      <c r="G233" s="90">
        <f t="shared" si="177"/>
        <v>25.762180178413882</v>
      </c>
      <c r="H233" s="90">
        <f t="shared" si="178"/>
        <v>56.64</v>
      </c>
      <c r="I233" s="91" t="str">
        <f t="shared" si="180"/>
        <v>3동3라인</v>
      </c>
      <c r="J233" s="92" t="s">
        <v>210</v>
      </c>
      <c r="L233" s="89">
        <v>2</v>
      </c>
      <c r="M233" s="78">
        <f t="shared" si="181"/>
        <v>10</v>
      </c>
      <c r="N233" s="78"/>
      <c r="O233" s="78">
        <f t="shared" si="179"/>
        <v>20</v>
      </c>
    </row>
    <row r="234" spans="1:16" ht="18" customHeight="1">
      <c r="A234" s="85"/>
      <c r="B234" s="93"/>
      <c r="C234" s="87"/>
      <c r="D234" s="325" t="s">
        <v>0</v>
      </c>
      <c r="E234" s="325"/>
      <c r="F234" s="94">
        <f>SUM(F230:F233)</f>
        <v>90</v>
      </c>
      <c r="G234" s="95">
        <f>SUM(G230:G233)</f>
        <v>661.91876613403929</v>
      </c>
      <c r="H234" s="96">
        <f>SUM(H230:H233)</f>
        <v>582.19999999999993</v>
      </c>
      <c r="I234" s="97"/>
      <c r="J234" s="162"/>
    </row>
    <row r="235" spans="1:16" ht="18" customHeight="1">
      <c r="A235" s="85"/>
      <c r="B235" s="93"/>
      <c r="C235" s="87"/>
      <c r="D235" s="161"/>
      <c r="E235" s="161"/>
      <c r="F235" s="89"/>
      <c r="G235" s="100"/>
      <c r="H235" s="101"/>
      <c r="I235" s="102"/>
      <c r="J235" s="121"/>
      <c r="L235" s="252"/>
      <c r="M235" s="252"/>
      <c r="N235" s="252"/>
      <c r="O235" s="252"/>
    </row>
    <row r="236" spans="1:16" ht="18" customHeight="1">
      <c r="A236" s="85"/>
      <c r="B236" s="23" t="s">
        <v>198</v>
      </c>
      <c r="C236" s="24">
        <v>22</v>
      </c>
      <c r="D236" s="88">
        <v>861</v>
      </c>
      <c r="E236" s="88">
        <v>1810</v>
      </c>
      <c r="F236" s="89">
        <f t="shared" ref="F236:F240" si="182">O236</f>
        <v>10</v>
      </c>
      <c r="G236" s="90">
        <f t="shared" ref="G236:G240" si="183">D236*E236/91809*F236</f>
        <v>169.7447962618044</v>
      </c>
      <c r="H236" s="90">
        <f t="shared" ref="H236:H240" si="184">(D236/1000)*4*F236+(E236/1000)*4*F236</f>
        <v>106.84</v>
      </c>
      <c r="I236" s="91" t="str">
        <f>I230</f>
        <v>3동3라인</v>
      </c>
      <c r="J236" s="92" t="s">
        <v>212</v>
      </c>
      <c r="L236" s="89">
        <v>1</v>
      </c>
      <c r="M236" s="78">
        <f>M230</f>
        <v>10</v>
      </c>
      <c r="N236" s="84"/>
      <c r="O236" s="78">
        <f>L236*M236-N236*L236</f>
        <v>10</v>
      </c>
    </row>
    <row r="237" spans="1:16" ht="18" customHeight="1">
      <c r="A237" s="85"/>
      <c r="B237" s="86"/>
      <c r="C237" s="87"/>
      <c r="D237" s="88">
        <v>2114</v>
      </c>
      <c r="E237" s="88">
        <v>1810</v>
      </c>
      <c r="F237" s="89">
        <f t="shared" si="182"/>
        <v>10</v>
      </c>
      <c r="G237" s="90">
        <f t="shared" si="183"/>
        <v>416.77177618751978</v>
      </c>
      <c r="H237" s="90">
        <f t="shared" si="184"/>
        <v>156.96</v>
      </c>
      <c r="I237" s="91" t="str">
        <f>I230</f>
        <v>3동3라인</v>
      </c>
      <c r="J237" s="92" t="s">
        <v>213</v>
      </c>
      <c r="L237" s="89">
        <v>1</v>
      </c>
      <c r="M237" s="78">
        <f>M236</f>
        <v>10</v>
      </c>
      <c r="N237" s="84"/>
      <c r="O237" s="78">
        <f>L237*M237-N237*L237</f>
        <v>10</v>
      </c>
    </row>
    <row r="238" spans="1:16" ht="18" customHeight="1">
      <c r="A238" s="104"/>
      <c r="B238" s="93"/>
      <c r="C238" s="87"/>
      <c r="D238" s="88">
        <v>738</v>
      </c>
      <c r="E238" s="88">
        <v>1310</v>
      </c>
      <c r="F238" s="89">
        <f t="shared" si="182"/>
        <v>40</v>
      </c>
      <c r="G238" s="90">
        <f t="shared" si="183"/>
        <v>421.2136065091658</v>
      </c>
      <c r="H238" s="90">
        <f t="shared" si="184"/>
        <v>327.68</v>
      </c>
      <c r="I238" s="91" t="str">
        <f>I237</f>
        <v>3동3라인</v>
      </c>
      <c r="J238" s="92" t="s">
        <v>214</v>
      </c>
      <c r="L238" s="89">
        <v>4</v>
      </c>
      <c r="M238" s="78">
        <f t="shared" ref="M238:M240" si="185">M237</f>
        <v>10</v>
      </c>
      <c r="N238" s="84"/>
      <c r="O238" s="78">
        <f t="shared" ref="O238:O240" si="186">L238*M238-N238*L238</f>
        <v>40</v>
      </c>
    </row>
    <row r="239" spans="1:16" ht="18" customHeight="1">
      <c r="A239" s="104"/>
      <c r="B239" s="93"/>
      <c r="C239" s="87"/>
      <c r="D239" s="88">
        <v>228</v>
      </c>
      <c r="E239" s="88">
        <v>910</v>
      </c>
      <c r="F239" s="89">
        <f t="shared" si="182"/>
        <v>20</v>
      </c>
      <c r="G239" s="90">
        <f t="shared" si="183"/>
        <v>45.1981831846551</v>
      </c>
      <c r="H239" s="90">
        <f t="shared" si="184"/>
        <v>91.039999999999992</v>
      </c>
      <c r="I239" s="91" t="str">
        <f t="shared" ref="I239:I240" si="187">I238</f>
        <v>3동3라인</v>
      </c>
      <c r="J239" s="92" t="s">
        <v>216</v>
      </c>
      <c r="L239" s="89">
        <v>2</v>
      </c>
      <c r="M239" s="78">
        <f t="shared" si="185"/>
        <v>10</v>
      </c>
      <c r="N239" s="78"/>
      <c r="O239" s="78">
        <f t="shared" si="186"/>
        <v>20</v>
      </c>
    </row>
    <row r="240" spans="1:16" ht="18" customHeight="1">
      <c r="A240" s="104"/>
      <c r="B240" s="93"/>
      <c r="C240" s="87"/>
      <c r="D240" s="88">
        <v>438</v>
      </c>
      <c r="E240" s="88">
        <v>270</v>
      </c>
      <c r="F240" s="89">
        <f t="shared" si="182"/>
        <v>20</v>
      </c>
      <c r="G240" s="90">
        <f t="shared" si="183"/>
        <v>25.762180178413882</v>
      </c>
      <c r="H240" s="90">
        <f t="shared" si="184"/>
        <v>56.64</v>
      </c>
      <c r="I240" s="91" t="str">
        <f t="shared" si="187"/>
        <v>3동3라인</v>
      </c>
      <c r="J240" s="92" t="s">
        <v>217</v>
      </c>
      <c r="L240" s="89">
        <v>2</v>
      </c>
      <c r="M240" s="78">
        <f t="shared" si="185"/>
        <v>10</v>
      </c>
      <c r="N240" s="78"/>
      <c r="O240" s="78">
        <f t="shared" si="186"/>
        <v>20</v>
      </c>
    </row>
    <row r="241" spans="1:16" ht="18" customHeight="1">
      <c r="A241" s="104"/>
      <c r="B241" s="87"/>
      <c r="C241" s="87"/>
      <c r="D241" s="325" t="s">
        <v>0</v>
      </c>
      <c r="E241" s="325"/>
      <c r="F241" s="171">
        <f>SUM(F236:F240)</f>
        <v>100</v>
      </c>
      <c r="G241" s="95">
        <f>SUM(G236:G240)</f>
        <v>1078.690542321559</v>
      </c>
      <c r="H241" s="95">
        <f>SUM(H236:H240)</f>
        <v>739.16</v>
      </c>
      <c r="I241" s="97"/>
      <c r="J241" s="98"/>
    </row>
    <row r="242" spans="1:16">
      <c r="A242" s="105"/>
      <c r="B242" s="9"/>
      <c r="C242" s="9"/>
      <c r="D242" s="51"/>
      <c r="E242" s="51"/>
      <c r="F242" s="51"/>
      <c r="G242" s="106"/>
      <c r="H242" s="106"/>
      <c r="I242" s="9"/>
      <c r="J242" s="107"/>
    </row>
    <row r="243" spans="1:16" ht="18" customHeight="1">
      <c r="A243" s="85"/>
      <c r="B243" s="23" t="s">
        <v>237</v>
      </c>
      <c r="C243" s="24">
        <v>22</v>
      </c>
      <c r="D243" s="88">
        <v>2114</v>
      </c>
      <c r="E243" s="88">
        <v>1810</v>
      </c>
      <c r="F243" s="89">
        <f t="shared" ref="F243" si="188">O243</f>
        <v>10</v>
      </c>
      <c r="G243" s="90">
        <f t="shared" ref="G243" si="189">D243*E243/91809*F243</f>
        <v>416.77177618751978</v>
      </c>
      <c r="H243" s="90">
        <f t="shared" ref="H243" si="190">(D243/1000)*4*F243+(E243/1000)*4*F243</f>
        <v>156.96</v>
      </c>
      <c r="I243" s="91" t="str">
        <f>I236</f>
        <v>3동3라인</v>
      </c>
      <c r="J243" s="92" t="s">
        <v>206</v>
      </c>
      <c r="L243" s="89">
        <v>1</v>
      </c>
      <c r="M243" s="78">
        <f>M230</f>
        <v>10</v>
      </c>
      <c r="N243" s="84"/>
      <c r="O243" s="78">
        <f>L243*M243-N243*L243</f>
        <v>10</v>
      </c>
    </row>
    <row r="244" spans="1:16" ht="18" customHeight="1">
      <c r="A244" s="85"/>
      <c r="B244" s="93"/>
      <c r="C244" s="87"/>
      <c r="D244" s="325" t="s">
        <v>0</v>
      </c>
      <c r="E244" s="325"/>
      <c r="F244" s="94">
        <f>SUM(F243:F243)</f>
        <v>10</v>
      </c>
      <c r="G244" s="95">
        <f>SUM(G243:G243)</f>
        <v>416.77177618751978</v>
      </c>
      <c r="H244" s="95">
        <f>SUM(H243:H243)</f>
        <v>156.96</v>
      </c>
      <c r="I244" s="97"/>
      <c r="J244" s="98"/>
    </row>
    <row r="245" spans="1:16" ht="18" customHeight="1">
      <c r="A245" s="218"/>
      <c r="B245" s="219"/>
      <c r="C245" s="220"/>
      <c r="D245" s="161"/>
      <c r="E245" s="161"/>
      <c r="F245" s="89"/>
      <c r="G245" s="100"/>
      <c r="H245" s="100"/>
      <c r="I245" s="102"/>
      <c r="J245" s="221"/>
    </row>
    <row r="246" spans="1:16" ht="18" customHeight="1">
      <c r="A246" s="85"/>
      <c r="B246" s="23" t="s">
        <v>203</v>
      </c>
      <c r="C246" s="24">
        <v>22</v>
      </c>
      <c r="D246" s="88">
        <v>738</v>
      </c>
      <c r="E246" s="88">
        <v>1810</v>
      </c>
      <c r="F246" s="89">
        <f t="shared" ref="F246:F247" si="191">O246</f>
        <v>20</v>
      </c>
      <c r="G246" s="90">
        <f t="shared" ref="G246:G247" si="192">D246*E246/91809*F246</f>
        <v>290.99107930595039</v>
      </c>
      <c r="H246" s="90">
        <f t="shared" ref="H246:H247" si="193">(D246/1000)*4*F246+(E246/1000)*4*F246</f>
        <v>203.84</v>
      </c>
      <c r="I246" s="91" t="str">
        <f>I243</f>
        <v>3동3라인</v>
      </c>
      <c r="J246" s="92" t="s">
        <v>219</v>
      </c>
      <c r="L246" s="89">
        <v>2</v>
      </c>
      <c r="M246" s="78">
        <f>M243</f>
        <v>10</v>
      </c>
      <c r="N246" s="84"/>
      <c r="O246" s="78">
        <f>L246*M246-N246*L246</f>
        <v>20</v>
      </c>
      <c r="P246" s="64"/>
    </row>
    <row r="247" spans="1:16" ht="18" customHeight="1">
      <c r="A247" s="85"/>
      <c r="B247" s="86"/>
      <c r="C247" s="87"/>
      <c r="D247" s="88">
        <v>250</v>
      </c>
      <c r="E247" s="88">
        <v>930</v>
      </c>
      <c r="F247" s="89">
        <f t="shared" si="191"/>
        <v>20</v>
      </c>
      <c r="G247" s="90">
        <f t="shared" si="192"/>
        <v>50.648629219357574</v>
      </c>
      <c r="H247" s="90">
        <f t="shared" si="193"/>
        <v>94.4</v>
      </c>
      <c r="I247" s="91" t="str">
        <f>I246</f>
        <v>3동3라인</v>
      </c>
      <c r="J247" s="92" t="s">
        <v>220</v>
      </c>
      <c r="L247" s="89">
        <v>2</v>
      </c>
      <c r="M247" s="78">
        <f>M246</f>
        <v>10</v>
      </c>
      <c r="N247" s="84"/>
      <c r="O247" s="78">
        <f t="shared" ref="O247" si="194">L247*M247-N247*L247</f>
        <v>20</v>
      </c>
    </row>
    <row r="248" spans="1:16" ht="18" customHeight="1">
      <c r="A248" s="85"/>
      <c r="B248" s="93"/>
      <c r="C248" s="87"/>
      <c r="D248" s="325" t="s">
        <v>0</v>
      </c>
      <c r="E248" s="325"/>
      <c r="F248" s="94">
        <f>SUM(F246:F247)</f>
        <v>40</v>
      </c>
      <c r="G248" s="95">
        <f>SUM(G246:G247)</f>
        <v>341.63970852530798</v>
      </c>
      <c r="H248" s="96">
        <f>SUM(H246:H247)</f>
        <v>298.24</v>
      </c>
      <c r="I248" s="97"/>
      <c r="J248" s="162"/>
    </row>
    <row r="249" spans="1:16" ht="18" customHeight="1" thickBot="1">
      <c r="A249" s="222"/>
      <c r="B249" s="223"/>
      <c r="C249" s="224"/>
      <c r="D249" s="225"/>
      <c r="E249" s="225"/>
      <c r="F249" s="226"/>
      <c r="G249" s="227"/>
      <c r="H249" s="228"/>
      <c r="I249" s="229"/>
      <c r="J249" s="230"/>
      <c r="L249" s="78" t="s">
        <v>48</v>
      </c>
      <c r="M249" s="78" t="s">
        <v>49</v>
      </c>
      <c r="N249" s="78" t="s">
        <v>50</v>
      </c>
      <c r="O249" s="78" t="s">
        <v>55</v>
      </c>
    </row>
    <row r="250" spans="1:16" ht="18" customHeight="1">
      <c r="A250" s="79" t="s">
        <v>234</v>
      </c>
      <c r="B250" s="231" t="s">
        <v>195</v>
      </c>
      <c r="C250" s="232">
        <v>22</v>
      </c>
      <c r="D250" s="80">
        <v>761</v>
      </c>
      <c r="E250" s="80">
        <v>1810</v>
      </c>
      <c r="F250" s="233">
        <f>O250</f>
        <v>16</v>
      </c>
      <c r="G250" s="81">
        <f t="shared" ref="G250:G256" si="195">D250*E250/91809*F250</f>
        <v>240.04792558463768</v>
      </c>
      <c r="H250" s="81">
        <f t="shared" ref="H250:H256" si="196">(D250/1000)*4*F250+(E250/1000)*4*F250</f>
        <v>164.54400000000001</v>
      </c>
      <c r="I250" s="82" t="s">
        <v>253</v>
      </c>
      <c r="J250" s="83" t="s">
        <v>205</v>
      </c>
      <c r="L250" s="89">
        <v>2</v>
      </c>
      <c r="M250" s="78">
        <v>8</v>
      </c>
      <c r="N250" s="84"/>
      <c r="O250" s="78">
        <f>L250*M250-N250*L250</f>
        <v>16</v>
      </c>
      <c r="P250" s="64"/>
    </row>
    <row r="251" spans="1:16" ht="18" customHeight="1">
      <c r="A251" s="85"/>
      <c r="B251" s="86"/>
      <c r="C251" s="87"/>
      <c r="D251" s="88">
        <v>1688</v>
      </c>
      <c r="E251" s="88">
        <v>1810</v>
      </c>
      <c r="F251" s="89">
        <f t="shared" ref="F251:F256" si="197">O251</f>
        <v>8</v>
      </c>
      <c r="G251" s="90">
        <f t="shared" si="195"/>
        <v>266.22923678506464</v>
      </c>
      <c r="H251" s="90">
        <f t="shared" si="196"/>
        <v>111.93600000000001</v>
      </c>
      <c r="I251" s="91" t="str">
        <f>I250</f>
        <v>3동4라인</v>
      </c>
      <c r="J251" s="92" t="s">
        <v>206</v>
      </c>
      <c r="L251" s="89">
        <v>1</v>
      </c>
      <c r="M251" s="78">
        <f>M250</f>
        <v>8</v>
      </c>
      <c r="N251" s="84"/>
      <c r="O251" s="78">
        <f t="shared" ref="O251:O256" si="198">L251*M251-N251*L251</f>
        <v>8</v>
      </c>
    </row>
    <row r="252" spans="1:16" ht="18" customHeight="1">
      <c r="A252" s="85"/>
      <c r="B252" s="86"/>
      <c r="C252" s="87"/>
      <c r="D252" s="88">
        <v>738</v>
      </c>
      <c r="E252" s="88">
        <v>1310</v>
      </c>
      <c r="F252" s="89">
        <f t="shared" si="197"/>
        <v>32</v>
      </c>
      <c r="G252" s="90">
        <f t="shared" si="195"/>
        <v>336.97088520733263</v>
      </c>
      <c r="H252" s="90">
        <f t="shared" si="196"/>
        <v>262.14400000000001</v>
      </c>
      <c r="I252" s="91" t="str">
        <f t="shared" ref="I252:I256" si="199">I251</f>
        <v>3동4라인</v>
      </c>
      <c r="J252" s="92" t="s">
        <v>207</v>
      </c>
      <c r="L252" s="89">
        <v>4</v>
      </c>
      <c r="M252" s="78">
        <f t="shared" ref="M252:M255" si="200">M251</f>
        <v>8</v>
      </c>
      <c r="N252" s="78"/>
      <c r="O252" s="78">
        <f t="shared" si="198"/>
        <v>32</v>
      </c>
    </row>
    <row r="253" spans="1:16" ht="18" customHeight="1">
      <c r="A253" s="85"/>
      <c r="B253" s="86"/>
      <c r="C253" s="87"/>
      <c r="D253" s="88">
        <v>288</v>
      </c>
      <c r="E253" s="88">
        <v>910</v>
      </c>
      <c r="F253" s="89">
        <f t="shared" si="197"/>
        <v>16</v>
      </c>
      <c r="G253" s="90">
        <f t="shared" si="195"/>
        <v>45.673953533967257</v>
      </c>
      <c r="H253" s="90">
        <f t="shared" si="196"/>
        <v>76.671999999999997</v>
      </c>
      <c r="I253" s="91" t="str">
        <f t="shared" si="199"/>
        <v>3동4라인</v>
      </c>
      <c r="J253" s="92" t="s">
        <v>208</v>
      </c>
      <c r="L253" s="89">
        <v>2</v>
      </c>
      <c r="M253" s="78">
        <f t="shared" si="200"/>
        <v>8</v>
      </c>
      <c r="N253" s="78"/>
      <c r="O253" s="78">
        <f t="shared" si="198"/>
        <v>16</v>
      </c>
    </row>
    <row r="254" spans="1:16" ht="18" customHeight="1">
      <c r="A254" s="85"/>
      <c r="B254" s="86"/>
      <c r="C254" s="87"/>
      <c r="D254" s="88">
        <v>228</v>
      </c>
      <c r="E254" s="88">
        <v>910</v>
      </c>
      <c r="F254" s="89">
        <f t="shared" si="197"/>
        <v>16</v>
      </c>
      <c r="G254" s="90">
        <f t="shared" si="195"/>
        <v>36.158546547724079</v>
      </c>
      <c r="H254" s="90">
        <f t="shared" si="196"/>
        <v>72.832000000000008</v>
      </c>
      <c r="I254" s="91" t="str">
        <f t="shared" si="199"/>
        <v>3동4라인</v>
      </c>
      <c r="J254" s="92" t="s">
        <v>209</v>
      </c>
      <c r="L254" s="89">
        <v>2</v>
      </c>
      <c r="M254" s="78">
        <f t="shared" si="200"/>
        <v>8</v>
      </c>
      <c r="N254" s="78"/>
      <c r="O254" s="78">
        <f t="shared" si="198"/>
        <v>16</v>
      </c>
    </row>
    <row r="255" spans="1:16" ht="18" customHeight="1">
      <c r="A255" s="85"/>
      <c r="B255" s="86"/>
      <c r="C255" s="87"/>
      <c r="D255" s="88">
        <v>438</v>
      </c>
      <c r="E255" s="88">
        <v>270</v>
      </c>
      <c r="F255" s="89">
        <f t="shared" si="197"/>
        <v>16</v>
      </c>
      <c r="G255" s="90">
        <f t="shared" si="195"/>
        <v>20.609744142731106</v>
      </c>
      <c r="H255" s="90">
        <f t="shared" si="196"/>
        <v>45.311999999999998</v>
      </c>
      <c r="I255" s="91" t="str">
        <f t="shared" si="199"/>
        <v>3동4라인</v>
      </c>
      <c r="J255" s="92" t="s">
        <v>210</v>
      </c>
      <c r="L255" s="89">
        <v>2</v>
      </c>
      <c r="M255" s="78">
        <f t="shared" si="200"/>
        <v>8</v>
      </c>
      <c r="N255" s="78"/>
      <c r="O255" s="78">
        <f t="shared" si="198"/>
        <v>16</v>
      </c>
    </row>
    <row r="256" spans="1:16" ht="18" customHeight="1">
      <c r="A256" s="85"/>
      <c r="B256" s="86"/>
      <c r="C256" s="87"/>
      <c r="D256" s="88">
        <v>208</v>
      </c>
      <c r="E256" s="88">
        <v>910</v>
      </c>
      <c r="F256" s="89">
        <f t="shared" si="197"/>
        <v>16</v>
      </c>
      <c r="G256" s="90">
        <f t="shared" si="195"/>
        <v>32.986744218976355</v>
      </c>
      <c r="H256" s="90">
        <f t="shared" si="196"/>
        <v>71.552000000000007</v>
      </c>
      <c r="I256" s="91" t="str">
        <f t="shared" si="199"/>
        <v>3동4라인</v>
      </c>
      <c r="J256" s="92" t="s">
        <v>211</v>
      </c>
      <c r="L256" s="89">
        <v>2</v>
      </c>
      <c r="M256" s="78">
        <f>M255</f>
        <v>8</v>
      </c>
      <c r="N256" s="78"/>
      <c r="O256" s="78">
        <f t="shared" si="198"/>
        <v>16</v>
      </c>
    </row>
    <row r="257" spans="1:16" ht="18" customHeight="1">
      <c r="A257" s="85"/>
      <c r="B257" s="93"/>
      <c r="C257" s="87"/>
      <c r="D257" s="325" t="s">
        <v>0</v>
      </c>
      <c r="E257" s="325"/>
      <c r="F257" s="94">
        <f>SUM(F250:F256)</f>
        <v>120</v>
      </c>
      <c r="G257" s="95">
        <f>SUM(G250:G256)</f>
        <v>978.67703602043366</v>
      </c>
      <c r="H257" s="96">
        <f>SUM(H250:H256)</f>
        <v>804.99200000000008</v>
      </c>
      <c r="I257" s="97"/>
      <c r="J257" s="162"/>
    </row>
    <row r="258" spans="1:16" ht="18" customHeight="1">
      <c r="A258" s="85"/>
      <c r="B258" s="93"/>
      <c r="C258" s="87"/>
      <c r="D258" s="161"/>
      <c r="E258" s="161"/>
      <c r="F258" s="89"/>
      <c r="G258" s="100"/>
      <c r="H258" s="101"/>
      <c r="I258" s="102"/>
      <c r="J258" s="121"/>
      <c r="L258" s="78" t="s">
        <v>48</v>
      </c>
      <c r="M258" s="78" t="s">
        <v>54</v>
      </c>
      <c r="N258" s="78" t="s">
        <v>50</v>
      </c>
      <c r="O258" s="78" t="s">
        <v>55</v>
      </c>
    </row>
    <row r="259" spans="1:16" ht="18" customHeight="1">
      <c r="A259" s="85"/>
      <c r="B259" s="23" t="s">
        <v>197</v>
      </c>
      <c r="C259" s="24">
        <v>22</v>
      </c>
      <c r="D259" s="88">
        <v>761</v>
      </c>
      <c r="E259" s="88">
        <v>1810</v>
      </c>
      <c r="F259" s="89">
        <f t="shared" ref="F259:F265" si="201">O259</f>
        <v>16</v>
      </c>
      <c r="G259" s="90">
        <f t="shared" ref="G259:G265" si="202">D259*E259/91809*F259</f>
        <v>240.04792558463768</v>
      </c>
      <c r="H259" s="90">
        <f t="shared" ref="H259:H265" si="203">(D259/1000)*4*F259+(E259/1000)*4*F259</f>
        <v>164.54400000000001</v>
      </c>
      <c r="I259" s="91" t="str">
        <f t="shared" ref="I259:I265" si="204">I250</f>
        <v>3동4라인</v>
      </c>
      <c r="J259" s="92" t="s">
        <v>212</v>
      </c>
      <c r="L259" s="89">
        <v>2</v>
      </c>
      <c r="M259" s="78">
        <f>M250</f>
        <v>8</v>
      </c>
      <c r="N259" s="84"/>
      <c r="O259" s="78">
        <f>L259*M259-N259*L259</f>
        <v>16</v>
      </c>
    </row>
    <row r="260" spans="1:16" ht="18" customHeight="1">
      <c r="A260" s="85"/>
      <c r="B260" s="86"/>
      <c r="C260" s="87"/>
      <c r="D260" s="88">
        <v>1688</v>
      </c>
      <c r="E260" s="88">
        <v>1810</v>
      </c>
      <c r="F260" s="89">
        <f t="shared" si="201"/>
        <v>8</v>
      </c>
      <c r="G260" s="90">
        <f t="shared" si="202"/>
        <v>266.22923678506464</v>
      </c>
      <c r="H260" s="90">
        <f t="shared" si="203"/>
        <v>111.93600000000001</v>
      </c>
      <c r="I260" s="91" t="str">
        <f t="shared" si="204"/>
        <v>3동4라인</v>
      </c>
      <c r="J260" s="92" t="s">
        <v>213</v>
      </c>
      <c r="L260" s="89">
        <v>1</v>
      </c>
      <c r="M260" s="78">
        <f>M259</f>
        <v>8</v>
      </c>
      <c r="N260" s="84"/>
      <c r="O260" s="78">
        <f>L260*M260-N260*L260</f>
        <v>8</v>
      </c>
    </row>
    <row r="261" spans="1:16" ht="18" customHeight="1">
      <c r="A261" s="104"/>
      <c r="B261" s="93"/>
      <c r="C261" s="87"/>
      <c r="D261" s="88">
        <v>738</v>
      </c>
      <c r="E261" s="88">
        <v>1310</v>
      </c>
      <c r="F261" s="89">
        <f t="shared" si="201"/>
        <v>32</v>
      </c>
      <c r="G261" s="90">
        <f t="shared" si="202"/>
        <v>336.97088520733263</v>
      </c>
      <c r="H261" s="90">
        <f t="shared" si="203"/>
        <v>262.14400000000001</v>
      </c>
      <c r="I261" s="91" t="str">
        <f t="shared" si="204"/>
        <v>3동4라인</v>
      </c>
      <c r="J261" s="92" t="s">
        <v>214</v>
      </c>
      <c r="L261" s="89">
        <v>4</v>
      </c>
      <c r="M261" s="78">
        <f t="shared" ref="M261:M265" si="205">M260</f>
        <v>8</v>
      </c>
      <c r="N261" s="84"/>
      <c r="O261" s="78">
        <f t="shared" ref="O261:O265" si="206">L261*M261-N261*L261</f>
        <v>32</v>
      </c>
    </row>
    <row r="262" spans="1:16" ht="18" customHeight="1">
      <c r="A262" s="104"/>
      <c r="B262" s="93"/>
      <c r="C262" s="87"/>
      <c r="D262" s="88">
        <v>288</v>
      </c>
      <c r="E262" s="88">
        <v>910</v>
      </c>
      <c r="F262" s="89">
        <f t="shared" si="201"/>
        <v>16</v>
      </c>
      <c r="G262" s="90">
        <f t="shared" si="202"/>
        <v>45.673953533967257</v>
      </c>
      <c r="H262" s="90">
        <f t="shared" si="203"/>
        <v>76.671999999999997</v>
      </c>
      <c r="I262" s="91" t="str">
        <f t="shared" si="204"/>
        <v>3동4라인</v>
      </c>
      <c r="J262" s="92" t="s">
        <v>215</v>
      </c>
      <c r="L262" s="89">
        <v>2</v>
      </c>
      <c r="M262" s="78">
        <f t="shared" si="205"/>
        <v>8</v>
      </c>
      <c r="N262" s="78"/>
      <c r="O262" s="78">
        <f t="shared" si="206"/>
        <v>16</v>
      </c>
    </row>
    <row r="263" spans="1:16" ht="18" customHeight="1">
      <c r="A263" s="104"/>
      <c r="B263" s="93"/>
      <c r="C263" s="87"/>
      <c r="D263" s="88">
        <v>228</v>
      </c>
      <c r="E263" s="88">
        <v>910</v>
      </c>
      <c r="F263" s="89">
        <f t="shared" si="201"/>
        <v>16</v>
      </c>
      <c r="G263" s="90">
        <f t="shared" si="202"/>
        <v>36.158546547724079</v>
      </c>
      <c r="H263" s="90">
        <f t="shared" si="203"/>
        <v>72.832000000000008</v>
      </c>
      <c r="I263" s="91" t="str">
        <f t="shared" si="204"/>
        <v>3동4라인</v>
      </c>
      <c r="J263" s="92" t="s">
        <v>216</v>
      </c>
      <c r="L263" s="89">
        <v>2</v>
      </c>
      <c r="M263" s="78">
        <f t="shared" si="205"/>
        <v>8</v>
      </c>
      <c r="N263" s="78"/>
      <c r="O263" s="78">
        <f t="shared" si="206"/>
        <v>16</v>
      </c>
    </row>
    <row r="264" spans="1:16" ht="18" customHeight="1">
      <c r="A264" s="104"/>
      <c r="B264" s="93"/>
      <c r="C264" s="87"/>
      <c r="D264" s="88">
        <v>438</v>
      </c>
      <c r="E264" s="88">
        <v>270</v>
      </c>
      <c r="F264" s="89">
        <f t="shared" si="201"/>
        <v>16</v>
      </c>
      <c r="G264" s="90">
        <f t="shared" si="202"/>
        <v>20.609744142731106</v>
      </c>
      <c r="H264" s="90">
        <f t="shared" si="203"/>
        <v>45.311999999999998</v>
      </c>
      <c r="I264" s="91" t="str">
        <f t="shared" si="204"/>
        <v>3동4라인</v>
      </c>
      <c r="J264" s="92" t="s">
        <v>217</v>
      </c>
      <c r="L264" s="89">
        <v>2</v>
      </c>
      <c r="M264" s="78">
        <f t="shared" si="205"/>
        <v>8</v>
      </c>
      <c r="N264" s="78"/>
      <c r="O264" s="78">
        <f t="shared" si="206"/>
        <v>16</v>
      </c>
    </row>
    <row r="265" spans="1:16" ht="18" customHeight="1">
      <c r="A265" s="104"/>
      <c r="B265" s="93"/>
      <c r="C265" s="87"/>
      <c r="D265" s="88">
        <v>208</v>
      </c>
      <c r="E265" s="88">
        <v>910</v>
      </c>
      <c r="F265" s="89">
        <f t="shared" si="201"/>
        <v>16</v>
      </c>
      <c r="G265" s="90">
        <f t="shared" si="202"/>
        <v>32.986744218976355</v>
      </c>
      <c r="H265" s="90">
        <f t="shared" si="203"/>
        <v>71.552000000000007</v>
      </c>
      <c r="I265" s="91" t="str">
        <f t="shared" si="204"/>
        <v>3동4라인</v>
      </c>
      <c r="J265" s="92" t="s">
        <v>218</v>
      </c>
      <c r="L265" s="89">
        <v>2</v>
      </c>
      <c r="M265" s="78">
        <f t="shared" si="205"/>
        <v>8</v>
      </c>
      <c r="N265" s="78"/>
      <c r="O265" s="78">
        <f t="shared" si="206"/>
        <v>16</v>
      </c>
    </row>
    <row r="266" spans="1:16" ht="18" customHeight="1">
      <c r="A266" s="104"/>
      <c r="B266" s="87"/>
      <c r="C266" s="87"/>
      <c r="D266" s="325" t="s">
        <v>0</v>
      </c>
      <c r="E266" s="325"/>
      <c r="F266" s="171">
        <f>SUM(F259:F265)</f>
        <v>120</v>
      </c>
      <c r="G266" s="95">
        <f>SUM(G259:G265)</f>
        <v>978.67703602043366</v>
      </c>
      <c r="H266" s="95">
        <f>SUM(H259:H265)</f>
        <v>804.99200000000008</v>
      </c>
      <c r="I266" s="97"/>
      <c r="J266" s="98"/>
    </row>
    <row r="267" spans="1:16">
      <c r="A267" s="105"/>
      <c r="B267" s="9"/>
      <c r="C267" s="9"/>
      <c r="D267" s="51"/>
      <c r="E267" s="51"/>
      <c r="F267" s="51"/>
      <c r="G267" s="106"/>
      <c r="H267" s="106"/>
      <c r="I267" s="9"/>
      <c r="J267" s="107"/>
    </row>
    <row r="268" spans="1:16" ht="18" customHeight="1">
      <c r="A268" s="85"/>
      <c r="B268" s="163" t="s">
        <v>199</v>
      </c>
      <c r="C268" s="163">
        <v>22</v>
      </c>
      <c r="D268" s="88">
        <v>738</v>
      </c>
      <c r="E268" s="88">
        <v>1810</v>
      </c>
      <c r="F268" s="89">
        <f t="shared" ref="F268:F269" si="207">O268</f>
        <v>16</v>
      </c>
      <c r="G268" s="90">
        <f t="shared" ref="G268:G269" si="208">D268*E268/91809*F268</f>
        <v>232.79286344476031</v>
      </c>
      <c r="H268" s="90">
        <f t="shared" ref="H268:H269" si="209">(D268/1000)*4*F268+(E268/1000)*4*F268</f>
        <v>163.072</v>
      </c>
      <c r="I268" s="91" t="str">
        <f>I259</f>
        <v>3동4라인</v>
      </c>
      <c r="J268" s="92" t="s">
        <v>219</v>
      </c>
      <c r="L268" s="89">
        <v>2</v>
      </c>
      <c r="M268" s="78">
        <f>M250</f>
        <v>8</v>
      </c>
      <c r="N268" s="84"/>
      <c r="O268" s="78">
        <f>L268*M268-N268*L268</f>
        <v>16</v>
      </c>
      <c r="P268" s="64"/>
    </row>
    <row r="269" spans="1:16" ht="18" customHeight="1">
      <c r="A269" s="85"/>
      <c r="B269" s="86"/>
      <c r="C269" s="87"/>
      <c r="D269" s="88">
        <v>250</v>
      </c>
      <c r="E269" s="88">
        <v>930</v>
      </c>
      <c r="F269" s="89">
        <f t="shared" si="207"/>
        <v>16</v>
      </c>
      <c r="G269" s="90">
        <f t="shared" si="208"/>
        <v>40.518903375486062</v>
      </c>
      <c r="H269" s="90">
        <f t="shared" si="209"/>
        <v>75.52000000000001</v>
      </c>
      <c r="I269" s="91" t="str">
        <f>I268</f>
        <v>3동4라인</v>
      </c>
      <c r="J269" s="92" t="s">
        <v>220</v>
      </c>
      <c r="L269" s="89">
        <v>2</v>
      </c>
      <c r="M269" s="78">
        <f>M268</f>
        <v>8</v>
      </c>
      <c r="N269" s="84"/>
      <c r="O269" s="78">
        <f t="shared" ref="O269" si="210">L269*M269-N269*L269</f>
        <v>16</v>
      </c>
    </row>
    <row r="270" spans="1:16" ht="18" customHeight="1">
      <c r="A270" s="85"/>
      <c r="B270" s="93"/>
      <c r="C270" s="87"/>
      <c r="D270" s="325" t="s">
        <v>0</v>
      </c>
      <c r="E270" s="325"/>
      <c r="F270" s="94">
        <f>SUM(F268:F269)</f>
        <v>32</v>
      </c>
      <c r="G270" s="95">
        <f>SUM(G268:G269)</f>
        <v>273.31176682024636</v>
      </c>
      <c r="H270" s="95">
        <f>SUM(H268:H269)</f>
        <v>238.59200000000001</v>
      </c>
      <c r="I270" s="97"/>
      <c r="J270" s="98"/>
    </row>
    <row r="271" spans="1:16" ht="18" customHeight="1">
      <c r="A271" s="108"/>
      <c r="B271" s="164"/>
      <c r="C271" s="109"/>
      <c r="D271" s="363"/>
      <c r="E271" s="363"/>
      <c r="F271" s="110"/>
      <c r="G271" s="111"/>
      <c r="H271" s="234"/>
      <c r="I271" s="112"/>
      <c r="J271" s="235"/>
    </row>
    <row r="272" spans="1:16" ht="18" customHeight="1">
      <c r="A272" s="262" t="s">
        <v>234</v>
      </c>
      <c r="B272" s="263" t="s">
        <v>195</v>
      </c>
      <c r="C272" s="264">
        <v>22</v>
      </c>
      <c r="D272" s="265">
        <v>761</v>
      </c>
      <c r="E272" s="265">
        <v>1810</v>
      </c>
      <c r="F272" s="251">
        <f>O272</f>
        <v>32</v>
      </c>
      <c r="G272" s="266">
        <f t="shared" ref="G272:G278" si="211">D272*E272/91809*F272</f>
        <v>480.09585116927536</v>
      </c>
      <c r="H272" s="266">
        <f t="shared" ref="H272:H278" si="212">(D272/1000)*4*F272+(E272/1000)*4*F272</f>
        <v>329.08800000000002</v>
      </c>
      <c r="I272" s="267" t="s">
        <v>254</v>
      </c>
      <c r="J272" s="268" t="s">
        <v>205</v>
      </c>
      <c r="L272" s="89">
        <v>2</v>
      </c>
      <c r="M272" s="78">
        <v>16</v>
      </c>
      <c r="N272" s="84"/>
      <c r="O272" s="78">
        <f>L272*M272-N272*L272</f>
        <v>32</v>
      </c>
      <c r="P272" s="64"/>
    </row>
    <row r="273" spans="1:15" ht="18" customHeight="1">
      <c r="A273" s="85"/>
      <c r="B273" s="86"/>
      <c r="C273" s="87"/>
      <c r="D273" s="88">
        <v>1688</v>
      </c>
      <c r="E273" s="88">
        <v>1810</v>
      </c>
      <c r="F273" s="89">
        <f t="shared" ref="F273:F278" si="213">O273</f>
        <v>16</v>
      </c>
      <c r="G273" s="90">
        <f t="shared" si="211"/>
        <v>532.45847357012929</v>
      </c>
      <c r="H273" s="90">
        <f t="shared" si="212"/>
        <v>223.87200000000001</v>
      </c>
      <c r="I273" s="91" t="str">
        <f>I272</f>
        <v>3동5,6라인</v>
      </c>
      <c r="J273" s="92" t="s">
        <v>206</v>
      </c>
      <c r="L273" s="89">
        <v>1</v>
      </c>
      <c r="M273" s="78">
        <f>M272</f>
        <v>16</v>
      </c>
      <c r="N273" s="84"/>
      <c r="O273" s="78">
        <f t="shared" ref="O273:O278" si="214">L273*M273-N273*L273</f>
        <v>16</v>
      </c>
    </row>
    <row r="274" spans="1:15" ht="18" customHeight="1">
      <c r="A274" s="85"/>
      <c r="B274" s="86"/>
      <c r="C274" s="87"/>
      <c r="D274" s="88">
        <v>738</v>
      </c>
      <c r="E274" s="88">
        <v>1310</v>
      </c>
      <c r="F274" s="89">
        <f t="shared" si="213"/>
        <v>64</v>
      </c>
      <c r="G274" s="90">
        <f t="shared" si="211"/>
        <v>673.94177041466526</v>
      </c>
      <c r="H274" s="90">
        <f t="shared" si="212"/>
        <v>524.28800000000001</v>
      </c>
      <c r="I274" s="91" t="str">
        <f t="shared" ref="I274:I278" si="215">I273</f>
        <v>3동5,6라인</v>
      </c>
      <c r="J274" s="92" t="s">
        <v>207</v>
      </c>
      <c r="L274" s="89">
        <v>4</v>
      </c>
      <c r="M274" s="78">
        <f t="shared" ref="M274:M277" si="216">M273</f>
        <v>16</v>
      </c>
      <c r="N274" s="78"/>
      <c r="O274" s="78">
        <f t="shared" si="214"/>
        <v>64</v>
      </c>
    </row>
    <row r="275" spans="1:15" ht="18" customHeight="1">
      <c r="A275" s="85"/>
      <c r="B275" s="86"/>
      <c r="C275" s="87"/>
      <c r="D275" s="88">
        <v>288</v>
      </c>
      <c r="E275" s="88">
        <v>910</v>
      </c>
      <c r="F275" s="89">
        <f t="shared" si="213"/>
        <v>32</v>
      </c>
      <c r="G275" s="90">
        <f t="shared" si="211"/>
        <v>91.347907067934514</v>
      </c>
      <c r="H275" s="90">
        <f t="shared" si="212"/>
        <v>153.34399999999999</v>
      </c>
      <c r="I275" s="91" t="str">
        <f t="shared" si="215"/>
        <v>3동5,6라인</v>
      </c>
      <c r="J275" s="92" t="s">
        <v>208</v>
      </c>
      <c r="L275" s="89">
        <v>2</v>
      </c>
      <c r="M275" s="78">
        <f t="shared" si="216"/>
        <v>16</v>
      </c>
      <c r="N275" s="78"/>
      <c r="O275" s="78">
        <f t="shared" si="214"/>
        <v>32</v>
      </c>
    </row>
    <row r="276" spans="1:15" ht="18" customHeight="1">
      <c r="A276" s="85"/>
      <c r="B276" s="86"/>
      <c r="C276" s="87"/>
      <c r="D276" s="88">
        <v>228</v>
      </c>
      <c r="E276" s="88">
        <v>910</v>
      </c>
      <c r="F276" s="89">
        <f t="shared" si="213"/>
        <v>32</v>
      </c>
      <c r="G276" s="90">
        <f t="shared" si="211"/>
        <v>72.317093095448158</v>
      </c>
      <c r="H276" s="90">
        <f t="shared" si="212"/>
        <v>145.66400000000002</v>
      </c>
      <c r="I276" s="91" t="str">
        <f t="shared" si="215"/>
        <v>3동5,6라인</v>
      </c>
      <c r="J276" s="92" t="s">
        <v>209</v>
      </c>
      <c r="L276" s="89">
        <v>2</v>
      </c>
      <c r="M276" s="78">
        <f t="shared" si="216"/>
        <v>16</v>
      </c>
      <c r="N276" s="78"/>
      <c r="O276" s="78">
        <f t="shared" si="214"/>
        <v>32</v>
      </c>
    </row>
    <row r="277" spans="1:15" ht="18" customHeight="1">
      <c r="A277" s="85"/>
      <c r="B277" s="86"/>
      <c r="C277" s="87"/>
      <c r="D277" s="88">
        <v>438</v>
      </c>
      <c r="E277" s="88">
        <v>270</v>
      </c>
      <c r="F277" s="89">
        <f t="shared" si="213"/>
        <v>32</v>
      </c>
      <c r="G277" s="90">
        <f t="shared" si="211"/>
        <v>41.219488285462212</v>
      </c>
      <c r="H277" s="90">
        <f t="shared" si="212"/>
        <v>90.623999999999995</v>
      </c>
      <c r="I277" s="91" t="str">
        <f t="shared" si="215"/>
        <v>3동5,6라인</v>
      </c>
      <c r="J277" s="92" t="s">
        <v>210</v>
      </c>
      <c r="L277" s="89">
        <v>2</v>
      </c>
      <c r="M277" s="78">
        <f t="shared" si="216"/>
        <v>16</v>
      </c>
      <c r="N277" s="78"/>
      <c r="O277" s="78">
        <f t="shared" si="214"/>
        <v>32</v>
      </c>
    </row>
    <row r="278" spans="1:15" ht="18" customHeight="1">
      <c r="A278" s="85"/>
      <c r="B278" s="86"/>
      <c r="C278" s="87"/>
      <c r="D278" s="88">
        <v>208</v>
      </c>
      <c r="E278" s="88">
        <v>910</v>
      </c>
      <c r="F278" s="89">
        <f t="shared" si="213"/>
        <v>32</v>
      </c>
      <c r="G278" s="90">
        <f t="shared" si="211"/>
        <v>65.97348843795271</v>
      </c>
      <c r="H278" s="90">
        <f t="shared" si="212"/>
        <v>143.10400000000001</v>
      </c>
      <c r="I278" s="91" t="str">
        <f t="shared" si="215"/>
        <v>3동5,6라인</v>
      </c>
      <c r="J278" s="92" t="s">
        <v>211</v>
      </c>
      <c r="L278" s="89">
        <v>2</v>
      </c>
      <c r="M278" s="78">
        <f>M277</f>
        <v>16</v>
      </c>
      <c r="N278" s="78"/>
      <c r="O278" s="78">
        <f t="shared" si="214"/>
        <v>32</v>
      </c>
    </row>
    <row r="279" spans="1:15" ht="18" customHeight="1">
      <c r="A279" s="85"/>
      <c r="B279" s="93"/>
      <c r="C279" s="87"/>
      <c r="D279" s="325" t="s">
        <v>0</v>
      </c>
      <c r="E279" s="325"/>
      <c r="F279" s="94">
        <f>SUM(F272:F278)</f>
        <v>240</v>
      </c>
      <c r="G279" s="95">
        <f>SUM(G272:G278)</f>
        <v>1957.3540720408673</v>
      </c>
      <c r="H279" s="96">
        <f>SUM(H272:H278)</f>
        <v>1609.9840000000002</v>
      </c>
      <c r="I279" s="97"/>
      <c r="J279" s="162"/>
    </row>
    <row r="280" spans="1:15" ht="18" customHeight="1">
      <c r="A280" s="85"/>
      <c r="B280" s="93"/>
      <c r="C280" s="87"/>
      <c r="D280" s="161"/>
      <c r="E280" s="161"/>
      <c r="F280" s="89"/>
      <c r="G280" s="100"/>
      <c r="H280" s="101"/>
      <c r="I280" s="102"/>
      <c r="J280" s="121"/>
      <c r="L280" s="78" t="s">
        <v>48</v>
      </c>
      <c r="M280" s="78" t="s">
        <v>54</v>
      </c>
      <c r="N280" s="78" t="s">
        <v>50</v>
      </c>
      <c r="O280" s="78" t="s">
        <v>55</v>
      </c>
    </row>
    <row r="281" spans="1:15" ht="18" customHeight="1">
      <c r="A281" s="85"/>
      <c r="B281" s="23" t="s">
        <v>197</v>
      </c>
      <c r="C281" s="24">
        <v>22</v>
      </c>
      <c r="D281" s="88">
        <v>761</v>
      </c>
      <c r="E281" s="88">
        <v>1810</v>
      </c>
      <c r="F281" s="89">
        <f t="shared" ref="F281:F287" si="217">O281</f>
        <v>32</v>
      </c>
      <c r="G281" s="90">
        <f t="shared" ref="G281:G287" si="218">D281*E281/91809*F281</f>
        <v>480.09585116927536</v>
      </c>
      <c r="H281" s="90">
        <f t="shared" ref="H281:H287" si="219">(D281/1000)*4*F281+(E281/1000)*4*F281</f>
        <v>329.08800000000002</v>
      </c>
      <c r="I281" s="91" t="str">
        <f t="shared" ref="I281:I287" si="220">I272</f>
        <v>3동5,6라인</v>
      </c>
      <c r="J281" s="92" t="s">
        <v>212</v>
      </c>
      <c r="L281" s="89">
        <v>2</v>
      </c>
      <c r="M281" s="78">
        <f>M272</f>
        <v>16</v>
      </c>
      <c r="N281" s="84"/>
      <c r="O281" s="78">
        <f>L281*M281-N281*L281</f>
        <v>32</v>
      </c>
    </row>
    <row r="282" spans="1:15" ht="18" customHeight="1">
      <c r="A282" s="85"/>
      <c r="B282" s="86"/>
      <c r="C282" s="87"/>
      <c r="D282" s="88">
        <v>1688</v>
      </c>
      <c r="E282" s="88">
        <v>1810</v>
      </c>
      <c r="F282" s="89">
        <f t="shared" si="217"/>
        <v>16</v>
      </c>
      <c r="G282" s="90">
        <f t="shared" si="218"/>
        <v>532.45847357012929</v>
      </c>
      <c r="H282" s="90">
        <f t="shared" si="219"/>
        <v>223.87200000000001</v>
      </c>
      <c r="I282" s="91" t="str">
        <f t="shared" si="220"/>
        <v>3동5,6라인</v>
      </c>
      <c r="J282" s="92" t="s">
        <v>213</v>
      </c>
      <c r="L282" s="89">
        <v>1</v>
      </c>
      <c r="M282" s="78">
        <f>M281</f>
        <v>16</v>
      </c>
      <c r="N282" s="84"/>
      <c r="O282" s="78">
        <f>L282*M282-N282*L282</f>
        <v>16</v>
      </c>
    </row>
    <row r="283" spans="1:15" ht="18" customHeight="1">
      <c r="A283" s="104"/>
      <c r="B283" s="93"/>
      <c r="C283" s="87"/>
      <c r="D283" s="88">
        <v>738</v>
      </c>
      <c r="E283" s="88">
        <v>1310</v>
      </c>
      <c r="F283" s="89">
        <f t="shared" si="217"/>
        <v>64</v>
      </c>
      <c r="G283" s="90">
        <f t="shared" si="218"/>
        <v>673.94177041466526</v>
      </c>
      <c r="H283" s="90">
        <f t="shared" si="219"/>
        <v>524.28800000000001</v>
      </c>
      <c r="I283" s="91" t="str">
        <f t="shared" si="220"/>
        <v>3동5,6라인</v>
      </c>
      <c r="J283" s="92" t="s">
        <v>214</v>
      </c>
      <c r="L283" s="89">
        <v>4</v>
      </c>
      <c r="M283" s="78">
        <f t="shared" ref="M283:M287" si="221">M282</f>
        <v>16</v>
      </c>
      <c r="N283" s="84"/>
      <c r="O283" s="78">
        <f t="shared" ref="O283:O287" si="222">L283*M283-N283*L283</f>
        <v>64</v>
      </c>
    </row>
    <row r="284" spans="1:15" ht="18" customHeight="1">
      <c r="A284" s="104"/>
      <c r="B284" s="93"/>
      <c r="C284" s="87"/>
      <c r="D284" s="88">
        <v>288</v>
      </c>
      <c r="E284" s="88">
        <v>910</v>
      </c>
      <c r="F284" s="89">
        <f t="shared" si="217"/>
        <v>32</v>
      </c>
      <c r="G284" s="90">
        <f t="shared" si="218"/>
        <v>91.347907067934514</v>
      </c>
      <c r="H284" s="90">
        <f t="shared" si="219"/>
        <v>153.34399999999999</v>
      </c>
      <c r="I284" s="91" t="str">
        <f t="shared" si="220"/>
        <v>3동5,6라인</v>
      </c>
      <c r="J284" s="92" t="s">
        <v>215</v>
      </c>
      <c r="L284" s="89">
        <v>2</v>
      </c>
      <c r="M284" s="78">
        <f t="shared" si="221"/>
        <v>16</v>
      </c>
      <c r="N284" s="78"/>
      <c r="O284" s="78">
        <f t="shared" si="222"/>
        <v>32</v>
      </c>
    </row>
    <row r="285" spans="1:15" ht="18" customHeight="1">
      <c r="A285" s="104"/>
      <c r="B285" s="93"/>
      <c r="C285" s="87"/>
      <c r="D285" s="88">
        <v>228</v>
      </c>
      <c r="E285" s="88">
        <v>910</v>
      </c>
      <c r="F285" s="89">
        <f t="shared" si="217"/>
        <v>32</v>
      </c>
      <c r="G285" s="90">
        <f t="shared" si="218"/>
        <v>72.317093095448158</v>
      </c>
      <c r="H285" s="90">
        <f t="shared" si="219"/>
        <v>145.66400000000002</v>
      </c>
      <c r="I285" s="91" t="str">
        <f t="shared" si="220"/>
        <v>3동5,6라인</v>
      </c>
      <c r="J285" s="92" t="s">
        <v>216</v>
      </c>
      <c r="L285" s="89">
        <v>2</v>
      </c>
      <c r="M285" s="78">
        <f t="shared" si="221"/>
        <v>16</v>
      </c>
      <c r="N285" s="78"/>
      <c r="O285" s="78">
        <f t="shared" si="222"/>
        <v>32</v>
      </c>
    </row>
    <row r="286" spans="1:15" ht="18" customHeight="1">
      <c r="A286" s="104"/>
      <c r="B286" s="93"/>
      <c r="C286" s="87"/>
      <c r="D286" s="88">
        <v>438</v>
      </c>
      <c r="E286" s="88">
        <v>270</v>
      </c>
      <c r="F286" s="89">
        <f t="shared" si="217"/>
        <v>32</v>
      </c>
      <c r="G286" s="90">
        <f t="shared" si="218"/>
        <v>41.219488285462212</v>
      </c>
      <c r="H286" s="90">
        <f t="shared" si="219"/>
        <v>90.623999999999995</v>
      </c>
      <c r="I286" s="91" t="str">
        <f t="shared" si="220"/>
        <v>3동5,6라인</v>
      </c>
      <c r="J286" s="92" t="s">
        <v>217</v>
      </c>
      <c r="L286" s="89">
        <v>2</v>
      </c>
      <c r="M286" s="78">
        <f t="shared" si="221"/>
        <v>16</v>
      </c>
      <c r="N286" s="78"/>
      <c r="O286" s="78">
        <f t="shared" si="222"/>
        <v>32</v>
      </c>
    </row>
    <row r="287" spans="1:15" ht="18" customHeight="1">
      <c r="A287" s="104"/>
      <c r="B287" s="93"/>
      <c r="C287" s="87"/>
      <c r="D287" s="88">
        <v>208</v>
      </c>
      <c r="E287" s="88">
        <v>910</v>
      </c>
      <c r="F287" s="89">
        <f t="shared" si="217"/>
        <v>32</v>
      </c>
      <c r="G287" s="90">
        <f t="shared" si="218"/>
        <v>65.97348843795271</v>
      </c>
      <c r="H287" s="90">
        <f t="shared" si="219"/>
        <v>143.10400000000001</v>
      </c>
      <c r="I287" s="91" t="str">
        <f t="shared" si="220"/>
        <v>3동5,6라인</v>
      </c>
      <c r="J287" s="92" t="s">
        <v>218</v>
      </c>
      <c r="L287" s="89">
        <v>2</v>
      </c>
      <c r="M287" s="78">
        <f t="shared" si="221"/>
        <v>16</v>
      </c>
      <c r="N287" s="78"/>
      <c r="O287" s="78">
        <f t="shared" si="222"/>
        <v>32</v>
      </c>
    </row>
    <row r="288" spans="1:15" ht="18" customHeight="1">
      <c r="A288" s="104"/>
      <c r="B288" s="87"/>
      <c r="C288" s="87"/>
      <c r="D288" s="325" t="s">
        <v>0</v>
      </c>
      <c r="E288" s="325"/>
      <c r="F288" s="171">
        <f>SUM(F281:F287)</f>
        <v>240</v>
      </c>
      <c r="G288" s="95">
        <f>SUM(G281:G287)</f>
        <v>1957.3540720408673</v>
      </c>
      <c r="H288" s="95">
        <f>SUM(H281:H287)</f>
        <v>1609.9840000000002</v>
      </c>
      <c r="I288" s="97"/>
      <c r="J288" s="98"/>
    </row>
    <row r="289" spans="1:16">
      <c r="A289" s="105"/>
      <c r="B289" s="9"/>
      <c r="C289" s="9"/>
      <c r="D289" s="51"/>
      <c r="E289" s="51"/>
      <c r="F289" s="51"/>
      <c r="G289" s="106"/>
      <c r="H289" s="106"/>
      <c r="I289" s="9"/>
      <c r="J289" s="107"/>
    </row>
    <row r="290" spans="1:16" ht="18" customHeight="1">
      <c r="A290" s="85"/>
      <c r="B290" s="163" t="s">
        <v>199</v>
      </c>
      <c r="C290" s="163">
        <v>22</v>
      </c>
      <c r="D290" s="88">
        <v>738</v>
      </c>
      <c r="E290" s="88">
        <v>1810</v>
      </c>
      <c r="F290" s="89">
        <f t="shared" ref="F290:F291" si="223">O290</f>
        <v>32</v>
      </c>
      <c r="G290" s="90">
        <f t="shared" ref="G290:G291" si="224">D290*E290/91809*F290</f>
        <v>465.58572688952063</v>
      </c>
      <c r="H290" s="90">
        <f t="shared" ref="H290:H291" si="225">(D290/1000)*4*F290+(E290/1000)*4*F290</f>
        <v>326.14400000000001</v>
      </c>
      <c r="I290" s="91" t="str">
        <f>I281</f>
        <v>3동5,6라인</v>
      </c>
      <c r="J290" s="92" t="s">
        <v>219</v>
      </c>
      <c r="L290" s="89">
        <v>2</v>
      </c>
      <c r="M290" s="78">
        <f>M272</f>
        <v>16</v>
      </c>
      <c r="N290" s="84"/>
      <c r="O290" s="78">
        <f>L290*M290-N290*L290</f>
        <v>32</v>
      </c>
      <c r="P290" s="64"/>
    </row>
    <row r="291" spans="1:16" ht="18" customHeight="1">
      <c r="A291" s="85"/>
      <c r="B291" s="86"/>
      <c r="C291" s="87"/>
      <c r="D291" s="88">
        <v>250</v>
      </c>
      <c r="E291" s="88">
        <v>930</v>
      </c>
      <c r="F291" s="89">
        <f t="shared" si="223"/>
        <v>32</v>
      </c>
      <c r="G291" s="90">
        <f t="shared" si="224"/>
        <v>81.037806750972123</v>
      </c>
      <c r="H291" s="90">
        <f t="shared" si="225"/>
        <v>151.04000000000002</v>
      </c>
      <c r="I291" s="91" t="str">
        <f>I290</f>
        <v>3동5,6라인</v>
      </c>
      <c r="J291" s="92" t="s">
        <v>220</v>
      </c>
      <c r="L291" s="89">
        <v>2</v>
      </c>
      <c r="M291" s="78">
        <f>M290</f>
        <v>16</v>
      </c>
      <c r="N291" s="84"/>
      <c r="O291" s="78">
        <f t="shared" ref="O291" si="226">L291*M291-N291*L291</f>
        <v>32</v>
      </c>
    </row>
    <row r="292" spans="1:16" ht="18" customHeight="1">
      <c r="A292" s="85"/>
      <c r="B292" s="93"/>
      <c r="C292" s="87"/>
      <c r="D292" s="325" t="s">
        <v>0</v>
      </c>
      <c r="E292" s="325"/>
      <c r="F292" s="94">
        <f>SUM(F290:F291)</f>
        <v>64</v>
      </c>
      <c r="G292" s="95">
        <f>SUM(G290:G291)</f>
        <v>546.62353364049272</v>
      </c>
      <c r="H292" s="95">
        <f>SUM(H290:H291)</f>
        <v>477.18400000000003</v>
      </c>
      <c r="I292" s="97"/>
      <c r="J292" s="98"/>
    </row>
    <row r="293" spans="1:16" ht="18" customHeight="1">
      <c r="A293" s="114"/>
      <c r="B293" s="169"/>
      <c r="C293" s="115"/>
      <c r="D293" s="170"/>
      <c r="E293" s="170"/>
      <c r="F293" s="116"/>
      <c r="G293" s="117"/>
      <c r="H293" s="117"/>
      <c r="I293" s="118"/>
      <c r="J293" s="119"/>
    </row>
    <row r="294" spans="1:16" ht="18" customHeight="1">
      <c r="A294" s="262" t="s">
        <v>234</v>
      </c>
      <c r="B294" s="263" t="s">
        <v>195</v>
      </c>
      <c r="C294" s="264">
        <v>22</v>
      </c>
      <c r="D294" s="265">
        <v>761</v>
      </c>
      <c r="E294" s="265">
        <v>1810</v>
      </c>
      <c r="F294" s="251">
        <f>O294</f>
        <v>40</v>
      </c>
      <c r="G294" s="266">
        <f t="shared" ref="G294:G300" si="227">D294*E294/91809*F294</f>
        <v>600.11981396159422</v>
      </c>
      <c r="H294" s="266">
        <f t="shared" ref="H294:H300" si="228">(D294/1000)*4*F294+(E294/1000)*4*F294</f>
        <v>411.36</v>
      </c>
      <c r="I294" s="267" t="s">
        <v>255</v>
      </c>
      <c r="J294" s="268" t="s">
        <v>205</v>
      </c>
      <c r="L294" s="89">
        <v>2</v>
      </c>
      <c r="M294" s="78">
        <f>10+10</f>
        <v>20</v>
      </c>
      <c r="N294" s="84"/>
      <c r="O294" s="78">
        <f>L294*M294-N294*L294</f>
        <v>40</v>
      </c>
      <c r="P294" s="64"/>
    </row>
    <row r="295" spans="1:16" ht="18" customHeight="1">
      <c r="A295" s="85"/>
      <c r="B295" s="86"/>
      <c r="C295" s="87"/>
      <c r="D295" s="88">
        <v>1688</v>
      </c>
      <c r="E295" s="88">
        <v>1810</v>
      </c>
      <c r="F295" s="89">
        <f t="shared" ref="F295:F300" si="229">O295</f>
        <v>20</v>
      </c>
      <c r="G295" s="90">
        <f t="shared" si="227"/>
        <v>665.57309196266158</v>
      </c>
      <c r="H295" s="90">
        <f t="shared" si="228"/>
        <v>279.84000000000003</v>
      </c>
      <c r="I295" s="91" t="str">
        <f>I294</f>
        <v>9동1,2라인</v>
      </c>
      <c r="J295" s="92" t="s">
        <v>206</v>
      </c>
      <c r="L295" s="89">
        <v>1</v>
      </c>
      <c r="M295" s="78">
        <f>M294</f>
        <v>20</v>
      </c>
      <c r="N295" s="84"/>
      <c r="O295" s="78">
        <f t="shared" ref="O295:O300" si="230">L295*M295-N295*L295</f>
        <v>20</v>
      </c>
    </row>
    <row r="296" spans="1:16" ht="18" customHeight="1">
      <c r="A296" s="85"/>
      <c r="B296" s="86"/>
      <c r="C296" s="87"/>
      <c r="D296" s="88">
        <v>738</v>
      </c>
      <c r="E296" s="88">
        <v>1310</v>
      </c>
      <c r="F296" s="89">
        <f t="shared" si="229"/>
        <v>80</v>
      </c>
      <c r="G296" s="90">
        <f t="shared" si="227"/>
        <v>842.4272130183316</v>
      </c>
      <c r="H296" s="90">
        <f t="shared" si="228"/>
        <v>655.36</v>
      </c>
      <c r="I296" s="91" t="str">
        <f t="shared" ref="I296:I300" si="231">I295</f>
        <v>9동1,2라인</v>
      </c>
      <c r="J296" s="92" t="s">
        <v>207</v>
      </c>
      <c r="L296" s="89">
        <v>4</v>
      </c>
      <c r="M296" s="78">
        <f t="shared" ref="M296:M299" si="232">M295</f>
        <v>20</v>
      </c>
      <c r="N296" s="78"/>
      <c r="O296" s="78">
        <f t="shared" si="230"/>
        <v>80</v>
      </c>
    </row>
    <row r="297" spans="1:16" ht="18" customHeight="1">
      <c r="A297" s="85"/>
      <c r="B297" s="86"/>
      <c r="C297" s="87"/>
      <c r="D297" s="88">
        <v>288</v>
      </c>
      <c r="E297" s="88">
        <v>910</v>
      </c>
      <c r="F297" s="89">
        <f t="shared" si="229"/>
        <v>40</v>
      </c>
      <c r="G297" s="90">
        <f t="shared" si="227"/>
        <v>114.18488383491814</v>
      </c>
      <c r="H297" s="90">
        <f t="shared" si="228"/>
        <v>191.68</v>
      </c>
      <c r="I297" s="91" t="str">
        <f t="shared" si="231"/>
        <v>9동1,2라인</v>
      </c>
      <c r="J297" s="92" t="s">
        <v>208</v>
      </c>
      <c r="L297" s="89">
        <v>2</v>
      </c>
      <c r="M297" s="78">
        <f t="shared" si="232"/>
        <v>20</v>
      </c>
      <c r="N297" s="78"/>
      <c r="O297" s="78">
        <f t="shared" si="230"/>
        <v>40</v>
      </c>
    </row>
    <row r="298" spans="1:16" ht="18" customHeight="1">
      <c r="A298" s="85"/>
      <c r="B298" s="86"/>
      <c r="C298" s="87"/>
      <c r="D298" s="88">
        <v>228</v>
      </c>
      <c r="E298" s="88">
        <v>910</v>
      </c>
      <c r="F298" s="89">
        <f t="shared" si="229"/>
        <v>40</v>
      </c>
      <c r="G298" s="90">
        <f t="shared" si="227"/>
        <v>90.396366369310201</v>
      </c>
      <c r="H298" s="90">
        <f t="shared" si="228"/>
        <v>182.07999999999998</v>
      </c>
      <c r="I298" s="91" t="str">
        <f t="shared" si="231"/>
        <v>9동1,2라인</v>
      </c>
      <c r="J298" s="92" t="s">
        <v>209</v>
      </c>
      <c r="L298" s="89">
        <v>2</v>
      </c>
      <c r="M298" s="78">
        <f t="shared" si="232"/>
        <v>20</v>
      </c>
      <c r="N298" s="78"/>
      <c r="O298" s="78">
        <f t="shared" si="230"/>
        <v>40</v>
      </c>
    </row>
    <row r="299" spans="1:16" ht="18" customHeight="1">
      <c r="A299" s="85"/>
      <c r="B299" s="86"/>
      <c r="C299" s="87"/>
      <c r="D299" s="88">
        <v>438</v>
      </c>
      <c r="E299" s="88">
        <v>270</v>
      </c>
      <c r="F299" s="89">
        <f t="shared" si="229"/>
        <v>40</v>
      </c>
      <c r="G299" s="90">
        <f t="shared" si="227"/>
        <v>51.524360356827763</v>
      </c>
      <c r="H299" s="90">
        <f t="shared" si="228"/>
        <v>113.28</v>
      </c>
      <c r="I299" s="91" t="str">
        <f t="shared" si="231"/>
        <v>9동1,2라인</v>
      </c>
      <c r="J299" s="92" t="s">
        <v>210</v>
      </c>
      <c r="L299" s="89">
        <v>2</v>
      </c>
      <c r="M299" s="78">
        <f t="shared" si="232"/>
        <v>20</v>
      </c>
      <c r="N299" s="78"/>
      <c r="O299" s="78">
        <f t="shared" si="230"/>
        <v>40</v>
      </c>
    </row>
    <row r="300" spans="1:16" ht="18" customHeight="1">
      <c r="A300" s="85"/>
      <c r="B300" s="86"/>
      <c r="C300" s="87"/>
      <c r="D300" s="88">
        <v>208</v>
      </c>
      <c r="E300" s="88">
        <v>910</v>
      </c>
      <c r="F300" s="89">
        <f t="shared" si="229"/>
        <v>40</v>
      </c>
      <c r="G300" s="90">
        <f t="shared" si="227"/>
        <v>82.466860547440888</v>
      </c>
      <c r="H300" s="90">
        <f t="shared" si="228"/>
        <v>178.88</v>
      </c>
      <c r="I300" s="91" t="str">
        <f t="shared" si="231"/>
        <v>9동1,2라인</v>
      </c>
      <c r="J300" s="92" t="s">
        <v>211</v>
      </c>
      <c r="L300" s="89">
        <v>2</v>
      </c>
      <c r="M300" s="78">
        <f>M299</f>
        <v>20</v>
      </c>
      <c r="N300" s="78"/>
      <c r="O300" s="78">
        <f t="shared" si="230"/>
        <v>40</v>
      </c>
    </row>
    <row r="301" spans="1:16" ht="18" customHeight="1">
      <c r="A301" s="85"/>
      <c r="B301" s="93"/>
      <c r="C301" s="87"/>
      <c r="D301" s="325" t="s">
        <v>0</v>
      </c>
      <c r="E301" s="325"/>
      <c r="F301" s="94">
        <f>SUM(F294:F300)</f>
        <v>300</v>
      </c>
      <c r="G301" s="95">
        <f>SUM(G294:G300)</f>
        <v>2446.6925900510846</v>
      </c>
      <c r="H301" s="96">
        <f>SUM(H294:H300)</f>
        <v>2012.48</v>
      </c>
      <c r="I301" s="97"/>
      <c r="J301" s="162"/>
    </row>
    <row r="302" spans="1:16" ht="18" customHeight="1">
      <c r="A302" s="85"/>
      <c r="B302" s="93"/>
      <c r="C302" s="87"/>
      <c r="D302" s="161"/>
      <c r="E302" s="161"/>
      <c r="F302" s="89"/>
      <c r="G302" s="100"/>
      <c r="H302" s="101"/>
      <c r="I302" s="102"/>
      <c r="J302" s="121"/>
      <c r="L302" s="78" t="s">
        <v>48</v>
      </c>
      <c r="M302" s="78" t="s">
        <v>54</v>
      </c>
      <c r="N302" s="78" t="s">
        <v>50</v>
      </c>
      <c r="O302" s="78" t="s">
        <v>55</v>
      </c>
    </row>
    <row r="303" spans="1:16" ht="18" customHeight="1">
      <c r="A303" s="85"/>
      <c r="B303" s="23" t="s">
        <v>197</v>
      </c>
      <c r="C303" s="24">
        <v>22</v>
      </c>
      <c r="D303" s="88">
        <v>761</v>
      </c>
      <c r="E303" s="88">
        <v>1810</v>
      </c>
      <c r="F303" s="89">
        <f t="shared" ref="F303:F309" si="233">O303</f>
        <v>40</v>
      </c>
      <c r="G303" s="90">
        <f t="shared" ref="G303:G309" si="234">D303*E303/91809*F303</f>
        <v>600.11981396159422</v>
      </c>
      <c r="H303" s="90">
        <f t="shared" ref="H303:H309" si="235">(D303/1000)*4*F303+(E303/1000)*4*F303</f>
        <v>411.36</v>
      </c>
      <c r="I303" s="91" t="str">
        <f t="shared" ref="I303:I309" si="236">I294</f>
        <v>9동1,2라인</v>
      </c>
      <c r="J303" s="92" t="s">
        <v>212</v>
      </c>
      <c r="L303" s="89">
        <v>2</v>
      </c>
      <c r="M303" s="78">
        <f>M294</f>
        <v>20</v>
      </c>
      <c r="N303" s="84"/>
      <c r="O303" s="78">
        <f>L303*M303-N303*L303</f>
        <v>40</v>
      </c>
    </row>
    <row r="304" spans="1:16" ht="18" customHeight="1">
      <c r="A304" s="85"/>
      <c r="B304" s="86"/>
      <c r="C304" s="87"/>
      <c r="D304" s="88">
        <v>1688</v>
      </c>
      <c r="E304" s="88">
        <v>1810</v>
      </c>
      <c r="F304" s="89">
        <f t="shared" si="233"/>
        <v>20</v>
      </c>
      <c r="G304" s="90">
        <f t="shared" si="234"/>
        <v>665.57309196266158</v>
      </c>
      <c r="H304" s="90">
        <f t="shared" si="235"/>
        <v>279.84000000000003</v>
      </c>
      <c r="I304" s="91" t="str">
        <f t="shared" si="236"/>
        <v>9동1,2라인</v>
      </c>
      <c r="J304" s="92" t="s">
        <v>213</v>
      </c>
      <c r="L304" s="89">
        <v>1</v>
      </c>
      <c r="M304" s="78">
        <f>M303</f>
        <v>20</v>
      </c>
      <c r="N304" s="84"/>
      <c r="O304" s="78">
        <f>L304*M304-N304*L304</f>
        <v>20</v>
      </c>
    </row>
    <row r="305" spans="1:16" ht="18" customHeight="1">
      <c r="A305" s="104"/>
      <c r="B305" s="93"/>
      <c r="C305" s="87"/>
      <c r="D305" s="88">
        <v>738</v>
      </c>
      <c r="E305" s="88">
        <v>1310</v>
      </c>
      <c r="F305" s="89">
        <f t="shared" si="233"/>
        <v>80</v>
      </c>
      <c r="G305" s="90">
        <f t="shared" si="234"/>
        <v>842.4272130183316</v>
      </c>
      <c r="H305" s="90">
        <f t="shared" si="235"/>
        <v>655.36</v>
      </c>
      <c r="I305" s="91" t="str">
        <f t="shared" si="236"/>
        <v>9동1,2라인</v>
      </c>
      <c r="J305" s="92" t="s">
        <v>214</v>
      </c>
      <c r="L305" s="89">
        <v>4</v>
      </c>
      <c r="M305" s="78">
        <f t="shared" ref="M305:M309" si="237">M304</f>
        <v>20</v>
      </c>
      <c r="N305" s="84"/>
      <c r="O305" s="78">
        <f t="shared" ref="O305:O309" si="238">L305*M305-N305*L305</f>
        <v>80</v>
      </c>
    </row>
    <row r="306" spans="1:16" ht="18" customHeight="1">
      <c r="A306" s="104"/>
      <c r="B306" s="93"/>
      <c r="C306" s="87"/>
      <c r="D306" s="88">
        <v>288</v>
      </c>
      <c r="E306" s="88">
        <v>910</v>
      </c>
      <c r="F306" s="89">
        <f t="shared" si="233"/>
        <v>40</v>
      </c>
      <c r="G306" s="90">
        <f t="shared" si="234"/>
        <v>114.18488383491814</v>
      </c>
      <c r="H306" s="90">
        <f t="shared" si="235"/>
        <v>191.68</v>
      </c>
      <c r="I306" s="91" t="str">
        <f t="shared" si="236"/>
        <v>9동1,2라인</v>
      </c>
      <c r="J306" s="92" t="s">
        <v>215</v>
      </c>
      <c r="L306" s="89">
        <v>2</v>
      </c>
      <c r="M306" s="78">
        <f t="shared" si="237"/>
        <v>20</v>
      </c>
      <c r="N306" s="78"/>
      <c r="O306" s="78">
        <f t="shared" si="238"/>
        <v>40</v>
      </c>
    </row>
    <row r="307" spans="1:16" ht="18" customHeight="1">
      <c r="A307" s="104"/>
      <c r="B307" s="93"/>
      <c r="C307" s="87"/>
      <c r="D307" s="88">
        <v>228</v>
      </c>
      <c r="E307" s="88">
        <v>910</v>
      </c>
      <c r="F307" s="89">
        <f t="shared" si="233"/>
        <v>40</v>
      </c>
      <c r="G307" s="90">
        <f t="shared" si="234"/>
        <v>90.396366369310201</v>
      </c>
      <c r="H307" s="90">
        <f t="shared" si="235"/>
        <v>182.07999999999998</v>
      </c>
      <c r="I307" s="91" t="str">
        <f t="shared" si="236"/>
        <v>9동1,2라인</v>
      </c>
      <c r="J307" s="92" t="s">
        <v>216</v>
      </c>
      <c r="L307" s="89">
        <v>2</v>
      </c>
      <c r="M307" s="78">
        <f t="shared" si="237"/>
        <v>20</v>
      </c>
      <c r="N307" s="78"/>
      <c r="O307" s="78">
        <f t="shared" si="238"/>
        <v>40</v>
      </c>
    </row>
    <row r="308" spans="1:16" ht="18" customHeight="1">
      <c r="A308" s="104"/>
      <c r="B308" s="93"/>
      <c r="C308" s="87"/>
      <c r="D308" s="88">
        <v>438</v>
      </c>
      <c r="E308" s="88">
        <v>270</v>
      </c>
      <c r="F308" s="89">
        <f t="shared" si="233"/>
        <v>40</v>
      </c>
      <c r="G308" s="90">
        <f t="shared" si="234"/>
        <v>51.524360356827763</v>
      </c>
      <c r="H308" s="90">
        <f t="shared" si="235"/>
        <v>113.28</v>
      </c>
      <c r="I308" s="91" t="str">
        <f t="shared" si="236"/>
        <v>9동1,2라인</v>
      </c>
      <c r="J308" s="92" t="s">
        <v>217</v>
      </c>
      <c r="L308" s="89">
        <v>2</v>
      </c>
      <c r="M308" s="78">
        <f t="shared" si="237"/>
        <v>20</v>
      </c>
      <c r="N308" s="78"/>
      <c r="O308" s="78">
        <f t="shared" si="238"/>
        <v>40</v>
      </c>
    </row>
    <row r="309" spans="1:16" ht="18" customHeight="1">
      <c r="A309" s="104"/>
      <c r="B309" s="93"/>
      <c r="C309" s="87"/>
      <c r="D309" s="88">
        <v>208</v>
      </c>
      <c r="E309" s="88">
        <v>910</v>
      </c>
      <c r="F309" s="89">
        <f t="shared" si="233"/>
        <v>40</v>
      </c>
      <c r="G309" s="90">
        <f t="shared" si="234"/>
        <v>82.466860547440888</v>
      </c>
      <c r="H309" s="90">
        <f t="shared" si="235"/>
        <v>178.88</v>
      </c>
      <c r="I309" s="91" t="str">
        <f t="shared" si="236"/>
        <v>9동1,2라인</v>
      </c>
      <c r="J309" s="92" t="s">
        <v>218</v>
      </c>
      <c r="L309" s="89">
        <v>2</v>
      </c>
      <c r="M309" s="78">
        <f t="shared" si="237"/>
        <v>20</v>
      </c>
      <c r="N309" s="78"/>
      <c r="O309" s="78">
        <f t="shared" si="238"/>
        <v>40</v>
      </c>
    </row>
    <row r="310" spans="1:16" ht="18" customHeight="1">
      <c r="A310" s="104"/>
      <c r="B310" s="87"/>
      <c r="C310" s="87"/>
      <c r="D310" s="325" t="s">
        <v>0</v>
      </c>
      <c r="E310" s="325"/>
      <c r="F310" s="171">
        <f>SUM(F303:F309)</f>
        <v>300</v>
      </c>
      <c r="G310" s="95">
        <f>SUM(G303:G309)</f>
        <v>2446.6925900510846</v>
      </c>
      <c r="H310" s="95">
        <f>SUM(H303:H309)</f>
        <v>2012.48</v>
      </c>
      <c r="I310" s="97"/>
      <c r="J310" s="98"/>
    </row>
    <row r="311" spans="1:16">
      <c r="A311" s="105"/>
      <c r="B311" s="9"/>
      <c r="C311" s="9"/>
      <c r="D311" s="51"/>
      <c r="E311" s="51"/>
      <c r="F311" s="51"/>
      <c r="G311" s="106"/>
      <c r="H311" s="106"/>
      <c r="I311" s="9"/>
      <c r="J311" s="107"/>
    </row>
    <row r="312" spans="1:16" ht="18" customHeight="1">
      <c r="A312" s="85"/>
      <c r="B312" s="163" t="s">
        <v>199</v>
      </c>
      <c r="C312" s="163">
        <v>22</v>
      </c>
      <c r="D312" s="88">
        <v>738</v>
      </c>
      <c r="E312" s="88">
        <v>1810</v>
      </c>
      <c r="F312" s="89">
        <f t="shared" ref="F312:F313" si="239">O312</f>
        <v>20</v>
      </c>
      <c r="G312" s="90">
        <f t="shared" ref="G312:G313" si="240">D312*E312/91809*F312</f>
        <v>290.99107930595039</v>
      </c>
      <c r="H312" s="90">
        <f t="shared" ref="H312:H313" si="241">(D312/1000)*4*F312+(E312/1000)*4*F312</f>
        <v>203.84</v>
      </c>
      <c r="I312" s="91" t="str">
        <f>I303</f>
        <v>9동1,2라인</v>
      </c>
      <c r="J312" s="92" t="s">
        <v>219</v>
      </c>
      <c r="L312" s="89">
        <v>2</v>
      </c>
      <c r="M312" s="78">
        <f>M294</f>
        <v>20</v>
      </c>
      <c r="N312" s="84">
        <v>10</v>
      </c>
      <c r="O312" s="78">
        <f>L312*M312-N312*L312</f>
        <v>20</v>
      </c>
      <c r="P312" s="64" t="s">
        <v>244</v>
      </c>
    </row>
    <row r="313" spans="1:16" ht="18" customHeight="1">
      <c r="A313" s="85"/>
      <c r="B313" s="86"/>
      <c r="C313" s="87"/>
      <c r="D313" s="88">
        <v>250</v>
      </c>
      <c r="E313" s="88">
        <v>930</v>
      </c>
      <c r="F313" s="89">
        <f t="shared" si="239"/>
        <v>40</v>
      </c>
      <c r="G313" s="90">
        <f t="shared" si="240"/>
        <v>101.29725843871515</v>
      </c>
      <c r="H313" s="90">
        <f t="shared" si="241"/>
        <v>188.8</v>
      </c>
      <c r="I313" s="91" t="str">
        <f>I312</f>
        <v>9동1,2라인</v>
      </c>
      <c r="J313" s="92" t="s">
        <v>220</v>
      </c>
      <c r="L313" s="89">
        <v>2</v>
      </c>
      <c r="M313" s="78">
        <f>M312</f>
        <v>20</v>
      </c>
      <c r="N313" s="84"/>
      <c r="O313" s="78">
        <f t="shared" ref="O313" si="242">L313*M313-N313*L313</f>
        <v>40</v>
      </c>
    </row>
    <row r="314" spans="1:16" ht="18" customHeight="1">
      <c r="A314" s="85"/>
      <c r="B314" s="93"/>
      <c r="C314" s="87"/>
      <c r="D314" s="325" t="s">
        <v>0</v>
      </c>
      <c r="E314" s="325"/>
      <c r="F314" s="94">
        <f>SUM(F312:F313)</f>
        <v>60</v>
      </c>
      <c r="G314" s="95">
        <f>SUM(G312:G313)</f>
        <v>392.28833774466557</v>
      </c>
      <c r="H314" s="95">
        <f>SUM(H312:H313)</f>
        <v>392.64</v>
      </c>
      <c r="I314" s="97"/>
      <c r="J314" s="98"/>
    </row>
    <row r="315" spans="1:16" ht="18" customHeight="1">
      <c r="A315" s="108"/>
      <c r="B315" s="164"/>
      <c r="C315" s="109"/>
      <c r="D315" s="165"/>
      <c r="E315" s="165"/>
      <c r="F315" s="110"/>
      <c r="G315" s="111"/>
      <c r="H315" s="111"/>
      <c r="I315" s="112"/>
      <c r="J315" s="113"/>
    </row>
    <row r="316" spans="1:16" ht="18" customHeight="1">
      <c r="A316" s="85" t="s">
        <v>235</v>
      </c>
      <c r="B316" s="23" t="s">
        <v>201</v>
      </c>
      <c r="C316" s="24">
        <v>22</v>
      </c>
      <c r="D316" s="88">
        <v>861</v>
      </c>
      <c r="E316" s="88">
        <v>1810</v>
      </c>
      <c r="F316" s="89">
        <f t="shared" ref="F316:F319" si="243">O316</f>
        <v>10</v>
      </c>
      <c r="G316" s="90">
        <f t="shared" ref="G316:G319" si="244">D316*E316/91809*F316</f>
        <v>169.7447962618044</v>
      </c>
      <c r="H316" s="90">
        <f t="shared" ref="H316:H319" si="245">(D316/1000)*4*F316+(E316/1000)*4*F316</f>
        <v>106.84</v>
      </c>
      <c r="I316" s="91" t="s">
        <v>256</v>
      </c>
      <c r="J316" s="92" t="s">
        <v>205</v>
      </c>
      <c r="L316" s="89">
        <v>1</v>
      </c>
      <c r="M316" s="78">
        <v>10</v>
      </c>
      <c r="N316" s="84"/>
      <c r="O316" s="78">
        <f>L316*M316-N316*L316</f>
        <v>10</v>
      </c>
      <c r="P316" s="64"/>
    </row>
    <row r="317" spans="1:16" ht="18" customHeight="1">
      <c r="A317" s="85"/>
      <c r="B317" s="86"/>
      <c r="C317" s="87"/>
      <c r="D317" s="88">
        <v>738</v>
      </c>
      <c r="E317" s="88">
        <v>1310</v>
      </c>
      <c r="F317" s="89">
        <f t="shared" si="243"/>
        <v>40</v>
      </c>
      <c r="G317" s="90">
        <f t="shared" si="244"/>
        <v>421.2136065091658</v>
      </c>
      <c r="H317" s="90">
        <f t="shared" si="245"/>
        <v>327.68</v>
      </c>
      <c r="I317" s="91" t="str">
        <f>I316</f>
        <v>9동3라인</v>
      </c>
      <c r="J317" s="92" t="s">
        <v>207</v>
      </c>
      <c r="L317" s="89">
        <v>4</v>
      </c>
      <c r="M317" s="78">
        <f>M316</f>
        <v>10</v>
      </c>
      <c r="N317" s="84"/>
      <c r="O317" s="78">
        <f t="shared" ref="O317:O319" si="246">L317*M317-N317*L317</f>
        <v>40</v>
      </c>
    </row>
    <row r="318" spans="1:16" ht="18" customHeight="1">
      <c r="A318" s="85"/>
      <c r="B318" s="86"/>
      <c r="C318" s="87"/>
      <c r="D318" s="88">
        <v>228</v>
      </c>
      <c r="E318" s="88">
        <v>910</v>
      </c>
      <c r="F318" s="89">
        <f t="shared" si="243"/>
        <v>20</v>
      </c>
      <c r="G318" s="90">
        <f t="shared" si="244"/>
        <v>45.1981831846551</v>
      </c>
      <c r="H318" s="90">
        <f t="shared" si="245"/>
        <v>91.039999999999992</v>
      </c>
      <c r="I318" s="91" t="str">
        <f t="shared" ref="I318:I319" si="247">I317</f>
        <v>9동3라인</v>
      </c>
      <c r="J318" s="92" t="s">
        <v>209</v>
      </c>
      <c r="L318" s="89">
        <v>2</v>
      </c>
      <c r="M318" s="78">
        <f t="shared" ref="M318:M319" si="248">M317</f>
        <v>10</v>
      </c>
      <c r="N318" s="78"/>
      <c r="O318" s="78">
        <f t="shared" si="246"/>
        <v>20</v>
      </c>
    </row>
    <row r="319" spans="1:16" ht="18" customHeight="1">
      <c r="A319" s="85"/>
      <c r="B319" s="86"/>
      <c r="C319" s="87"/>
      <c r="D319" s="88">
        <v>438</v>
      </c>
      <c r="E319" s="88">
        <v>270</v>
      </c>
      <c r="F319" s="89">
        <f t="shared" si="243"/>
        <v>20</v>
      </c>
      <c r="G319" s="90">
        <f t="shared" si="244"/>
        <v>25.762180178413882</v>
      </c>
      <c r="H319" s="90">
        <f t="shared" si="245"/>
        <v>56.64</v>
      </c>
      <c r="I319" s="91" t="str">
        <f t="shared" si="247"/>
        <v>9동3라인</v>
      </c>
      <c r="J319" s="92" t="s">
        <v>210</v>
      </c>
      <c r="L319" s="89">
        <v>2</v>
      </c>
      <c r="M319" s="78">
        <f t="shared" si="248"/>
        <v>10</v>
      </c>
      <c r="N319" s="78"/>
      <c r="O319" s="78">
        <f t="shared" si="246"/>
        <v>20</v>
      </c>
    </row>
    <row r="320" spans="1:16" ht="18" customHeight="1">
      <c r="A320" s="85"/>
      <c r="B320" s="93"/>
      <c r="C320" s="87"/>
      <c r="D320" s="325" t="s">
        <v>0</v>
      </c>
      <c r="E320" s="325"/>
      <c r="F320" s="94">
        <f>SUM(F316:F319)</f>
        <v>90</v>
      </c>
      <c r="G320" s="95">
        <f>SUM(G316:G319)</f>
        <v>661.91876613403929</v>
      </c>
      <c r="H320" s="96">
        <f>SUM(H316:H319)</f>
        <v>582.19999999999993</v>
      </c>
      <c r="I320" s="97"/>
      <c r="J320" s="162"/>
    </row>
    <row r="321" spans="1:16" ht="18" customHeight="1">
      <c r="A321" s="85"/>
      <c r="B321" s="93"/>
      <c r="C321" s="87"/>
      <c r="D321" s="161"/>
      <c r="E321" s="161"/>
      <c r="F321" s="89"/>
      <c r="G321" s="100"/>
      <c r="H321" s="101"/>
      <c r="I321" s="102"/>
      <c r="J321" s="121"/>
      <c r="L321" s="252"/>
      <c r="M321" s="252"/>
      <c r="N321" s="252"/>
      <c r="O321" s="252"/>
    </row>
    <row r="322" spans="1:16" ht="18" customHeight="1">
      <c r="A322" s="85"/>
      <c r="B322" s="23" t="s">
        <v>198</v>
      </c>
      <c r="C322" s="24">
        <v>22</v>
      </c>
      <c r="D322" s="88">
        <v>861</v>
      </c>
      <c r="E322" s="88">
        <v>1810</v>
      </c>
      <c r="F322" s="89">
        <f t="shared" ref="F322:F326" si="249">O322</f>
        <v>10</v>
      </c>
      <c r="G322" s="90">
        <f t="shared" ref="G322:G326" si="250">D322*E322/91809*F322</f>
        <v>169.7447962618044</v>
      </c>
      <c r="H322" s="90">
        <f t="shared" ref="H322:H326" si="251">(D322/1000)*4*F322+(E322/1000)*4*F322</f>
        <v>106.84</v>
      </c>
      <c r="I322" s="103" t="str">
        <f>I316</f>
        <v>9동3라인</v>
      </c>
      <c r="J322" s="92" t="s">
        <v>212</v>
      </c>
      <c r="L322" s="89">
        <v>1</v>
      </c>
      <c r="M322" s="78">
        <f>M316</f>
        <v>10</v>
      </c>
      <c r="N322" s="84"/>
      <c r="O322" s="78">
        <f>L322*M322-N322*L322</f>
        <v>10</v>
      </c>
    </row>
    <row r="323" spans="1:16" ht="18" customHeight="1">
      <c r="A323" s="85"/>
      <c r="B323" s="86"/>
      <c r="C323" s="87"/>
      <c r="D323" s="88">
        <v>2114</v>
      </c>
      <c r="E323" s="88">
        <v>1810</v>
      </c>
      <c r="F323" s="89">
        <f t="shared" si="249"/>
        <v>10</v>
      </c>
      <c r="G323" s="90">
        <f t="shared" si="250"/>
        <v>416.77177618751978</v>
      </c>
      <c r="H323" s="90">
        <f t="shared" si="251"/>
        <v>156.96</v>
      </c>
      <c r="I323" s="91" t="str">
        <f>I316</f>
        <v>9동3라인</v>
      </c>
      <c r="J323" s="92" t="s">
        <v>213</v>
      </c>
      <c r="L323" s="89">
        <v>1</v>
      </c>
      <c r="M323" s="78">
        <f>M322</f>
        <v>10</v>
      </c>
      <c r="N323" s="84"/>
      <c r="O323" s="78">
        <f>L323*M323-N323*L323</f>
        <v>10</v>
      </c>
    </row>
    <row r="324" spans="1:16" ht="18" customHeight="1">
      <c r="A324" s="104"/>
      <c r="B324" s="93"/>
      <c r="C324" s="87"/>
      <c r="D324" s="88">
        <v>738</v>
      </c>
      <c r="E324" s="88">
        <v>1310</v>
      </c>
      <c r="F324" s="89">
        <f t="shared" si="249"/>
        <v>40</v>
      </c>
      <c r="G324" s="90">
        <f t="shared" si="250"/>
        <v>421.2136065091658</v>
      </c>
      <c r="H324" s="90">
        <f t="shared" si="251"/>
        <v>327.68</v>
      </c>
      <c r="I324" s="91" t="str">
        <f>I323</f>
        <v>9동3라인</v>
      </c>
      <c r="J324" s="92" t="s">
        <v>214</v>
      </c>
      <c r="L324" s="89">
        <v>4</v>
      </c>
      <c r="M324" s="78">
        <f t="shared" ref="M324:M326" si="252">M323</f>
        <v>10</v>
      </c>
      <c r="N324" s="84"/>
      <c r="O324" s="78">
        <f t="shared" ref="O324:O326" si="253">L324*M324-N324*L324</f>
        <v>40</v>
      </c>
    </row>
    <row r="325" spans="1:16" ht="18" customHeight="1">
      <c r="A325" s="104"/>
      <c r="B325" s="93"/>
      <c r="C325" s="87"/>
      <c r="D325" s="88">
        <v>228</v>
      </c>
      <c r="E325" s="88">
        <v>910</v>
      </c>
      <c r="F325" s="89">
        <f t="shared" si="249"/>
        <v>20</v>
      </c>
      <c r="G325" s="90">
        <f t="shared" si="250"/>
        <v>45.1981831846551</v>
      </c>
      <c r="H325" s="90">
        <f t="shared" si="251"/>
        <v>91.039999999999992</v>
      </c>
      <c r="I325" s="91" t="str">
        <f t="shared" ref="I325:I326" si="254">I324</f>
        <v>9동3라인</v>
      </c>
      <c r="J325" s="92" t="s">
        <v>216</v>
      </c>
      <c r="L325" s="89">
        <v>2</v>
      </c>
      <c r="M325" s="78">
        <f t="shared" si="252"/>
        <v>10</v>
      </c>
      <c r="N325" s="78"/>
      <c r="O325" s="78">
        <f t="shared" si="253"/>
        <v>20</v>
      </c>
    </row>
    <row r="326" spans="1:16" ht="18" customHeight="1">
      <c r="A326" s="104"/>
      <c r="B326" s="93"/>
      <c r="C326" s="87"/>
      <c r="D326" s="88">
        <v>438</v>
      </c>
      <c r="E326" s="88">
        <v>270</v>
      </c>
      <c r="F326" s="89">
        <f t="shared" si="249"/>
        <v>20</v>
      </c>
      <c r="G326" s="90">
        <f t="shared" si="250"/>
        <v>25.762180178413882</v>
      </c>
      <c r="H326" s="90">
        <f t="shared" si="251"/>
        <v>56.64</v>
      </c>
      <c r="I326" s="91" t="str">
        <f t="shared" si="254"/>
        <v>9동3라인</v>
      </c>
      <c r="J326" s="92" t="s">
        <v>217</v>
      </c>
      <c r="L326" s="89">
        <v>2</v>
      </c>
      <c r="M326" s="78">
        <f t="shared" si="252"/>
        <v>10</v>
      </c>
      <c r="N326" s="78"/>
      <c r="O326" s="78">
        <f t="shared" si="253"/>
        <v>20</v>
      </c>
    </row>
    <row r="327" spans="1:16" ht="18" customHeight="1">
      <c r="A327" s="104"/>
      <c r="B327" s="87"/>
      <c r="C327" s="87"/>
      <c r="D327" s="325" t="s">
        <v>0</v>
      </c>
      <c r="E327" s="325"/>
      <c r="F327" s="171">
        <f>SUM(F322:F326)</f>
        <v>100</v>
      </c>
      <c r="G327" s="95">
        <f>SUM(G322:G326)</f>
        <v>1078.690542321559</v>
      </c>
      <c r="H327" s="95">
        <f>SUM(H322:H326)</f>
        <v>739.16</v>
      </c>
      <c r="I327" s="97"/>
      <c r="J327" s="98"/>
    </row>
    <row r="328" spans="1:16">
      <c r="A328" s="105"/>
      <c r="B328" s="9"/>
      <c r="C328" s="9"/>
      <c r="D328" s="51"/>
      <c r="E328" s="51"/>
      <c r="F328" s="51"/>
      <c r="G328" s="106"/>
      <c r="H328" s="106"/>
      <c r="I328" s="9"/>
      <c r="J328" s="107"/>
    </row>
    <row r="329" spans="1:16" ht="18" customHeight="1">
      <c r="A329" s="85"/>
      <c r="B329" s="23" t="s">
        <v>237</v>
      </c>
      <c r="C329" s="24">
        <v>22</v>
      </c>
      <c r="D329" s="88">
        <v>2114</v>
      </c>
      <c r="E329" s="88">
        <v>1810</v>
      </c>
      <c r="F329" s="89">
        <f t="shared" ref="F329" si="255">O329</f>
        <v>10</v>
      </c>
      <c r="G329" s="90">
        <f t="shared" ref="G329" si="256">D329*E329/91809*F329</f>
        <v>416.77177618751978</v>
      </c>
      <c r="H329" s="90">
        <f t="shared" ref="H329" si="257">(D329/1000)*4*F329+(E329/1000)*4*F329</f>
        <v>156.96</v>
      </c>
      <c r="I329" s="91" t="str">
        <f>I322</f>
        <v>9동3라인</v>
      </c>
      <c r="J329" s="92" t="s">
        <v>206</v>
      </c>
      <c r="L329" s="89">
        <v>1</v>
      </c>
      <c r="M329" s="78">
        <f>M316</f>
        <v>10</v>
      </c>
      <c r="N329" s="84"/>
      <c r="O329" s="78">
        <f>L329*M329-N329*L329</f>
        <v>10</v>
      </c>
    </row>
    <row r="330" spans="1:16" ht="18" customHeight="1">
      <c r="A330" s="85"/>
      <c r="B330" s="93"/>
      <c r="C330" s="87"/>
      <c r="D330" s="325" t="s">
        <v>0</v>
      </c>
      <c r="E330" s="325"/>
      <c r="F330" s="94">
        <f>SUM(F329:F329)</f>
        <v>10</v>
      </c>
      <c r="G330" s="95">
        <f>SUM(G329:G329)</f>
        <v>416.77177618751978</v>
      </c>
      <c r="H330" s="95">
        <f>SUM(H329:H329)</f>
        <v>156.96</v>
      </c>
      <c r="I330" s="97"/>
      <c r="J330" s="98"/>
    </row>
    <row r="331" spans="1:16" ht="18" customHeight="1">
      <c r="A331" s="218"/>
      <c r="B331" s="219"/>
      <c r="C331" s="220"/>
      <c r="D331" s="161"/>
      <c r="E331" s="161"/>
      <c r="F331" s="89"/>
      <c r="G331" s="100"/>
      <c r="H331" s="100"/>
      <c r="I331" s="102"/>
      <c r="J331" s="221"/>
    </row>
    <row r="332" spans="1:16" ht="18" customHeight="1">
      <c r="A332" s="85"/>
      <c r="B332" s="23" t="s">
        <v>203</v>
      </c>
      <c r="C332" s="24">
        <v>22</v>
      </c>
      <c r="D332" s="88">
        <v>738</v>
      </c>
      <c r="E332" s="88">
        <v>1810</v>
      </c>
      <c r="F332" s="89">
        <f t="shared" ref="F332:F333" si="258">O332</f>
        <v>20</v>
      </c>
      <c r="G332" s="90">
        <f t="shared" ref="G332:G333" si="259">D332*E332/91809*F332</f>
        <v>290.99107930595039</v>
      </c>
      <c r="H332" s="90">
        <f t="shared" ref="H332:H333" si="260">(D332/1000)*4*F332+(E332/1000)*4*F332</f>
        <v>203.84</v>
      </c>
      <c r="I332" s="91" t="str">
        <f>I329</f>
        <v>9동3라인</v>
      </c>
      <c r="J332" s="92" t="s">
        <v>219</v>
      </c>
      <c r="L332" s="89">
        <v>2</v>
      </c>
      <c r="M332" s="78">
        <f>M329</f>
        <v>10</v>
      </c>
      <c r="N332" s="84"/>
      <c r="O332" s="78">
        <f>L332*M332-N332*L332</f>
        <v>20</v>
      </c>
      <c r="P332" s="64"/>
    </row>
    <row r="333" spans="1:16" ht="18" customHeight="1">
      <c r="A333" s="85"/>
      <c r="B333" s="86"/>
      <c r="C333" s="87"/>
      <c r="D333" s="88">
        <v>250</v>
      </c>
      <c r="E333" s="88">
        <v>930</v>
      </c>
      <c r="F333" s="89">
        <f t="shared" si="258"/>
        <v>20</v>
      </c>
      <c r="G333" s="90">
        <f t="shared" si="259"/>
        <v>50.648629219357574</v>
      </c>
      <c r="H333" s="90">
        <f t="shared" si="260"/>
        <v>94.4</v>
      </c>
      <c r="I333" s="91" t="str">
        <f>I332</f>
        <v>9동3라인</v>
      </c>
      <c r="J333" s="92" t="s">
        <v>220</v>
      </c>
      <c r="L333" s="89">
        <v>2</v>
      </c>
      <c r="M333" s="78">
        <f>M332</f>
        <v>10</v>
      </c>
      <c r="N333" s="84"/>
      <c r="O333" s="78">
        <f t="shared" ref="O333" si="261">L333*M333-N333*L333</f>
        <v>20</v>
      </c>
    </row>
    <row r="334" spans="1:16" ht="18" customHeight="1">
      <c r="A334" s="85"/>
      <c r="B334" s="93"/>
      <c r="C334" s="87"/>
      <c r="D334" s="325" t="s">
        <v>0</v>
      </c>
      <c r="E334" s="325"/>
      <c r="F334" s="94">
        <f>SUM(F332:F333)</f>
        <v>40</v>
      </c>
      <c r="G334" s="95">
        <f>SUM(G332:G333)</f>
        <v>341.63970852530798</v>
      </c>
      <c r="H334" s="96">
        <f>SUM(H332:H333)</f>
        <v>298.24</v>
      </c>
      <c r="I334" s="97"/>
      <c r="J334" s="162"/>
    </row>
    <row r="335" spans="1:16" ht="18" customHeight="1" thickBot="1">
      <c r="A335" s="222"/>
      <c r="B335" s="223"/>
      <c r="C335" s="224"/>
      <c r="D335" s="225"/>
      <c r="E335" s="225"/>
      <c r="F335" s="226"/>
      <c r="G335" s="227"/>
      <c r="H335" s="228"/>
      <c r="I335" s="229"/>
      <c r="J335" s="230"/>
      <c r="L335" s="78" t="s">
        <v>48</v>
      </c>
      <c r="M335" s="78" t="s">
        <v>49</v>
      </c>
      <c r="N335" s="78" t="s">
        <v>50</v>
      </c>
      <c r="O335" s="78" t="s">
        <v>55</v>
      </c>
    </row>
    <row r="336" spans="1:16" ht="18" customHeight="1">
      <c r="A336" s="79" t="s">
        <v>234</v>
      </c>
      <c r="B336" s="231" t="s">
        <v>195</v>
      </c>
      <c r="C336" s="232">
        <v>22</v>
      </c>
      <c r="D336" s="80">
        <v>761</v>
      </c>
      <c r="E336" s="80">
        <v>1810</v>
      </c>
      <c r="F336" s="233">
        <f>O336</f>
        <v>14</v>
      </c>
      <c r="G336" s="81">
        <f t="shared" ref="G336:G342" si="262">D336*E336/91809*F336</f>
        <v>210.04193488655798</v>
      </c>
      <c r="H336" s="81">
        <f t="shared" ref="H336:H342" si="263">(D336/1000)*4*F336+(E336/1000)*4*F336</f>
        <v>143.976</v>
      </c>
      <c r="I336" s="82" t="s">
        <v>257</v>
      </c>
      <c r="J336" s="83" t="s">
        <v>205</v>
      </c>
      <c r="L336" s="89">
        <v>2</v>
      </c>
      <c r="M336" s="78">
        <v>7</v>
      </c>
      <c r="N336" s="84"/>
      <c r="O336" s="78">
        <f>L336*M336-N336*L336</f>
        <v>14</v>
      </c>
      <c r="P336" s="64"/>
    </row>
    <row r="337" spans="1:15" ht="18" customHeight="1">
      <c r="A337" s="85"/>
      <c r="B337" s="86"/>
      <c r="C337" s="87"/>
      <c r="D337" s="88">
        <v>1688</v>
      </c>
      <c r="E337" s="88">
        <v>1810</v>
      </c>
      <c r="F337" s="89">
        <f t="shared" ref="F337:F342" si="264">O337</f>
        <v>7</v>
      </c>
      <c r="G337" s="90">
        <f t="shared" si="262"/>
        <v>232.95058218693157</v>
      </c>
      <c r="H337" s="90">
        <f t="shared" si="263"/>
        <v>97.943999999999988</v>
      </c>
      <c r="I337" s="91" t="str">
        <f>I336</f>
        <v>9동4라인</v>
      </c>
      <c r="J337" s="92" t="s">
        <v>206</v>
      </c>
      <c r="L337" s="89">
        <v>1</v>
      </c>
      <c r="M337" s="78">
        <f>M336</f>
        <v>7</v>
      </c>
      <c r="N337" s="84"/>
      <c r="O337" s="78">
        <f t="shared" ref="O337:O342" si="265">L337*M337-N337*L337</f>
        <v>7</v>
      </c>
    </row>
    <row r="338" spans="1:15" ht="18" customHeight="1">
      <c r="A338" s="85"/>
      <c r="B338" s="86"/>
      <c r="C338" s="87"/>
      <c r="D338" s="88">
        <v>738</v>
      </c>
      <c r="E338" s="88">
        <v>1310</v>
      </c>
      <c r="F338" s="89">
        <f t="shared" si="264"/>
        <v>28</v>
      </c>
      <c r="G338" s="90">
        <f t="shared" si="262"/>
        <v>294.84952455641604</v>
      </c>
      <c r="H338" s="90">
        <f t="shared" si="263"/>
        <v>229.376</v>
      </c>
      <c r="I338" s="91" t="str">
        <f t="shared" ref="I338:I342" si="266">I337</f>
        <v>9동4라인</v>
      </c>
      <c r="J338" s="92" t="s">
        <v>207</v>
      </c>
      <c r="L338" s="89">
        <v>4</v>
      </c>
      <c r="M338" s="78">
        <f t="shared" ref="M338:M341" si="267">M337</f>
        <v>7</v>
      </c>
      <c r="N338" s="78"/>
      <c r="O338" s="78">
        <f t="shared" si="265"/>
        <v>28</v>
      </c>
    </row>
    <row r="339" spans="1:15" ht="18" customHeight="1">
      <c r="A339" s="85"/>
      <c r="B339" s="86"/>
      <c r="C339" s="87"/>
      <c r="D339" s="88">
        <v>288</v>
      </c>
      <c r="E339" s="88">
        <v>910</v>
      </c>
      <c r="F339" s="89">
        <f t="shared" si="264"/>
        <v>14</v>
      </c>
      <c r="G339" s="90">
        <f t="shared" si="262"/>
        <v>39.964709342221347</v>
      </c>
      <c r="H339" s="90">
        <f t="shared" si="263"/>
        <v>67.087999999999994</v>
      </c>
      <c r="I339" s="91" t="str">
        <f t="shared" si="266"/>
        <v>9동4라인</v>
      </c>
      <c r="J339" s="92" t="s">
        <v>208</v>
      </c>
      <c r="L339" s="89">
        <v>2</v>
      </c>
      <c r="M339" s="78">
        <f t="shared" si="267"/>
        <v>7</v>
      </c>
      <c r="N339" s="78"/>
      <c r="O339" s="78">
        <f t="shared" si="265"/>
        <v>14</v>
      </c>
    </row>
    <row r="340" spans="1:15" ht="18" customHeight="1">
      <c r="A340" s="85"/>
      <c r="B340" s="86"/>
      <c r="C340" s="87"/>
      <c r="D340" s="88">
        <v>228</v>
      </c>
      <c r="E340" s="88">
        <v>910</v>
      </c>
      <c r="F340" s="89">
        <f t="shared" si="264"/>
        <v>14</v>
      </c>
      <c r="G340" s="90">
        <f t="shared" si="262"/>
        <v>31.638728229258568</v>
      </c>
      <c r="H340" s="90">
        <f t="shared" si="263"/>
        <v>63.728000000000002</v>
      </c>
      <c r="I340" s="91" t="str">
        <f t="shared" si="266"/>
        <v>9동4라인</v>
      </c>
      <c r="J340" s="92" t="s">
        <v>209</v>
      </c>
      <c r="L340" s="89">
        <v>2</v>
      </c>
      <c r="M340" s="78">
        <f t="shared" si="267"/>
        <v>7</v>
      </c>
      <c r="N340" s="78"/>
      <c r="O340" s="78">
        <f t="shared" si="265"/>
        <v>14</v>
      </c>
    </row>
    <row r="341" spans="1:15" ht="18" customHeight="1">
      <c r="A341" s="85"/>
      <c r="B341" s="86"/>
      <c r="C341" s="87"/>
      <c r="D341" s="88">
        <v>438</v>
      </c>
      <c r="E341" s="88">
        <v>270</v>
      </c>
      <c r="F341" s="89">
        <f t="shared" si="264"/>
        <v>14</v>
      </c>
      <c r="G341" s="90">
        <f t="shared" si="262"/>
        <v>18.033526124889718</v>
      </c>
      <c r="H341" s="90">
        <f t="shared" si="263"/>
        <v>39.647999999999996</v>
      </c>
      <c r="I341" s="91" t="str">
        <f t="shared" si="266"/>
        <v>9동4라인</v>
      </c>
      <c r="J341" s="92" t="s">
        <v>210</v>
      </c>
      <c r="L341" s="89">
        <v>2</v>
      </c>
      <c r="M341" s="78">
        <f t="shared" si="267"/>
        <v>7</v>
      </c>
      <c r="N341" s="78"/>
      <c r="O341" s="78">
        <f t="shared" si="265"/>
        <v>14</v>
      </c>
    </row>
    <row r="342" spans="1:15" ht="18" customHeight="1">
      <c r="A342" s="85"/>
      <c r="B342" s="86"/>
      <c r="C342" s="87"/>
      <c r="D342" s="88">
        <v>208</v>
      </c>
      <c r="E342" s="88">
        <v>910</v>
      </c>
      <c r="F342" s="89">
        <f t="shared" si="264"/>
        <v>14</v>
      </c>
      <c r="G342" s="90">
        <f t="shared" si="262"/>
        <v>28.863401191604311</v>
      </c>
      <c r="H342" s="90">
        <f t="shared" si="263"/>
        <v>62.608000000000004</v>
      </c>
      <c r="I342" s="91" t="str">
        <f t="shared" si="266"/>
        <v>9동4라인</v>
      </c>
      <c r="J342" s="92" t="s">
        <v>211</v>
      </c>
      <c r="L342" s="89">
        <v>2</v>
      </c>
      <c r="M342" s="78">
        <f>M341</f>
        <v>7</v>
      </c>
      <c r="N342" s="78"/>
      <c r="O342" s="78">
        <f t="shared" si="265"/>
        <v>14</v>
      </c>
    </row>
    <row r="343" spans="1:15" ht="18" customHeight="1">
      <c r="A343" s="85"/>
      <c r="B343" s="93"/>
      <c r="C343" s="87"/>
      <c r="D343" s="325" t="s">
        <v>0</v>
      </c>
      <c r="E343" s="325"/>
      <c r="F343" s="94">
        <f>SUM(F336:F342)</f>
        <v>105</v>
      </c>
      <c r="G343" s="95">
        <f>SUM(G336:G342)</f>
        <v>856.34240651787968</v>
      </c>
      <c r="H343" s="96">
        <f>SUM(H336:H342)</f>
        <v>704.36799999999994</v>
      </c>
      <c r="I343" s="97"/>
      <c r="J343" s="162"/>
    </row>
    <row r="344" spans="1:15" ht="18" customHeight="1">
      <c r="A344" s="85"/>
      <c r="B344" s="93"/>
      <c r="C344" s="87"/>
      <c r="D344" s="161"/>
      <c r="E344" s="161"/>
      <c r="F344" s="89"/>
      <c r="G344" s="100"/>
      <c r="H344" s="101"/>
      <c r="I344" s="102"/>
      <c r="J344" s="121"/>
      <c r="L344" s="78" t="s">
        <v>48</v>
      </c>
      <c r="M344" s="78" t="s">
        <v>54</v>
      </c>
      <c r="N344" s="78" t="s">
        <v>50</v>
      </c>
      <c r="O344" s="78" t="s">
        <v>55</v>
      </c>
    </row>
    <row r="345" spans="1:15" ht="18" customHeight="1">
      <c r="A345" s="85"/>
      <c r="B345" s="23" t="s">
        <v>197</v>
      </c>
      <c r="C345" s="24">
        <v>22</v>
      </c>
      <c r="D345" s="88">
        <v>761</v>
      </c>
      <c r="E345" s="88">
        <v>1810</v>
      </c>
      <c r="F345" s="89">
        <f t="shared" ref="F345:F351" si="268">O345</f>
        <v>14</v>
      </c>
      <c r="G345" s="90">
        <f t="shared" ref="G345:G351" si="269">D345*E345/91809*F345</f>
        <v>210.04193488655798</v>
      </c>
      <c r="H345" s="90">
        <f t="shared" ref="H345:H351" si="270">(D345/1000)*4*F345+(E345/1000)*4*F345</f>
        <v>143.976</v>
      </c>
      <c r="I345" s="91" t="str">
        <f t="shared" ref="I345:I351" si="271">I336</f>
        <v>9동4라인</v>
      </c>
      <c r="J345" s="92" t="s">
        <v>212</v>
      </c>
      <c r="L345" s="89">
        <v>2</v>
      </c>
      <c r="M345" s="78">
        <f>M336</f>
        <v>7</v>
      </c>
      <c r="N345" s="84"/>
      <c r="O345" s="78">
        <f>L345*M345-N345*L345</f>
        <v>14</v>
      </c>
    </row>
    <row r="346" spans="1:15" ht="18" customHeight="1">
      <c r="A346" s="85"/>
      <c r="B346" s="86"/>
      <c r="C346" s="87"/>
      <c r="D346" s="88">
        <v>1688</v>
      </c>
      <c r="E346" s="88">
        <v>1810</v>
      </c>
      <c r="F346" s="89">
        <f t="shared" si="268"/>
        <v>7</v>
      </c>
      <c r="G346" s="90">
        <f t="shared" si="269"/>
        <v>232.95058218693157</v>
      </c>
      <c r="H346" s="90">
        <f t="shared" si="270"/>
        <v>97.943999999999988</v>
      </c>
      <c r="I346" s="91" t="str">
        <f t="shared" si="271"/>
        <v>9동4라인</v>
      </c>
      <c r="J346" s="92" t="s">
        <v>213</v>
      </c>
      <c r="L346" s="89">
        <v>1</v>
      </c>
      <c r="M346" s="78">
        <f>M345</f>
        <v>7</v>
      </c>
      <c r="N346" s="84"/>
      <c r="O346" s="78">
        <f>L346*M346-N346*L346</f>
        <v>7</v>
      </c>
    </row>
    <row r="347" spans="1:15" ht="18" customHeight="1">
      <c r="A347" s="104"/>
      <c r="B347" s="93"/>
      <c r="C347" s="87"/>
      <c r="D347" s="88">
        <v>738</v>
      </c>
      <c r="E347" s="88">
        <v>1310</v>
      </c>
      <c r="F347" s="89">
        <f t="shared" si="268"/>
        <v>28</v>
      </c>
      <c r="G347" s="90">
        <f t="shared" si="269"/>
        <v>294.84952455641604</v>
      </c>
      <c r="H347" s="90">
        <f t="shared" si="270"/>
        <v>229.376</v>
      </c>
      <c r="I347" s="91" t="str">
        <f t="shared" si="271"/>
        <v>9동4라인</v>
      </c>
      <c r="J347" s="92" t="s">
        <v>214</v>
      </c>
      <c r="L347" s="89">
        <v>4</v>
      </c>
      <c r="M347" s="78">
        <f t="shared" ref="M347:M351" si="272">M346</f>
        <v>7</v>
      </c>
      <c r="N347" s="84"/>
      <c r="O347" s="78">
        <f t="shared" ref="O347:O351" si="273">L347*M347-N347*L347</f>
        <v>28</v>
      </c>
    </row>
    <row r="348" spans="1:15" ht="18" customHeight="1">
      <c r="A348" s="104"/>
      <c r="B348" s="93"/>
      <c r="C348" s="87"/>
      <c r="D348" s="88">
        <v>288</v>
      </c>
      <c r="E348" s="88">
        <v>910</v>
      </c>
      <c r="F348" s="89">
        <f t="shared" si="268"/>
        <v>14</v>
      </c>
      <c r="G348" s="90">
        <f t="shared" si="269"/>
        <v>39.964709342221347</v>
      </c>
      <c r="H348" s="90">
        <f t="shared" si="270"/>
        <v>67.087999999999994</v>
      </c>
      <c r="I348" s="91" t="str">
        <f t="shared" si="271"/>
        <v>9동4라인</v>
      </c>
      <c r="J348" s="92" t="s">
        <v>215</v>
      </c>
      <c r="L348" s="89">
        <v>2</v>
      </c>
      <c r="M348" s="78">
        <f t="shared" si="272"/>
        <v>7</v>
      </c>
      <c r="N348" s="78"/>
      <c r="O348" s="78">
        <f t="shared" si="273"/>
        <v>14</v>
      </c>
    </row>
    <row r="349" spans="1:15" ht="18" customHeight="1">
      <c r="A349" s="104"/>
      <c r="B349" s="93"/>
      <c r="C349" s="87"/>
      <c r="D349" s="88">
        <v>228</v>
      </c>
      <c r="E349" s="88">
        <v>910</v>
      </c>
      <c r="F349" s="89">
        <f t="shared" si="268"/>
        <v>14</v>
      </c>
      <c r="G349" s="90">
        <f t="shared" si="269"/>
        <v>31.638728229258568</v>
      </c>
      <c r="H349" s="90">
        <f t="shared" si="270"/>
        <v>63.728000000000002</v>
      </c>
      <c r="I349" s="91" t="str">
        <f t="shared" si="271"/>
        <v>9동4라인</v>
      </c>
      <c r="J349" s="92" t="s">
        <v>216</v>
      </c>
      <c r="L349" s="89">
        <v>2</v>
      </c>
      <c r="M349" s="78">
        <f t="shared" si="272"/>
        <v>7</v>
      </c>
      <c r="N349" s="78"/>
      <c r="O349" s="78">
        <f t="shared" si="273"/>
        <v>14</v>
      </c>
    </row>
    <row r="350" spans="1:15" ht="18" customHeight="1">
      <c r="A350" s="104"/>
      <c r="B350" s="93"/>
      <c r="C350" s="87"/>
      <c r="D350" s="88">
        <v>438</v>
      </c>
      <c r="E350" s="88">
        <v>270</v>
      </c>
      <c r="F350" s="89">
        <f t="shared" si="268"/>
        <v>14</v>
      </c>
      <c r="G350" s="90">
        <f t="shared" si="269"/>
        <v>18.033526124889718</v>
      </c>
      <c r="H350" s="90">
        <f t="shared" si="270"/>
        <v>39.647999999999996</v>
      </c>
      <c r="I350" s="91" t="str">
        <f t="shared" si="271"/>
        <v>9동4라인</v>
      </c>
      <c r="J350" s="92" t="s">
        <v>217</v>
      </c>
      <c r="L350" s="89">
        <v>2</v>
      </c>
      <c r="M350" s="78">
        <f t="shared" si="272"/>
        <v>7</v>
      </c>
      <c r="N350" s="78"/>
      <c r="O350" s="78">
        <f t="shared" si="273"/>
        <v>14</v>
      </c>
    </row>
    <row r="351" spans="1:15" ht="18" customHeight="1">
      <c r="A351" s="104"/>
      <c r="B351" s="93"/>
      <c r="C351" s="87"/>
      <c r="D351" s="88">
        <v>208</v>
      </c>
      <c r="E351" s="88">
        <v>910</v>
      </c>
      <c r="F351" s="89">
        <f t="shared" si="268"/>
        <v>14</v>
      </c>
      <c r="G351" s="90">
        <f t="shared" si="269"/>
        <v>28.863401191604311</v>
      </c>
      <c r="H351" s="90">
        <f t="shared" si="270"/>
        <v>62.608000000000004</v>
      </c>
      <c r="I351" s="91" t="str">
        <f t="shared" si="271"/>
        <v>9동4라인</v>
      </c>
      <c r="J351" s="92" t="s">
        <v>218</v>
      </c>
      <c r="L351" s="89">
        <v>2</v>
      </c>
      <c r="M351" s="78">
        <f t="shared" si="272"/>
        <v>7</v>
      </c>
      <c r="N351" s="78"/>
      <c r="O351" s="78">
        <f t="shared" si="273"/>
        <v>14</v>
      </c>
    </row>
    <row r="352" spans="1:15" ht="18" customHeight="1">
      <c r="A352" s="104"/>
      <c r="B352" s="87"/>
      <c r="C352" s="87"/>
      <c r="D352" s="325" t="s">
        <v>0</v>
      </c>
      <c r="E352" s="325"/>
      <c r="F352" s="171">
        <f>SUM(F345:F351)</f>
        <v>105</v>
      </c>
      <c r="G352" s="95">
        <f>SUM(G345:G351)</f>
        <v>856.34240651787968</v>
      </c>
      <c r="H352" s="95">
        <f>SUM(H345:H351)</f>
        <v>704.36799999999994</v>
      </c>
      <c r="I352" s="97"/>
      <c r="J352" s="98"/>
    </row>
    <row r="353" spans="1:16">
      <c r="A353" s="105"/>
      <c r="B353" s="9"/>
      <c r="C353" s="9"/>
      <c r="D353" s="51"/>
      <c r="E353" s="51"/>
      <c r="F353" s="51"/>
      <c r="G353" s="106"/>
      <c r="H353" s="106"/>
      <c r="I353" s="9"/>
      <c r="J353" s="107"/>
    </row>
    <row r="354" spans="1:16" ht="18" customHeight="1">
      <c r="A354" s="85"/>
      <c r="B354" s="163" t="s">
        <v>199</v>
      </c>
      <c r="C354" s="163">
        <v>22</v>
      </c>
      <c r="D354" s="88">
        <v>738</v>
      </c>
      <c r="E354" s="88">
        <v>1810</v>
      </c>
      <c r="F354" s="89">
        <f t="shared" ref="F354:F355" si="274">O354</f>
        <v>14</v>
      </c>
      <c r="G354" s="90">
        <f t="shared" ref="G354:G355" si="275">D354*E354/91809*F354</f>
        <v>203.69375551416528</v>
      </c>
      <c r="H354" s="90">
        <f t="shared" ref="H354:H355" si="276">(D354/1000)*4*F354+(E354/1000)*4*F354</f>
        <v>142.68799999999999</v>
      </c>
      <c r="I354" s="91" t="str">
        <f>I345</f>
        <v>9동4라인</v>
      </c>
      <c r="J354" s="92" t="s">
        <v>219</v>
      </c>
      <c r="L354" s="89">
        <v>2</v>
      </c>
      <c r="M354" s="78">
        <f>M336</f>
        <v>7</v>
      </c>
      <c r="N354" s="84"/>
      <c r="O354" s="78">
        <f>L354*M354-N354*L354</f>
        <v>14</v>
      </c>
      <c r="P354" s="64"/>
    </row>
    <row r="355" spans="1:16" ht="18" customHeight="1">
      <c r="A355" s="85"/>
      <c r="B355" s="86"/>
      <c r="C355" s="87"/>
      <c r="D355" s="88">
        <v>250</v>
      </c>
      <c r="E355" s="88">
        <v>930</v>
      </c>
      <c r="F355" s="89">
        <f t="shared" si="274"/>
        <v>14</v>
      </c>
      <c r="G355" s="90">
        <f t="shared" si="275"/>
        <v>35.454040453550306</v>
      </c>
      <c r="H355" s="90">
        <f t="shared" si="276"/>
        <v>66.080000000000013</v>
      </c>
      <c r="I355" s="91" t="str">
        <f>I354</f>
        <v>9동4라인</v>
      </c>
      <c r="J355" s="92" t="s">
        <v>220</v>
      </c>
      <c r="L355" s="89">
        <v>2</v>
      </c>
      <c r="M355" s="78">
        <f>M354</f>
        <v>7</v>
      </c>
      <c r="N355" s="84"/>
      <c r="O355" s="78">
        <f t="shared" ref="O355" si="277">L355*M355-N355*L355</f>
        <v>14</v>
      </c>
    </row>
    <row r="356" spans="1:16" ht="18" customHeight="1">
      <c r="A356" s="85"/>
      <c r="B356" s="93"/>
      <c r="C356" s="87"/>
      <c r="D356" s="325" t="s">
        <v>0</v>
      </c>
      <c r="E356" s="325"/>
      <c r="F356" s="94">
        <f>SUM(F354:F355)</f>
        <v>28</v>
      </c>
      <c r="G356" s="95">
        <f>SUM(G354:G355)</f>
        <v>239.14779596771558</v>
      </c>
      <c r="H356" s="95">
        <f>SUM(H354:H355)</f>
        <v>208.768</v>
      </c>
      <c r="I356" s="97"/>
      <c r="J356" s="98"/>
    </row>
    <row r="357" spans="1:16" ht="18" customHeight="1">
      <c r="A357" s="236"/>
      <c r="B357" s="237"/>
      <c r="C357" s="238"/>
      <c r="D357" s="362"/>
      <c r="E357" s="362"/>
      <c r="F357" s="239"/>
      <c r="G357" s="240"/>
      <c r="H357" s="241"/>
      <c r="I357" s="242"/>
      <c r="J357" s="243"/>
    </row>
    <row r="358" spans="1:16" ht="18" customHeight="1">
      <c r="A358" s="244" t="s">
        <v>234</v>
      </c>
      <c r="B358" s="23" t="s">
        <v>195</v>
      </c>
      <c r="C358" s="24">
        <v>22</v>
      </c>
      <c r="D358" s="88">
        <v>761</v>
      </c>
      <c r="E358" s="88">
        <v>1810</v>
      </c>
      <c r="F358" s="89">
        <f>O358</f>
        <v>14</v>
      </c>
      <c r="G358" s="90">
        <f t="shared" ref="G358:G364" si="278">D358*E358/91809*F358</f>
        <v>210.04193488655798</v>
      </c>
      <c r="H358" s="90">
        <f t="shared" ref="H358:H364" si="279">(D358/1000)*4*F358+(E358/1000)*4*F358</f>
        <v>143.976</v>
      </c>
      <c r="I358" s="91" t="s">
        <v>258</v>
      </c>
      <c r="J358" s="163" t="s">
        <v>205</v>
      </c>
      <c r="L358" s="89">
        <v>2</v>
      </c>
      <c r="M358" s="78">
        <v>7</v>
      </c>
      <c r="N358" s="84"/>
      <c r="O358" s="78">
        <f>L358*M358-N358*L358</f>
        <v>14</v>
      </c>
      <c r="P358" s="64"/>
    </row>
    <row r="359" spans="1:16" ht="18" customHeight="1">
      <c r="A359" s="85"/>
      <c r="B359" s="86"/>
      <c r="C359" s="87"/>
      <c r="D359" s="88">
        <v>1688</v>
      </c>
      <c r="E359" s="88">
        <v>1810</v>
      </c>
      <c r="F359" s="89">
        <f t="shared" ref="F359:F364" si="280">O359</f>
        <v>7</v>
      </c>
      <c r="G359" s="90">
        <f t="shared" si="278"/>
        <v>232.95058218693157</v>
      </c>
      <c r="H359" s="90">
        <f t="shared" si="279"/>
        <v>97.943999999999988</v>
      </c>
      <c r="I359" s="91" t="str">
        <f>I358</f>
        <v>9동5라인</v>
      </c>
      <c r="J359" s="92" t="s">
        <v>206</v>
      </c>
      <c r="L359" s="89">
        <v>1</v>
      </c>
      <c r="M359" s="78">
        <f>M358</f>
        <v>7</v>
      </c>
      <c r="N359" s="84"/>
      <c r="O359" s="78">
        <f t="shared" ref="O359:O364" si="281">L359*M359-N359*L359</f>
        <v>7</v>
      </c>
    </row>
    <row r="360" spans="1:16" ht="18" customHeight="1">
      <c r="A360" s="85"/>
      <c r="B360" s="86"/>
      <c r="C360" s="87"/>
      <c r="D360" s="88">
        <v>738</v>
      </c>
      <c r="E360" s="88">
        <v>1310</v>
      </c>
      <c r="F360" s="89">
        <f t="shared" si="280"/>
        <v>28</v>
      </c>
      <c r="G360" s="90">
        <f t="shared" si="278"/>
        <v>294.84952455641604</v>
      </c>
      <c r="H360" s="90">
        <f t="shared" si="279"/>
        <v>229.376</v>
      </c>
      <c r="I360" s="91" t="str">
        <f t="shared" ref="I360:I364" si="282">I359</f>
        <v>9동5라인</v>
      </c>
      <c r="J360" s="92" t="s">
        <v>207</v>
      </c>
      <c r="L360" s="89">
        <v>4</v>
      </c>
      <c r="M360" s="78">
        <f t="shared" ref="M360:M363" si="283">M359</f>
        <v>7</v>
      </c>
      <c r="N360" s="78"/>
      <c r="O360" s="78">
        <f t="shared" si="281"/>
        <v>28</v>
      </c>
    </row>
    <row r="361" spans="1:16" ht="18" customHeight="1">
      <c r="A361" s="85"/>
      <c r="B361" s="86"/>
      <c r="C361" s="87"/>
      <c r="D361" s="88">
        <v>288</v>
      </c>
      <c r="E361" s="88">
        <v>910</v>
      </c>
      <c r="F361" s="89">
        <f t="shared" si="280"/>
        <v>14</v>
      </c>
      <c r="G361" s="90">
        <f t="shared" si="278"/>
        <v>39.964709342221347</v>
      </c>
      <c r="H361" s="90">
        <f t="shared" si="279"/>
        <v>67.087999999999994</v>
      </c>
      <c r="I361" s="91" t="str">
        <f t="shared" si="282"/>
        <v>9동5라인</v>
      </c>
      <c r="J361" s="92" t="s">
        <v>208</v>
      </c>
      <c r="L361" s="89">
        <v>2</v>
      </c>
      <c r="M361" s="78">
        <f t="shared" si="283"/>
        <v>7</v>
      </c>
      <c r="N361" s="78"/>
      <c r="O361" s="78">
        <f t="shared" si="281"/>
        <v>14</v>
      </c>
    </row>
    <row r="362" spans="1:16" ht="18" customHeight="1">
      <c r="A362" s="85"/>
      <c r="B362" s="86"/>
      <c r="C362" s="87"/>
      <c r="D362" s="88">
        <v>228</v>
      </c>
      <c r="E362" s="88">
        <v>910</v>
      </c>
      <c r="F362" s="89">
        <f t="shared" si="280"/>
        <v>14</v>
      </c>
      <c r="G362" s="90">
        <f t="shared" si="278"/>
        <v>31.638728229258568</v>
      </c>
      <c r="H362" s="90">
        <f t="shared" si="279"/>
        <v>63.728000000000002</v>
      </c>
      <c r="I362" s="91" t="str">
        <f t="shared" si="282"/>
        <v>9동5라인</v>
      </c>
      <c r="J362" s="92" t="s">
        <v>209</v>
      </c>
      <c r="L362" s="89">
        <v>2</v>
      </c>
      <c r="M362" s="78">
        <f t="shared" si="283"/>
        <v>7</v>
      </c>
      <c r="N362" s="78"/>
      <c r="O362" s="78">
        <f t="shared" si="281"/>
        <v>14</v>
      </c>
    </row>
    <row r="363" spans="1:16" ht="18" customHeight="1">
      <c r="A363" s="85"/>
      <c r="B363" s="86"/>
      <c r="C363" s="87"/>
      <c r="D363" s="88">
        <v>438</v>
      </c>
      <c r="E363" s="88">
        <v>270</v>
      </c>
      <c r="F363" s="89">
        <f t="shared" si="280"/>
        <v>14</v>
      </c>
      <c r="G363" s="90">
        <f t="shared" si="278"/>
        <v>18.033526124889718</v>
      </c>
      <c r="H363" s="90">
        <f t="shared" si="279"/>
        <v>39.647999999999996</v>
      </c>
      <c r="I363" s="91" t="str">
        <f t="shared" si="282"/>
        <v>9동5라인</v>
      </c>
      <c r="J363" s="92" t="s">
        <v>210</v>
      </c>
      <c r="L363" s="89">
        <v>2</v>
      </c>
      <c r="M363" s="78">
        <f t="shared" si="283"/>
        <v>7</v>
      </c>
      <c r="N363" s="78"/>
      <c r="O363" s="78">
        <f t="shared" si="281"/>
        <v>14</v>
      </c>
    </row>
    <row r="364" spans="1:16" ht="18" customHeight="1">
      <c r="A364" s="85"/>
      <c r="B364" s="86"/>
      <c r="C364" s="87"/>
      <c r="D364" s="88">
        <v>208</v>
      </c>
      <c r="E364" s="88">
        <v>910</v>
      </c>
      <c r="F364" s="89">
        <f t="shared" si="280"/>
        <v>14</v>
      </c>
      <c r="G364" s="90">
        <f t="shared" si="278"/>
        <v>28.863401191604311</v>
      </c>
      <c r="H364" s="90">
        <f t="shared" si="279"/>
        <v>62.608000000000004</v>
      </c>
      <c r="I364" s="91" t="str">
        <f t="shared" si="282"/>
        <v>9동5라인</v>
      </c>
      <c r="J364" s="92" t="s">
        <v>211</v>
      </c>
      <c r="L364" s="89">
        <v>2</v>
      </c>
      <c r="M364" s="78">
        <f>M363</f>
        <v>7</v>
      </c>
      <c r="N364" s="78"/>
      <c r="O364" s="78">
        <f t="shared" si="281"/>
        <v>14</v>
      </c>
    </row>
    <row r="365" spans="1:16" ht="18" customHeight="1">
      <c r="A365" s="85"/>
      <c r="B365" s="93"/>
      <c r="C365" s="87"/>
      <c r="D365" s="325" t="s">
        <v>0</v>
      </c>
      <c r="E365" s="325"/>
      <c r="F365" s="94">
        <f>SUM(F358:F364)</f>
        <v>105</v>
      </c>
      <c r="G365" s="95">
        <f>SUM(G358:G364)</f>
        <v>856.34240651787968</v>
      </c>
      <c r="H365" s="96">
        <f>SUM(H358:H364)</f>
        <v>704.36799999999994</v>
      </c>
      <c r="I365" s="97"/>
      <c r="J365" s="162"/>
    </row>
    <row r="366" spans="1:16" ht="18" customHeight="1">
      <c r="A366" s="85"/>
      <c r="B366" s="93"/>
      <c r="C366" s="87"/>
      <c r="D366" s="161"/>
      <c r="E366" s="161"/>
      <c r="F366" s="89"/>
      <c r="G366" s="100"/>
      <c r="H366" s="101"/>
      <c r="I366" s="102"/>
      <c r="J366" s="121"/>
      <c r="L366" s="78" t="s">
        <v>48</v>
      </c>
      <c r="M366" s="78" t="s">
        <v>54</v>
      </c>
      <c r="N366" s="78" t="s">
        <v>50</v>
      </c>
      <c r="O366" s="78" t="s">
        <v>55</v>
      </c>
    </row>
    <row r="367" spans="1:16" ht="18" customHeight="1">
      <c r="A367" s="85"/>
      <c r="B367" s="23" t="s">
        <v>197</v>
      </c>
      <c r="C367" s="24">
        <v>22</v>
      </c>
      <c r="D367" s="88">
        <v>761</v>
      </c>
      <c r="E367" s="88">
        <v>1810</v>
      </c>
      <c r="F367" s="89">
        <f t="shared" ref="F367:F373" si="284">O367</f>
        <v>14</v>
      </c>
      <c r="G367" s="90">
        <f t="shared" ref="G367:G373" si="285">D367*E367/91809*F367</f>
        <v>210.04193488655798</v>
      </c>
      <c r="H367" s="90">
        <f t="shared" ref="H367:H373" si="286">(D367/1000)*4*F367+(E367/1000)*4*F367</f>
        <v>143.976</v>
      </c>
      <c r="I367" s="91" t="str">
        <f t="shared" ref="I367:I373" si="287">I358</f>
        <v>9동5라인</v>
      </c>
      <c r="J367" s="92" t="s">
        <v>212</v>
      </c>
      <c r="L367" s="89">
        <v>2</v>
      </c>
      <c r="M367" s="78">
        <f>M358</f>
        <v>7</v>
      </c>
      <c r="N367" s="84"/>
      <c r="O367" s="78">
        <f>L367*M367-N367*L367</f>
        <v>14</v>
      </c>
    </row>
    <row r="368" spans="1:16" ht="18" customHeight="1">
      <c r="A368" s="85"/>
      <c r="B368" s="86"/>
      <c r="C368" s="87"/>
      <c r="D368" s="88">
        <v>1688</v>
      </c>
      <c r="E368" s="88">
        <v>1810</v>
      </c>
      <c r="F368" s="89">
        <f t="shared" si="284"/>
        <v>7</v>
      </c>
      <c r="G368" s="90">
        <f t="shared" si="285"/>
        <v>232.95058218693157</v>
      </c>
      <c r="H368" s="90">
        <f t="shared" si="286"/>
        <v>97.943999999999988</v>
      </c>
      <c r="I368" s="91" t="str">
        <f t="shared" si="287"/>
        <v>9동5라인</v>
      </c>
      <c r="J368" s="92" t="s">
        <v>213</v>
      </c>
      <c r="L368" s="89">
        <v>1</v>
      </c>
      <c r="M368" s="78">
        <f>M367</f>
        <v>7</v>
      </c>
      <c r="N368" s="84"/>
      <c r="O368" s="78">
        <f>L368*M368-N368*L368</f>
        <v>7</v>
      </c>
    </row>
    <row r="369" spans="1:16" ht="18" customHeight="1">
      <c r="A369" s="104"/>
      <c r="B369" s="93"/>
      <c r="C369" s="87"/>
      <c r="D369" s="88">
        <v>738</v>
      </c>
      <c r="E369" s="88">
        <v>1310</v>
      </c>
      <c r="F369" s="89">
        <f t="shared" si="284"/>
        <v>28</v>
      </c>
      <c r="G369" s="90">
        <f t="shared" si="285"/>
        <v>294.84952455641604</v>
      </c>
      <c r="H369" s="90">
        <f t="shared" si="286"/>
        <v>229.376</v>
      </c>
      <c r="I369" s="91" t="str">
        <f t="shared" si="287"/>
        <v>9동5라인</v>
      </c>
      <c r="J369" s="92" t="s">
        <v>214</v>
      </c>
      <c r="L369" s="89">
        <v>4</v>
      </c>
      <c r="M369" s="78">
        <f t="shared" ref="M369:M373" si="288">M368</f>
        <v>7</v>
      </c>
      <c r="N369" s="84"/>
      <c r="O369" s="78">
        <f t="shared" ref="O369:O373" si="289">L369*M369-N369*L369</f>
        <v>28</v>
      </c>
    </row>
    <row r="370" spans="1:16" ht="18" customHeight="1">
      <c r="A370" s="104"/>
      <c r="B370" s="93"/>
      <c r="C370" s="87"/>
      <c r="D370" s="88">
        <v>288</v>
      </c>
      <c r="E370" s="88">
        <v>910</v>
      </c>
      <c r="F370" s="89">
        <f t="shared" si="284"/>
        <v>14</v>
      </c>
      <c r="G370" s="90">
        <f t="shared" si="285"/>
        <v>39.964709342221347</v>
      </c>
      <c r="H370" s="90">
        <f t="shared" si="286"/>
        <v>67.087999999999994</v>
      </c>
      <c r="I370" s="91" t="str">
        <f t="shared" si="287"/>
        <v>9동5라인</v>
      </c>
      <c r="J370" s="92" t="s">
        <v>215</v>
      </c>
      <c r="L370" s="89">
        <v>2</v>
      </c>
      <c r="M370" s="78">
        <f t="shared" si="288"/>
        <v>7</v>
      </c>
      <c r="N370" s="78"/>
      <c r="O370" s="78">
        <f t="shared" si="289"/>
        <v>14</v>
      </c>
    </row>
    <row r="371" spans="1:16" ht="18" customHeight="1">
      <c r="A371" s="104"/>
      <c r="B371" s="93"/>
      <c r="C371" s="87"/>
      <c r="D371" s="88">
        <v>228</v>
      </c>
      <c r="E371" s="88">
        <v>910</v>
      </c>
      <c r="F371" s="89">
        <f t="shared" si="284"/>
        <v>14</v>
      </c>
      <c r="G371" s="90">
        <f t="shared" si="285"/>
        <v>31.638728229258568</v>
      </c>
      <c r="H371" s="90">
        <f t="shared" si="286"/>
        <v>63.728000000000002</v>
      </c>
      <c r="I371" s="91" t="str">
        <f t="shared" si="287"/>
        <v>9동5라인</v>
      </c>
      <c r="J371" s="92" t="s">
        <v>216</v>
      </c>
      <c r="L371" s="89">
        <v>2</v>
      </c>
      <c r="M371" s="78">
        <f t="shared" si="288"/>
        <v>7</v>
      </c>
      <c r="N371" s="78"/>
      <c r="O371" s="78">
        <f t="shared" si="289"/>
        <v>14</v>
      </c>
    </row>
    <row r="372" spans="1:16" ht="18" customHeight="1">
      <c r="A372" s="104"/>
      <c r="B372" s="93"/>
      <c r="C372" s="87"/>
      <c r="D372" s="88">
        <v>438</v>
      </c>
      <c r="E372" s="88">
        <v>270</v>
      </c>
      <c r="F372" s="89">
        <f t="shared" si="284"/>
        <v>14</v>
      </c>
      <c r="G372" s="90">
        <f t="shared" si="285"/>
        <v>18.033526124889718</v>
      </c>
      <c r="H372" s="90">
        <f t="shared" si="286"/>
        <v>39.647999999999996</v>
      </c>
      <c r="I372" s="91" t="str">
        <f t="shared" si="287"/>
        <v>9동5라인</v>
      </c>
      <c r="J372" s="92" t="s">
        <v>217</v>
      </c>
      <c r="L372" s="89">
        <v>2</v>
      </c>
      <c r="M372" s="78">
        <f t="shared" si="288"/>
        <v>7</v>
      </c>
      <c r="N372" s="78"/>
      <c r="O372" s="78">
        <f t="shared" si="289"/>
        <v>14</v>
      </c>
    </row>
    <row r="373" spans="1:16" ht="18" customHeight="1">
      <c r="A373" s="104"/>
      <c r="B373" s="93"/>
      <c r="C373" s="87"/>
      <c r="D373" s="88">
        <v>208</v>
      </c>
      <c r="E373" s="88">
        <v>910</v>
      </c>
      <c r="F373" s="89">
        <f t="shared" si="284"/>
        <v>14</v>
      </c>
      <c r="G373" s="90">
        <f t="shared" si="285"/>
        <v>28.863401191604311</v>
      </c>
      <c r="H373" s="90">
        <f t="shared" si="286"/>
        <v>62.608000000000004</v>
      </c>
      <c r="I373" s="91" t="str">
        <f t="shared" si="287"/>
        <v>9동5라인</v>
      </c>
      <c r="J373" s="92" t="s">
        <v>218</v>
      </c>
      <c r="L373" s="89">
        <v>2</v>
      </c>
      <c r="M373" s="78">
        <f t="shared" si="288"/>
        <v>7</v>
      </c>
      <c r="N373" s="78"/>
      <c r="O373" s="78">
        <f t="shared" si="289"/>
        <v>14</v>
      </c>
    </row>
    <row r="374" spans="1:16" ht="18" customHeight="1">
      <c r="A374" s="104"/>
      <c r="B374" s="87"/>
      <c r="C374" s="87"/>
      <c r="D374" s="325" t="s">
        <v>0</v>
      </c>
      <c r="E374" s="325"/>
      <c r="F374" s="171">
        <f>SUM(F367:F373)</f>
        <v>105</v>
      </c>
      <c r="G374" s="95">
        <f>SUM(G367:G373)</f>
        <v>856.34240651787968</v>
      </c>
      <c r="H374" s="95">
        <f>SUM(H367:H373)</f>
        <v>704.36799999999994</v>
      </c>
      <c r="I374" s="97"/>
      <c r="J374" s="98"/>
    </row>
    <row r="375" spans="1:16">
      <c r="A375" s="105"/>
      <c r="B375" s="9"/>
      <c r="C375" s="9"/>
      <c r="D375" s="51"/>
      <c r="E375" s="51"/>
      <c r="F375" s="51"/>
      <c r="G375" s="106"/>
      <c r="H375" s="106"/>
      <c r="I375" s="9"/>
      <c r="J375" s="107"/>
    </row>
    <row r="376" spans="1:16" ht="18" customHeight="1">
      <c r="A376" s="85"/>
      <c r="B376" s="163" t="s">
        <v>199</v>
      </c>
      <c r="C376" s="163">
        <v>22</v>
      </c>
      <c r="D376" s="88">
        <v>738</v>
      </c>
      <c r="E376" s="88">
        <v>1810</v>
      </c>
      <c r="F376" s="89">
        <f t="shared" ref="F376:F377" si="290">O376</f>
        <v>14</v>
      </c>
      <c r="G376" s="90">
        <f t="shared" ref="G376:G377" si="291">D376*E376/91809*F376</f>
        <v>203.69375551416528</v>
      </c>
      <c r="H376" s="90">
        <f t="shared" ref="H376:H377" si="292">(D376/1000)*4*F376+(E376/1000)*4*F376</f>
        <v>142.68799999999999</v>
      </c>
      <c r="I376" s="91" t="str">
        <f>I367</f>
        <v>9동5라인</v>
      </c>
      <c r="J376" s="92" t="s">
        <v>219</v>
      </c>
      <c r="L376" s="89">
        <v>2</v>
      </c>
      <c r="M376" s="78">
        <f>M358</f>
        <v>7</v>
      </c>
      <c r="N376" s="84"/>
      <c r="O376" s="78">
        <f>L376*M376-N376*L376</f>
        <v>14</v>
      </c>
      <c r="P376" s="64"/>
    </row>
    <row r="377" spans="1:16" ht="18" customHeight="1">
      <c r="A377" s="85"/>
      <c r="B377" s="86"/>
      <c r="C377" s="87"/>
      <c r="D377" s="88">
        <v>250</v>
      </c>
      <c r="E377" s="88">
        <v>930</v>
      </c>
      <c r="F377" s="89">
        <f t="shared" si="290"/>
        <v>14</v>
      </c>
      <c r="G377" s="90">
        <f t="shared" si="291"/>
        <v>35.454040453550306</v>
      </c>
      <c r="H377" s="90">
        <f t="shared" si="292"/>
        <v>66.080000000000013</v>
      </c>
      <c r="I377" s="91" t="str">
        <f>I376</f>
        <v>9동5라인</v>
      </c>
      <c r="J377" s="92" t="s">
        <v>220</v>
      </c>
      <c r="L377" s="89">
        <v>2</v>
      </c>
      <c r="M377" s="78">
        <f>M376</f>
        <v>7</v>
      </c>
      <c r="N377" s="84"/>
      <c r="O377" s="78">
        <f t="shared" ref="O377" si="293">L377*M377-N377*L377</f>
        <v>14</v>
      </c>
    </row>
    <row r="378" spans="1:16" ht="18" customHeight="1">
      <c r="A378" s="85"/>
      <c r="B378" s="93"/>
      <c r="C378" s="87"/>
      <c r="D378" s="325" t="s">
        <v>0</v>
      </c>
      <c r="E378" s="325"/>
      <c r="F378" s="94">
        <f>SUM(F376:F377)</f>
        <v>28</v>
      </c>
      <c r="G378" s="95">
        <f>SUM(G376:G377)</f>
        <v>239.14779596771558</v>
      </c>
      <c r="H378" s="95">
        <f>SUM(H376:H377)</f>
        <v>208.768</v>
      </c>
      <c r="I378" s="97"/>
      <c r="J378" s="98"/>
    </row>
    <row r="379" spans="1:16" ht="18" customHeight="1" thickBot="1">
      <c r="A379" s="222"/>
      <c r="B379" s="245"/>
      <c r="C379" s="224"/>
      <c r="D379" s="246"/>
      <c r="E379" s="246"/>
      <c r="F379" s="226"/>
      <c r="G379" s="247"/>
      <c r="H379" s="247"/>
      <c r="I379" s="248"/>
      <c r="J379" s="249"/>
      <c r="L379" s="250"/>
      <c r="M379" s="250"/>
      <c r="N379" s="250"/>
      <c r="O379" s="250"/>
    </row>
    <row r="380" spans="1:16" ht="18" customHeight="1">
      <c r="A380" s="79" t="s">
        <v>242</v>
      </c>
      <c r="B380" s="231" t="s">
        <v>195</v>
      </c>
      <c r="C380" s="232">
        <v>22</v>
      </c>
      <c r="D380" s="80">
        <v>761</v>
      </c>
      <c r="E380" s="80">
        <v>1810</v>
      </c>
      <c r="F380" s="233">
        <f t="shared" ref="F380:F385" si="294">O380</f>
        <v>14</v>
      </c>
      <c r="G380" s="81">
        <f t="shared" ref="G380:G385" si="295">D380*E380/91809*F380</f>
        <v>210.04193488655798</v>
      </c>
      <c r="H380" s="81">
        <f t="shared" ref="H380:H385" si="296">(D380/1000)*4*F380+(E380/1000)*4*F380</f>
        <v>143.976</v>
      </c>
      <c r="I380" s="82" t="s">
        <v>259</v>
      </c>
      <c r="J380" s="83" t="s">
        <v>205</v>
      </c>
      <c r="L380" s="89">
        <v>2</v>
      </c>
      <c r="M380" s="78">
        <v>7</v>
      </c>
      <c r="N380" s="78"/>
      <c r="O380" s="78">
        <f t="shared" ref="O380:O385" si="297">L380*M380-N380*L380</f>
        <v>14</v>
      </c>
    </row>
    <row r="381" spans="1:16" ht="18" customHeight="1">
      <c r="A381" s="85"/>
      <c r="B381" s="86"/>
      <c r="C381" s="87"/>
      <c r="D381" s="88">
        <v>1688</v>
      </c>
      <c r="E381" s="88">
        <v>1810</v>
      </c>
      <c r="F381" s="89">
        <f t="shared" si="294"/>
        <v>7</v>
      </c>
      <c r="G381" s="90">
        <f t="shared" si="295"/>
        <v>232.95058218693157</v>
      </c>
      <c r="H381" s="90">
        <f t="shared" si="296"/>
        <v>97.943999999999988</v>
      </c>
      <c r="I381" s="91" t="str">
        <f>I380</f>
        <v>9동6라인</v>
      </c>
      <c r="J381" s="92" t="s">
        <v>206</v>
      </c>
      <c r="L381" s="89">
        <v>1</v>
      </c>
      <c r="M381" s="78">
        <f t="shared" ref="M381:M397" si="298">M380</f>
        <v>7</v>
      </c>
      <c r="N381" s="78"/>
      <c r="O381" s="78">
        <f t="shared" si="297"/>
        <v>7</v>
      </c>
    </row>
    <row r="382" spans="1:16" ht="18" customHeight="1">
      <c r="A382" s="85"/>
      <c r="B382" s="86"/>
      <c r="C382" s="87"/>
      <c r="D382" s="88">
        <v>738</v>
      </c>
      <c r="E382" s="88">
        <v>1310</v>
      </c>
      <c r="F382" s="89">
        <f t="shared" si="294"/>
        <v>28</v>
      </c>
      <c r="G382" s="90">
        <f t="shared" si="295"/>
        <v>294.84952455641604</v>
      </c>
      <c r="H382" s="90">
        <f t="shared" si="296"/>
        <v>229.376</v>
      </c>
      <c r="I382" s="91" t="str">
        <f t="shared" ref="I382:I385" si="299">I381</f>
        <v>9동6라인</v>
      </c>
      <c r="J382" s="92" t="s">
        <v>207</v>
      </c>
      <c r="L382" s="89">
        <v>4</v>
      </c>
      <c r="M382" s="78">
        <f t="shared" si="298"/>
        <v>7</v>
      </c>
      <c r="N382" s="78"/>
      <c r="O382" s="78">
        <f t="shared" si="297"/>
        <v>28</v>
      </c>
    </row>
    <row r="383" spans="1:16" ht="18" customHeight="1">
      <c r="A383" s="85"/>
      <c r="B383" s="86"/>
      <c r="C383" s="87"/>
      <c r="D383" s="88">
        <v>438</v>
      </c>
      <c r="E383" s="88">
        <v>910</v>
      </c>
      <c r="F383" s="89">
        <f t="shared" si="294"/>
        <v>14</v>
      </c>
      <c r="G383" s="90">
        <f t="shared" si="295"/>
        <v>60.779662124628302</v>
      </c>
      <c r="H383" s="90">
        <f t="shared" si="296"/>
        <v>75.488</v>
      </c>
      <c r="I383" s="91" t="str">
        <f t="shared" si="299"/>
        <v>9동6라인</v>
      </c>
      <c r="J383" s="92" t="s">
        <v>223</v>
      </c>
      <c r="L383" s="89">
        <v>2</v>
      </c>
      <c r="M383" s="78">
        <f t="shared" si="298"/>
        <v>7</v>
      </c>
      <c r="N383" s="78"/>
      <c r="O383" s="78">
        <f t="shared" si="297"/>
        <v>14</v>
      </c>
    </row>
    <row r="384" spans="1:16" ht="18" customHeight="1">
      <c r="A384" s="85"/>
      <c r="B384" s="86"/>
      <c r="C384" s="87"/>
      <c r="D384" s="88">
        <v>228</v>
      </c>
      <c r="E384" s="88">
        <v>910</v>
      </c>
      <c r="F384" s="89">
        <f t="shared" si="294"/>
        <v>14</v>
      </c>
      <c r="G384" s="90">
        <f t="shared" si="295"/>
        <v>31.638728229258568</v>
      </c>
      <c r="H384" s="90">
        <f t="shared" si="296"/>
        <v>63.728000000000002</v>
      </c>
      <c r="I384" s="91" t="str">
        <f t="shared" si="299"/>
        <v>9동6라인</v>
      </c>
      <c r="J384" s="92" t="s">
        <v>209</v>
      </c>
      <c r="L384" s="89">
        <v>2</v>
      </c>
      <c r="M384" s="78">
        <f t="shared" si="298"/>
        <v>7</v>
      </c>
      <c r="N384" s="78"/>
      <c r="O384" s="78">
        <f t="shared" si="297"/>
        <v>14</v>
      </c>
    </row>
    <row r="385" spans="1:16" ht="18" customHeight="1">
      <c r="A385" s="85"/>
      <c r="B385" s="86"/>
      <c r="C385" s="87"/>
      <c r="D385" s="88">
        <v>438</v>
      </c>
      <c r="E385" s="88">
        <v>270</v>
      </c>
      <c r="F385" s="89">
        <f t="shared" si="294"/>
        <v>14</v>
      </c>
      <c r="G385" s="90">
        <f t="shared" si="295"/>
        <v>18.033526124889718</v>
      </c>
      <c r="H385" s="90">
        <f t="shared" si="296"/>
        <v>39.647999999999996</v>
      </c>
      <c r="I385" s="91" t="str">
        <f t="shared" si="299"/>
        <v>9동6라인</v>
      </c>
      <c r="J385" s="92" t="s">
        <v>210</v>
      </c>
      <c r="L385" s="89">
        <v>2</v>
      </c>
      <c r="M385" s="78">
        <f t="shared" si="298"/>
        <v>7</v>
      </c>
      <c r="N385" s="78"/>
      <c r="O385" s="78">
        <f t="shared" si="297"/>
        <v>14</v>
      </c>
    </row>
    <row r="386" spans="1:16" ht="18" customHeight="1">
      <c r="A386" s="85"/>
      <c r="B386" s="93"/>
      <c r="C386" s="87"/>
      <c r="D386" s="325" t="s">
        <v>0</v>
      </c>
      <c r="E386" s="325"/>
      <c r="F386" s="94">
        <f>SUM(F380:F385)</f>
        <v>91</v>
      </c>
      <c r="G386" s="95">
        <f>SUM(G380:G385)</f>
        <v>848.29395810868232</v>
      </c>
      <c r="H386" s="96">
        <f>SUM(H380:H385)</f>
        <v>650.16</v>
      </c>
      <c r="I386" s="97"/>
      <c r="J386" s="162"/>
      <c r="L386" s="250"/>
      <c r="M386" s="250"/>
      <c r="N386" s="250"/>
      <c r="O386" s="250"/>
    </row>
    <row r="387" spans="1:16" ht="18" customHeight="1">
      <c r="A387" s="85"/>
      <c r="B387" s="93"/>
      <c r="C387" s="87"/>
      <c r="D387" s="161"/>
      <c r="E387" s="161"/>
      <c r="F387" s="89"/>
      <c r="G387" s="100"/>
      <c r="H387" s="101"/>
      <c r="I387" s="102"/>
      <c r="J387" s="121"/>
      <c r="L387" s="250"/>
      <c r="M387" s="250"/>
      <c r="N387" s="250"/>
      <c r="O387" s="250"/>
    </row>
    <row r="388" spans="1:16" ht="18" customHeight="1">
      <c r="A388" s="85"/>
      <c r="B388" s="23" t="s">
        <v>197</v>
      </c>
      <c r="C388" s="24">
        <v>22</v>
      </c>
      <c r="D388" s="88">
        <v>761</v>
      </c>
      <c r="E388" s="88">
        <v>1810</v>
      </c>
      <c r="F388" s="89">
        <f t="shared" ref="F388:F393" si="300">O388</f>
        <v>14</v>
      </c>
      <c r="G388" s="90">
        <f t="shared" ref="G388:G393" si="301">D388*E388/91809*F388</f>
        <v>210.04193488655798</v>
      </c>
      <c r="H388" s="90">
        <f t="shared" ref="H388:H393" si="302">(D388/1000)*4*F388+(E388/1000)*4*F388</f>
        <v>143.976</v>
      </c>
      <c r="I388" s="91" t="str">
        <f>I380</f>
        <v>9동6라인</v>
      </c>
      <c r="J388" s="92" t="s">
        <v>212</v>
      </c>
      <c r="L388" s="89">
        <v>2</v>
      </c>
      <c r="M388" s="78">
        <f>M385</f>
        <v>7</v>
      </c>
      <c r="N388" s="78"/>
      <c r="O388" s="78">
        <f t="shared" ref="O388:O393" si="303">L388*M388-N388*L388</f>
        <v>14</v>
      </c>
    </row>
    <row r="389" spans="1:16" ht="18" customHeight="1">
      <c r="A389" s="85"/>
      <c r="B389" s="86"/>
      <c r="C389" s="87"/>
      <c r="D389" s="88">
        <v>1688</v>
      </c>
      <c r="E389" s="88">
        <v>1810</v>
      </c>
      <c r="F389" s="89">
        <f t="shared" si="300"/>
        <v>7</v>
      </c>
      <c r="G389" s="90">
        <f t="shared" si="301"/>
        <v>232.95058218693157</v>
      </c>
      <c r="H389" s="90">
        <f t="shared" si="302"/>
        <v>97.943999999999988</v>
      </c>
      <c r="I389" s="91" t="str">
        <f>I380</f>
        <v>9동6라인</v>
      </c>
      <c r="J389" s="92" t="s">
        <v>213</v>
      </c>
      <c r="L389" s="89">
        <v>1</v>
      </c>
      <c r="M389" s="78">
        <f t="shared" si="298"/>
        <v>7</v>
      </c>
      <c r="N389" s="78"/>
      <c r="O389" s="78">
        <f t="shared" si="303"/>
        <v>7</v>
      </c>
    </row>
    <row r="390" spans="1:16">
      <c r="A390" s="104"/>
      <c r="B390" s="93"/>
      <c r="C390" s="87"/>
      <c r="D390" s="88">
        <v>738</v>
      </c>
      <c r="E390" s="88">
        <v>1310</v>
      </c>
      <c r="F390" s="89">
        <f t="shared" si="300"/>
        <v>28</v>
      </c>
      <c r="G390" s="90">
        <f t="shared" si="301"/>
        <v>294.84952455641604</v>
      </c>
      <c r="H390" s="90">
        <f t="shared" si="302"/>
        <v>229.376</v>
      </c>
      <c r="I390" s="91" t="str">
        <f>I389</f>
        <v>9동6라인</v>
      </c>
      <c r="J390" s="92" t="s">
        <v>214</v>
      </c>
      <c r="L390" s="89">
        <v>4</v>
      </c>
      <c r="M390" s="78">
        <f t="shared" si="298"/>
        <v>7</v>
      </c>
      <c r="N390" s="78"/>
      <c r="O390" s="78">
        <f t="shared" si="303"/>
        <v>28</v>
      </c>
    </row>
    <row r="391" spans="1:16" ht="18" customHeight="1">
      <c r="A391" s="104"/>
      <c r="B391" s="93"/>
      <c r="C391" s="87"/>
      <c r="D391" s="88">
        <v>438</v>
      </c>
      <c r="E391" s="88">
        <v>910</v>
      </c>
      <c r="F391" s="89">
        <f t="shared" si="300"/>
        <v>14</v>
      </c>
      <c r="G391" s="90">
        <f t="shared" si="301"/>
        <v>60.779662124628302</v>
      </c>
      <c r="H391" s="90">
        <f t="shared" si="302"/>
        <v>75.488</v>
      </c>
      <c r="I391" s="91" t="str">
        <f t="shared" ref="I391:I393" si="304">I390</f>
        <v>9동6라인</v>
      </c>
      <c r="J391" s="92" t="s">
        <v>225</v>
      </c>
      <c r="L391" s="89">
        <v>2</v>
      </c>
      <c r="M391" s="78">
        <f t="shared" si="298"/>
        <v>7</v>
      </c>
      <c r="N391" s="78"/>
      <c r="O391" s="78">
        <f t="shared" si="303"/>
        <v>14</v>
      </c>
      <c r="P391" s="64"/>
    </row>
    <row r="392" spans="1:16" ht="18" customHeight="1">
      <c r="A392" s="104"/>
      <c r="B392" s="93"/>
      <c r="C392" s="87"/>
      <c r="D392" s="88">
        <v>228</v>
      </c>
      <c r="E392" s="88">
        <v>910</v>
      </c>
      <c r="F392" s="89">
        <f t="shared" si="300"/>
        <v>14</v>
      </c>
      <c r="G392" s="90">
        <f t="shared" si="301"/>
        <v>31.638728229258568</v>
      </c>
      <c r="H392" s="90">
        <f t="shared" si="302"/>
        <v>63.728000000000002</v>
      </c>
      <c r="I392" s="91" t="str">
        <f t="shared" si="304"/>
        <v>9동6라인</v>
      </c>
      <c r="J392" s="92" t="s">
        <v>216</v>
      </c>
      <c r="L392" s="89">
        <v>2</v>
      </c>
      <c r="M392" s="78">
        <f t="shared" si="298"/>
        <v>7</v>
      </c>
      <c r="N392" s="78"/>
      <c r="O392" s="78">
        <f t="shared" si="303"/>
        <v>14</v>
      </c>
    </row>
    <row r="393" spans="1:16" ht="18" customHeight="1">
      <c r="A393" s="104"/>
      <c r="B393" s="93"/>
      <c r="C393" s="87"/>
      <c r="D393" s="88">
        <v>438</v>
      </c>
      <c r="E393" s="88">
        <v>270</v>
      </c>
      <c r="F393" s="89">
        <f t="shared" si="300"/>
        <v>14</v>
      </c>
      <c r="G393" s="90">
        <f t="shared" si="301"/>
        <v>18.033526124889718</v>
      </c>
      <c r="H393" s="90">
        <f t="shared" si="302"/>
        <v>39.647999999999996</v>
      </c>
      <c r="I393" s="91" t="str">
        <f t="shared" si="304"/>
        <v>9동6라인</v>
      </c>
      <c r="J393" s="92" t="s">
        <v>217</v>
      </c>
      <c r="L393" s="89">
        <v>2</v>
      </c>
      <c r="M393" s="78">
        <f t="shared" si="298"/>
        <v>7</v>
      </c>
      <c r="N393" s="78"/>
      <c r="O393" s="78">
        <f t="shared" si="303"/>
        <v>14</v>
      </c>
    </row>
    <row r="394" spans="1:16">
      <c r="A394" s="104"/>
      <c r="B394" s="87"/>
      <c r="C394" s="87"/>
      <c r="D394" s="325" t="s">
        <v>0</v>
      </c>
      <c r="E394" s="325"/>
      <c r="F394" s="171">
        <f>SUM(F388:F393)</f>
        <v>91</v>
      </c>
      <c r="G394" s="95">
        <f>SUM(G388:G393)</f>
        <v>848.29395810868232</v>
      </c>
      <c r="H394" s="95">
        <f>SUM(H388:H393)</f>
        <v>650.16</v>
      </c>
      <c r="I394" s="97"/>
      <c r="J394" s="98"/>
      <c r="L394" s="250"/>
      <c r="M394" s="250"/>
      <c r="N394" s="250"/>
      <c r="O394" s="250"/>
    </row>
    <row r="395" spans="1:16">
      <c r="A395" s="105"/>
      <c r="B395" s="9"/>
      <c r="C395" s="9"/>
      <c r="D395" s="51"/>
      <c r="E395" s="51"/>
      <c r="F395" s="51"/>
      <c r="G395" s="106"/>
      <c r="H395" s="106"/>
      <c r="I395" s="9"/>
      <c r="J395" s="107"/>
      <c r="L395" s="250"/>
      <c r="M395" s="250"/>
      <c r="N395" s="250"/>
      <c r="O395" s="250"/>
    </row>
    <row r="396" spans="1:16" ht="18" customHeight="1">
      <c r="A396" s="85"/>
      <c r="B396" s="163" t="s">
        <v>199</v>
      </c>
      <c r="C396" s="163">
        <v>22</v>
      </c>
      <c r="D396" s="88">
        <v>738</v>
      </c>
      <c r="E396" s="88">
        <v>1810</v>
      </c>
      <c r="F396" s="89">
        <f t="shared" ref="F396:F397" si="305">O396</f>
        <v>14</v>
      </c>
      <c r="G396" s="90">
        <f t="shared" ref="G396:G398" si="306">D396*E396/91809*F396</f>
        <v>203.69375551416528</v>
      </c>
      <c r="H396" s="90">
        <f t="shared" ref="H396:H398" si="307">(D396/1000)*4*F396+(E396/1000)*4*F396</f>
        <v>142.68799999999999</v>
      </c>
      <c r="I396" s="91" t="str">
        <f>I388</f>
        <v>9동6라인</v>
      </c>
      <c r="J396" s="92" t="s">
        <v>219</v>
      </c>
      <c r="L396" s="89">
        <v>2</v>
      </c>
      <c r="M396" s="78">
        <f>M393</f>
        <v>7</v>
      </c>
      <c r="N396" s="78"/>
      <c r="O396" s="78">
        <f t="shared" ref="O396:O397" si="308">L396*M396-N396*L396</f>
        <v>14</v>
      </c>
      <c r="P396" s="64"/>
    </row>
    <row r="397" spans="1:16" ht="18" customHeight="1">
      <c r="A397" s="85"/>
      <c r="B397" s="86"/>
      <c r="C397" s="87"/>
      <c r="D397" s="88">
        <v>250</v>
      </c>
      <c r="E397" s="88">
        <v>930</v>
      </c>
      <c r="F397" s="89">
        <f t="shared" si="305"/>
        <v>14</v>
      </c>
      <c r="G397" s="90">
        <f t="shared" si="306"/>
        <v>35.454040453550306</v>
      </c>
      <c r="H397" s="90">
        <f t="shared" si="307"/>
        <v>66.080000000000013</v>
      </c>
      <c r="I397" s="91" t="str">
        <f>I396</f>
        <v>9동6라인</v>
      </c>
      <c r="J397" s="92" t="s">
        <v>220</v>
      </c>
      <c r="L397" s="89">
        <v>2</v>
      </c>
      <c r="M397" s="78">
        <f t="shared" si="298"/>
        <v>7</v>
      </c>
      <c r="N397" s="78"/>
      <c r="O397" s="78">
        <f t="shared" si="308"/>
        <v>14</v>
      </c>
    </row>
    <row r="398" spans="1:16" ht="18" customHeight="1">
      <c r="A398" s="85"/>
      <c r="B398" s="86"/>
      <c r="C398" s="87"/>
      <c r="D398" s="88"/>
      <c r="E398" s="88"/>
      <c r="F398" s="89"/>
      <c r="G398" s="90">
        <f t="shared" si="306"/>
        <v>0</v>
      </c>
      <c r="H398" s="90">
        <f t="shared" si="307"/>
        <v>0</v>
      </c>
      <c r="I398" s="91"/>
      <c r="J398" s="92"/>
      <c r="L398" s="250"/>
      <c r="M398" s="250"/>
      <c r="N398" s="250"/>
      <c r="O398" s="250"/>
    </row>
    <row r="399" spans="1:16" ht="18" customHeight="1">
      <c r="A399" s="85"/>
      <c r="B399" s="93"/>
      <c r="C399" s="87"/>
      <c r="D399" s="325" t="s">
        <v>0</v>
      </c>
      <c r="E399" s="325"/>
      <c r="F399" s="94">
        <f>SUM(F396:F398)</f>
        <v>28</v>
      </c>
      <c r="G399" s="95">
        <f>SUM(G396:G398)</f>
        <v>239.14779596771558</v>
      </c>
      <c r="H399" s="95">
        <f>SUM(H396:H398)</f>
        <v>208.768</v>
      </c>
      <c r="I399" s="97"/>
      <c r="J399" s="98"/>
      <c r="L399" s="250"/>
      <c r="M399" s="250"/>
      <c r="N399" s="250"/>
      <c r="O399" s="250"/>
    </row>
    <row r="400" spans="1:16" ht="18" customHeight="1" thickBot="1">
      <c r="A400" s="253"/>
      <c r="B400" s="254"/>
      <c r="C400" s="255"/>
      <c r="D400" s="361"/>
      <c r="E400" s="361"/>
      <c r="F400" s="256"/>
      <c r="G400" s="257"/>
      <c r="H400" s="258"/>
      <c r="I400" s="259"/>
      <c r="J400" s="260"/>
      <c r="L400" s="250"/>
      <c r="M400" s="250"/>
      <c r="N400" s="250"/>
      <c r="O400" s="250"/>
    </row>
    <row r="401" spans="1:16" ht="18" customHeight="1">
      <c r="A401" s="79" t="s">
        <v>242</v>
      </c>
      <c r="B401" s="231" t="s">
        <v>195</v>
      </c>
      <c r="C401" s="232">
        <v>22</v>
      </c>
      <c r="D401" s="80">
        <v>761</v>
      </c>
      <c r="E401" s="80">
        <v>1810</v>
      </c>
      <c r="F401" s="233">
        <f t="shared" ref="F401:F406" si="309">O401</f>
        <v>16</v>
      </c>
      <c r="G401" s="81">
        <f t="shared" ref="G401:G406" si="310">D401*E401/91809*F401</f>
        <v>240.04792558463768</v>
      </c>
      <c r="H401" s="81">
        <f t="shared" ref="H401:H406" si="311">(D401/1000)*4*F401+(E401/1000)*4*F401</f>
        <v>164.54400000000001</v>
      </c>
      <c r="I401" s="82" t="s">
        <v>260</v>
      </c>
      <c r="J401" s="83" t="s">
        <v>205</v>
      </c>
      <c r="L401" s="89">
        <v>2</v>
      </c>
      <c r="M401" s="78">
        <v>8</v>
      </c>
      <c r="N401" s="78"/>
      <c r="O401" s="78">
        <f t="shared" ref="O401:O406" si="312">L401*M401-N401*L401</f>
        <v>16</v>
      </c>
    </row>
    <row r="402" spans="1:16" ht="18" customHeight="1">
      <c r="A402" s="85"/>
      <c r="B402" s="86"/>
      <c r="C402" s="87"/>
      <c r="D402" s="88">
        <v>1688</v>
      </c>
      <c r="E402" s="88">
        <v>1810</v>
      </c>
      <c r="F402" s="89">
        <f t="shared" si="309"/>
        <v>8</v>
      </c>
      <c r="G402" s="90">
        <f t="shared" si="310"/>
        <v>266.22923678506464</v>
      </c>
      <c r="H402" s="90">
        <f t="shared" si="311"/>
        <v>111.93600000000001</v>
      </c>
      <c r="I402" s="91" t="str">
        <f>I401</f>
        <v>10동1라인</v>
      </c>
      <c r="J402" s="92" t="s">
        <v>206</v>
      </c>
      <c r="L402" s="89">
        <v>1</v>
      </c>
      <c r="M402" s="78">
        <f t="shared" ref="M402:M418" si="313">M401</f>
        <v>8</v>
      </c>
      <c r="N402" s="78"/>
      <c r="O402" s="78">
        <f t="shared" si="312"/>
        <v>8</v>
      </c>
    </row>
    <row r="403" spans="1:16" ht="18" customHeight="1">
      <c r="A403" s="85"/>
      <c r="B403" s="86"/>
      <c r="C403" s="87"/>
      <c r="D403" s="88">
        <v>738</v>
      </c>
      <c r="E403" s="88">
        <v>1310</v>
      </c>
      <c r="F403" s="89">
        <f t="shared" si="309"/>
        <v>32</v>
      </c>
      <c r="G403" s="90">
        <f t="shared" si="310"/>
        <v>336.97088520733263</v>
      </c>
      <c r="H403" s="90">
        <f t="shared" si="311"/>
        <v>262.14400000000001</v>
      </c>
      <c r="I403" s="91" t="str">
        <f t="shared" ref="I403:I406" si="314">I402</f>
        <v>10동1라인</v>
      </c>
      <c r="J403" s="92" t="s">
        <v>207</v>
      </c>
      <c r="L403" s="89">
        <v>4</v>
      </c>
      <c r="M403" s="78">
        <f t="shared" si="313"/>
        <v>8</v>
      </c>
      <c r="N403" s="78"/>
      <c r="O403" s="78">
        <f t="shared" si="312"/>
        <v>32</v>
      </c>
    </row>
    <row r="404" spans="1:16" ht="18" customHeight="1">
      <c r="A404" s="85"/>
      <c r="B404" s="86"/>
      <c r="C404" s="87"/>
      <c r="D404" s="88">
        <v>438</v>
      </c>
      <c r="E404" s="88">
        <v>910</v>
      </c>
      <c r="F404" s="89">
        <f t="shared" si="309"/>
        <v>16</v>
      </c>
      <c r="G404" s="90">
        <f t="shared" si="310"/>
        <v>69.462470999575203</v>
      </c>
      <c r="H404" s="90">
        <f t="shared" si="311"/>
        <v>86.272000000000006</v>
      </c>
      <c r="I404" s="91" t="str">
        <f t="shared" si="314"/>
        <v>10동1라인</v>
      </c>
      <c r="J404" s="92" t="s">
        <v>223</v>
      </c>
      <c r="L404" s="89">
        <v>2</v>
      </c>
      <c r="M404" s="78">
        <f t="shared" si="313"/>
        <v>8</v>
      </c>
      <c r="N404" s="78"/>
      <c r="O404" s="78">
        <f t="shared" si="312"/>
        <v>16</v>
      </c>
    </row>
    <row r="405" spans="1:16" ht="18" customHeight="1">
      <c r="A405" s="85"/>
      <c r="B405" s="86"/>
      <c r="C405" s="87"/>
      <c r="D405" s="88">
        <v>228</v>
      </c>
      <c r="E405" s="88">
        <v>910</v>
      </c>
      <c r="F405" s="89">
        <f t="shared" si="309"/>
        <v>16</v>
      </c>
      <c r="G405" s="90">
        <f t="shared" si="310"/>
        <v>36.158546547724079</v>
      </c>
      <c r="H405" s="90">
        <f t="shared" si="311"/>
        <v>72.832000000000008</v>
      </c>
      <c r="I405" s="91" t="str">
        <f t="shared" si="314"/>
        <v>10동1라인</v>
      </c>
      <c r="J405" s="92" t="s">
        <v>209</v>
      </c>
      <c r="L405" s="89">
        <v>2</v>
      </c>
      <c r="M405" s="78">
        <f t="shared" si="313"/>
        <v>8</v>
      </c>
      <c r="N405" s="78"/>
      <c r="O405" s="78">
        <f t="shared" si="312"/>
        <v>16</v>
      </c>
    </row>
    <row r="406" spans="1:16" ht="18" customHeight="1">
      <c r="A406" s="85"/>
      <c r="B406" s="86"/>
      <c r="C406" s="87"/>
      <c r="D406" s="88">
        <v>438</v>
      </c>
      <c r="E406" s="88">
        <v>270</v>
      </c>
      <c r="F406" s="89">
        <f t="shared" si="309"/>
        <v>16</v>
      </c>
      <c r="G406" s="90">
        <f t="shared" si="310"/>
        <v>20.609744142731106</v>
      </c>
      <c r="H406" s="90">
        <f t="shared" si="311"/>
        <v>45.311999999999998</v>
      </c>
      <c r="I406" s="91" t="str">
        <f t="shared" si="314"/>
        <v>10동1라인</v>
      </c>
      <c r="J406" s="92" t="s">
        <v>210</v>
      </c>
      <c r="L406" s="89">
        <v>2</v>
      </c>
      <c r="M406" s="78">
        <f t="shared" si="313"/>
        <v>8</v>
      </c>
      <c r="N406" s="78"/>
      <c r="O406" s="78">
        <f t="shared" si="312"/>
        <v>16</v>
      </c>
    </row>
    <row r="407" spans="1:16" ht="18" customHeight="1">
      <c r="A407" s="85"/>
      <c r="B407" s="93"/>
      <c r="C407" s="87"/>
      <c r="D407" s="325" t="s">
        <v>0</v>
      </c>
      <c r="E407" s="325"/>
      <c r="F407" s="94">
        <f>SUM(F401:F406)</f>
        <v>104</v>
      </c>
      <c r="G407" s="95">
        <f>SUM(G401:G406)</f>
        <v>969.47880926706523</v>
      </c>
      <c r="H407" s="96">
        <f>SUM(H401:H406)</f>
        <v>743.04000000000008</v>
      </c>
      <c r="I407" s="97"/>
      <c r="J407" s="162"/>
      <c r="L407" s="250"/>
      <c r="M407" s="250"/>
      <c r="N407" s="250"/>
      <c r="O407" s="250"/>
    </row>
    <row r="408" spans="1:16" ht="18" customHeight="1">
      <c r="A408" s="85"/>
      <c r="B408" s="93"/>
      <c r="C408" s="87"/>
      <c r="D408" s="161"/>
      <c r="E408" s="161"/>
      <c r="F408" s="89"/>
      <c r="G408" s="100"/>
      <c r="H408" s="101"/>
      <c r="I408" s="102"/>
      <c r="J408" s="121"/>
      <c r="L408" s="250"/>
      <c r="M408" s="250"/>
      <c r="N408" s="250"/>
      <c r="O408" s="250"/>
    </row>
    <row r="409" spans="1:16" ht="18" customHeight="1">
      <c r="A409" s="85"/>
      <c r="B409" s="23" t="s">
        <v>197</v>
      </c>
      <c r="C409" s="24">
        <v>22</v>
      </c>
      <c r="D409" s="88">
        <v>761</v>
      </c>
      <c r="E409" s="88">
        <v>1810</v>
      </c>
      <c r="F409" s="89">
        <f t="shared" ref="F409:F414" si="315">O409</f>
        <v>16</v>
      </c>
      <c r="G409" s="90">
        <f t="shared" ref="G409:G414" si="316">D409*E409/91809*F409</f>
        <v>240.04792558463768</v>
      </c>
      <c r="H409" s="90">
        <f t="shared" ref="H409:H414" si="317">(D409/1000)*4*F409+(E409/1000)*4*F409</f>
        <v>164.54400000000001</v>
      </c>
      <c r="I409" s="91" t="str">
        <f>I401</f>
        <v>10동1라인</v>
      </c>
      <c r="J409" s="92" t="s">
        <v>212</v>
      </c>
      <c r="L409" s="89">
        <v>2</v>
      </c>
      <c r="M409" s="78">
        <f>M406</f>
        <v>8</v>
      </c>
      <c r="N409" s="78"/>
      <c r="O409" s="78">
        <f t="shared" ref="O409:O414" si="318">L409*M409-N409*L409</f>
        <v>16</v>
      </c>
    </row>
    <row r="410" spans="1:16" ht="18" customHeight="1">
      <c r="A410" s="85"/>
      <c r="B410" s="86"/>
      <c r="C410" s="87"/>
      <c r="D410" s="88">
        <v>1688</v>
      </c>
      <c r="E410" s="88">
        <v>1810</v>
      </c>
      <c r="F410" s="89">
        <f t="shared" si="315"/>
        <v>8</v>
      </c>
      <c r="G410" s="90">
        <f t="shared" si="316"/>
        <v>266.22923678506464</v>
      </c>
      <c r="H410" s="90">
        <f t="shared" si="317"/>
        <v>111.93600000000001</v>
      </c>
      <c r="I410" s="91" t="str">
        <f>I401</f>
        <v>10동1라인</v>
      </c>
      <c r="J410" s="92" t="s">
        <v>213</v>
      </c>
      <c r="L410" s="89">
        <v>1</v>
      </c>
      <c r="M410" s="78">
        <f t="shared" si="313"/>
        <v>8</v>
      </c>
      <c r="N410" s="78"/>
      <c r="O410" s="78">
        <f t="shared" si="318"/>
        <v>8</v>
      </c>
    </row>
    <row r="411" spans="1:16">
      <c r="A411" s="104"/>
      <c r="B411" s="93"/>
      <c r="C411" s="87"/>
      <c r="D411" s="88">
        <v>738</v>
      </c>
      <c r="E411" s="88">
        <v>1310</v>
      </c>
      <c r="F411" s="89">
        <f t="shared" si="315"/>
        <v>32</v>
      </c>
      <c r="G411" s="90">
        <f t="shared" si="316"/>
        <v>336.97088520733263</v>
      </c>
      <c r="H411" s="90">
        <f t="shared" si="317"/>
        <v>262.14400000000001</v>
      </c>
      <c r="I411" s="91" t="str">
        <f>I410</f>
        <v>10동1라인</v>
      </c>
      <c r="J411" s="92" t="s">
        <v>214</v>
      </c>
      <c r="L411" s="89">
        <v>4</v>
      </c>
      <c r="M411" s="78">
        <f t="shared" si="313"/>
        <v>8</v>
      </c>
      <c r="N411" s="78"/>
      <c r="O411" s="78">
        <f t="shared" si="318"/>
        <v>32</v>
      </c>
    </row>
    <row r="412" spans="1:16" ht="18" customHeight="1">
      <c r="A412" s="104"/>
      <c r="B412" s="93"/>
      <c r="C412" s="87"/>
      <c r="D412" s="88">
        <v>438</v>
      </c>
      <c r="E412" s="88">
        <v>910</v>
      </c>
      <c r="F412" s="89">
        <f t="shared" si="315"/>
        <v>16</v>
      </c>
      <c r="G412" s="90">
        <f t="shared" si="316"/>
        <v>69.462470999575203</v>
      </c>
      <c r="H412" s="90">
        <f t="shared" si="317"/>
        <v>86.272000000000006</v>
      </c>
      <c r="I412" s="91" t="str">
        <f t="shared" ref="I412:I414" si="319">I411</f>
        <v>10동1라인</v>
      </c>
      <c r="J412" s="92" t="s">
        <v>225</v>
      </c>
      <c r="L412" s="89">
        <v>2</v>
      </c>
      <c r="M412" s="78">
        <f t="shared" si="313"/>
        <v>8</v>
      </c>
      <c r="N412" s="78"/>
      <c r="O412" s="78">
        <f t="shared" si="318"/>
        <v>16</v>
      </c>
      <c r="P412" s="64"/>
    </row>
    <row r="413" spans="1:16" ht="18" customHeight="1">
      <c r="A413" s="104"/>
      <c r="B413" s="93"/>
      <c r="C413" s="87"/>
      <c r="D413" s="88">
        <v>228</v>
      </c>
      <c r="E413" s="88">
        <v>910</v>
      </c>
      <c r="F413" s="89">
        <f t="shared" si="315"/>
        <v>16</v>
      </c>
      <c r="G413" s="90">
        <f t="shared" si="316"/>
        <v>36.158546547724079</v>
      </c>
      <c r="H413" s="90">
        <f t="shared" si="317"/>
        <v>72.832000000000008</v>
      </c>
      <c r="I413" s="91" t="str">
        <f t="shared" si="319"/>
        <v>10동1라인</v>
      </c>
      <c r="J413" s="92" t="s">
        <v>216</v>
      </c>
      <c r="L413" s="89">
        <v>2</v>
      </c>
      <c r="M413" s="78">
        <f t="shared" si="313"/>
        <v>8</v>
      </c>
      <c r="N413" s="78"/>
      <c r="O413" s="78">
        <f t="shared" si="318"/>
        <v>16</v>
      </c>
    </row>
    <row r="414" spans="1:16" ht="18" customHeight="1">
      <c r="A414" s="104"/>
      <c r="B414" s="93"/>
      <c r="C414" s="87"/>
      <c r="D414" s="88">
        <v>438</v>
      </c>
      <c r="E414" s="88">
        <v>270</v>
      </c>
      <c r="F414" s="89">
        <f t="shared" si="315"/>
        <v>16</v>
      </c>
      <c r="G414" s="90">
        <f t="shared" si="316"/>
        <v>20.609744142731106</v>
      </c>
      <c r="H414" s="90">
        <f t="shared" si="317"/>
        <v>45.311999999999998</v>
      </c>
      <c r="I414" s="91" t="str">
        <f t="shared" si="319"/>
        <v>10동1라인</v>
      </c>
      <c r="J414" s="92" t="s">
        <v>217</v>
      </c>
      <c r="L414" s="89">
        <v>2</v>
      </c>
      <c r="M414" s="78">
        <f t="shared" si="313"/>
        <v>8</v>
      </c>
      <c r="N414" s="78"/>
      <c r="O414" s="78">
        <f t="shared" si="318"/>
        <v>16</v>
      </c>
    </row>
    <row r="415" spans="1:16">
      <c r="A415" s="104"/>
      <c r="B415" s="87"/>
      <c r="C415" s="87"/>
      <c r="D415" s="325" t="s">
        <v>0</v>
      </c>
      <c r="E415" s="325"/>
      <c r="F415" s="171">
        <f>SUM(F409:F414)</f>
        <v>104</v>
      </c>
      <c r="G415" s="95">
        <f>SUM(G409:G414)</f>
        <v>969.47880926706523</v>
      </c>
      <c r="H415" s="95">
        <f>SUM(H409:H414)</f>
        <v>743.04000000000008</v>
      </c>
      <c r="I415" s="97"/>
      <c r="J415" s="98"/>
      <c r="L415" s="250"/>
      <c r="M415" s="250"/>
      <c r="N415" s="250"/>
      <c r="O415" s="250"/>
    </row>
    <row r="416" spans="1:16">
      <c r="A416" s="105"/>
      <c r="B416" s="9"/>
      <c r="C416" s="9"/>
      <c r="D416" s="51"/>
      <c r="E416" s="51"/>
      <c r="F416" s="51"/>
      <c r="G416" s="106"/>
      <c r="H416" s="106"/>
      <c r="I416" s="9"/>
      <c r="J416" s="107"/>
      <c r="L416" s="250"/>
      <c r="M416" s="250"/>
      <c r="N416" s="250"/>
      <c r="O416" s="250"/>
    </row>
    <row r="417" spans="1:16" ht="18" customHeight="1">
      <c r="A417" s="85"/>
      <c r="B417" s="163" t="s">
        <v>199</v>
      </c>
      <c r="C417" s="163">
        <v>22</v>
      </c>
      <c r="D417" s="88">
        <v>738</v>
      </c>
      <c r="E417" s="88">
        <v>1810</v>
      </c>
      <c r="F417" s="89">
        <f t="shared" ref="F417:F418" si="320">O417</f>
        <v>16</v>
      </c>
      <c r="G417" s="90">
        <f t="shared" ref="G417:G419" si="321">D417*E417/91809*F417</f>
        <v>232.79286344476031</v>
      </c>
      <c r="H417" s="90">
        <f t="shared" ref="H417:H419" si="322">(D417/1000)*4*F417+(E417/1000)*4*F417</f>
        <v>163.072</v>
      </c>
      <c r="I417" s="91" t="str">
        <f>I409</f>
        <v>10동1라인</v>
      </c>
      <c r="J417" s="92" t="s">
        <v>219</v>
      </c>
      <c r="L417" s="89">
        <v>2</v>
      </c>
      <c r="M417" s="78">
        <f>M414</f>
        <v>8</v>
      </c>
      <c r="N417" s="78"/>
      <c r="O417" s="78">
        <f t="shared" ref="O417:O418" si="323">L417*M417-N417*L417</f>
        <v>16</v>
      </c>
      <c r="P417" s="64"/>
    </row>
    <row r="418" spans="1:16" ht="18" customHeight="1">
      <c r="A418" s="85"/>
      <c r="B418" s="86"/>
      <c r="C418" s="87"/>
      <c r="D418" s="88">
        <v>250</v>
      </c>
      <c r="E418" s="88">
        <v>930</v>
      </c>
      <c r="F418" s="89">
        <f t="shared" si="320"/>
        <v>16</v>
      </c>
      <c r="G418" s="90">
        <f t="shared" si="321"/>
        <v>40.518903375486062</v>
      </c>
      <c r="H418" s="90">
        <f t="shared" si="322"/>
        <v>75.52000000000001</v>
      </c>
      <c r="I418" s="91" t="str">
        <f>I417</f>
        <v>10동1라인</v>
      </c>
      <c r="J418" s="92" t="s">
        <v>220</v>
      </c>
      <c r="L418" s="89">
        <v>2</v>
      </c>
      <c r="M418" s="78">
        <f t="shared" si="313"/>
        <v>8</v>
      </c>
      <c r="N418" s="78"/>
      <c r="O418" s="78">
        <f t="shared" si="323"/>
        <v>16</v>
      </c>
    </row>
    <row r="419" spans="1:16" ht="18" customHeight="1">
      <c r="A419" s="85"/>
      <c r="B419" s="86"/>
      <c r="C419" s="87"/>
      <c r="D419" s="88"/>
      <c r="E419" s="88"/>
      <c r="F419" s="89"/>
      <c r="G419" s="90">
        <f t="shared" si="321"/>
        <v>0</v>
      </c>
      <c r="H419" s="90">
        <f t="shared" si="322"/>
        <v>0</v>
      </c>
      <c r="I419" s="91"/>
      <c r="J419" s="92"/>
      <c r="L419" s="250"/>
      <c r="M419" s="250"/>
      <c r="N419" s="250"/>
      <c r="O419" s="250"/>
    </row>
    <row r="420" spans="1:16" ht="18" customHeight="1" thickBot="1">
      <c r="A420" s="222"/>
      <c r="B420" s="223"/>
      <c r="C420" s="224"/>
      <c r="D420" s="364" t="s">
        <v>0</v>
      </c>
      <c r="E420" s="364"/>
      <c r="F420" s="269">
        <f>SUM(F417:F419)</f>
        <v>32</v>
      </c>
      <c r="G420" s="270">
        <f>SUM(G417:G419)</f>
        <v>273.31176682024636</v>
      </c>
      <c r="H420" s="270">
        <f>SUM(H417:H419)</f>
        <v>238.59200000000001</v>
      </c>
      <c r="I420" s="271"/>
      <c r="J420" s="272"/>
      <c r="L420" s="250"/>
      <c r="M420" s="250"/>
      <c r="N420" s="250"/>
      <c r="O420" s="250"/>
    </row>
    <row r="421" spans="1:16" ht="18" customHeight="1">
      <c r="A421" s="273" t="s">
        <v>234</v>
      </c>
      <c r="B421" s="231" t="s">
        <v>195</v>
      </c>
      <c r="C421" s="232">
        <v>22</v>
      </c>
      <c r="D421" s="80">
        <v>761</v>
      </c>
      <c r="E421" s="80">
        <v>1810</v>
      </c>
      <c r="F421" s="233">
        <f>O421</f>
        <v>20</v>
      </c>
      <c r="G421" s="81">
        <f t="shared" ref="G421:G427" si="324">D421*E421/91809*F421</f>
        <v>300.05990698079711</v>
      </c>
      <c r="H421" s="81">
        <f t="shared" ref="H421:H427" si="325">(D421/1000)*4*F421+(E421/1000)*4*F421</f>
        <v>205.68</v>
      </c>
      <c r="I421" s="82" t="s">
        <v>261</v>
      </c>
      <c r="J421" s="83" t="s">
        <v>205</v>
      </c>
      <c r="L421" s="89">
        <v>2</v>
      </c>
      <c r="M421" s="78">
        <v>10</v>
      </c>
      <c r="N421" s="84"/>
      <c r="O421" s="78">
        <f>L421*M421-N421*L421</f>
        <v>20</v>
      </c>
      <c r="P421" s="64"/>
    </row>
    <row r="422" spans="1:16" ht="18" customHeight="1">
      <c r="A422" s="85"/>
      <c r="B422" s="86"/>
      <c r="C422" s="87"/>
      <c r="D422" s="88">
        <v>1688</v>
      </c>
      <c r="E422" s="88">
        <v>1810</v>
      </c>
      <c r="F422" s="89">
        <f t="shared" ref="F422:F427" si="326">O422</f>
        <v>10</v>
      </c>
      <c r="G422" s="90">
        <f t="shared" si="324"/>
        <v>332.78654598133079</v>
      </c>
      <c r="H422" s="90">
        <f t="shared" si="325"/>
        <v>139.92000000000002</v>
      </c>
      <c r="I422" s="91" t="str">
        <f>I421</f>
        <v>10동2라인</v>
      </c>
      <c r="J422" s="92" t="s">
        <v>206</v>
      </c>
      <c r="L422" s="89">
        <v>1</v>
      </c>
      <c r="M422" s="78">
        <f>M421</f>
        <v>10</v>
      </c>
      <c r="N422" s="84"/>
      <c r="O422" s="78">
        <f t="shared" ref="O422:O427" si="327">L422*M422-N422*L422</f>
        <v>10</v>
      </c>
    </row>
    <row r="423" spans="1:16" ht="18" customHeight="1">
      <c r="A423" s="85"/>
      <c r="B423" s="86"/>
      <c r="C423" s="87"/>
      <c r="D423" s="88">
        <v>738</v>
      </c>
      <c r="E423" s="88">
        <v>1310</v>
      </c>
      <c r="F423" s="89">
        <f t="shared" si="326"/>
        <v>40</v>
      </c>
      <c r="G423" s="90">
        <f t="shared" si="324"/>
        <v>421.2136065091658</v>
      </c>
      <c r="H423" s="90">
        <f t="shared" si="325"/>
        <v>327.68</v>
      </c>
      <c r="I423" s="91" t="str">
        <f t="shared" ref="I423:I427" si="328">I422</f>
        <v>10동2라인</v>
      </c>
      <c r="J423" s="92" t="s">
        <v>207</v>
      </c>
      <c r="L423" s="89">
        <v>4</v>
      </c>
      <c r="M423" s="78">
        <f t="shared" ref="M423:M426" si="329">M422</f>
        <v>10</v>
      </c>
      <c r="N423" s="78"/>
      <c r="O423" s="78">
        <f t="shared" si="327"/>
        <v>40</v>
      </c>
    </row>
    <row r="424" spans="1:16" ht="18" customHeight="1">
      <c r="A424" s="85"/>
      <c r="B424" s="86"/>
      <c r="C424" s="87"/>
      <c r="D424" s="88">
        <v>288</v>
      </c>
      <c r="E424" s="88">
        <v>910</v>
      </c>
      <c r="F424" s="89">
        <f t="shared" si="326"/>
        <v>20</v>
      </c>
      <c r="G424" s="90">
        <f t="shared" si="324"/>
        <v>57.09244191745907</v>
      </c>
      <c r="H424" s="90">
        <f t="shared" si="325"/>
        <v>95.84</v>
      </c>
      <c r="I424" s="91" t="str">
        <f t="shared" si="328"/>
        <v>10동2라인</v>
      </c>
      <c r="J424" s="92" t="s">
        <v>208</v>
      </c>
      <c r="L424" s="89">
        <v>2</v>
      </c>
      <c r="M424" s="78">
        <f t="shared" si="329"/>
        <v>10</v>
      </c>
      <c r="N424" s="78"/>
      <c r="O424" s="78">
        <f t="shared" si="327"/>
        <v>20</v>
      </c>
    </row>
    <row r="425" spans="1:16" ht="18" customHeight="1">
      <c r="A425" s="85"/>
      <c r="B425" s="86"/>
      <c r="C425" s="87"/>
      <c r="D425" s="88">
        <v>228</v>
      </c>
      <c r="E425" s="88">
        <v>910</v>
      </c>
      <c r="F425" s="89">
        <f t="shared" si="326"/>
        <v>20</v>
      </c>
      <c r="G425" s="90">
        <f t="shared" si="324"/>
        <v>45.1981831846551</v>
      </c>
      <c r="H425" s="90">
        <f t="shared" si="325"/>
        <v>91.039999999999992</v>
      </c>
      <c r="I425" s="91" t="str">
        <f t="shared" si="328"/>
        <v>10동2라인</v>
      </c>
      <c r="J425" s="92" t="s">
        <v>209</v>
      </c>
      <c r="L425" s="89">
        <v>2</v>
      </c>
      <c r="M425" s="78">
        <f t="shared" si="329"/>
        <v>10</v>
      </c>
      <c r="N425" s="78"/>
      <c r="O425" s="78">
        <f t="shared" si="327"/>
        <v>20</v>
      </c>
    </row>
    <row r="426" spans="1:16" ht="18" customHeight="1">
      <c r="A426" s="85"/>
      <c r="B426" s="86"/>
      <c r="C426" s="87"/>
      <c r="D426" s="88">
        <v>438</v>
      </c>
      <c r="E426" s="88">
        <v>270</v>
      </c>
      <c r="F426" s="89">
        <f t="shared" si="326"/>
        <v>20</v>
      </c>
      <c r="G426" s="90">
        <f t="shared" si="324"/>
        <v>25.762180178413882</v>
      </c>
      <c r="H426" s="90">
        <f t="shared" si="325"/>
        <v>56.64</v>
      </c>
      <c r="I426" s="91" t="str">
        <f t="shared" si="328"/>
        <v>10동2라인</v>
      </c>
      <c r="J426" s="92" t="s">
        <v>210</v>
      </c>
      <c r="L426" s="89">
        <v>2</v>
      </c>
      <c r="M426" s="78">
        <f t="shared" si="329"/>
        <v>10</v>
      </c>
      <c r="N426" s="78"/>
      <c r="O426" s="78">
        <f t="shared" si="327"/>
        <v>20</v>
      </c>
    </row>
    <row r="427" spans="1:16" ht="18" customHeight="1">
      <c r="A427" s="85"/>
      <c r="B427" s="86"/>
      <c r="C427" s="87"/>
      <c r="D427" s="88">
        <v>208</v>
      </c>
      <c r="E427" s="88">
        <v>910</v>
      </c>
      <c r="F427" s="89">
        <f t="shared" si="326"/>
        <v>20</v>
      </c>
      <c r="G427" s="90">
        <f t="shared" si="324"/>
        <v>41.233430273720444</v>
      </c>
      <c r="H427" s="90">
        <f t="shared" si="325"/>
        <v>89.44</v>
      </c>
      <c r="I427" s="91" t="str">
        <f t="shared" si="328"/>
        <v>10동2라인</v>
      </c>
      <c r="J427" s="92" t="s">
        <v>211</v>
      </c>
      <c r="L427" s="89">
        <v>2</v>
      </c>
      <c r="M427" s="78">
        <f>M426</f>
        <v>10</v>
      </c>
      <c r="N427" s="78"/>
      <c r="O427" s="78">
        <f t="shared" si="327"/>
        <v>20</v>
      </c>
    </row>
    <row r="428" spans="1:16" ht="18" customHeight="1">
      <c r="A428" s="85"/>
      <c r="B428" s="93"/>
      <c r="C428" s="87"/>
      <c r="D428" s="325" t="s">
        <v>0</v>
      </c>
      <c r="E428" s="325"/>
      <c r="F428" s="94">
        <f>SUM(F421:F427)</f>
        <v>150</v>
      </c>
      <c r="G428" s="95">
        <f>SUM(G421:G427)</f>
        <v>1223.3462950255423</v>
      </c>
      <c r="H428" s="96">
        <f>SUM(H421:H427)</f>
        <v>1006.24</v>
      </c>
      <c r="I428" s="97"/>
      <c r="J428" s="162"/>
    </row>
    <row r="429" spans="1:16" ht="18" customHeight="1">
      <c r="A429" s="85"/>
      <c r="B429" s="93"/>
      <c r="C429" s="87"/>
      <c r="D429" s="161"/>
      <c r="E429" s="161"/>
      <c r="F429" s="89"/>
      <c r="G429" s="100"/>
      <c r="H429" s="101"/>
      <c r="I429" s="102"/>
      <c r="J429" s="121"/>
      <c r="L429" s="78" t="s">
        <v>48</v>
      </c>
      <c r="M429" s="78" t="s">
        <v>54</v>
      </c>
      <c r="N429" s="78" t="s">
        <v>50</v>
      </c>
      <c r="O429" s="78" t="s">
        <v>55</v>
      </c>
    </row>
    <row r="430" spans="1:16" ht="18" customHeight="1">
      <c r="A430" s="85"/>
      <c r="B430" s="23" t="s">
        <v>197</v>
      </c>
      <c r="C430" s="24">
        <v>22</v>
      </c>
      <c r="D430" s="88">
        <v>761</v>
      </c>
      <c r="E430" s="88">
        <v>1810</v>
      </c>
      <c r="F430" s="89">
        <f t="shared" ref="F430:F436" si="330">O430</f>
        <v>20</v>
      </c>
      <c r="G430" s="90">
        <f t="shared" ref="G430:G436" si="331">D430*E430/91809*F430</f>
        <v>300.05990698079711</v>
      </c>
      <c r="H430" s="90">
        <f t="shared" ref="H430:H436" si="332">(D430/1000)*4*F430+(E430/1000)*4*F430</f>
        <v>205.68</v>
      </c>
      <c r="I430" s="91" t="str">
        <f t="shared" ref="I430:I436" si="333">I421</f>
        <v>10동2라인</v>
      </c>
      <c r="J430" s="92" t="s">
        <v>212</v>
      </c>
      <c r="L430" s="89">
        <v>2</v>
      </c>
      <c r="M430" s="78">
        <f>M421</f>
        <v>10</v>
      </c>
      <c r="N430" s="84"/>
      <c r="O430" s="78">
        <f>L430*M430-N430*L430</f>
        <v>20</v>
      </c>
    </row>
    <row r="431" spans="1:16" ht="18" customHeight="1">
      <c r="A431" s="85"/>
      <c r="B431" s="86"/>
      <c r="C431" s="87"/>
      <c r="D431" s="88">
        <v>1688</v>
      </c>
      <c r="E431" s="88">
        <v>1810</v>
      </c>
      <c r="F431" s="89">
        <f t="shared" si="330"/>
        <v>10</v>
      </c>
      <c r="G431" s="90">
        <f t="shared" si="331"/>
        <v>332.78654598133079</v>
      </c>
      <c r="H431" s="90">
        <f t="shared" si="332"/>
        <v>139.92000000000002</v>
      </c>
      <c r="I431" s="91" t="str">
        <f t="shared" si="333"/>
        <v>10동2라인</v>
      </c>
      <c r="J431" s="92" t="s">
        <v>213</v>
      </c>
      <c r="L431" s="89">
        <v>1</v>
      </c>
      <c r="M431" s="78">
        <f>M430</f>
        <v>10</v>
      </c>
      <c r="N431" s="84"/>
      <c r="O431" s="78">
        <f>L431*M431-N431*L431</f>
        <v>10</v>
      </c>
    </row>
    <row r="432" spans="1:16" ht="18" customHeight="1">
      <c r="A432" s="104"/>
      <c r="B432" s="93"/>
      <c r="C432" s="87"/>
      <c r="D432" s="88">
        <v>738</v>
      </c>
      <c r="E432" s="88">
        <v>1310</v>
      </c>
      <c r="F432" s="89">
        <f t="shared" si="330"/>
        <v>40</v>
      </c>
      <c r="G432" s="90">
        <f t="shared" si="331"/>
        <v>421.2136065091658</v>
      </c>
      <c r="H432" s="90">
        <f t="shared" si="332"/>
        <v>327.68</v>
      </c>
      <c r="I432" s="91" t="str">
        <f t="shared" si="333"/>
        <v>10동2라인</v>
      </c>
      <c r="J432" s="92" t="s">
        <v>214</v>
      </c>
      <c r="L432" s="89">
        <v>4</v>
      </c>
      <c r="M432" s="78">
        <f t="shared" ref="M432:M436" si="334">M431</f>
        <v>10</v>
      </c>
      <c r="N432" s="84"/>
      <c r="O432" s="78">
        <f t="shared" ref="O432:O436" si="335">L432*M432-N432*L432</f>
        <v>40</v>
      </c>
    </row>
    <row r="433" spans="1:16" ht="18" customHeight="1">
      <c r="A433" s="104"/>
      <c r="B433" s="93"/>
      <c r="C433" s="87"/>
      <c r="D433" s="88">
        <v>288</v>
      </c>
      <c r="E433" s="88">
        <v>910</v>
      </c>
      <c r="F433" s="89">
        <f t="shared" si="330"/>
        <v>20</v>
      </c>
      <c r="G433" s="90">
        <f t="shared" si="331"/>
        <v>57.09244191745907</v>
      </c>
      <c r="H433" s="90">
        <f t="shared" si="332"/>
        <v>95.84</v>
      </c>
      <c r="I433" s="91" t="str">
        <f t="shared" si="333"/>
        <v>10동2라인</v>
      </c>
      <c r="J433" s="92" t="s">
        <v>215</v>
      </c>
      <c r="L433" s="89">
        <v>2</v>
      </c>
      <c r="M433" s="78">
        <f t="shared" si="334"/>
        <v>10</v>
      </c>
      <c r="N433" s="78"/>
      <c r="O433" s="78">
        <f t="shared" si="335"/>
        <v>20</v>
      </c>
    </row>
    <row r="434" spans="1:16" ht="18" customHeight="1">
      <c r="A434" s="104"/>
      <c r="B434" s="93"/>
      <c r="C434" s="87"/>
      <c r="D434" s="88">
        <v>228</v>
      </c>
      <c r="E434" s="88">
        <v>910</v>
      </c>
      <c r="F434" s="89">
        <f t="shared" si="330"/>
        <v>20</v>
      </c>
      <c r="G434" s="90">
        <f t="shared" si="331"/>
        <v>45.1981831846551</v>
      </c>
      <c r="H434" s="90">
        <f t="shared" si="332"/>
        <v>91.039999999999992</v>
      </c>
      <c r="I434" s="91" t="str">
        <f t="shared" si="333"/>
        <v>10동2라인</v>
      </c>
      <c r="J434" s="92" t="s">
        <v>216</v>
      </c>
      <c r="L434" s="89">
        <v>2</v>
      </c>
      <c r="M434" s="78">
        <f t="shared" si="334"/>
        <v>10</v>
      </c>
      <c r="N434" s="78"/>
      <c r="O434" s="78">
        <f t="shared" si="335"/>
        <v>20</v>
      </c>
    </row>
    <row r="435" spans="1:16" ht="18" customHeight="1">
      <c r="A435" s="104"/>
      <c r="B435" s="93"/>
      <c r="C435" s="87"/>
      <c r="D435" s="88">
        <v>438</v>
      </c>
      <c r="E435" s="88">
        <v>270</v>
      </c>
      <c r="F435" s="89">
        <f t="shared" si="330"/>
        <v>20</v>
      </c>
      <c r="G435" s="90">
        <f t="shared" si="331"/>
        <v>25.762180178413882</v>
      </c>
      <c r="H435" s="90">
        <f t="shared" si="332"/>
        <v>56.64</v>
      </c>
      <c r="I435" s="91" t="str">
        <f t="shared" si="333"/>
        <v>10동2라인</v>
      </c>
      <c r="J435" s="92" t="s">
        <v>217</v>
      </c>
      <c r="L435" s="89">
        <v>2</v>
      </c>
      <c r="M435" s="78">
        <f t="shared" si="334"/>
        <v>10</v>
      </c>
      <c r="N435" s="78"/>
      <c r="O435" s="78">
        <f t="shared" si="335"/>
        <v>20</v>
      </c>
    </row>
    <row r="436" spans="1:16" ht="18" customHeight="1">
      <c r="A436" s="104"/>
      <c r="B436" s="93"/>
      <c r="C436" s="87"/>
      <c r="D436" s="88">
        <v>208</v>
      </c>
      <c r="E436" s="88">
        <v>910</v>
      </c>
      <c r="F436" s="89">
        <f t="shared" si="330"/>
        <v>20</v>
      </c>
      <c r="G436" s="90">
        <f t="shared" si="331"/>
        <v>41.233430273720444</v>
      </c>
      <c r="H436" s="90">
        <f t="shared" si="332"/>
        <v>89.44</v>
      </c>
      <c r="I436" s="91" t="str">
        <f t="shared" si="333"/>
        <v>10동2라인</v>
      </c>
      <c r="J436" s="92" t="s">
        <v>218</v>
      </c>
      <c r="L436" s="89">
        <v>2</v>
      </c>
      <c r="M436" s="78">
        <f t="shared" si="334"/>
        <v>10</v>
      </c>
      <c r="N436" s="78"/>
      <c r="O436" s="78">
        <f t="shared" si="335"/>
        <v>20</v>
      </c>
    </row>
    <row r="437" spans="1:16" ht="18" customHeight="1">
      <c r="A437" s="104"/>
      <c r="B437" s="87"/>
      <c r="C437" s="87"/>
      <c r="D437" s="325" t="s">
        <v>0</v>
      </c>
      <c r="E437" s="325"/>
      <c r="F437" s="171">
        <f>SUM(F430:F436)</f>
        <v>150</v>
      </c>
      <c r="G437" s="95">
        <f>SUM(G430:G436)</f>
        <v>1223.3462950255423</v>
      </c>
      <c r="H437" s="95">
        <f>SUM(H430:H436)</f>
        <v>1006.24</v>
      </c>
      <c r="I437" s="97"/>
      <c r="J437" s="98"/>
    </row>
    <row r="438" spans="1:16">
      <c r="A438" s="105"/>
      <c r="B438" s="9"/>
      <c r="C438" s="9"/>
      <c r="D438" s="51"/>
      <c r="E438" s="51"/>
      <c r="F438" s="51"/>
      <c r="G438" s="106"/>
      <c r="H438" s="106"/>
      <c r="I438" s="9"/>
      <c r="J438" s="107"/>
    </row>
    <row r="439" spans="1:16" ht="18" customHeight="1">
      <c r="A439" s="85"/>
      <c r="B439" s="163" t="s">
        <v>199</v>
      </c>
      <c r="C439" s="163">
        <v>22</v>
      </c>
      <c r="D439" s="88">
        <v>738</v>
      </c>
      <c r="E439" s="88">
        <v>1810</v>
      </c>
      <c r="F439" s="89">
        <f t="shared" ref="F439:F440" si="336">O439</f>
        <v>0</v>
      </c>
      <c r="G439" s="90">
        <f t="shared" ref="G439:G440" si="337">D439*E439/91809*F439</f>
        <v>0</v>
      </c>
      <c r="H439" s="90">
        <f t="shared" ref="H439:H440" si="338">(D439/1000)*4*F439+(E439/1000)*4*F439</f>
        <v>0</v>
      </c>
      <c r="I439" s="91" t="str">
        <f>I430</f>
        <v>10동2라인</v>
      </c>
      <c r="J439" s="92" t="s">
        <v>219</v>
      </c>
      <c r="L439" s="89">
        <v>2</v>
      </c>
      <c r="M439" s="78">
        <f>M421</f>
        <v>10</v>
      </c>
      <c r="N439" s="84">
        <v>10</v>
      </c>
      <c r="O439" s="78">
        <f>L439*M439-N439*L439</f>
        <v>0</v>
      </c>
      <c r="P439" s="64" t="s">
        <v>283</v>
      </c>
    </row>
    <row r="440" spans="1:16" ht="18" customHeight="1">
      <c r="A440" s="85"/>
      <c r="B440" s="86"/>
      <c r="C440" s="87"/>
      <c r="D440" s="88">
        <v>250</v>
      </c>
      <c r="E440" s="88">
        <v>930</v>
      </c>
      <c r="F440" s="89">
        <f t="shared" si="336"/>
        <v>20</v>
      </c>
      <c r="G440" s="90">
        <f t="shared" si="337"/>
        <v>50.648629219357574</v>
      </c>
      <c r="H440" s="90">
        <f t="shared" si="338"/>
        <v>94.4</v>
      </c>
      <c r="I440" s="91" t="str">
        <f>I439</f>
        <v>10동2라인</v>
      </c>
      <c r="J440" s="92" t="s">
        <v>220</v>
      </c>
      <c r="L440" s="89">
        <v>2</v>
      </c>
      <c r="M440" s="78">
        <f>M439</f>
        <v>10</v>
      </c>
      <c r="N440" s="84"/>
      <c r="O440" s="78">
        <f t="shared" ref="O440" si="339">L440*M440-N440*L440</f>
        <v>20</v>
      </c>
    </row>
    <row r="441" spans="1:16" ht="18" customHeight="1">
      <c r="A441" s="85"/>
      <c r="B441" s="93"/>
      <c r="C441" s="87"/>
      <c r="D441" s="325" t="s">
        <v>0</v>
      </c>
      <c r="E441" s="325"/>
      <c r="F441" s="94">
        <f>SUM(F439:F440)</f>
        <v>20</v>
      </c>
      <c r="G441" s="95">
        <f>SUM(G439:G440)</f>
        <v>50.648629219357574</v>
      </c>
      <c r="H441" s="95">
        <f>SUM(H439:H440)</f>
        <v>94.4</v>
      </c>
      <c r="I441" s="97"/>
      <c r="J441" s="98"/>
    </row>
    <row r="442" spans="1:16">
      <c r="A442" s="236"/>
      <c r="B442" s="237"/>
      <c r="C442" s="238"/>
      <c r="D442" s="362"/>
      <c r="E442" s="362"/>
      <c r="F442" s="239"/>
      <c r="G442" s="240"/>
      <c r="H442" s="241"/>
      <c r="I442" s="242"/>
      <c r="J442" s="243"/>
    </row>
    <row r="443" spans="1:16" ht="18" customHeight="1">
      <c r="A443" s="244" t="s">
        <v>234</v>
      </c>
      <c r="B443" s="23" t="s">
        <v>195</v>
      </c>
      <c r="C443" s="24">
        <v>22</v>
      </c>
      <c r="D443" s="88">
        <v>761</v>
      </c>
      <c r="E443" s="88">
        <v>1810</v>
      </c>
      <c r="F443" s="89">
        <f>O443</f>
        <v>20</v>
      </c>
      <c r="G443" s="90">
        <f t="shared" ref="G443:G449" si="340">D443*E443/91809*F443</f>
        <v>300.05990698079711</v>
      </c>
      <c r="H443" s="90">
        <f t="shared" ref="H443:H449" si="341">(D443/1000)*4*F443+(E443/1000)*4*F443</f>
        <v>205.68</v>
      </c>
      <c r="I443" s="91" t="s">
        <v>262</v>
      </c>
      <c r="J443" s="92" t="s">
        <v>205</v>
      </c>
      <c r="L443" s="89">
        <v>2</v>
      </c>
      <c r="M443" s="78">
        <v>10</v>
      </c>
      <c r="N443" s="84"/>
      <c r="O443" s="78">
        <f>L443*M443-N443*L443</f>
        <v>20</v>
      </c>
      <c r="P443" s="64"/>
    </row>
    <row r="444" spans="1:16" ht="18" customHeight="1">
      <c r="A444" s="85"/>
      <c r="B444" s="86"/>
      <c r="C444" s="87"/>
      <c r="D444" s="88">
        <v>1688</v>
      </c>
      <c r="E444" s="88">
        <v>1810</v>
      </c>
      <c r="F444" s="89">
        <f t="shared" ref="F444:F449" si="342">O444</f>
        <v>10</v>
      </c>
      <c r="G444" s="90">
        <f t="shared" si="340"/>
        <v>332.78654598133079</v>
      </c>
      <c r="H444" s="90">
        <f t="shared" si="341"/>
        <v>139.92000000000002</v>
      </c>
      <c r="I444" s="91" t="str">
        <f>I443</f>
        <v>10동3라인</v>
      </c>
      <c r="J444" s="92" t="s">
        <v>206</v>
      </c>
      <c r="L444" s="89">
        <v>1</v>
      </c>
      <c r="M444" s="78">
        <f>M443</f>
        <v>10</v>
      </c>
      <c r="N444" s="84"/>
      <c r="O444" s="78">
        <f t="shared" ref="O444:O449" si="343">L444*M444-N444*L444</f>
        <v>10</v>
      </c>
    </row>
    <row r="445" spans="1:16" ht="18" customHeight="1">
      <c r="A445" s="85"/>
      <c r="B445" s="86"/>
      <c r="C445" s="87"/>
      <c r="D445" s="88">
        <v>738</v>
      </c>
      <c r="E445" s="88">
        <v>1310</v>
      </c>
      <c r="F445" s="89">
        <f t="shared" si="342"/>
        <v>40</v>
      </c>
      <c r="G445" s="90">
        <f t="shared" si="340"/>
        <v>421.2136065091658</v>
      </c>
      <c r="H445" s="90">
        <f t="shared" si="341"/>
        <v>327.68</v>
      </c>
      <c r="I445" s="91" t="str">
        <f t="shared" ref="I445:I449" si="344">I444</f>
        <v>10동3라인</v>
      </c>
      <c r="J445" s="92" t="s">
        <v>207</v>
      </c>
      <c r="L445" s="89">
        <v>4</v>
      </c>
      <c r="M445" s="78">
        <f t="shared" ref="M445:M448" si="345">M444</f>
        <v>10</v>
      </c>
      <c r="N445" s="78"/>
      <c r="O445" s="78">
        <f t="shared" si="343"/>
        <v>40</v>
      </c>
    </row>
    <row r="446" spans="1:16" ht="18" customHeight="1">
      <c r="A446" s="85"/>
      <c r="B446" s="86"/>
      <c r="C446" s="87"/>
      <c r="D446" s="88">
        <v>288</v>
      </c>
      <c r="E446" s="88">
        <v>910</v>
      </c>
      <c r="F446" s="89">
        <f t="shared" si="342"/>
        <v>20</v>
      </c>
      <c r="G446" s="90">
        <f t="shared" si="340"/>
        <v>57.09244191745907</v>
      </c>
      <c r="H446" s="90">
        <f t="shared" si="341"/>
        <v>95.84</v>
      </c>
      <c r="I446" s="91" t="str">
        <f t="shared" si="344"/>
        <v>10동3라인</v>
      </c>
      <c r="J446" s="92" t="s">
        <v>208</v>
      </c>
      <c r="L446" s="89">
        <v>2</v>
      </c>
      <c r="M446" s="78">
        <f t="shared" si="345"/>
        <v>10</v>
      </c>
      <c r="N446" s="78"/>
      <c r="O446" s="78">
        <f t="shared" si="343"/>
        <v>20</v>
      </c>
    </row>
    <row r="447" spans="1:16" ht="18" customHeight="1">
      <c r="A447" s="85"/>
      <c r="B447" s="86"/>
      <c r="C447" s="87"/>
      <c r="D447" s="88">
        <v>228</v>
      </c>
      <c r="E447" s="88">
        <v>910</v>
      </c>
      <c r="F447" s="89">
        <f t="shared" si="342"/>
        <v>20</v>
      </c>
      <c r="G447" s="90">
        <f t="shared" si="340"/>
        <v>45.1981831846551</v>
      </c>
      <c r="H447" s="90">
        <f t="shared" si="341"/>
        <v>91.039999999999992</v>
      </c>
      <c r="I447" s="91" t="str">
        <f t="shared" si="344"/>
        <v>10동3라인</v>
      </c>
      <c r="J447" s="92" t="s">
        <v>209</v>
      </c>
      <c r="L447" s="89">
        <v>2</v>
      </c>
      <c r="M447" s="78">
        <f t="shared" si="345"/>
        <v>10</v>
      </c>
      <c r="N447" s="78"/>
      <c r="O447" s="78">
        <f t="shared" si="343"/>
        <v>20</v>
      </c>
    </row>
    <row r="448" spans="1:16" ht="18" customHeight="1">
      <c r="A448" s="85"/>
      <c r="B448" s="86"/>
      <c r="C448" s="87"/>
      <c r="D448" s="88">
        <v>438</v>
      </c>
      <c r="E448" s="88">
        <v>270</v>
      </c>
      <c r="F448" s="89">
        <f t="shared" si="342"/>
        <v>20</v>
      </c>
      <c r="G448" s="90">
        <f t="shared" si="340"/>
        <v>25.762180178413882</v>
      </c>
      <c r="H448" s="90">
        <f t="shared" si="341"/>
        <v>56.64</v>
      </c>
      <c r="I448" s="91" t="str">
        <f t="shared" si="344"/>
        <v>10동3라인</v>
      </c>
      <c r="J448" s="92" t="s">
        <v>210</v>
      </c>
      <c r="L448" s="89">
        <v>2</v>
      </c>
      <c r="M448" s="78">
        <f t="shared" si="345"/>
        <v>10</v>
      </c>
      <c r="N448" s="78"/>
      <c r="O448" s="78">
        <f t="shared" si="343"/>
        <v>20</v>
      </c>
    </row>
    <row r="449" spans="1:16" ht="18" customHeight="1">
      <c r="A449" s="85"/>
      <c r="B449" s="86"/>
      <c r="C449" s="87"/>
      <c r="D449" s="88">
        <v>208</v>
      </c>
      <c r="E449" s="88">
        <v>910</v>
      </c>
      <c r="F449" s="89">
        <f t="shared" si="342"/>
        <v>20</v>
      </c>
      <c r="G449" s="90">
        <f t="shared" si="340"/>
        <v>41.233430273720444</v>
      </c>
      <c r="H449" s="90">
        <f t="shared" si="341"/>
        <v>89.44</v>
      </c>
      <c r="I449" s="91" t="str">
        <f t="shared" si="344"/>
        <v>10동3라인</v>
      </c>
      <c r="J449" s="92" t="s">
        <v>211</v>
      </c>
      <c r="L449" s="89">
        <v>2</v>
      </c>
      <c r="M449" s="78">
        <f>M448</f>
        <v>10</v>
      </c>
      <c r="N449" s="78"/>
      <c r="O449" s="78">
        <f t="shared" si="343"/>
        <v>20</v>
      </c>
    </row>
    <row r="450" spans="1:16" ht="18" customHeight="1">
      <c r="A450" s="85"/>
      <c r="B450" s="93"/>
      <c r="C450" s="87"/>
      <c r="D450" s="325" t="s">
        <v>0</v>
      </c>
      <c r="E450" s="325"/>
      <c r="F450" s="94">
        <f>SUM(F443:F449)</f>
        <v>150</v>
      </c>
      <c r="G450" s="95">
        <f>SUM(G443:G449)</f>
        <v>1223.3462950255423</v>
      </c>
      <c r="H450" s="96">
        <f>SUM(H443:H449)</f>
        <v>1006.24</v>
      </c>
      <c r="I450" s="97"/>
      <c r="J450" s="162"/>
    </row>
    <row r="451" spans="1:16" ht="18" customHeight="1">
      <c r="A451" s="85"/>
      <c r="B451" s="93"/>
      <c r="C451" s="87"/>
      <c r="D451" s="161"/>
      <c r="E451" s="161"/>
      <c r="F451" s="89"/>
      <c r="G451" s="100"/>
      <c r="H451" s="101"/>
      <c r="I451" s="102"/>
      <c r="J451" s="121"/>
      <c r="L451" s="78" t="s">
        <v>48</v>
      </c>
      <c r="M451" s="78" t="s">
        <v>54</v>
      </c>
      <c r="N451" s="78" t="s">
        <v>50</v>
      </c>
      <c r="O451" s="78" t="s">
        <v>55</v>
      </c>
    </row>
    <row r="452" spans="1:16" ht="18" customHeight="1">
      <c r="A452" s="85"/>
      <c r="B452" s="23" t="s">
        <v>197</v>
      </c>
      <c r="C452" s="24">
        <v>22</v>
      </c>
      <c r="D452" s="88">
        <v>761</v>
      </c>
      <c r="E452" s="88">
        <v>1810</v>
      </c>
      <c r="F452" s="89">
        <f t="shared" ref="F452:F458" si="346">O452</f>
        <v>20</v>
      </c>
      <c r="G452" s="90">
        <f t="shared" ref="G452:G458" si="347">D452*E452/91809*F452</f>
        <v>300.05990698079711</v>
      </c>
      <c r="H452" s="90">
        <f t="shared" ref="H452:H458" si="348">(D452/1000)*4*F452+(E452/1000)*4*F452</f>
        <v>205.68</v>
      </c>
      <c r="I452" s="91" t="str">
        <f t="shared" ref="I452:I458" si="349">I443</f>
        <v>10동3라인</v>
      </c>
      <c r="J452" s="92" t="s">
        <v>212</v>
      </c>
      <c r="L452" s="89">
        <v>2</v>
      </c>
      <c r="M452" s="78">
        <f>M443</f>
        <v>10</v>
      </c>
      <c r="N452" s="84"/>
      <c r="O452" s="78">
        <f>L452*M452-N452*L452</f>
        <v>20</v>
      </c>
    </row>
    <row r="453" spans="1:16" ht="18" customHeight="1">
      <c r="A453" s="85"/>
      <c r="B453" s="86"/>
      <c r="C453" s="87"/>
      <c r="D453" s="88">
        <v>1688</v>
      </c>
      <c r="E453" s="88">
        <v>1810</v>
      </c>
      <c r="F453" s="89">
        <f t="shared" si="346"/>
        <v>10</v>
      </c>
      <c r="G453" s="90">
        <f t="shared" si="347"/>
        <v>332.78654598133079</v>
      </c>
      <c r="H453" s="90">
        <f t="shared" si="348"/>
        <v>139.92000000000002</v>
      </c>
      <c r="I453" s="91" t="str">
        <f t="shared" si="349"/>
        <v>10동3라인</v>
      </c>
      <c r="J453" s="92" t="s">
        <v>213</v>
      </c>
      <c r="L453" s="89">
        <v>1</v>
      </c>
      <c r="M453" s="78">
        <f>M452</f>
        <v>10</v>
      </c>
      <c r="N453" s="84"/>
      <c r="O453" s="78">
        <f>L453*M453-N453*L453</f>
        <v>10</v>
      </c>
    </row>
    <row r="454" spans="1:16" ht="18" customHeight="1">
      <c r="A454" s="104"/>
      <c r="B454" s="93"/>
      <c r="C454" s="87"/>
      <c r="D454" s="88">
        <v>738</v>
      </c>
      <c r="E454" s="88">
        <v>1310</v>
      </c>
      <c r="F454" s="89">
        <f t="shared" si="346"/>
        <v>40</v>
      </c>
      <c r="G454" s="90">
        <f t="shared" si="347"/>
        <v>421.2136065091658</v>
      </c>
      <c r="H454" s="90">
        <f t="shared" si="348"/>
        <v>327.68</v>
      </c>
      <c r="I454" s="91" t="str">
        <f t="shared" si="349"/>
        <v>10동3라인</v>
      </c>
      <c r="J454" s="92" t="s">
        <v>214</v>
      </c>
      <c r="L454" s="89">
        <v>4</v>
      </c>
      <c r="M454" s="78">
        <f t="shared" ref="M454:M458" si="350">M453</f>
        <v>10</v>
      </c>
      <c r="N454" s="84"/>
      <c r="O454" s="78">
        <f t="shared" ref="O454:O458" si="351">L454*M454-N454*L454</f>
        <v>40</v>
      </c>
    </row>
    <row r="455" spans="1:16" ht="18" customHeight="1">
      <c r="A455" s="104"/>
      <c r="B455" s="93"/>
      <c r="C455" s="87"/>
      <c r="D455" s="88">
        <v>288</v>
      </c>
      <c r="E455" s="88">
        <v>910</v>
      </c>
      <c r="F455" s="89">
        <f t="shared" si="346"/>
        <v>20</v>
      </c>
      <c r="G455" s="90">
        <f t="shared" si="347"/>
        <v>57.09244191745907</v>
      </c>
      <c r="H455" s="90">
        <f t="shared" si="348"/>
        <v>95.84</v>
      </c>
      <c r="I455" s="91" t="str">
        <f t="shared" si="349"/>
        <v>10동3라인</v>
      </c>
      <c r="J455" s="92" t="s">
        <v>215</v>
      </c>
      <c r="L455" s="89">
        <v>2</v>
      </c>
      <c r="M455" s="78">
        <f t="shared" si="350"/>
        <v>10</v>
      </c>
      <c r="N455" s="78"/>
      <c r="O455" s="78">
        <f t="shared" si="351"/>
        <v>20</v>
      </c>
    </row>
    <row r="456" spans="1:16" ht="18" customHeight="1">
      <c r="A456" s="104"/>
      <c r="B456" s="93"/>
      <c r="C456" s="87"/>
      <c r="D456" s="88">
        <v>228</v>
      </c>
      <c r="E456" s="88">
        <v>910</v>
      </c>
      <c r="F456" s="89">
        <f t="shared" si="346"/>
        <v>20</v>
      </c>
      <c r="G456" s="90">
        <f t="shared" si="347"/>
        <v>45.1981831846551</v>
      </c>
      <c r="H456" s="90">
        <f t="shared" si="348"/>
        <v>91.039999999999992</v>
      </c>
      <c r="I456" s="91" t="str">
        <f t="shared" si="349"/>
        <v>10동3라인</v>
      </c>
      <c r="J456" s="92" t="s">
        <v>216</v>
      </c>
      <c r="L456" s="89">
        <v>2</v>
      </c>
      <c r="M456" s="78">
        <f t="shared" si="350"/>
        <v>10</v>
      </c>
      <c r="N456" s="78"/>
      <c r="O456" s="78">
        <f t="shared" si="351"/>
        <v>20</v>
      </c>
    </row>
    <row r="457" spans="1:16" ht="18" customHeight="1">
      <c r="A457" s="104"/>
      <c r="B457" s="93"/>
      <c r="C457" s="87"/>
      <c r="D457" s="88">
        <v>438</v>
      </c>
      <c r="E457" s="88">
        <v>270</v>
      </c>
      <c r="F457" s="89">
        <f t="shared" si="346"/>
        <v>20</v>
      </c>
      <c r="G457" s="90">
        <f t="shared" si="347"/>
        <v>25.762180178413882</v>
      </c>
      <c r="H457" s="90">
        <f t="shared" si="348"/>
        <v>56.64</v>
      </c>
      <c r="I457" s="91" t="str">
        <f t="shared" si="349"/>
        <v>10동3라인</v>
      </c>
      <c r="J457" s="92" t="s">
        <v>217</v>
      </c>
      <c r="L457" s="89">
        <v>2</v>
      </c>
      <c r="M457" s="78">
        <f t="shared" si="350"/>
        <v>10</v>
      </c>
      <c r="N457" s="78"/>
      <c r="O457" s="78">
        <f t="shared" si="351"/>
        <v>20</v>
      </c>
    </row>
    <row r="458" spans="1:16" ht="18" customHeight="1">
      <c r="A458" s="104"/>
      <c r="B458" s="93"/>
      <c r="C458" s="87"/>
      <c r="D458" s="88">
        <v>208</v>
      </c>
      <c r="E458" s="88">
        <v>910</v>
      </c>
      <c r="F458" s="89">
        <f t="shared" si="346"/>
        <v>20</v>
      </c>
      <c r="G458" s="90">
        <f t="shared" si="347"/>
        <v>41.233430273720444</v>
      </c>
      <c r="H458" s="90">
        <f t="shared" si="348"/>
        <v>89.44</v>
      </c>
      <c r="I458" s="91" t="str">
        <f t="shared" si="349"/>
        <v>10동3라인</v>
      </c>
      <c r="J458" s="92" t="s">
        <v>218</v>
      </c>
      <c r="L458" s="89">
        <v>2</v>
      </c>
      <c r="M458" s="78">
        <f t="shared" si="350"/>
        <v>10</v>
      </c>
      <c r="N458" s="78"/>
      <c r="O458" s="78">
        <f t="shared" si="351"/>
        <v>20</v>
      </c>
    </row>
    <row r="459" spans="1:16" ht="18" customHeight="1">
      <c r="A459" s="104"/>
      <c r="B459" s="87"/>
      <c r="C459" s="87"/>
      <c r="D459" s="325" t="s">
        <v>0</v>
      </c>
      <c r="E459" s="325"/>
      <c r="F459" s="171">
        <f>SUM(F452:F458)</f>
        <v>150</v>
      </c>
      <c r="G459" s="95">
        <f>SUM(G452:G458)</f>
        <v>1223.3462950255423</v>
      </c>
      <c r="H459" s="95">
        <f>SUM(H452:H458)</f>
        <v>1006.24</v>
      </c>
      <c r="I459" s="97"/>
      <c r="J459" s="98"/>
    </row>
    <row r="460" spans="1:16">
      <c r="A460" s="105"/>
      <c r="B460" s="9"/>
      <c r="C460" s="9"/>
      <c r="D460" s="51"/>
      <c r="E460" s="51"/>
      <c r="F460" s="51"/>
      <c r="G460" s="106"/>
      <c r="H460" s="106"/>
      <c r="I460" s="9"/>
      <c r="J460" s="107"/>
    </row>
    <row r="461" spans="1:16" ht="18" customHeight="1">
      <c r="A461" s="85"/>
      <c r="B461" s="163" t="s">
        <v>199</v>
      </c>
      <c r="C461" s="163">
        <v>22</v>
      </c>
      <c r="D461" s="88">
        <v>738</v>
      </c>
      <c r="E461" s="88">
        <v>1810</v>
      </c>
      <c r="F461" s="89">
        <f t="shared" ref="F461:F462" si="352">O461</f>
        <v>20</v>
      </c>
      <c r="G461" s="90">
        <f t="shared" ref="G461:G462" si="353">D461*E461/91809*F461</f>
        <v>290.99107930595039</v>
      </c>
      <c r="H461" s="90">
        <f t="shared" ref="H461:H462" si="354">(D461/1000)*4*F461+(E461/1000)*4*F461</f>
        <v>203.84</v>
      </c>
      <c r="I461" s="91" t="str">
        <f>I452</f>
        <v>10동3라인</v>
      </c>
      <c r="J461" s="92" t="s">
        <v>219</v>
      </c>
      <c r="L461" s="89">
        <v>2</v>
      </c>
      <c r="M461" s="78">
        <f>M443</f>
        <v>10</v>
      </c>
      <c r="N461" s="84"/>
      <c r="O461" s="78">
        <f>L461*M461-N461*L461</f>
        <v>20</v>
      </c>
      <c r="P461" s="64"/>
    </row>
    <row r="462" spans="1:16" ht="18" customHeight="1">
      <c r="A462" s="85"/>
      <c r="B462" s="86"/>
      <c r="C462" s="87"/>
      <c r="D462" s="88">
        <v>250</v>
      </c>
      <c r="E462" s="88">
        <v>930</v>
      </c>
      <c r="F462" s="89">
        <f t="shared" si="352"/>
        <v>20</v>
      </c>
      <c r="G462" s="90">
        <f t="shared" si="353"/>
        <v>50.648629219357574</v>
      </c>
      <c r="H462" s="90">
        <f t="shared" si="354"/>
        <v>94.4</v>
      </c>
      <c r="I462" s="91" t="str">
        <f>I461</f>
        <v>10동3라인</v>
      </c>
      <c r="J462" s="92" t="s">
        <v>220</v>
      </c>
      <c r="L462" s="89">
        <v>2</v>
      </c>
      <c r="M462" s="78">
        <f>M461</f>
        <v>10</v>
      </c>
      <c r="N462" s="84"/>
      <c r="O462" s="78">
        <f t="shared" ref="O462" si="355">L462*M462-N462*L462</f>
        <v>20</v>
      </c>
    </row>
    <row r="463" spans="1:16" ht="18" customHeight="1" thickBot="1">
      <c r="A463" s="222"/>
      <c r="B463" s="223"/>
      <c r="C463" s="224"/>
      <c r="D463" s="364" t="s">
        <v>0</v>
      </c>
      <c r="E463" s="364"/>
      <c r="F463" s="269">
        <f>SUM(F461:F462)</f>
        <v>40</v>
      </c>
      <c r="G463" s="270">
        <f>SUM(G461:G462)</f>
        <v>341.63970852530798</v>
      </c>
      <c r="H463" s="270">
        <f>SUM(H461:H462)</f>
        <v>298.24</v>
      </c>
      <c r="I463" s="271"/>
      <c r="J463" s="272"/>
    </row>
    <row r="464" spans="1:16" ht="18" customHeight="1">
      <c r="A464" s="79" t="s">
        <v>235</v>
      </c>
      <c r="B464" s="231" t="s">
        <v>201</v>
      </c>
      <c r="C464" s="232">
        <v>22</v>
      </c>
      <c r="D464" s="80">
        <v>861</v>
      </c>
      <c r="E464" s="80">
        <v>1810</v>
      </c>
      <c r="F464" s="233">
        <f t="shared" ref="F464:F467" si="356">O464</f>
        <v>10</v>
      </c>
      <c r="G464" s="81">
        <f t="shared" ref="G464:G467" si="357">D464*E464/91809*F464</f>
        <v>169.7447962618044</v>
      </c>
      <c r="H464" s="81">
        <f t="shared" ref="H464:H467" si="358">(D464/1000)*4*F464+(E464/1000)*4*F464</f>
        <v>106.84</v>
      </c>
      <c r="I464" s="82" t="s">
        <v>263</v>
      </c>
      <c r="J464" s="83" t="s">
        <v>205</v>
      </c>
      <c r="L464" s="89">
        <v>1</v>
      </c>
      <c r="M464" s="78">
        <v>10</v>
      </c>
      <c r="N464" s="84"/>
      <c r="O464" s="78">
        <f>L464*M464-N464*L464</f>
        <v>10</v>
      </c>
      <c r="P464" s="64"/>
    </row>
    <row r="465" spans="1:16" ht="18" customHeight="1">
      <c r="A465" s="85"/>
      <c r="B465" s="86"/>
      <c r="C465" s="87"/>
      <c r="D465" s="88">
        <v>738</v>
      </c>
      <c r="E465" s="88">
        <v>1310</v>
      </c>
      <c r="F465" s="89">
        <f t="shared" si="356"/>
        <v>40</v>
      </c>
      <c r="G465" s="90">
        <f t="shared" si="357"/>
        <v>421.2136065091658</v>
      </c>
      <c r="H465" s="90">
        <f t="shared" si="358"/>
        <v>327.68</v>
      </c>
      <c r="I465" s="91" t="str">
        <f>I464</f>
        <v>10동4라인</v>
      </c>
      <c r="J465" s="92" t="s">
        <v>207</v>
      </c>
      <c r="L465" s="89">
        <v>4</v>
      </c>
      <c r="M465" s="78">
        <f>M464</f>
        <v>10</v>
      </c>
      <c r="N465" s="84"/>
      <c r="O465" s="78">
        <f t="shared" ref="O465:O467" si="359">L465*M465-N465*L465</f>
        <v>40</v>
      </c>
    </row>
    <row r="466" spans="1:16" ht="18" customHeight="1">
      <c r="A466" s="85"/>
      <c r="B466" s="86"/>
      <c r="C466" s="87"/>
      <c r="D466" s="88">
        <v>228</v>
      </c>
      <c r="E466" s="88">
        <v>910</v>
      </c>
      <c r="F466" s="89">
        <f t="shared" si="356"/>
        <v>20</v>
      </c>
      <c r="G466" s="90">
        <f t="shared" si="357"/>
        <v>45.1981831846551</v>
      </c>
      <c r="H466" s="90">
        <f t="shared" si="358"/>
        <v>91.039999999999992</v>
      </c>
      <c r="I466" s="91" t="str">
        <f t="shared" ref="I466:I467" si="360">I465</f>
        <v>10동4라인</v>
      </c>
      <c r="J466" s="92" t="s">
        <v>209</v>
      </c>
      <c r="L466" s="89">
        <v>2</v>
      </c>
      <c r="M466" s="78">
        <f t="shared" ref="M466:M467" si="361">M465</f>
        <v>10</v>
      </c>
      <c r="N466" s="78"/>
      <c r="O466" s="78">
        <f t="shared" si="359"/>
        <v>20</v>
      </c>
    </row>
    <row r="467" spans="1:16" ht="18" customHeight="1">
      <c r="A467" s="85"/>
      <c r="B467" s="86"/>
      <c r="C467" s="87"/>
      <c r="D467" s="88">
        <v>438</v>
      </c>
      <c r="E467" s="88">
        <v>270</v>
      </c>
      <c r="F467" s="89">
        <f t="shared" si="356"/>
        <v>20</v>
      </c>
      <c r="G467" s="90">
        <f t="shared" si="357"/>
        <v>25.762180178413882</v>
      </c>
      <c r="H467" s="90">
        <f t="shared" si="358"/>
        <v>56.64</v>
      </c>
      <c r="I467" s="91" t="str">
        <f t="shared" si="360"/>
        <v>10동4라인</v>
      </c>
      <c r="J467" s="92" t="s">
        <v>210</v>
      </c>
      <c r="L467" s="89">
        <v>2</v>
      </c>
      <c r="M467" s="78">
        <f t="shared" si="361"/>
        <v>10</v>
      </c>
      <c r="N467" s="78"/>
      <c r="O467" s="78">
        <f t="shared" si="359"/>
        <v>20</v>
      </c>
    </row>
    <row r="468" spans="1:16" ht="18" customHeight="1">
      <c r="A468" s="85"/>
      <c r="B468" s="93"/>
      <c r="C468" s="87"/>
      <c r="D468" s="325" t="s">
        <v>0</v>
      </c>
      <c r="E468" s="325"/>
      <c r="F468" s="94">
        <f>SUM(F464:F467)</f>
        <v>90</v>
      </c>
      <c r="G468" s="95">
        <f>SUM(G464:G467)</f>
        <v>661.91876613403929</v>
      </c>
      <c r="H468" s="96">
        <f>SUM(H464:H467)</f>
        <v>582.19999999999993</v>
      </c>
      <c r="I468" s="97"/>
      <c r="J468" s="162"/>
    </row>
    <row r="469" spans="1:16" ht="18" customHeight="1">
      <c r="A469" s="85"/>
      <c r="B469" s="93"/>
      <c r="C469" s="87"/>
      <c r="D469" s="161"/>
      <c r="E469" s="161"/>
      <c r="F469" s="89"/>
      <c r="G469" s="100"/>
      <c r="H469" s="101"/>
      <c r="I469" s="102"/>
      <c r="J469" s="121"/>
      <c r="L469" s="252"/>
      <c r="M469" s="252"/>
      <c r="N469" s="252"/>
      <c r="O469" s="252"/>
    </row>
    <row r="470" spans="1:16" ht="18" customHeight="1">
      <c r="A470" s="85"/>
      <c r="B470" s="23" t="s">
        <v>198</v>
      </c>
      <c r="C470" s="24">
        <v>22</v>
      </c>
      <c r="D470" s="88">
        <v>861</v>
      </c>
      <c r="E470" s="88">
        <v>1810</v>
      </c>
      <c r="F470" s="89">
        <f t="shared" ref="F470:F474" si="362">O470</f>
        <v>10</v>
      </c>
      <c r="G470" s="90">
        <f t="shared" ref="G470:G474" si="363">D470*E470/91809*F470</f>
        <v>169.7447962618044</v>
      </c>
      <c r="H470" s="90">
        <f t="shared" ref="H470:H474" si="364">(D470/1000)*4*F470+(E470/1000)*4*F470</f>
        <v>106.84</v>
      </c>
      <c r="I470" s="103" t="str">
        <f>I464</f>
        <v>10동4라인</v>
      </c>
      <c r="J470" s="92" t="s">
        <v>212</v>
      </c>
      <c r="L470" s="89">
        <v>1</v>
      </c>
      <c r="M470" s="78">
        <f>M464</f>
        <v>10</v>
      </c>
      <c r="N470" s="84"/>
      <c r="O470" s="78">
        <f>L470*M470-N470*L470</f>
        <v>10</v>
      </c>
    </row>
    <row r="471" spans="1:16" ht="18" customHeight="1">
      <c r="A471" s="85"/>
      <c r="B471" s="86"/>
      <c r="C471" s="87"/>
      <c r="D471" s="88">
        <v>2114</v>
      </c>
      <c r="E471" s="88">
        <v>1810</v>
      </c>
      <c r="F471" s="89">
        <f t="shared" si="362"/>
        <v>10</v>
      </c>
      <c r="G471" s="90">
        <f t="shared" si="363"/>
        <v>416.77177618751978</v>
      </c>
      <c r="H471" s="90">
        <f t="shared" si="364"/>
        <v>156.96</v>
      </c>
      <c r="I471" s="91" t="str">
        <f>I464</f>
        <v>10동4라인</v>
      </c>
      <c r="J471" s="92" t="s">
        <v>213</v>
      </c>
      <c r="L471" s="89">
        <v>1</v>
      </c>
      <c r="M471" s="78">
        <f>M470</f>
        <v>10</v>
      </c>
      <c r="N471" s="84"/>
      <c r="O471" s="78">
        <f>L471*M471-N471*L471</f>
        <v>10</v>
      </c>
    </row>
    <row r="472" spans="1:16" ht="18" customHeight="1">
      <c r="A472" s="104"/>
      <c r="B472" s="93"/>
      <c r="C472" s="87"/>
      <c r="D472" s="88">
        <v>738</v>
      </c>
      <c r="E472" s="88">
        <v>1310</v>
      </c>
      <c r="F472" s="89">
        <f t="shared" si="362"/>
        <v>40</v>
      </c>
      <c r="G472" s="90">
        <f t="shared" si="363"/>
        <v>421.2136065091658</v>
      </c>
      <c r="H472" s="90">
        <f t="shared" si="364"/>
        <v>327.68</v>
      </c>
      <c r="I472" s="91" t="str">
        <f>I471</f>
        <v>10동4라인</v>
      </c>
      <c r="J472" s="92" t="s">
        <v>214</v>
      </c>
      <c r="L472" s="89">
        <v>4</v>
      </c>
      <c r="M472" s="78">
        <f t="shared" ref="M472:M474" si="365">M471</f>
        <v>10</v>
      </c>
      <c r="N472" s="84"/>
      <c r="O472" s="78">
        <f t="shared" ref="O472:O474" si="366">L472*M472-N472*L472</f>
        <v>40</v>
      </c>
    </row>
    <row r="473" spans="1:16" ht="18" customHeight="1">
      <c r="A473" s="104"/>
      <c r="B473" s="93"/>
      <c r="C473" s="87"/>
      <c r="D473" s="88">
        <v>228</v>
      </c>
      <c r="E473" s="88">
        <v>910</v>
      </c>
      <c r="F473" s="89">
        <f t="shared" si="362"/>
        <v>20</v>
      </c>
      <c r="G473" s="90">
        <f t="shared" si="363"/>
        <v>45.1981831846551</v>
      </c>
      <c r="H473" s="90">
        <f t="shared" si="364"/>
        <v>91.039999999999992</v>
      </c>
      <c r="I473" s="91" t="str">
        <f t="shared" ref="I473:I474" si="367">I472</f>
        <v>10동4라인</v>
      </c>
      <c r="J473" s="92" t="s">
        <v>216</v>
      </c>
      <c r="L473" s="89">
        <v>2</v>
      </c>
      <c r="M473" s="78">
        <f t="shared" si="365"/>
        <v>10</v>
      </c>
      <c r="N473" s="78"/>
      <c r="O473" s="78">
        <f t="shared" si="366"/>
        <v>20</v>
      </c>
    </row>
    <row r="474" spans="1:16" ht="18" customHeight="1">
      <c r="A474" s="104"/>
      <c r="B474" s="93"/>
      <c r="C474" s="87"/>
      <c r="D474" s="88">
        <v>438</v>
      </c>
      <c r="E474" s="88">
        <v>270</v>
      </c>
      <c r="F474" s="89">
        <f t="shared" si="362"/>
        <v>20</v>
      </c>
      <c r="G474" s="90">
        <f t="shared" si="363"/>
        <v>25.762180178413882</v>
      </c>
      <c r="H474" s="90">
        <f t="shared" si="364"/>
        <v>56.64</v>
      </c>
      <c r="I474" s="91" t="str">
        <f t="shared" si="367"/>
        <v>10동4라인</v>
      </c>
      <c r="J474" s="92" t="s">
        <v>217</v>
      </c>
      <c r="L474" s="89">
        <v>2</v>
      </c>
      <c r="M474" s="78">
        <f t="shared" si="365"/>
        <v>10</v>
      </c>
      <c r="N474" s="78"/>
      <c r="O474" s="78">
        <f t="shared" si="366"/>
        <v>20</v>
      </c>
    </row>
    <row r="475" spans="1:16" ht="18" customHeight="1">
      <c r="A475" s="104"/>
      <c r="B475" s="87"/>
      <c r="C475" s="87"/>
      <c r="D475" s="325" t="s">
        <v>0</v>
      </c>
      <c r="E475" s="325"/>
      <c r="F475" s="171">
        <f>SUM(F470:F474)</f>
        <v>100</v>
      </c>
      <c r="G475" s="95">
        <f>SUM(G470:G474)</f>
        <v>1078.690542321559</v>
      </c>
      <c r="H475" s="95">
        <f>SUM(H470:H474)</f>
        <v>739.16</v>
      </c>
      <c r="I475" s="97"/>
      <c r="J475" s="98"/>
    </row>
    <row r="476" spans="1:16">
      <c r="A476" s="105"/>
      <c r="B476" s="9"/>
      <c r="C476" s="9"/>
      <c r="D476" s="51"/>
      <c r="E476" s="51"/>
      <c r="F476" s="51"/>
      <c r="G476" s="106"/>
      <c r="H476" s="106"/>
      <c r="I476" s="9"/>
      <c r="J476" s="107"/>
    </row>
    <row r="477" spans="1:16" ht="18" customHeight="1">
      <c r="A477" s="85"/>
      <c r="B477" s="23" t="s">
        <v>237</v>
      </c>
      <c r="C477" s="24">
        <v>22</v>
      </c>
      <c r="D477" s="88">
        <v>2114</v>
      </c>
      <c r="E477" s="88">
        <v>1810</v>
      </c>
      <c r="F477" s="89">
        <f t="shared" ref="F477" si="368">O477</f>
        <v>10</v>
      </c>
      <c r="G477" s="90">
        <f t="shared" ref="G477" si="369">D477*E477/91809*F477</f>
        <v>416.77177618751978</v>
      </c>
      <c r="H477" s="90">
        <f t="shared" ref="H477" si="370">(D477/1000)*4*F477+(E477/1000)*4*F477</f>
        <v>156.96</v>
      </c>
      <c r="I477" s="91" t="str">
        <f>I470</f>
        <v>10동4라인</v>
      </c>
      <c r="J477" s="92" t="s">
        <v>206</v>
      </c>
      <c r="L477" s="89">
        <v>1</v>
      </c>
      <c r="M477" s="78">
        <f>M464</f>
        <v>10</v>
      </c>
      <c r="N477" s="84"/>
      <c r="O477" s="78">
        <f>L477*M477-N477*L477</f>
        <v>10</v>
      </c>
    </row>
    <row r="478" spans="1:16" ht="18" customHeight="1">
      <c r="A478" s="85"/>
      <c r="B478" s="93"/>
      <c r="C478" s="87"/>
      <c r="D478" s="325" t="s">
        <v>0</v>
      </c>
      <c r="E478" s="325"/>
      <c r="F478" s="94">
        <f>SUM(F477:F477)</f>
        <v>10</v>
      </c>
      <c r="G478" s="95">
        <f>SUM(G477:G477)</f>
        <v>416.77177618751978</v>
      </c>
      <c r="H478" s="95">
        <f>SUM(H477:H477)</f>
        <v>156.96</v>
      </c>
      <c r="I478" s="97"/>
      <c r="J478" s="98"/>
    </row>
    <row r="479" spans="1:16" ht="18" customHeight="1">
      <c r="A479" s="218"/>
      <c r="B479" s="219"/>
      <c r="C479" s="220"/>
      <c r="D479" s="161"/>
      <c r="E479" s="161"/>
      <c r="F479" s="89"/>
      <c r="G479" s="100"/>
      <c r="H479" s="100"/>
      <c r="I479" s="102"/>
      <c r="J479" s="221"/>
    </row>
    <row r="480" spans="1:16" ht="18" customHeight="1">
      <c r="A480" s="85"/>
      <c r="B480" s="23" t="s">
        <v>203</v>
      </c>
      <c r="C480" s="24">
        <v>22</v>
      </c>
      <c r="D480" s="88">
        <v>738</v>
      </c>
      <c r="E480" s="88">
        <v>1810</v>
      </c>
      <c r="F480" s="89">
        <f t="shared" ref="F480:F481" si="371">O480</f>
        <v>0</v>
      </c>
      <c r="G480" s="90">
        <f t="shared" ref="G480:G481" si="372">D480*E480/91809*F480</f>
        <v>0</v>
      </c>
      <c r="H480" s="90">
        <f t="shared" ref="H480:H481" si="373">(D480/1000)*4*F480+(E480/1000)*4*F480</f>
        <v>0</v>
      </c>
      <c r="I480" s="91" t="str">
        <f>I477</f>
        <v>10동4라인</v>
      </c>
      <c r="J480" s="92" t="s">
        <v>219</v>
      </c>
      <c r="L480" s="89">
        <v>2</v>
      </c>
      <c r="M480" s="78">
        <f>M477</f>
        <v>10</v>
      </c>
      <c r="N480" s="84">
        <v>10</v>
      </c>
      <c r="O480" s="78">
        <f>L480*M480-N480*L480</f>
        <v>0</v>
      </c>
      <c r="P480" s="64" t="s">
        <v>284</v>
      </c>
    </row>
    <row r="481" spans="1:16" ht="18" customHeight="1">
      <c r="A481" s="85"/>
      <c r="B481" s="86"/>
      <c r="C481" s="87"/>
      <c r="D481" s="88">
        <v>250</v>
      </c>
      <c r="E481" s="88">
        <v>930</v>
      </c>
      <c r="F481" s="89">
        <f t="shared" si="371"/>
        <v>20</v>
      </c>
      <c r="G481" s="90">
        <f t="shared" si="372"/>
        <v>50.648629219357574</v>
      </c>
      <c r="H481" s="90">
        <f t="shared" si="373"/>
        <v>94.4</v>
      </c>
      <c r="I481" s="91" t="str">
        <f>I480</f>
        <v>10동4라인</v>
      </c>
      <c r="J481" s="92" t="s">
        <v>220</v>
      </c>
      <c r="L481" s="89">
        <v>2</v>
      </c>
      <c r="M481" s="78">
        <f>M480</f>
        <v>10</v>
      </c>
      <c r="N481" s="84"/>
      <c r="O481" s="78">
        <f t="shared" ref="O481" si="374">L481*M481-N481*L481</f>
        <v>20</v>
      </c>
    </row>
    <row r="482" spans="1:16" ht="18" customHeight="1">
      <c r="A482" s="85"/>
      <c r="B482" s="93"/>
      <c r="C482" s="87"/>
      <c r="D482" s="325" t="s">
        <v>0</v>
      </c>
      <c r="E482" s="325"/>
      <c r="F482" s="94">
        <f>SUM(F480:F481)</f>
        <v>20</v>
      </c>
      <c r="G482" s="95">
        <f>SUM(G480:G481)</f>
        <v>50.648629219357574</v>
      </c>
      <c r="H482" s="96">
        <f>SUM(H480:H481)</f>
        <v>94.4</v>
      </c>
      <c r="I482" s="97"/>
      <c r="J482" s="162"/>
    </row>
    <row r="483" spans="1:16">
      <c r="A483" s="236"/>
      <c r="B483" s="237"/>
      <c r="C483" s="238"/>
      <c r="D483" s="362"/>
      <c r="E483" s="362"/>
      <c r="F483" s="239"/>
      <c r="G483" s="240"/>
      <c r="H483" s="241"/>
      <c r="I483" s="242"/>
      <c r="J483" s="243"/>
    </row>
    <row r="484" spans="1:16" ht="18" customHeight="1">
      <c r="A484" s="262" t="s">
        <v>234</v>
      </c>
      <c r="B484" s="263" t="s">
        <v>195</v>
      </c>
      <c r="C484" s="264">
        <v>22</v>
      </c>
      <c r="D484" s="265">
        <v>761</v>
      </c>
      <c r="E484" s="265">
        <v>1810</v>
      </c>
      <c r="F484" s="251">
        <f>O484</f>
        <v>38</v>
      </c>
      <c r="G484" s="266">
        <f t="shared" ref="G484:G490" si="375">D484*E484/91809*F484</f>
        <v>570.11382326351452</v>
      </c>
      <c r="H484" s="266">
        <f t="shared" ref="H484:H490" si="376">(D484/1000)*4*F484+(E484/1000)*4*F484</f>
        <v>390.79200000000003</v>
      </c>
      <c r="I484" s="267" t="s">
        <v>265</v>
      </c>
      <c r="J484" s="268" t="s">
        <v>205</v>
      </c>
      <c r="L484" s="89">
        <v>2</v>
      </c>
      <c r="M484" s="78">
        <v>19</v>
      </c>
      <c r="N484" s="84"/>
      <c r="O484" s="78">
        <f>L484*M484-N484*L484</f>
        <v>38</v>
      </c>
      <c r="P484" s="64"/>
    </row>
    <row r="485" spans="1:16" ht="18" customHeight="1">
      <c r="A485" s="85"/>
      <c r="B485" s="86"/>
      <c r="C485" s="87"/>
      <c r="D485" s="88">
        <v>1688</v>
      </c>
      <c r="E485" s="88">
        <v>1810</v>
      </c>
      <c r="F485" s="89">
        <f t="shared" ref="F485:F490" si="377">O485</f>
        <v>19</v>
      </c>
      <c r="G485" s="90">
        <f t="shared" si="375"/>
        <v>632.29443736452856</v>
      </c>
      <c r="H485" s="90">
        <f t="shared" si="376"/>
        <v>265.84799999999996</v>
      </c>
      <c r="I485" s="91" t="str">
        <f>I484</f>
        <v>10동5,6라인</v>
      </c>
      <c r="J485" s="92" t="s">
        <v>206</v>
      </c>
      <c r="L485" s="89">
        <v>1</v>
      </c>
      <c r="M485" s="78">
        <f>M484</f>
        <v>19</v>
      </c>
      <c r="N485" s="84"/>
      <c r="O485" s="78">
        <f t="shared" ref="O485:O490" si="378">L485*M485-N485*L485</f>
        <v>19</v>
      </c>
    </row>
    <row r="486" spans="1:16" ht="18" customHeight="1">
      <c r="A486" s="85"/>
      <c r="B486" s="86"/>
      <c r="C486" s="87"/>
      <c r="D486" s="88">
        <v>738</v>
      </c>
      <c r="E486" s="88">
        <v>1310</v>
      </c>
      <c r="F486" s="89">
        <f t="shared" si="377"/>
        <v>76</v>
      </c>
      <c r="G486" s="90">
        <f t="shared" si="375"/>
        <v>800.30585236741501</v>
      </c>
      <c r="H486" s="90">
        <f t="shared" si="376"/>
        <v>622.59199999999998</v>
      </c>
      <c r="I486" s="91" t="str">
        <f t="shared" ref="I486:I490" si="379">I485</f>
        <v>10동5,6라인</v>
      </c>
      <c r="J486" s="92" t="s">
        <v>207</v>
      </c>
      <c r="L486" s="89">
        <v>4</v>
      </c>
      <c r="M486" s="78">
        <f t="shared" ref="M486:M489" si="380">M485</f>
        <v>19</v>
      </c>
      <c r="N486" s="78"/>
      <c r="O486" s="78">
        <f t="shared" si="378"/>
        <v>76</v>
      </c>
    </row>
    <row r="487" spans="1:16" ht="18" customHeight="1">
      <c r="A487" s="85"/>
      <c r="B487" s="86"/>
      <c r="C487" s="87"/>
      <c r="D487" s="88">
        <v>288</v>
      </c>
      <c r="E487" s="88">
        <v>910</v>
      </c>
      <c r="F487" s="89">
        <f t="shared" si="377"/>
        <v>38</v>
      </c>
      <c r="G487" s="90">
        <f t="shared" si="375"/>
        <v>108.47563964317223</v>
      </c>
      <c r="H487" s="90">
        <f t="shared" si="376"/>
        <v>182.096</v>
      </c>
      <c r="I487" s="91" t="str">
        <f t="shared" si="379"/>
        <v>10동5,6라인</v>
      </c>
      <c r="J487" s="92" t="s">
        <v>208</v>
      </c>
      <c r="L487" s="89">
        <v>2</v>
      </c>
      <c r="M487" s="78">
        <f t="shared" si="380"/>
        <v>19</v>
      </c>
      <c r="N487" s="78"/>
      <c r="O487" s="78">
        <f t="shared" si="378"/>
        <v>38</v>
      </c>
    </row>
    <row r="488" spans="1:16" ht="18" customHeight="1">
      <c r="A488" s="85"/>
      <c r="B488" s="86"/>
      <c r="C488" s="87"/>
      <c r="D488" s="88">
        <v>228</v>
      </c>
      <c r="E488" s="88">
        <v>910</v>
      </c>
      <c r="F488" s="89">
        <f t="shared" si="377"/>
        <v>38</v>
      </c>
      <c r="G488" s="90">
        <f t="shared" si="375"/>
        <v>85.87654805084469</v>
      </c>
      <c r="H488" s="90">
        <f t="shared" si="376"/>
        <v>172.976</v>
      </c>
      <c r="I488" s="91" t="str">
        <f t="shared" si="379"/>
        <v>10동5,6라인</v>
      </c>
      <c r="J488" s="92" t="s">
        <v>209</v>
      </c>
      <c r="L488" s="89">
        <v>2</v>
      </c>
      <c r="M488" s="78">
        <f t="shared" si="380"/>
        <v>19</v>
      </c>
      <c r="N488" s="78"/>
      <c r="O488" s="78">
        <f t="shared" si="378"/>
        <v>38</v>
      </c>
    </row>
    <row r="489" spans="1:16" ht="18" customHeight="1">
      <c r="A489" s="85"/>
      <c r="B489" s="86"/>
      <c r="C489" s="87"/>
      <c r="D489" s="88">
        <v>438</v>
      </c>
      <c r="E489" s="88">
        <v>270</v>
      </c>
      <c r="F489" s="89">
        <f t="shared" si="377"/>
        <v>38</v>
      </c>
      <c r="G489" s="90">
        <f t="shared" si="375"/>
        <v>48.948142338986379</v>
      </c>
      <c r="H489" s="90">
        <f t="shared" si="376"/>
        <v>107.616</v>
      </c>
      <c r="I489" s="91" t="str">
        <f t="shared" si="379"/>
        <v>10동5,6라인</v>
      </c>
      <c r="J489" s="92" t="s">
        <v>210</v>
      </c>
      <c r="L489" s="89">
        <v>2</v>
      </c>
      <c r="M489" s="78">
        <f t="shared" si="380"/>
        <v>19</v>
      </c>
      <c r="N489" s="78"/>
      <c r="O489" s="78">
        <f t="shared" si="378"/>
        <v>38</v>
      </c>
    </row>
    <row r="490" spans="1:16" ht="18" customHeight="1">
      <c r="A490" s="85"/>
      <c r="B490" s="86"/>
      <c r="C490" s="87"/>
      <c r="D490" s="88">
        <v>208</v>
      </c>
      <c r="E490" s="88">
        <v>910</v>
      </c>
      <c r="F490" s="89">
        <f t="shared" si="377"/>
        <v>38</v>
      </c>
      <c r="G490" s="90">
        <f t="shared" si="375"/>
        <v>78.343517520068843</v>
      </c>
      <c r="H490" s="90">
        <f t="shared" si="376"/>
        <v>169.93599999999998</v>
      </c>
      <c r="I490" s="91" t="str">
        <f t="shared" si="379"/>
        <v>10동5,6라인</v>
      </c>
      <c r="J490" s="92" t="s">
        <v>211</v>
      </c>
      <c r="L490" s="89">
        <v>2</v>
      </c>
      <c r="M490" s="78">
        <f>M489</f>
        <v>19</v>
      </c>
      <c r="N490" s="78"/>
      <c r="O490" s="78">
        <f t="shared" si="378"/>
        <v>38</v>
      </c>
    </row>
    <row r="491" spans="1:16" ht="18" customHeight="1">
      <c r="A491" s="85"/>
      <c r="B491" s="93"/>
      <c r="C491" s="87"/>
      <c r="D491" s="325" t="s">
        <v>0</v>
      </c>
      <c r="E491" s="325"/>
      <c r="F491" s="94">
        <f>SUM(F484:F490)</f>
        <v>285</v>
      </c>
      <c r="G491" s="95">
        <f>SUM(G484:G490)</f>
        <v>2324.3579605485302</v>
      </c>
      <c r="H491" s="96">
        <f>SUM(H484:H490)</f>
        <v>1911.856</v>
      </c>
      <c r="I491" s="97"/>
      <c r="J491" s="162"/>
    </row>
    <row r="492" spans="1:16" ht="18" customHeight="1">
      <c r="A492" s="85"/>
      <c r="B492" s="93"/>
      <c r="C492" s="87"/>
      <c r="D492" s="161"/>
      <c r="E492" s="161"/>
      <c r="F492" s="89"/>
      <c r="G492" s="100"/>
      <c r="H492" s="101"/>
      <c r="I492" s="102"/>
      <c r="J492" s="121"/>
      <c r="L492" s="78" t="s">
        <v>48</v>
      </c>
      <c r="M492" s="78" t="s">
        <v>54</v>
      </c>
      <c r="N492" s="78" t="s">
        <v>50</v>
      </c>
      <c r="O492" s="78" t="s">
        <v>55</v>
      </c>
    </row>
    <row r="493" spans="1:16" ht="18" customHeight="1">
      <c r="A493" s="85"/>
      <c r="B493" s="23" t="s">
        <v>197</v>
      </c>
      <c r="C493" s="24">
        <v>22</v>
      </c>
      <c r="D493" s="88">
        <v>761</v>
      </c>
      <c r="E493" s="88">
        <v>1810</v>
      </c>
      <c r="F493" s="89">
        <f t="shared" ref="F493:F499" si="381">O493</f>
        <v>38</v>
      </c>
      <c r="G493" s="90">
        <f t="shared" ref="G493:G499" si="382">D493*E493/91809*F493</f>
        <v>570.11382326351452</v>
      </c>
      <c r="H493" s="90">
        <f t="shared" ref="H493:H499" si="383">(D493/1000)*4*F493+(E493/1000)*4*F493</f>
        <v>390.79200000000003</v>
      </c>
      <c r="I493" s="91" t="str">
        <f t="shared" ref="I493:I499" si="384">I484</f>
        <v>10동5,6라인</v>
      </c>
      <c r="J493" s="92" t="s">
        <v>212</v>
      </c>
      <c r="L493" s="89">
        <v>2</v>
      </c>
      <c r="M493" s="78">
        <f>M484</f>
        <v>19</v>
      </c>
      <c r="N493" s="84"/>
      <c r="O493" s="78">
        <f>L493*M493-N493*L493</f>
        <v>38</v>
      </c>
    </row>
    <row r="494" spans="1:16" ht="18" customHeight="1">
      <c r="A494" s="85"/>
      <c r="B494" s="86"/>
      <c r="C494" s="87"/>
      <c r="D494" s="88">
        <v>1688</v>
      </c>
      <c r="E494" s="88">
        <v>1810</v>
      </c>
      <c r="F494" s="89">
        <f t="shared" si="381"/>
        <v>19</v>
      </c>
      <c r="G494" s="90">
        <f t="shared" si="382"/>
        <v>632.29443736452856</v>
      </c>
      <c r="H494" s="90">
        <f t="shared" si="383"/>
        <v>265.84799999999996</v>
      </c>
      <c r="I494" s="91" t="str">
        <f t="shared" si="384"/>
        <v>10동5,6라인</v>
      </c>
      <c r="J494" s="92" t="s">
        <v>213</v>
      </c>
      <c r="L494" s="89">
        <v>1</v>
      </c>
      <c r="M494" s="78">
        <f>M493</f>
        <v>19</v>
      </c>
      <c r="N494" s="84"/>
      <c r="O494" s="78">
        <f>L494*M494-N494*L494</f>
        <v>19</v>
      </c>
    </row>
    <row r="495" spans="1:16" ht="18" customHeight="1">
      <c r="A495" s="104"/>
      <c r="B495" s="93"/>
      <c r="C495" s="87"/>
      <c r="D495" s="88">
        <v>738</v>
      </c>
      <c r="E495" s="88">
        <v>1310</v>
      </c>
      <c r="F495" s="89">
        <f t="shared" si="381"/>
        <v>76</v>
      </c>
      <c r="G495" s="90">
        <f t="shared" si="382"/>
        <v>800.30585236741501</v>
      </c>
      <c r="H495" s="90">
        <f t="shared" si="383"/>
        <v>622.59199999999998</v>
      </c>
      <c r="I495" s="91" t="str">
        <f t="shared" si="384"/>
        <v>10동5,6라인</v>
      </c>
      <c r="J495" s="92" t="s">
        <v>214</v>
      </c>
      <c r="L495" s="89">
        <v>4</v>
      </c>
      <c r="M495" s="78">
        <f t="shared" ref="M495:M499" si="385">M494</f>
        <v>19</v>
      </c>
      <c r="N495" s="84"/>
      <c r="O495" s="78">
        <f t="shared" ref="O495:O499" si="386">L495*M495-N495*L495</f>
        <v>76</v>
      </c>
    </row>
    <row r="496" spans="1:16" ht="18" customHeight="1">
      <c r="A496" s="104"/>
      <c r="B496" s="93"/>
      <c r="C496" s="87"/>
      <c r="D496" s="88">
        <v>288</v>
      </c>
      <c r="E496" s="88">
        <v>910</v>
      </c>
      <c r="F496" s="89">
        <f t="shared" si="381"/>
        <v>38</v>
      </c>
      <c r="G496" s="90">
        <f t="shared" si="382"/>
        <v>108.47563964317223</v>
      </c>
      <c r="H496" s="90">
        <f t="shared" si="383"/>
        <v>182.096</v>
      </c>
      <c r="I496" s="91" t="str">
        <f t="shared" si="384"/>
        <v>10동5,6라인</v>
      </c>
      <c r="J496" s="92" t="s">
        <v>215</v>
      </c>
      <c r="L496" s="89">
        <v>2</v>
      </c>
      <c r="M496" s="78">
        <f t="shared" si="385"/>
        <v>19</v>
      </c>
      <c r="N496" s="78"/>
      <c r="O496" s="78">
        <f t="shared" si="386"/>
        <v>38</v>
      </c>
    </row>
    <row r="497" spans="1:16" ht="18" customHeight="1">
      <c r="A497" s="104"/>
      <c r="B497" s="93"/>
      <c r="C497" s="87"/>
      <c r="D497" s="88">
        <v>228</v>
      </c>
      <c r="E497" s="88">
        <v>910</v>
      </c>
      <c r="F497" s="89">
        <f t="shared" si="381"/>
        <v>38</v>
      </c>
      <c r="G497" s="90">
        <f t="shared" si="382"/>
        <v>85.87654805084469</v>
      </c>
      <c r="H497" s="90">
        <f t="shared" si="383"/>
        <v>172.976</v>
      </c>
      <c r="I497" s="91" t="str">
        <f t="shared" si="384"/>
        <v>10동5,6라인</v>
      </c>
      <c r="J497" s="92" t="s">
        <v>216</v>
      </c>
      <c r="L497" s="89">
        <v>2</v>
      </c>
      <c r="M497" s="78">
        <f t="shared" si="385"/>
        <v>19</v>
      </c>
      <c r="N497" s="78"/>
      <c r="O497" s="78">
        <f t="shared" si="386"/>
        <v>38</v>
      </c>
    </row>
    <row r="498" spans="1:16" ht="18" customHeight="1">
      <c r="A498" s="104"/>
      <c r="B498" s="93"/>
      <c r="C498" s="87"/>
      <c r="D498" s="88">
        <v>438</v>
      </c>
      <c r="E498" s="88">
        <v>270</v>
      </c>
      <c r="F498" s="89">
        <f t="shared" si="381"/>
        <v>38</v>
      </c>
      <c r="G498" s="90">
        <f t="shared" si="382"/>
        <v>48.948142338986379</v>
      </c>
      <c r="H498" s="90">
        <f t="shared" si="383"/>
        <v>107.616</v>
      </c>
      <c r="I498" s="91" t="str">
        <f t="shared" si="384"/>
        <v>10동5,6라인</v>
      </c>
      <c r="J498" s="92" t="s">
        <v>217</v>
      </c>
      <c r="L498" s="89">
        <v>2</v>
      </c>
      <c r="M498" s="78">
        <f t="shared" si="385"/>
        <v>19</v>
      </c>
      <c r="N498" s="78"/>
      <c r="O498" s="78">
        <f t="shared" si="386"/>
        <v>38</v>
      </c>
    </row>
    <row r="499" spans="1:16" ht="18" customHeight="1">
      <c r="A499" s="104"/>
      <c r="B499" s="93"/>
      <c r="C499" s="87"/>
      <c r="D499" s="88">
        <v>208</v>
      </c>
      <c r="E499" s="88">
        <v>910</v>
      </c>
      <c r="F499" s="89">
        <f t="shared" si="381"/>
        <v>38</v>
      </c>
      <c r="G499" s="90">
        <f t="shared" si="382"/>
        <v>78.343517520068843</v>
      </c>
      <c r="H499" s="90">
        <f t="shared" si="383"/>
        <v>169.93599999999998</v>
      </c>
      <c r="I499" s="91" t="str">
        <f t="shared" si="384"/>
        <v>10동5,6라인</v>
      </c>
      <c r="J499" s="92" t="s">
        <v>218</v>
      </c>
      <c r="L499" s="89">
        <v>2</v>
      </c>
      <c r="M499" s="78">
        <f t="shared" si="385"/>
        <v>19</v>
      </c>
      <c r="N499" s="78"/>
      <c r="O499" s="78">
        <f t="shared" si="386"/>
        <v>38</v>
      </c>
    </row>
    <row r="500" spans="1:16" ht="18" customHeight="1">
      <c r="A500" s="104"/>
      <c r="B500" s="87"/>
      <c r="C500" s="87"/>
      <c r="D500" s="325" t="s">
        <v>0</v>
      </c>
      <c r="E500" s="325"/>
      <c r="F500" s="171">
        <f>SUM(F493:F499)</f>
        <v>285</v>
      </c>
      <c r="G500" s="95">
        <f>SUM(G493:G499)</f>
        <v>2324.3579605485302</v>
      </c>
      <c r="H500" s="95">
        <f>SUM(H493:H499)</f>
        <v>1911.856</v>
      </c>
      <c r="I500" s="97"/>
      <c r="J500" s="98"/>
    </row>
    <row r="501" spans="1:16">
      <c r="A501" s="105"/>
      <c r="B501" s="9"/>
      <c r="C501" s="9"/>
      <c r="D501" s="51"/>
      <c r="E501" s="51"/>
      <c r="F501" s="51"/>
      <c r="G501" s="106"/>
      <c r="H501" s="106"/>
      <c r="I501" s="9"/>
      <c r="J501" s="107"/>
    </row>
    <row r="502" spans="1:16" ht="18" customHeight="1">
      <c r="A502" s="85"/>
      <c r="B502" s="163" t="s">
        <v>199</v>
      </c>
      <c r="C502" s="163">
        <v>22</v>
      </c>
      <c r="D502" s="88">
        <v>738</v>
      </c>
      <c r="E502" s="88">
        <v>1810</v>
      </c>
      <c r="F502" s="89">
        <f t="shared" ref="F502:F503" si="387">O502</f>
        <v>38</v>
      </c>
      <c r="G502" s="90">
        <f t="shared" ref="G502:G503" si="388">D502*E502/91809*F502</f>
        <v>552.8830506813058</v>
      </c>
      <c r="H502" s="90">
        <f t="shared" ref="H502:H503" si="389">(D502/1000)*4*F502+(E502/1000)*4*F502</f>
        <v>387.29599999999999</v>
      </c>
      <c r="I502" s="91" t="str">
        <f>I493</f>
        <v>10동5,6라인</v>
      </c>
      <c r="J502" s="92" t="s">
        <v>219</v>
      </c>
      <c r="L502" s="89">
        <v>2</v>
      </c>
      <c r="M502" s="78">
        <f>M484</f>
        <v>19</v>
      </c>
      <c r="N502" s="84"/>
      <c r="O502" s="78">
        <f>L502*M502-N502*L502</f>
        <v>38</v>
      </c>
      <c r="P502" s="64"/>
    </row>
    <row r="503" spans="1:16" ht="18" customHeight="1">
      <c r="A503" s="85"/>
      <c r="B503" s="86"/>
      <c r="C503" s="87"/>
      <c r="D503" s="88">
        <v>250</v>
      </c>
      <c r="E503" s="88">
        <v>930</v>
      </c>
      <c r="F503" s="89">
        <f t="shared" si="387"/>
        <v>38</v>
      </c>
      <c r="G503" s="90">
        <f t="shared" si="388"/>
        <v>96.232395516779391</v>
      </c>
      <c r="H503" s="90">
        <f t="shared" si="389"/>
        <v>179.36</v>
      </c>
      <c r="I503" s="91" t="str">
        <f>I502</f>
        <v>10동5,6라인</v>
      </c>
      <c r="J503" s="92" t="s">
        <v>220</v>
      </c>
      <c r="L503" s="89">
        <v>2</v>
      </c>
      <c r="M503" s="78">
        <f>M502</f>
        <v>19</v>
      </c>
      <c r="N503" s="84"/>
      <c r="O503" s="78">
        <f t="shared" ref="O503" si="390">L503*M503-N503*L503</f>
        <v>38</v>
      </c>
    </row>
    <row r="504" spans="1:16" ht="18" customHeight="1">
      <c r="A504" s="85"/>
      <c r="B504" s="93"/>
      <c r="C504" s="87"/>
      <c r="D504" s="325" t="s">
        <v>0</v>
      </c>
      <c r="E504" s="325"/>
      <c r="F504" s="94">
        <f>SUM(F502:F503)</f>
        <v>76</v>
      </c>
      <c r="G504" s="95">
        <f>SUM(G502:G503)</f>
        <v>649.11544619808524</v>
      </c>
      <c r="H504" s="95">
        <f>SUM(H502:H503)</f>
        <v>566.65599999999995</v>
      </c>
      <c r="I504" s="97"/>
      <c r="J504" s="98"/>
    </row>
    <row r="505" spans="1:16">
      <c r="A505" s="166"/>
      <c r="B505" s="166"/>
      <c r="C505" s="166"/>
      <c r="D505" s="167"/>
      <c r="E505" s="167"/>
      <c r="F505" s="167"/>
      <c r="G505" s="168"/>
      <c r="H505" s="168"/>
      <c r="I505" s="166"/>
      <c r="J505" s="166"/>
    </row>
    <row r="506" spans="1:16" ht="18" customHeight="1">
      <c r="A506" s="85" t="s">
        <v>235</v>
      </c>
      <c r="B506" s="23" t="s">
        <v>201</v>
      </c>
      <c r="C506" s="24">
        <v>22</v>
      </c>
      <c r="D506" s="88">
        <v>861</v>
      </c>
      <c r="E506" s="88">
        <v>1810</v>
      </c>
      <c r="F506" s="89">
        <f t="shared" ref="F506:F509" si="391">O506</f>
        <v>10</v>
      </c>
      <c r="G506" s="90">
        <f t="shared" ref="G506:G509" si="392">D506*E506/91809*F506</f>
        <v>169.7447962618044</v>
      </c>
      <c r="H506" s="90">
        <f t="shared" ref="H506:H509" si="393">(D506/1000)*4*F506+(E506/1000)*4*F506</f>
        <v>106.84</v>
      </c>
      <c r="I506" s="91" t="s">
        <v>266</v>
      </c>
      <c r="J506" s="92" t="s">
        <v>205</v>
      </c>
      <c r="L506" s="89">
        <v>1</v>
      </c>
      <c r="M506" s="78">
        <v>10</v>
      </c>
      <c r="N506" s="84"/>
      <c r="O506" s="78">
        <f>L506*M506-N506*L506</f>
        <v>10</v>
      </c>
      <c r="P506" s="64"/>
    </row>
    <row r="507" spans="1:16" ht="18" customHeight="1">
      <c r="A507" s="85"/>
      <c r="B507" s="86"/>
      <c r="C507" s="87"/>
      <c r="D507" s="88">
        <v>738</v>
      </c>
      <c r="E507" s="88">
        <v>1310</v>
      </c>
      <c r="F507" s="89">
        <f t="shared" si="391"/>
        <v>40</v>
      </c>
      <c r="G507" s="90">
        <f t="shared" si="392"/>
        <v>421.2136065091658</v>
      </c>
      <c r="H507" s="90">
        <f t="shared" si="393"/>
        <v>327.68</v>
      </c>
      <c r="I507" s="91" t="str">
        <f>I506</f>
        <v>11동1라인</v>
      </c>
      <c r="J507" s="92" t="s">
        <v>207</v>
      </c>
      <c r="L507" s="89">
        <v>4</v>
      </c>
      <c r="M507" s="78">
        <f>M506</f>
        <v>10</v>
      </c>
      <c r="N507" s="84"/>
      <c r="O507" s="78">
        <f t="shared" ref="O507:O509" si="394">L507*M507-N507*L507</f>
        <v>40</v>
      </c>
    </row>
    <row r="508" spans="1:16" ht="18" customHeight="1">
      <c r="A508" s="85"/>
      <c r="B508" s="86"/>
      <c r="C508" s="87"/>
      <c r="D508" s="88">
        <v>228</v>
      </c>
      <c r="E508" s="88">
        <v>910</v>
      </c>
      <c r="F508" s="89">
        <f t="shared" si="391"/>
        <v>20</v>
      </c>
      <c r="G508" s="90">
        <f t="shared" si="392"/>
        <v>45.1981831846551</v>
      </c>
      <c r="H508" s="90">
        <f t="shared" si="393"/>
        <v>91.039999999999992</v>
      </c>
      <c r="I508" s="91" t="str">
        <f t="shared" ref="I508:I509" si="395">I507</f>
        <v>11동1라인</v>
      </c>
      <c r="J508" s="92" t="s">
        <v>209</v>
      </c>
      <c r="L508" s="89">
        <v>2</v>
      </c>
      <c r="M508" s="78">
        <f t="shared" ref="M508:M509" si="396">M507</f>
        <v>10</v>
      </c>
      <c r="N508" s="78"/>
      <c r="O508" s="78">
        <f t="shared" si="394"/>
        <v>20</v>
      </c>
    </row>
    <row r="509" spans="1:16" ht="18" customHeight="1">
      <c r="A509" s="85"/>
      <c r="B509" s="86"/>
      <c r="C509" s="87"/>
      <c r="D509" s="88">
        <v>438</v>
      </c>
      <c r="E509" s="88">
        <v>270</v>
      </c>
      <c r="F509" s="89">
        <f t="shared" si="391"/>
        <v>20</v>
      </c>
      <c r="G509" s="90">
        <f t="shared" si="392"/>
        <v>25.762180178413882</v>
      </c>
      <c r="H509" s="90">
        <f t="shared" si="393"/>
        <v>56.64</v>
      </c>
      <c r="I509" s="91" t="str">
        <f t="shared" si="395"/>
        <v>11동1라인</v>
      </c>
      <c r="J509" s="92" t="s">
        <v>210</v>
      </c>
      <c r="L509" s="89">
        <v>2</v>
      </c>
      <c r="M509" s="78">
        <f t="shared" si="396"/>
        <v>10</v>
      </c>
      <c r="N509" s="78"/>
      <c r="O509" s="78">
        <f t="shared" si="394"/>
        <v>20</v>
      </c>
    </row>
    <row r="510" spans="1:16" ht="18" customHeight="1">
      <c r="A510" s="85"/>
      <c r="B510" s="93"/>
      <c r="C510" s="87"/>
      <c r="D510" s="325" t="s">
        <v>0</v>
      </c>
      <c r="E510" s="325"/>
      <c r="F510" s="94">
        <f>SUM(F506:F509)</f>
        <v>90</v>
      </c>
      <c r="G510" s="95">
        <f>SUM(G506:G509)</f>
        <v>661.91876613403929</v>
      </c>
      <c r="H510" s="96">
        <f>SUM(H506:H509)</f>
        <v>582.19999999999993</v>
      </c>
      <c r="I510" s="97"/>
      <c r="J510" s="162"/>
    </row>
    <row r="511" spans="1:16" ht="18" customHeight="1">
      <c r="A511" s="85"/>
      <c r="B511" s="93"/>
      <c r="C511" s="87"/>
      <c r="D511" s="161"/>
      <c r="E511" s="161"/>
      <c r="F511" s="89"/>
      <c r="G511" s="100"/>
      <c r="H511" s="101"/>
      <c r="I511" s="102"/>
      <c r="J511" s="121"/>
      <c r="L511" s="252"/>
      <c r="M511" s="252"/>
      <c r="N511" s="252"/>
      <c r="O511" s="252"/>
    </row>
    <row r="512" spans="1:16" ht="18" customHeight="1">
      <c r="A512" s="85"/>
      <c r="B512" s="23" t="s">
        <v>198</v>
      </c>
      <c r="C512" s="24">
        <v>22</v>
      </c>
      <c r="D512" s="88">
        <v>861</v>
      </c>
      <c r="E512" s="88">
        <v>1810</v>
      </c>
      <c r="F512" s="89">
        <f t="shared" ref="F512:F516" si="397">O512</f>
        <v>10</v>
      </c>
      <c r="G512" s="90">
        <f t="shared" ref="G512:G516" si="398">D512*E512/91809*F512</f>
        <v>169.7447962618044</v>
      </c>
      <c r="H512" s="90">
        <f t="shared" ref="H512:H516" si="399">(D512/1000)*4*F512+(E512/1000)*4*F512</f>
        <v>106.84</v>
      </c>
      <c r="I512" s="103" t="str">
        <f>I506</f>
        <v>11동1라인</v>
      </c>
      <c r="J512" s="92" t="s">
        <v>212</v>
      </c>
      <c r="L512" s="89">
        <v>1</v>
      </c>
      <c r="M512" s="78">
        <f>M506</f>
        <v>10</v>
      </c>
      <c r="N512" s="84"/>
      <c r="O512" s="78">
        <f>L512*M512-N512*L512</f>
        <v>10</v>
      </c>
    </row>
    <row r="513" spans="1:16" ht="18" customHeight="1">
      <c r="A513" s="85"/>
      <c r="B513" s="86"/>
      <c r="C513" s="87"/>
      <c r="D513" s="88">
        <v>2114</v>
      </c>
      <c r="E513" s="88">
        <v>1810</v>
      </c>
      <c r="F513" s="89">
        <f t="shared" si="397"/>
        <v>10</v>
      </c>
      <c r="G513" s="90">
        <f t="shared" si="398"/>
        <v>416.77177618751978</v>
      </c>
      <c r="H513" s="90">
        <f t="shared" si="399"/>
        <v>156.96</v>
      </c>
      <c r="I513" s="91" t="str">
        <f>I506</f>
        <v>11동1라인</v>
      </c>
      <c r="J513" s="92" t="s">
        <v>213</v>
      </c>
      <c r="L513" s="89">
        <v>1</v>
      </c>
      <c r="M513" s="78">
        <f>M512</f>
        <v>10</v>
      </c>
      <c r="N513" s="84"/>
      <c r="O513" s="78">
        <f>L513*M513-N513*L513</f>
        <v>10</v>
      </c>
    </row>
    <row r="514" spans="1:16" ht="18" customHeight="1">
      <c r="A514" s="104"/>
      <c r="B514" s="93"/>
      <c r="C514" s="87"/>
      <c r="D514" s="88">
        <v>738</v>
      </c>
      <c r="E514" s="88">
        <v>1310</v>
      </c>
      <c r="F514" s="89">
        <f t="shared" si="397"/>
        <v>40</v>
      </c>
      <c r="G514" s="90">
        <f t="shared" si="398"/>
        <v>421.2136065091658</v>
      </c>
      <c r="H514" s="90">
        <f t="shared" si="399"/>
        <v>327.68</v>
      </c>
      <c r="I514" s="91" t="str">
        <f>I513</f>
        <v>11동1라인</v>
      </c>
      <c r="J514" s="92" t="s">
        <v>214</v>
      </c>
      <c r="L514" s="89">
        <v>4</v>
      </c>
      <c r="M514" s="78">
        <f t="shared" ref="M514:M516" si="400">M513</f>
        <v>10</v>
      </c>
      <c r="N514" s="84"/>
      <c r="O514" s="78">
        <f t="shared" ref="O514:O516" si="401">L514*M514-N514*L514</f>
        <v>40</v>
      </c>
    </row>
    <row r="515" spans="1:16" ht="18" customHeight="1">
      <c r="A515" s="104"/>
      <c r="B515" s="93"/>
      <c r="C515" s="87"/>
      <c r="D515" s="88">
        <v>228</v>
      </c>
      <c r="E515" s="88">
        <v>910</v>
      </c>
      <c r="F515" s="89">
        <f t="shared" si="397"/>
        <v>20</v>
      </c>
      <c r="G515" s="90">
        <f t="shared" si="398"/>
        <v>45.1981831846551</v>
      </c>
      <c r="H515" s="90">
        <f t="shared" si="399"/>
        <v>91.039999999999992</v>
      </c>
      <c r="I515" s="91" t="str">
        <f t="shared" ref="I515:I516" si="402">I514</f>
        <v>11동1라인</v>
      </c>
      <c r="J515" s="92" t="s">
        <v>216</v>
      </c>
      <c r="L515" s="89">
        <v>2</v>
      </c>
      <c r="M515" s="78">
        <f t="shared" si="400"/>
        <v>10</v>
      </c>
      <c r="N515" s="78"/>
      <c r="O515" s="78">
        <f t="shared" si="401"/>
        <v>20</v>
      </c>
    </row>
    <row r="516" spans="1:16" ht="18" customHeight="1">
      <c r="A516" s="104"/>
      <c r="B516" s="93"/>
      <c r="C516" s="87"/>
      <c r="D516" s="88">
        <v>438</v>
      </c>
      <c r="E516" s="88">
        <v>270</v>
      </c>
      <c r="F516" s="89">
        <f t="shared" si="397"/>
        <v>20</v>
      </c>
      <c r="G516" s="90">
        <f t="shared" si="398"/>
        <v>25.762180178413882</v>
      </c>
      <c r="H516" s="90">
        <f t="shared" si="399"/>
        <v>56.64</v>
      </c>
      <c r="I516" s="91" t="str">
        <f t="shared" si="402"/>
        <v>11동1라인</v>
      </c>
      <c r="J516" s="92" t="s">
        <v>217</v>
      </c>
      <c r="L516" s="89">
        <v>2</v>
      </c>
      <c r="M516" s="78">
        <f t="shared" si="400"/>
        <v>10</v>
      </c>
      <c r="N516" s="78"/>
      <c r="O516" s="78">
        <f t="shared" si="401"/>
        <v>20</v>
      </c>
    </row>
    <row r="517" spans="1:16" ht="18" customHeight="1">
      <c r="A517" s="104"/>
      <c r="B517" s="87"/>
      <c r="C517" s="87"/>
      <c r="D517" s="325" t="s">
        <v>0</v>
      </c>
      <c r="E517" s="325"/>
      <c r="F517" s="171">
        <f>SUM(F512:F516)</f>
        <v>100</v>
      </c>
      <c r="G517" s="95">
        <f>SUM(G512:G516)</f>
        <v>1078.690542321559</v>
      </c>
      <c r="H517" s="95">
        <f>SUM(H512:H516)</f>
        <v>739.16</v>
      </c>
      <c r="I517" s="97"/>
      <c r="J517" s="98"/>
    </row>
    <row r="518" spans="1:16">
      <c r="A518" s="105"/>
      <c r="B518" s="9"/>
      <c r="C518" s="9"/>
      <c r="D518" s="51"/>
      <c r="E518" s="51"/>
      <c r="F518" s="51"/>
      <c r="G518" s="106"/>
      <c r="H518" s="106"/>
      <c r="I518" s="9"/>
      <c r="J518" s="107"/>
    </row>
    <row r="519" spans="1:16" ht="18" customHeight="1">
      <c r="A519" s="85"/>
      <c r="B519" s="23" t="s">
        <v>237</v>
      </c>
      <c r="C519" s="24">
        <v>22</v>
      </c>
      <c r="D519" s="88">
        <v>2114</v>
      </c>
      <c r="E519" s="88">
        <v>1810</v>
      </c>
      <c r="F519" s="89">
        <f t="shared" ref="F519" si="403">O519</f>
        <v>10</v>
      </c>
      <c r="G519" s="90">
        <f t="shared" ref="G519" si="404">D519*E519/91809*F519</f>
        <v>416.77177618751978</v>
      </c>
      <c r="H519" s="90">
        <f t="shared" ref="H519" si="405">(D519/1000)*4*F519+(E519/1000)*4*F519</f>
        <v>156.96</v>
      </c>
      <c r="I519" s="91" t="str">
        <f>I512</f>
        <v>11동1라인</v>
      </c>
      <c r="J519" s="92" t="s">
        <v>206</v>
      </c>
      <c r="L519" s="89">
        <v>1</v>
      </c>
      <c r="M519" s="78">
        <f>M506</f>
        <v>10</v>
      </c>
      <c r="N519" s="84"/>
      <c r="O519" s="78">
        <f>L519*M519-N519*L519</f>
        <v>10</v>
      </c>
    </row>
    <row r="520" spans="1:16" ht="18" customHeight="1">
      <c r="A520" s="85"/>
      <c r="B520" s="93"/>
      <c r="C520" s="87"/>
      <c r="D520" s="325" t="s">
        <v>0</v>
      </c>
      <c r="E520" s="325"/>
      <c r="F520" s="94">
        <f>SUM(F519:F519)</f>
        <v>10</v>
      </c>
      <c r="G520" s="95">
        <f>SUM(G519:G519)</f>
        <v>416.77177618751978</v>
      </c>
      <c r="H520" s="95">
        <f>SUM(H519:H519)</f>
        <v>156.96</v>
      </c>
      <c r="I520" s="97"/>
      <c r="J520" s="98"/>
    </row>
    <row r="521" spans="1:16" ht="18" customHeight="1">
      <c r="A521" s="218"/>
      <c r="B521" s="219"/>
      <c r="C521" s="220"/>
      <c r="D521" s="161"/>
      <c r="E521" s="161"/>
      <c r="F521" s="89"/>
      <c r="G521" s="100"/>
      <c r="H521" s="100"/>
      <c r="I521" s="102"/>
      <c r="J521" s="221"/>
    </row>
    <row r="522" spans="1:16" ht="18" customHeight="1">
      <c r="A522" s="85"/>
      <c r="B522" s="23" t="s">
        <v>203</v>
      </c>
      <c r="C522" s="24">
        <v>22</v>
      </c>
      <c r="D522" s="88">
        <v>738</v>
      </c>
      <c r="E522" s="88">
        <v>1810</v>
      </c>
      <c r="F522" s="89">
        <f t="shared" ref="F522:F523" si="406">O522</f>
        <v>0</v>
      </c>
      <c r="G522" s="90">
        <f t="shared" ref="G522:G523" si="407">D522*E522/91809*F522</f>
        <v>0</v>
      </c>
      <c r="H522" s="90">
        <f t="shared" ref="H522:H523" si="408">(D522/1000)*4*F522+(E522/1000)*4*F522</f>
        <v>0</v>
      </c>
      <c r="I522" s="91" t="str">
        <f>I519</f>
        <v>11동1라인</v>
      </c>
      <c r="J522" s="92" t="s">
        <v>219</v>
      </c>
      <c r="L522" s="89">
        <v>2</v>
      </c>
      <c r="M522" s="78">
        <f>M519</f>
        <v>10</v>
      </c>
      <c r="N522" s="84">
        <v>10</v>
      </c>
      <c r="O522" s="78">
        <f>L522*M522-N522*L522</f>
        <v>0</v>
      </c>
      <c r="P522" s="64" t="s">
        <v>290</v>
      </c>
    </row>
    <row r="523" spans="1:16" ht="18" customHeight="1">
      <c r="A523" s="85"/>
      <c r="B523" s="86"/>
      <c r="C523" s="87"/>
      <c r="D523" s="88">
        <v>250</v>
      </c>
      <c r="E523" s="88">
        <v>930</v>
      </c>
      <c r="F523" s="89">
        <f t="shared" si="406"/>
        <v>20</v>
      </c>
      <c r="G523" s="90">
        <f t="shared" si="407"/>
        <v>50.648629219357574</v>
      </c>
      <c r="H523" s="90">
        <f t="shared" si="408"/>
        <v>94.4</v>
      </c>
      <c r="I523" s="91" t="str">
        <f>I522</f>
        <v>11동1라인</v>
      </c>
      <c r="J523" s="92" t="s">
        <v>220</v>
      </c>
      <c r="L523" s="89">
        <v>2</v>
      </c>
      <c r="M523" s="78">
        <f>M522</f>
        <v>10</v>
      </c>
      <c r="N523" s="84"/>
      <c r="O523" s="78">
        <f t="shared" ref="O523" si="409">L523*M523-N523*L523</f>
        <v>20</v>
      </c>
    </row>
    <row r="524" spans="1:16" ht="18" customHeight="1">
      <c r="A524" s="85"/>
      <c r="B524" s="93"/>
      <c r="C524" s="87"/>
      <c r="D524" s="325" t="s">
        <v>0</v>
      </c>
      <c r="E524" s="325"/>
      <c r="F524" s="94">
        <f>SUM(F522:F523)</f>
        <v>20</v>
      </c>
      <c r="G524" s="95">
        <f>SUM(G522:G523)</f>
        <v>50.648629219357574</v>
      </c>
      <c r="H524" s="96">
        <f>SUM(H522:H523)</f>
        <v>94.4</v>
      </c>
      <c r="I524" s="97"/>
      <c r="J524" s="162"/>
    </row>
    <row r="525" spans="1:16" ht="18" customHeight="1" thickBot="1">
      <c r="A525" s="222"/>
      <c r="B525" s="223"/>
      <c r="C525" s="224"/>
      <c r="D525" s="225"/>
      <c r="E525" s="225"/>
      <c r="F525" s="226"/>
      <c r="G525" s="227"/>
      <c r="H525" s="228"/>
      <c r="I525" s="229"/>
      <c r="J525" s="230"/>
      <c r="L525" s="78" t="s">
        <v>48</v>
      </c>
      <c r="M525" s="78" t="s">
        <v>49</v>
      </c>
      <c r="N525" s="78" t="s">
        <v>50</v>
      </c>
      <c r="O525" s="78" t="s">
        <v>55</v>
      </c>
    </row>
    <row r="526" spans="1:16" ht="18" customHeight="1">
      <c r="A526" s="79" t="s">
        <v>234</v>
      </c>
      <c r="B526" s="231" t="s">
        <v>195</v>
      </c>
      <c r="C526" s="232">
        <v>22</v>
      </c>
      <c r="D526" s="80">
        <v>761</v>
      </c>
      <c r="E526" s="80">
        <v>1810</v>
      </c>
      <c r="F526" s="233">
        <f>O526</f>
        <v>20</v>
      </c>
      <c r="G526" s="81">
        <f t="shared" ref="G526:G532" si="410">D526*E526/91809*F526</f>
        <v>300.05990698079711</v>
      </c>
      <c r="H526" s="81">
        <f t="shared" ref="H526:H532" si="411">(D526/1000)*4*F526+(E526/1000)*4*F526</f>
        <v>205.68</v>
      </c>
      <c r="I526" s="82" t="s">
        <v>267</v>
      </c>
      <c r="J526" s="83" t="s">
        <v>205</v>
      </c>
      <c r="L526" s="89">
        <v>2</v>
      </c>
      <c r="M526" s="78">
        <v>10</v>
      </c>
      <c r="N526" s="84"/>
      <c r="O526" s="78">
        <f>L526*M526-N526*L526</f>
        <v>20</v>
      </c>
      <c r="P526" s="64"/>
    </row>
    <row r="527" spans="1:16" ht="18" customHeight="1">
      <c r="A527" s="85"/>
      <c r="B527" s="86"/>
      <c r="C527" s="87"/>
      <c r="D527" s="88">
        <v>1688</v>
      </c>
      <c r="E527" s="88">
        <v>1810</v>
      </c>
      <c r="F527" s="89">
        <f t="shared" ref="F527:F532" si="412">O527</f>
        <v>10</v>
      </c>
      <c r="G527" s="90">
        <f t="shared" si="410"/>
        <v>332.78654598133079</v>
      </c>
      <c r="H527" s="90">
        <f t="shared" si="411"/>
        <v>139.92000000000002</v>
      </c>
      <c r="I527" s="91" t="str">
        <f>I526</f>
        <v>11동2라인</v>
      </c>
      <c r="J527" s="92" t="s">
        <v>206</v>
      </c>
      <c r="L527" s="89">
        <v>1</v>
      </c>
      <c r="M527" s="78">
        <f>M526</f>
        <v>10</v>
      </c>
      <c r="N527" s="84"/>
      <c r="O527" s="78">
        <f t="shared" ref="O527:O532" si="413">L527*M527-N527*L527</f>
        <v>10</v>
      </c>
    </row>
    <row r="528" spans="1:16" ht="18" customHeight="1">
      <c r="A528" s="85"/>
      <c r="B528" s="86"/>
      <c r="C528" s="87"/>
      <c r="D528" s="88">
        <v>738</v>
      </c>
      <c r="E528" s="88">
        <v>1310</v>
      </c>
      <c r="F528" s="89">
        <f t="shared" si="412"/>
        <v>40</v>
      </c>
      <c r="G528" s="90">
        <f t="shared" si="410"/>
        <v>421.2136065091658</v>
      </c>
      <c r="H528" s="90">
        <f t="shared" si="411"/>
        <v>327.68</v>
      </c>
      <c r="I528" s="91" t="str">
        <f t="shared" ref="I528:I532" si="414">I527</f>
        <v>11동2라인</v>
      </c>
      <c r="J528" s="92" t="s">
        <v>207</v>
      </c>
      <c r="L528" s="89">
        <v>4</v>
      </c>
      <c r="M528" s="78">
        <f t="shared" ref="M528:M531" si="415">M527</f>
        <v>10</v>
      </c>
      <c r="N528" s="78"/>
      <c r="O528" s="78">
        <f t="shared" si="413"/>
        <v>40</v>
      </c>
    </row>
    <row r="529" spans="1:16" ht="18" customHeight="1">
      <c r="A529" s="85"/>
      <c r="B529" s="86"/>
      <c r="C529" s="87"/>
      <c r="D529" s="88">
        <v>288</v>
      </c>
      <c r="E529" s="88">
        <v>910</v>
      </c>
      <c r="F529" s="89">
        <f t="shared" si="412"/>
        <v>20</v>
      </c>
      <c r="G529" s="90">
        <f t="shared" si="410"/>
        <v>57.09244191745907</v>
      </c>
      <c r="H529" s="90">
        <f t="shared" si="411"/>
        <v>95.84</v>
      </c>
      <c r="I529" s="91" t="str">
        <f t="shared" si="414"/>
        <v>11동2라인</v>
      </c>
      <c r="J529" s="92" t="s">
        <v>208</v>
      </c>
      <c r="L529" s="89">
        <v>2</v>
      </c>
      <c r="M529" s="78">
        <f t="shared" si="415"/>
        <v>10</v>
      </c>
      <c r="N529" s="78"/>
      <c r="O529" s="78">
        <f t="shared" si="413"/>
        <v>20</v>
      </c>
    </row>
    <row r="530" spans="1:16" ht="18" customHeight="1">
      <c r="A530" s="85"/>
      <c r="B530" s="86"/>
      <c r="C530" s="87"/>
      <c r="D530" s="88">
        <v>228</v>
      </c>
      <c r="E530" s="88">
        <v>910</v>
      </c>
      <c r="F530" s="89">
        <f t="shared" si="412"/>
        <v>20</v>
      </c>
      <c r="G530" s="90">
        <f t="shared" si="410"/>
        <v>45.1981831846551</v>
      </c>
      <c r="H530" s="90">
        <f t="shared" si="411"/>
        <v>91.039999999999992</v>
      </c>
      <c r="I530" s="91" t="str">
        <f t="shared" si="414"/>
        <v>11동2라인</v>
      </c>
      <c r="J530" s="92" t="s">
        <v>209</v>
      </c>
      <c r="L530" s="89">
        <v>2</v>
      </c>
      <c r="M530" s="78">
        <f t="shared" si="415"/>
        <v>10</v>
      </c>
      <c r="N530" s="78"/>
      <c r="O530" s="78">
        <f t="shared" si="413"/>
        <v>20</v>
      </c>
    </row>
    <row r="531" spans="1:16" ht="18" customHeight="1">
      <c r="A531" s="85"/>
      <c r="B531" s="86"/>
      <c r="C531" s="87"/>
      <c r="D531" s="88">
        <v>438</v>
      </c>
      <c r="E531" s="88">
        <v>270</v>
      </c>
      <c r="F531" s="89">
        <f t="shared" si="412"/>
        <v>20</v>
      </c>
      <c r="G531" s="90">
        <f t="shared" si="410"/>
        <v>25.762180178413882</v>
      </c>
      <c r="H531" s="90">
        <f t="shared" si="411"/>
        <v>56.64</v>
      </c>
      <c r="I531" s="91" t="str">
        <f t="shared" si="414"/>
        <v>11동2라인</v>
      </c>
      <c r="J531" s="92" t="s">
        <v>210</v>
      </c>
      <c r="L531" s="89">
        <v>2</v>
      </c>
      <c r="M531" s="78">
        <f t="shared" si="415"/>
        <v>10</v>
      </c>
      <c r="N531" s="78"/>
      <c r="O531" s="78">
        <f t="shared" si="413"/>
        <v>20</v>
      </c>
    </row>
    <row r="532" spans="1:16" ht="18" customHeight="1">
      <c r="A532" s="85"/>
      <c r="B532" s="86"/>
      <c r="C532" s="87"/>
      <c r="D532" s="88">
        <v>208</v>
      </c>
      <c r="E532" s="88">
        <v>910</v>
      </c>
      <c r="F532" s="89">
        <f t="shared" si="412"/>
        <v>20</v>
      </c>
      <c r="G532" s="90">
        <f t="shared" si="410"/>
        <v>41.233430273720444</v>
      </c>
      <c r="H532" s="90">
        <f t="shared" si="411"/>
        <v>89.44</v>
      </c>
      <c r="I532" s="91" t="str">
        <f t="shared" si="414"/>
        <v>11동2라인</v>
      </c>
      <c r="J532" s="92" t="s">
        <v>211</v>
      </c>
      <c r="L532" s="89">
        <v>2</v>
      </c>
      <c r="M532" s="78">
        <f>M531</f>
        <v>10</v>
      </c>
      <c r="N532" s="78"/>
      <c r="O532" s="78">
        <f t="shared" si="413"/>
        <v>20</v>
      </c>
    </row>
    <row r="533" spans="1:16" ht="18" customHeight="1">
      <c r="A533" s="85"/>
      <c r="B533" s="93"/>
      <c r="C533" s="87"/>
      <c r="D533" s="325" t="s">
        <v>0</v>
      </c>
      <c r="E533" s="325"/>
      <c r="F533" s="94">
        <f>SUM(F526:F532)</f>
        <v>150</v>
      </c>
      <c r="G533" s="95">
        <f>SUM(G526:G532)</f>
        <v>1223.3462950255423</v>
      </c>
      <c r="H533" s="96">
        <f>SUM(H526:H532)</f>
        <v>1006.24</v>
      </c>
      <c r="I533" s="97"/>
      <c r="J533" s="162"/>
    </row>
    <row r="534" spans="1:16" ht="18" customHeight="1">
      <c r="A534" s="85"/>
      <c r="B534" s="93"/>
      <c r="C534" s="87"/>
      <c r="D534" s="161"/>
      <c r="E534" s="161"/>
      <c r="F534" s="89"/>
      <c r="G534" s="100"/>
      <c r="H534" s="101"/>
      <c r="I534" s="102"/>
      <c r="J534" s="121"/>
      <c r="L534" s="78" t="s">
        <v>48</v>
      </c>
      <c r="M534" s="78" t="s">
        <v>54</v>
      </c>
      <c r="N534" s="78" t="s">
        <v>50</v>
      </c>
      <c r="O534" s="78" t="s">
        <v>55</v>
      </c>
    </row>
    <row r="535" spans="1:16" ht="18" customHeight="1">
      <c r="A535" s="85"/>
      <c r="B535" s="23" t="s">
        <v>197</v>
      </c>
      <c r="C535" s="24">
        <v>22</v>
      </c>
      <c r="D535" s="88">
        <v>761</v>
      </c>
      <c r="E535" s="88">
        <v>1810</v>
      </c>
      <c r="F535" s="89">
        <f t="shared" ref="F535:F541" si="416">O535</f>
        <v>20</v>
      </c>
      <c r="G535" s="90">
        <f t="shared" ref="G535:G541" si="417">D535*E535/91809*F535</f>
        <v>300.05990698079711</v>
      </c>
      <c r="H535" s="90">
        <f t="shared" ref="H535:H541" si="418">(D535/1000)*4*F535+(E535/1000)*4*F535</f>
        <v>205.68</v>
      </c>
      <c r="I535" s="91" t="str">
        <f t="shared" ref="I535:I541" si="419">I526</f>
        <v>11동2라인</v>
      </c>
      <c r="J535" s="92" t="s">
        <v>212</v>
      </c>
      <c r="L535" s="89">
        <v>2</v>
      </c>
      <c r="M535" s="78">
        <f>M526</f>
        <v>10</v>
      </c>
      <c r="N535" s="84"/>
      <c r="O535" s="78">
        <f>L535*M535-N535*L535</f>
        <v>20</v>
      </c>
    </row>
    <row r="536" spans="1:16" ht="18" customHeight="1">
      <c r="A536" s="85"/>
      <c r="B536" s="86"/>
      <c r="C536" s="87"/>
      <c r="D536" s="88">
        <v>1688</v>
      </c>
      <c r="E536" s="88">
        <v>1810</v>
      </c>
      <c r="F536" s="89">
        <f t="shared" si="416"/>
        <v>10</v>
      </c>
      <c r="G536" s="90">
        <f t="shared" si="417"/>
        <v>332.78654598133079</v>
      </c>
      <c r="H536" s="90">
        <f t="shared" si="418"/>
        <v>139.92000000000002</v>
      </c>
      <c r="I536" s="91" t="str">
        <f t="shared" si="419"/>
        <v>11동2라인</v>
      </c>
      <c r="J536" s="92" t="s">
        <v>213</v>
      </c>
      <c r="L536" s="89">
        <v>1</v>
      </c>
      <c r="M536" s="78">
        <f>M535</f>
        <v>10</v>
      </c>
      <c r="N536" s="84"/>
      <c r="O536" s="78">
        <f>L536*M536-N536*L536</f>
        <v>10</v>
      </c>
    </row>
    <row r="537" spans="1:16" ht="18" customHeight="1">
      <c r="A537" s="104"/>
      <c r="B537" s="93"/>
      <c r="C537" s="87"/>
      <c r="D537" s="88">
        <v>738</v>
      </c>
      <c r="E537" s="88">
        <v>1310</v>
      </c>
      <c r="F537" s="89">
        <f t="shared" si="416"/>
        <v>40</v>
      </c>
      <c r="G537" s="90">
        <f t="shared" si="417"/>
        <v>421.2136065091658</v>
      </c>
      <c r="H537" s="90">
        <f t="shared" si="418"/>
        <v>327.68</v>
      </c>
      <c r="I537" s="91" t="str">
        <f t="shared" si="419"/>
        <v>11동2라인</v>
      </c>
      <c r="J537" s="92" t="s">
        <v>214</v>
      </c>
      <c r="L537" s="89">
        <v>4</v>
      </c>
      <c r="M537" s="78">
        <f t="shared" ref="M537:M541" si="420">M536</f>
        <v>10</v>
      </c>
      <c r="N537" s="84"/>
      <c r="O537" s="78">
        <f t="shared" ref="O537:O541" si="421">L537*M537-N537*L537</f>
        <v>40</v>
      </c>
    </row>
    <row r="538" spans="1:16" ht="18" customHeight="1">
      <c r="A538" s="104"/>
      <c r="B538" s="93"/>
      <c r="C538" s="87"/>
      <c r="D538" s="88">
        <v>288</v>
      </c>
      <c r="E538" s="88">
        <v>910</v>
      </c>
      <c r="F538" s="89">
        <f t="shared" si="416"/>
        <v>20</v>
      </c>
      <c r="G538" s="90">
        <f t="shared" si="417"/>
        <v>57.09244191745907</v>
      </c>
      <c r="H538" s="90">
        <f t="shared" si="418"/>
        <v>95.84</v>
      </c>
      <c r="I538" s="91" t="str">
        <f t="shared" si="419"/>
        <v>11동2라인</v>
      </c>
      <c r="J538" s="92" t="s">
        <v>215</v>
      </c>
      <c r="L538" s="89">
        <v>2</v>
      </c>
      <c r="M538" s="78">
        <f t="shared" si="420"/>
        <v>10</v>
      </c>
      <c r="N538" s="78"/>
      <c r="O538" s="78">
        <f t="shared" si="421"/>
        <v>20</v>
      </c>
    </row>
    <row r="539" spans="1:16" ht="18" customHeight="1">
      <c r="A539" s="104"/>
      <c r="B539" s="93"/>
      <c r="C539" s="87"/>
      <c r="D539" s="88">
        <v>228</v>
      </c>
      <c r="E539" s="88">
        <v>910</v>
      </c>
      <c r="F539" s="89">
        <f t="shared" si="416"/>
        <v>20</v>
      </c>
      <c r="G539" s="90">
        <f t="shared" si="417"/>
        <v>45.1981831846551</v>
      </c>
      <c r="H539" s="90">
        <f t="shared" si="418"/>
        <v>91.039999999999992</v>
      </c>
      <c r="I539" s="91" t="str">
        <f t="shared" si="419"/>
        <v>11동2라인</v>
      </c>
      <c r="J539" s="92" t="s">
        <v>216</v>
      </c>
      <c r="L539" s="89">
        <v>2</v>
      </c>
      <c r="M539" s="78">
        <f t="shared" si="420"/>
        <v>10</v>
      </c>
      <c r="N539" s="78"/>
      <c r="O539" s="78">
        <f t="shared" si="421"/>
        <v>20</v>
      </c>
    </row>
    <row r="540" spans="1:16" ht="18" customHeight="1">
      <c r="A540" s="104"/>
      <c r="B540" s="93"/>
      <c r="C540" s="87"/>
      <c r="D540" s="88">
        <v>438</v>
      </c>
      <c r="E540" s="88">
        <v>270</v>
      </c>
      <c r="F540" s="89">
        <f t="shared" si="416"/>
        <v>20</v>
      </c>
      <c r="G540" s="90">
        <f t="shared" si="417"/>
        <v>25.762180178413882</v>
      </c>
      <c r="H540" s="90">
        <f t="shared" si="418"/>
        <v>56.64</v>
      </c>
      <c r="I540" s="91" t="str">
        <f t="shared" si="419"/>
        <v>11동2라인</v>
      </c>
      <c r="J540" s="92" t="s">
        <v>217</v>
      </c>
      <c r="L540" s="89">
        <v>2</v>
      </c>
      <c r="M540" s="78">
        <f t="shared" si="420"/>
        <v>10</v>
      </c>
      <c r="N540" s="78"/>
      <c r="O540" s="78">
        <f t="shared" si="421"/>
        <v>20</v>
      </c>
    </row>
    <row r="541" spans="1:16" ht="18" customHeight="1">
      <c r="A541" s="104"/>
      <c r="B541" s="93"/>
      <c r="C541" s="87"/>
      <c r="D541" s="88">
        <v>208</v>
      </c>
      <c r="E541" s="88">
        <v>910</v>
      </c>
      <c r="F541" s="89">
        <f t="shared" si="416"/>
        <v>20</v>
      </c>
      <c r="G541" s="90">
        <f t="shared" si="417"/>
        <v>41.233430273720444</v>
      </c>
      <c r="H541" s="90">
        <f t="shared" si="418"/>
        <v>89.44</v>
      </c>
      <c r="I541" s="91" t="str">
        <f t="shared" si="419"/>
        <v>11동2라인</v>
      </c>
      <c r="J541" s="92" t="s">
        <v>218</v>
      </c>
      <c r="L541" s="89">
        <v>2</v>
      </c>
      <c r="M541" s="78">
        <f t="shared" si="420"/>
        <v>10</v>
      </c>
      <c r="N541" s="78"/>
      <c r="O541" s="78">
        <f t="shared" si="421"/>
        <v>20</v>
      </c>
    </row>
    <row r="542" spans="1:16" ht="18" customHeight="1">
      <c r="A542" s="104"/>
      <c r="B542" s="87"/>
      <c r="C542" s="87"/>
      <c r="D542" s="325" t="s">
        <v>0</v>
      </c>
      <c r="E542" s="325"/>
      <c r="F542" s="171">
        <f>SUM(F535:F541)</f>
        <v>150</v>
      </c>
      <c r="G542" s="95">
        <f>SUM(G535:G541)</f>
        <v>1223.3462950255423</v>
      </c>
      <c r="H542" s="95">
        <f>SUM(H535:H541)</f>
        <v>1006.24</v>
      </c>
      <c r="I542" s="97"/>
      <c r="J542" s="98"/>
    </row>
    <row r="543" spans="1:16">
      <c r="A543" s="105"/>
      <c r="B543" s="9"/>
      <c r="C543" s="9"/>
      <c r="D543" s="51"/>
      <c r="E543" s="51"/>
      <c r="F543" s="51"/>
      <c r="G543" s="106"/>
      <c r="H543" s="106"/>
      <c r="I543" s="9"/>
      <c r="J543" s="107"/>
    </row>
    <row r="544" spans="1:16" ht="18" customHeight="1">
      <c r="A544" s="85"/>
      <c r="B544" s="163" t="s">
        <v>199</v>
      </c>
      <c r="C544" s="163">
        <v>22</v>
      </c>
      <c r="D544" s="88">
        <v>738</v>
      </c>
      <c r="E544" s="88">
        <v>1810</v>
      </c>
      <c r="F544" s="89">
        <f t="shared" ref="F544:F545" si="422">O544</f>
        <v>20</v>
      </c>
      <c r="G544" s="90">
        <f t="shared" ref="G544:G545" si="423">D544*E544/91809*F544</f>
        <v>290.99107930595039</v>
      </c>
      <c r="H544" s="90">
        <f t="shared" ref="H544:H545" si="424">(D544/1000)*4*F544+(E544/1000)*4*F544</f>
        <v>203.84</v>
      </c>
      <c r="I544" s="91" t="str">
        <f>I535</f>
        <v>11동2라인</v>
      </c>
      <c r="J544" s="92" t="s">
        <v>219</v>
      </c>
      <c r="L544" s="89">
        <v>2</v>
      </c>
      <c r="M544" s="78">
        <f>M526</f>
        <v>10</v>
      </c>
      <c r="N544" s="84"/>
      <c r="O544" s="78">
        <f>L544*M544-N544*L544</f>
        <v>20</v>
      </c>
      <c r="P544" s="64"/>
    </row>
    <row r="545" spans="1:16" ht="18" customHeight="1">
      <c r="A545" s="85"/>
      <c r="B545" s="86"/>
      <c r="C545" s="87"/>
      <c r="D545" s="88">
        <v>250</v>
      </c>
      <c r="E545" s="88">
        <v>930</v>
      </c>
      <c r="F545" s="89">
        <f t="shared" si="422"/>
        <v>20</v>
      </c>
      <c r="G545" s="90">
        <f t="shared" si="423"/>
        <v>50.648629219357574</v>
      </c>
      <c r="H545" s="90">
        <f t="shared" si="424"/>
        <v>94.4</v>
      </c>
      <c r="I545" s="91" t="str">
        <f>I544</f>
        <v>11동2라인</v>
      </c>
      <c r="J545" s="92" t="s">
        <v>220</v>
      </c>
      <c r="L545" s="89">
        <v>2</v>
      </c>
      <c r="M545" s="78">
        <f>M544</f>
        <v>10</v>
      </c>
      <c r="N545" s="84"/>
      <c r="O545" s="78">
        <f t="shared" ref="O545" si="425">L545*M545-N545*L545</f>
        <v>20</v>
      </c>
    </row>
    <row r="546" spans="1:16" ht="18" customHeight="1">
      <c r="A546" s="85"/>
      <c r="B546" s="93"/>
      <c r="C546" s="87"/>
      <c r="D546" s="325" t="s">
        <v>0</v>
      </c>
      <c r="E546" s="325"/>
      <c r="F546" s="94">
        <f>SUM(F544:F545)</f>
        <v>40</v>
      </c>
      <c r="G546" s="95">
        <f>SUM(G544:G545)</f>
        <v>341.63970852530798</v>
      </c>
      <c r="H546" s="95">
        <f>SUM(H544:H545)</f>
        <v>298.24</v>
      </c>
      <c r="I546" s="97"/>
      <c r="J546" s="98"/>
    </row>
    <row r="547" spans="1:16">
      <c r="A547" s="236"/>
      <c r="B547" s="237"/>
      <c r="C547" s="238"/>
      <c r="D547" s="362"/>
      <c r="E547" s="362"/>
      <c r="F547" s="239"/>
      <c r="G547" s="240"/>
      <c r="H547" s="241"/>
      <c r="I547" s="242"/>
      <c r="J547" s="243"/>
    </row>
    <row r="548" spans="1:16" ht="18" customHeight="1">
      <c r="A548" s="244" t="s">
        <v>234</v>
      </c>
      <c r="B548" s="23" t="s">
        <v>195</v>
      </c>
      <c r="C548" s="24">
        <v>22</v>
      </c>
      <c r="D548" s="88">
        <v>761</v>
      </c>
      <c r="E548" s="88">
        <v>1810</v>
      </c>
      <c r="F548" s="89">
        <f>O548</f>
        <v>40</v>
      </c>
      <c r="G548" s="90">
        <f t="shared" ref="G548:G554" si="426">D548*E548/91809*F548</f>
        <v>600.11981396159422</v>
      </c>
      <c r="H548" s="90">
        <f t="shared" ref="H548:H554" si="427">(D548/1000)*4*F548+(E548/1000)*4*F548</f>
        <v>411.36</v>
      </c>
      <c r="I548" s="91" t="s">
        <v>268</v>
      </c>
      <c r="J548" s="92" t="s">
        <v>205</v>
      </c>
      <c r="L548" s="89">
        <v>2</v>
      </c>
      <c r="M548" s="78">
        <v>20</v>
      </c>
      <c r="N548" s="84"/>
      <c r="O548" s="78">
        <f>L548*M548-N548*L548</f>
        <v>40</v>
      </c>
      <c r="P548" s="64"/>
    </row>
    <row r="549" spans="1:16" ht="18" customHeight="1">
      <c r="A549" s="85"/>
      <c r="B549" s="86"/>
      <c r="C549" s="87"/>
      <c r="D549" s="88">
        <v>1688</v>
      </c>
      <c r="E549" s="88">
        <v>1810</v>
      </c>
      <c r="F549" s="89">
        <f t="shared" ref="F549:F554" si="428">O549</f>
        <v>20</v>
      </c>
      <c r="G549" s="90">
        <f t="shared" si="426"/>
        <v>665.57309196266158</v>
      </c>
      <c r="H549" s="90">
        <f t="shared" si="427"/>
        <v>279.84000000000003</v>
      </c>
      <c r="I549" s="91" t="str">
        <f>I548</f>
        <v>11동3,5라인</v>
      </c>
      <c r="J549" s="92" t="s">
        <v>206</v>
      </c>
      <c r="L549" s="89">
        <v>1</v>
      </c>
      <c r="M549" s="78">
        <f>M548</f>
        <v>20</v>
      </c>
      <c r="N549" s="84"/>
      <c r="O549" s="78">
        <f t="shared" ref="O549:O554" si="429">L549*M549-N549*L549</f>
        <v>20</v>
      </c>
    </row>
    <row r="550" spans="1:16" ht="18" customHeight="1">
      <c r="A550" s="85"/>
      <c r="B550" s="86"/>
      <c r="C550" s="87"/>
      <c r="D550" s="88">
        <v>738</v>
      </c>
      <c r="E550" s="88">
        <v>1310</v>
      </c>
      <c r="F550" s="89">
        <f t="shared" si="428"/>
        <v>80</v>
      </c>
      <c r="G550" s="90">
        <f t="shared" si="426"/>
        <v>842.4272130183316</v>
      </c>
      <c r="H550" s="90">
        <f t="shared" si="427"/>
        <v>655.36</v>
      </c>
      <c r="I550" s="91" t="str">
        <f t="shared" ref="I550:I554" si="430">I549</f>
        <v>11동3,5라인</v>
      </c>
      <c r="J550" s="92" t="s">
        <v>207</v>
      </c>
      <c r="L550" s="89">
        <v>4</v>
      </c>
      <c r="M550" s="78">
        <f t="shared" ref="M550:M553" si="431">M549</f>
        <v>20</v>
      </c>
      <c r="N550" s="78"/>
      <c r="O550" s="78">
        <f t="shared" si="429"/>
        <v>80</v>
      </c>
    </row>
    <row r="551" spans="1:16" ht="18" customHeight="1">
      <c r="A551" s="85"/>
      <c r="B551" s="86"/>
      <c r="C551" s="87"/>
      <c r="D551" s="88">
        <v>288</v>
      </c>
      <c r="E551" s="88">
        <v>910</v>
      </c>
      <c r="F551" s="89">
        <f t="shared" si="428"/>
        <v>40</v>
      </c>
      <c r="G551" s="90">
        <f t="shared" si="426"/>
        <v>114.18488383491814</v>
      </c>
      <c r="H551" s="90">
        <f t="shared" si="427"/>
        <v>191.68</v>
      </c>
      <c r="I551" s="91" t="str">
        <f t="shared" si="430"/>
        <v>11동3,5라인</v>
      </c>
      <c r="J551" s="92" t="s">
        <v>208</v>
      </c>
      <c r="L551" s="89">
        <v>2</v>
      </c>
      <c r="M551" s="78">
        <f t="shared" si="431"/>
        <v>20</v>
      </c>
      <c r="N551" s="78"/>
      <c r="O551" s="78">
        <f t="shared" si="429"/>
        <v>40</v>
      </c>
    </row>
    <row r="552" spans="1:16" ht="18" customHeight="1">
      <c r="A552" s="85"/>
      <c r="B552" s="86"/>
      <c r="C552" s="87"/>
      <c r="D552" s="88">
        <v>228</v>
      </c>
      <c r="E552" s="88">
        <v>910</v>
      </c>
      <c r="F552" s="89">
        <f t="shared" si="428"/>
        <v>40</v>
      </c>
      <c r="G552" s="90">
        <f t="shared" si="426"/>
        <v>90.396366369310201</v>
      </c>
      <c r="H552" s="90">
        <f t="shared" si="427"/>
        <v>182.07999999999998</v>
      </c>
      <c r="I552" s="91" t="str">
        <f t="shared" si="430"/>
        <v>11동3,5라인</v>
      </c>
      <c r="J552" s="92" t="s">
        <v>209</v>
      </c>
      <c r="L552" s="89">
        <v>2</v>
      </c>
      <c r="M552" s="78">
        <f t="shared" si="431"/>
        <v>20</v>
      </c>
      <c r="N552" s="78"/>
      <c r="O552" s="78">
        <f t="shared" si="429"/>
        <v>40</v>
      </c>
    </row>
    <row r="553" spans="1:16" ht="18" customHeight="1">
      <c r="A553" s="85"/>
      <c r="B553" s="86"/>
      <c r="C553" s="87"/>
      <c r="D553" s="88">
        <v>438</v>
      </c>
      <c r="E553" s="88">
        <v>270</v>
      </c>
      <c r="F553" s="89">
        <f t="shared" si="428"/>
        <v>40</v>
      </c>
      <c r="G553" s="90">
        <f t="shared" si="426"/>
        <v>51.524360356827763</v>
      </c>
      <c r="H553" s="90">
        <f t="shared" si="427"/>
        <v>113.28</v>
      </c>
      <c r="I553" s="91" t="str">
        <f t="shared" si="430"/>
        <v>11동3,5라인</v>
      </c>
      <c r="J553" s="92" t="s">
        <v>210</v>
      </c>
      <c r="L553" s="89">
        <v>2</v>
      </c>
      <c r="M553" s="78">
        <f t="shared" si="431"/>
        <v>20</v>
      </c>
      <c r="N553" s="78"/>
      <c r="O553" s="78">
        <f t="shared" si="429"/>
        <v>40</v>
      </c>
    </row>
    <row r="554" spans="1:16" ht="18" customHeight="1">
      <c r="A554" s="85"/>
      <c r="B554" s="86"/>
      <c r="C554" s="87"/>
      <c r="D554" s="88">
        <v>208</v>
      </c>
      <c r="E554" s="88">
        <v>910</v>
      </c>
      <c r="F554" s="89">
        <f t="shared" si="428"/>
        <v>40</v>
      </c>
      <c r="G554" s="90">
        <f t="shared" si="426"/>
        <v>82.466860547440888</v>
      </c>
      <c r="H554" s="90">
        <f t="shared" si="427"/>
        <v>178.88</v>
      </c>
      <c r="I554" s="91" t="str">
        <f t="shared" si="430"/>
        <v>11동3,5라인</v>
      </c>
      <c r="J554" s="92" t="s">
        <v>211</v>
      </c>
      <c r="L554" s="89">
        <v>2</v>
      </c>
      <c r="M554" s="78">
        <f>M553</f>
        <v>20</v>
      </c>
      <c r="N554" s="78"/>
      <c r="O554" s="78">
        <f t="shared" si="429"/>
        <v>40</v>
      </c>
    </row>
    <row r="555" spans="1:16" ht="18" customHeight="1">
      <c r="A555" s="85"/>
      <c r="B555" s="93"/>
      <c r="C555" s="87"/>
      <c r="D555" s="325" t="s">
        <v>0</v>
      </c>
      <c r="E555" s="325"/>
      <c r="F555" s="94">
        <f>SUM(F548:F554)</f>
        <v>300</v>
      </c>
      <c r="G555" s="95">
        <f>SUM(G548:G554)</f>
        <v>2446.6925900510846</v>
      </c>
      <c r="H555" s="96">
        <f>SUM(H548:H554)</f>
        <v>2012.48</v>
      </c>
      <c r="I555" s="97"/>
      <c r="J555" s="162"/>
    </row>
    <row r="556" spans="1:16" ht="18" customHeight="1">
      <c r="A556" s="85"/>
      <c r="B556" s="93"/>
      <c r="C556" s="87"/>
      <c r="D556" s="161"/>
      <c r="E556" s="161"/>
      <c r="F556" s="89"/>
      <c r="G556" s="100"/>
      <c r="H556" s="101"/>
      <c r="I556" s="102"/>
      <c r="J556" s="121"/>
      <c r="L556" s="78" t="s">
        <v>48</v>
      </c>
      <c r="M556" s="78" t="s">
        <v>54</v>
      </c>
      <c r="N556" s="78" t="s">
        <v>50</v>
      </c>
      <c r="O556" s="78" t="s">
        <v>55</v>
      </c>
    </row>
    <row r="557" spans="1:16" ht="18" customHeight="1">
      <c r="A557" s="85"/>
      <c r="B557" s="23" t="s">
        <v>197</v>
      </c>
      <c r="C557" s="24">
        <v>22</v>
      </c>
      <c r="D557" s="88">
        <v>761</v>
      </c>
      <c r="E557" s="88">
        <v>1810</v>
      </c>
      <c r="F557" s="89">
        <f t="shared" ref="F557:F563" si="432">O557</f>
        <v>40</v>
      </c>
      <c r="G557" s="90">
        <f t="shared" ref="G557:G563" si="433">D557*E557/91809*F557</f>
        <v>600.11981396159422</v>
      </c>
      <c r="H557" s="90">
        <f t="shared" ref="H557:H563" si="434">(D557/1000)*4*F557+(E557/1000)*4*F557</f>
        <v>411.36</v>
      </c>
      <c r="I557" s="91" t="str">
        <f t="shared" ref="I557:I563" si="435">I548</f>
        <v>11동3,5라인</v>
      </c>
      <c r="J557" s="92" t="s">
        <v>212</v>
      </c>
      <c r="L557" s="89">
        <v>2</v>
      </c>
      <c r="M557" s="78">
        <f>M548</f>
        <v>20</v>
      </c>
      <c r="N557" s="84"/>
      <c r="O557" s="78">
        <f>L557*M557-N557*L557</f>
        <v>40</v>
      </c>
    </row>
    <row r="558" spans="1:16" ht="18" customHeight="1">
      <c r="A558" s="85"/>
      <c r="B558" s="86"/>
      <c r="C558" s="87"/>
      <c r="D558" s="88">
        <v>1688</v>
      </c>
      <c r="E558" s="88">
        <v>1810</v>
      </c>
      <c r="F558" s="89">
        <f t="shared" si="432"/>
        <v>20</v>
      </c>
      <c r="G558" s="90">
        <f t="shared" si="433"/>
        <v>665.57309196266158</v>
      </c>
      <c r="H558" s="90">
        <f t="shared" si="434"/>
        <v>279.84000000000003</v>
      </c>
      <c r="I558" s="91" t="str">
        <f t="shared" si="435"/>
        <v>11동3,5라인</v>
      </c>
      <c r="J558" s="92" t="s">
        <v>213</v>
      </c>
      <c r="L558" s="89">
        <v>1</v>
      </c>
      <c r="M558" s="78">
        <f>M557</f>
        <v>20</v>
      </c>
      <c r="N558" s="84"/>
      <c r="O558" s="78">
        <f>L558*M558-N558*L558</f>
        <v>20</v>
      </c>
    </row>
    <row r="559" spans="1:16" ht="18" customHeight="1">
      <c r="A559" s="104"/>
      <c r="B559" s="93"/>
      <c r="C559" s="87"/>
      <c r="D559" s="88">
        <v>738</v>
      </c>
      <c r="E559" s="88">
        <v>1310</v>
      </c>
      <c r="F559" s="89">
        <f t="shared" si="432"/>
        <v>80</v>
      </c>
      <c r="G559" s="90">
        <f t="shared" si="433"/>
        <v>842.4272130183316</v>
      </c>
      <c r="H559" s="90">
        <f t="shared" si="434"/>
        <v>655.36</v>
      </c>
      <c r="I559" s="91" t="str">
        <f t="shared" si="435"/>
        <v>11동3,5라인</v>
      </c>
      <c r="J559" s="92" t="s">
        <v>214</v>
      </c>
      <c r="L559" s="89">
        <v>4</v>
      </c>
      <c r="M559" s="78">
        <f t="shared" ref="M559:M563" si="436">M558</f>
        <v>20</v>
      </c>
      <c r="N559" s="84"/>
      <c r="O559" s="78">
        <f t="shared" ref="O559:O563" si="437">L559*M559-N559*L559</f>
        <v>80</v>
      </c>
    </row>
    <row r="560" spans="1:16" ht="18" customHeight="1">
      <c r="A560" s="104"/>
      <c r="B560" s="93"/>
      <c r="C560" s="87"/>
      <c r="D560" s="88">
        <v>288</v>
      </c>
      <c r="E560" s="88">
        <v>910</v>
      </c>
      <c r="F560" s="89">
        <f t="shared" si="432"/>
        <v>40</v>
      </c>
      <c r="G560" s="90">
        <f t="shared" si="433"/>
        <v>114.18488383491814</v>
      </c>
      <c r="H560" s="90">
        <f t="shared" si="434"/>
        <v>191.68</v>
      </c>
      <c r="I560" s="91" t="str">
        <f t="shared" si="435"/>
        <v>11동3,5라인</v>
      </c>
      <c r="J560" s="92" t="s">
        <v>215</v>
      </c>
      <c r="L560" s="89">
        <v>2</v>
      </c>
      <c r="M560" s="78">
        <f t="shared" si="436"/>
        <v>20</v>
      </c>
      <c r="N560" s="78"/>
      <c r="O560" s="78">
        <f t="shared" si="437"/>
        <v>40</v>
      </c>
    </row>
    <row r="561" spans="1:16" ht="18" customHeight="1">
      <c r="A561" s="104"/>
      <c r="B561" s="93"/>
      <c r="C561" s="87"/>
      <c r="D561" s="88">
        <v>228</v>
      </c>
      <c r="E561" s="88">
        <v>910</v>
      </c>
      <c r="F561" s="89">
        <f t="shared" si="432"/>
        <v>40</v>
      </c>
      <c r="G561" s="90">
        <f t="shared" si="433"/>
        <v>90.396366369310201</v>
      </c>
      <c r="H561" s="90">
        <f t="shared" si="434"/>
        <v>182.07999999999998</v>
      </c>
      <c r="I561" s="91" t="str">
        <f t="shared" si="435"/>
        <v>11동3,5라인</v>
      </c>
      <c r="J561" s="92" t="s">
        <v>216</v>
      </c>
      <c r="L561" s="89">
        <v>2</v>
      </c>
      <c r="M561" s="78">
        <f t="shared" si="436"/>
        <v>20</v>
      </c>
      <c r="N561" s="78"/>
      <c r="O561" s="78">
        <f t="shared" si="437"/>
        <v>40</v>
      </c>
    </row>
    <row r="562" spans="1:16" ht="18" customHeight="1">
      <c r="A562" s="104"/>
      <c r="B562" s="93"/>
      <c r="C562" s="87"/>
      <c r="D562" s="88">
        <v>438</v>
      </c>
      <c r="E562" s="88">
        <v>270</v>
      </c>
      <c r="F562" s="89">
        <f t="shared" si="432"/>
        <v>40</v>
      </c>
      <c r="G562" s="90">
        <f t="shared" si="433"/>
        <v>51.524360356827763</v>
      </c>
      <c r="H562" s="90">
        <f t="shared" si="434"/>
        <v>113.28</v>
      </c>
      <c r="I562" s="91" t="str">
        <f t="shared" si="435"/>
        <v>11동3,5라인</v>
      </c>
      <c r="J562" s="92" t="s">
        <v>217</v>
      </c>
      <c r="L562" s="89">
        <v>2</v>
      </c>
      <c r="M562" s="78">
        <f t="shared" si="436"/>
        <v>20</v>
      </c>
      <c r="N562" s="78"/>
      <c r="O562" s="78">
        <f t="shared" si="437"/>
        <v>40</v>
      </c>
    </row>
    <row r="563" spans="1:16" ht="18" customHeight="1">
      <c r="A563" s="104"/>
      <c r="B563" s="93"/>
      <c r="C563" s="87"/>
      <c r="D563" s="88">
        <v>208</v>
      </c>
      <c r="E563" s="88">
        <v>910</v>
      </c>
      <c r="F563" s="89">
        <f t="shared" si="432"/>
        <v>40</v>
      </c>
      <c r="G563" s="90">
        <f t="shared" si="433"/>
        <v>82.466860547440888</v>
      </c>
      <c r="H563" s="90">
        <f t="shared" si="434"/>
        <v>178.88</v>
      </c>
      <c r="I563" s="91" t="str">
        <f t="shared" si="435"/>
        <v>11동3,5라인</v>
      </c>
      <c r="J563" s="92" t="s">
        <v>218</v>
      </c>
      <c r="L563" s="89">
        <v>2</v>
      </c>
      <c r="M563" s="78">
        <f t="shared" si="436"/>
        <v>20</v>
      </c>
      <c r="N563" s="78"/>
      <c r="O563" s="78">
        <f t="shared" si="437"/>
        <v>40</v>
      </c>
    </row>
    <row r="564" spans="1:16" ht="18" customHeight="1">
      <c r="A564" s="104"/>
      <c r="B564" s="87"/>
      <c r="C564" s="87"/>
      <c r="D564" s="325" t="s">
        <v>0</v>
      </c>
      <c r="E564" s="325"/>
      <c r="F564" s="171">
        <f>SUM(F557:F563)</f>
        <v>300</v>
      </c>
      <c r="G564" s="95">
        <f>SUM(G557:G563)</f>
        <v>2446.6925900510846</v>
      </c>
      <c r="H564" s="95">
        <f>SUM(H557:H563)</f>
        <v>2012.48</v>
      </c>
      <c r="I564" s="97"/>
      <c r="J564" s="98"/>
    </row>
    <row r="565" spans="1:16">
      <c r="A565" s="105"/>
      <c r="B565" s="9"/>
      <c r="C565" s="9"/>
      <c r="D565" s="51"/>
      <c r="E565" s="51"/>
      <c r="F565" s="51"/>
      <c r="G565" s="106"/>
      <c r="H565" s="106"/>
      <c r="I565" s="9"/>
      <c r="J565" s="107"/>
    </row>
    <row r="566" spans="1:16" ht="18" customHeight="1">
      <c r="A566" s="85"/>
      <c r="B566" s="163" t="s">
        <v>199</v>
      </c>
      <c r="C566" s="163">
        <v>22</v>
      </c>
      <c r="D566" s="88">
        <v>738</v>
      </c>
      <c r="E566" s="88">
        <v>1810</v>
      </c>
      <c r="F566" s="89">
        <f t="shared" ref="F566:F567" si="438">O566</f>
        <v>40</v>
      </c>
      <c r="G566" s="90">
        <f t="shared" ref="G566:G567" si="439">D566*E566/91809*F566</f>
        <v>581.98215861190079</v>
      </c>
      <c r="H566" s="90">
        <f t="shared" ref="H566:H567" si="440">(D566/1000)*4*F566+(E566/1000)*4*F566</f>
        <v>407.68</v>
      </c>
      <c r="I566" s="91" t="str">
        <f>I557</f>
        <v>11동3,5라인</v>
      </c>
      <c r="J566" s="92" t="s">
        <v>219</v>
      </c>
      <c r="L566" s="89">
        <v>2</v>
      </c>
      <c r="M566" s="78">
        <f>M548</f>
        <v>20</v>
      </c>
      <c r="N566" s="84"/>
      <c r="O566" s="78">
        <f>L566*M566-N566*L566</f>
        <v>40</v>
      </c>
      <c r="P566" s="64"/>
    </row>
    <row r="567" spans="1:16" ht="18" customHeight="1">
      <c r="A567" s="85"/>
      <c r="B567" s="86"/>
      <c r="C567" s="87"/>
      <c r="D567" s="88">
        <v>250</v>
      </c>
      <c r="E567" s="88">
        <v>930</v>
      </c>
      <c r="F567" s="89">
        <f t="shared" si="438"/>
        <v>40</v>
      </c>
      <c r="G567" s="90">
        <f t="shared" si="439"/>
        <v>101.29725843871515</v>
      </c>
      <c r="H567" s="90">
        <f t="shared" si="440"/>
        <v>188.8</v>
      </c>
      <c r="I567" s="91" t="str">
        <f>I566</f>
        <v>11동3,5라인</v>
      </c>
      <c r="J567" s="92" t="s">
        <v>220</v>
      </c>
      <c r="L567" s="89">
        <v>2</v>
      </c>
      <c r="M567" s="78">
        <f>M566</f>
        <v>20</v>
      </c>
      <c r="N567" s="84"/>
      <c r="O567" s="78">
        <f t="shared" ref="O567" si="441">L567*M567-N567*L567</f>
        <v>40</v>
      </c>
    </row>
    <row r="568" spans="1:16" ht="18" customHeight="1" thickBot="1">
      <c r="A568" s="222"/>
      <c r="B568" s="223"/>
      <c r="C568" s="224"/>
      <c r="D568" s="364" t="s">
        <v>0</v>
      </c>
      <c r="E568" s="364"/>
      <c r="F568" s="269">
        <f>SUM(F566:F567)</f>
        <v>80</v>
      </c>
      <c r="G568" s="270">
        <f>SUM(G566:G567)</f>
        <v>683.27941705061596</v>
      </c>
      <c r="H568" s="270">
        <f>SUM(H566:H567)</f>
        <v>596.48</v>
      </c>
      <c r="I568" s="271"/>
      <c r="J568" s="272"/>
    </row>
    <row r="569" spans="1:16" ht="18" customHeight="1">
      <c r="A569" s="79" t="s">
        <v>235</v>
      </c>
      <c r="B569" s="231" t="s">
        <v>201</v>
      </c>
      <c r="C569" s="232">
        <v>22</v>
      </c>
      <c r="D569" s="80">
        <v>861</v>
      </c>
      <c r="E569" s="80">
        <v>1810</v>
      </c>
      <c r="F569" s="233">
        <f t="shared" ref="F569:F572" si="442">O569</f>
        <v>10</v>
      </c>
      <c r="G569" s="81">
        <f t="shared" ref="G569:G572" si="443">D569*E569/91809*F569</f>
        <v>169.7447962618044</v>
      </c>
      <c r="H569" s="81">
        <f t="shared" ref="H569:H572" si="444">(D569/1000)*4*F569+(E569/1000)*4*F569</f>
        <v>106.84</v>
      </c>
      <c r="I569" s="82" t="s">
        <v>269</v>
      </c>
      <c r="J569" s="83" t="s">
        <v>205</v>
      </c>
      <c r="L569" s="89">
        <v>1</v>
      </c>
      <c r="M569" s="78">
        <v>10</v>
      </c>
      <c r="N569" s="84"/>
      <c r="O569" s="78">
        <f>L569*M569-N569*L569</f>
        <v>10</v>
      </c>
      <c r="P569" s="64"/>
    </row>
    <row r="570" spans="1:16" ht="18" customHeight="1">
      <c r="A570" s="85"/>
      <c r="B570" s="86"/>
      <c r="C570" s="87"/>
      <c r="D570" s="88">
        <v>738</v>
      </c>
      <c r="E570" s="88">
        <v>1310</v>
      </c>
      <c r="F570" s="89">
        <f t="shared" si="442"/>
        <v>40</v>
      </c>
      <c r="G570" s="90">
        <f t="shared" si="443"/>
        <v>421.2136065091658</v>
      </c>
      <c r="H570" s="90">
        <f t="shared" si="444"/>
        <v>327.68</v>
      </c>
      <c r="I570" s="91" t="str">
        <f>I569</f>
        <v>11동4라인</v>
      </c>
      <c r="J570" s="92" t="s">
        <v>207</v>
      </c>
      <c r="L570" s="89">
        <v>4</v>
      </c>
      <c r="M570" s="78">
        <f>M569</f>
        <v>10</v>
      </c>
      <c r="N570" s="84"/>
      <c r="O570" s="78">
        <f t="shared" ref="O570:O572" si="445">L570*M570-N570*L570</f>
        <v>40</v>
      </c>
    </row>
    <row r="571" spans="1:16" ht="18" customHeight="1">
      <c r="A571" s="85"/>
      <c r="B571" s="86"/>
      <c r="C571" s="87"/>
      <c r="D571" s="88">
        <v>228</v>
      </c>
      <c r="E571" s="88">
        <v>910</v>
      </c>
      <c r="F571" s="89">
        <f t="shared" si="442"/>
        <v>20</v>
      </c>
      <c r="G571" s="90">
        <f t="shared" si="443"/>
        <v>45.1981831846551</v>
      </c>
      <c r="H571" s="90">
        <f t="shared" si="444"/>
        <v>91.039999999999992</v>
      </c>
      <c r="I571" s="91" t="str">
        <f t="shared" ref="I571:I572" si="446">I570</f>
        <v>11동4라인</v>
      </c>
      <c r="J571" s="92" t="s">
        <v>209</v>
      </c>
      <c r="L571" s="89">
        <v>2</v>
      </c>
      <c r="M571" s="78">
        <f t="shared" ref="M571:M572" si="447">M570</f>
        <v>10</v>
      </c>
      <c r="N571" s="78"/>
      <c r="O571" s="78">
        <f t="shared" si="445"/>
        <v>20</v>
      </c>
    </row>
    <row r="572" spans="1:16" ht="18" customHeight="1">
      <c r="A572" s="85"/>
      <c r="B572" s="86"/>
      <c r="C572" s="87"/>
      <c r="D572" s="88">
        <v>438</v>
      </c>
      <c r="E572" s="88">
        <v>270</v>
      </c>
      <c r="F572" s="89">
        <f t="shared" si="442"/>
        <v>20</v>
      </c>
      <c r="G572" s="90">
        <f t="shared" si="443"/>
        <v>25.762180178413882</v>
      </c>
      <c r="H572" s="90">
        <f t="shared" si="444"/>
        <v>56.64</v>
      </c>
      <c r="I572" s="91" t="str">
        <f t="shared" si="446"/>
        <v>11동4라인</v>
      </c>
      <c r="J572" s="92" t="s">
        <v>210</v>
      </c>
      <c r="L572" s="89">
        <v>2</v>
      </c>
      <c r="M572" s="78">
        <f t="shared" si="447"/>
        <v>10</v>
      </c>
      <c r="N572" s="78"/>
      <c r="O572" s="78">
        <f t="shared" si="445"/>
        <v>20</v>
      </c>
    </row>
    <row r="573" spans="1:16" ht="18" customHeight="1">
      <c r="A573" s="85"/>
      <c r="B573" s="93"/>
      <c r="C573" s="87"/>
      <c r="D573" s="325" t="s">
        <v>0</v>
      </c>
      <c r="E573" s="325"/>
      <c r="F573" s="94">
        <f>SUM(F569:F572)</f>
        <v>90</v>
      </c>
      <c r="G573" s="95">
        <f>SUM(G569:G572)</f>
        <v>661.91876613403929</v>
      </c>
      <c r="H573" s="96">
        <f>SUM(H569:H572)</f>
        <v>582.19999999999993</v>
      </c>
      <c r="I573" s="97"/>
      <c r="J573" s="162"/>
    </row>
    <row r="574" spans="1:16" ht="18" customHeight="1">
      <c r="A574" s="85"/>
      <c r="B574" s="93"/>
      <c r="C574" s="87"/>
      <c r="D574" s="161"/>
      <c r="E574" s="161"/>
      <c r="F574" s="89"/>
      <c r="G574" s="100"/>
      <c r="H574" s="101"/>
      <c r="I574" s="102"/>
      <c r="J574" s="121"/>
      <c r="L574" s="252"/>
      <c r="M574" s="252"/>
      <c r="N574" s="252"/>
      <c r="O574" s="252"/>
    </row>
    <row r="575" spans="1:16" ht="18" customHeight="1">
      <c r="A575" s="85"/>
      <c r="B575" s="23" t="s">
        <v>198</v>
      </c>
      <c r="C575" s="24">
        <v>22</v>
      </c>
      <c r="D575" s="88">
        <v>861</v>
      </c>
      <c r="E575" s="88">
        <v>1810</v>
      </c>
      <c r="F575" s="89">
        <f t="shared" ref="F575:F579" si="448">O575</f>
        <v>10</v>
      </c>
      <c r="G575" s="90">
        <f t="shared" ref="G575:G579" si="449">D575*E575/91809*F575</f>
        <v>169.7447962618044</v>
      </c>
      <c r="H575" s="90">
        <f t="shared" ref="H575:H579" si="450">(D575/1000)*4*F575+(E575/1000)*4*F575</f>
        <v>106.84</v>
      </c>
      <c r="I575" s="91" t="str">
        <f>I569</f>
        <v>11동4라인</v>
      </c>
      <c r="J575" s="92" t="s">
        <v>212</v>
      </c>
      <c r="L575" s="89">
        <v>1</v>
      </c>
      <c r="M575" s="78">
        <f>M569</f>
        <v>10</v>
      </c>
      <c r="N575" s="84"/>
      <c r="O575" s="78">
        <f>L575*M575-N575*L575</f>
        <v>10</v>
      </c>
    </row>
    <row r="576" spans="1:16" ht="18" customHeight="1">
      <c r="A576" s="85"/>
      <c r="B576" s="86"/>
      <c r="C576" s="87"/>
      <c r="D576" s="88">
        <v>2114</v>
      </c>
      <c r="E576" s="88">
        <v>1810</v>
      </c>
      <c r="F576" s="89">
        <f t="shared" si="448"/>
        <v>10</v>
      </c>
      <c r="G576" s="90">
        <f t="shared" si="449"/>
        <v>416.77177618751978</v>
      </c>
      <c r="H576" s="90">
        <f t="shared" si="450"/>
        <v>156.96</v>
      </c>
      <c r="I576" s="91" t="str">
        <f>I569</f>
        <v>11동4라인</v>
      </c>
      <c r="J576" s="92" t="s">
        <v>213</v>
      </c>
      <c r="L576" s="89">
        <v>1</v>
      </c>
      <c r="M576" s="78">
        <f>M575</f>
        <v>10</v>
      </c>
      <c r="N576" s="84"/>
      <c r="O576" s="78">
        <f>L576*M576-N576*L576</f>
        <v>10</v>
      </c>
    </row>
    <row r="577" spans="1:16" ht="18" customHeight="1">
      <c r="A577" s="104"/>
      <c r="B577" s="93"/>
      <c r="C577" s="87"/>
      <c r="D577" s="88">
        <v>738</v>
      </c>
      <c r="E577" s="88">
        <v>1310</v>
      </c>
      <c r="F577" s="89">
        <f t="shared" si="448"/>
        <v>40</v>
      </c>
      <c r="G577" s="90">
        <f t="shared" si="449"/>
        <v>421.2136065091658</v>
      </c>
      <c r="H577" s="90">
        <f t="shared" si="450"/>
        <v>327.68</v>
      </c>
      <c r="I577" s="91" t="str">
        <f>I576</f>
        <v>11동4라인</v>
      </c>
      <c r="J577" s="92" t="s">
        <v>214</v>
      </c>
      <c r="L577" s="89">
        <v>4</v>
      </c>
      <c r="M577" s="78">
        <f t="shared" ref="M577:M579" si="451">M576</f>
        <v>10</v>
      </c>
      <c r="N577" s="84"/>
      <c r="O577" s="78">
        <f t="shared" ref="O577:O579" si="452">L577*M577-N577*L577</f>
        <v>40</v>
      </c>
    </row>
    <row r="578" spans="1:16" ht="18" customHeight="1">
      <c r="A578" s="104"/>
      <c r="B578" s="93"/>
      <c r="C578" s="87"/>
      <c r="D578" s="88">
        <v>228</v>
      </c>
      <c r="E578" s="88">
        <v>910</v>
      </c>
      <c r="F578" s="89">
        <f t="shared" si="448"/>
        <v>20</v>
      </c>
      <c r="G578" s="90">
        <f t="shared" si="449"/>
        <v>45.1981831846551</v>
      </c>
      <c r="H578" s="90">
        <f t="shared" si="450"/>
        <v>91.039999999999992</v>
      </c>
      <c r="I578" s="91" t="str">
        <f t="shared" ref="I578:I579" si="453">I577</f>
        <v>11동4라인</v>
      </c>
      <c r="J578" s="92" t="s">
        <v>216</v>
      </c>
      <c r="L578" s="89">
        <v>2</v>
      </c>
      <c r="M578" s="78">
        <f t="shared" si="451"/>
        <v>10</v>
      </c>
      <c r="N578" s="78"/>
      <c r="O578" s="78">
        <f t="shared" si="452"/>
        <v>20</v>
      </c>
    </row>
    <row r="579" spans="1:16" ht="18" customHeight="1">
      <c r="A579" s="104"/>
      <c r="B579" s="93"/>
      <c r="C579" s="87"/>
      <c r="D579" s="88">
        <v>438</v>
      </c>
      <c r="E579" s="88">
        <v>270</v>
      </c>
      <c r="F579" s="89">
        <f t="shared" si="448"/>
        <v>20</v>
      </c>
      <c r="G579" s="90">
        <f t="shared" si="449"/>
        <v>25.762180178413882</v>
      </c>
      <c r="H579" s="90">
        <f t="shared" si="450"/>
        <v>56.64</v>
      </c>
      <c r="I579" s="91" t="str">
        <f t="shared" si="453"/>
        <v>11동4라인</v>
      </c>
      <c r="J579" s="92" t="s">
        <v>217</v>
      </c>
      <c r="L579" s="89">
        <v>2</v>
      </c>
      <c r="M579" s="78">
        <f t="shared" si="451"/>
        <v>10</v>
      </c>
      <c r="N579" s="78"/>
      <c r="O579" s="78">
        <f t="shared" si="452"/>
        <v>20</v>
      </c>
    </row>
    <row r="580" spans="1:16" ht="18" customHeight="1">
      <c r="A580" s="104"/>
      <c r="B580" s="87"/>
      <c r="C580" s="87"/>
      <c r="D580" s="325" t="s">
        <v>0</v>
      </c>
      <c r="E580" s="325"/>
      <c r="F580" s="171">
        <f>SUM(F575:F579)</f>
        <v>100</v>
      </c>
      <c r="G580" s="95">
        <f>SUM(G575:G579)</f>
        <v>1078.690542321559</v>
      </c>
      <c r="H580" s="95">
        <f>SUM(H575:H579)</f>
        <v>739.16</v>
      </c>
      <c r="I580" s="97"/>
      <c r="J580" s="98"/>
    </row>
    <row r="581" spans="1:16">
      <c r="A581" s="105"/>
      <c r="B581" s="9"/>
      <c r="C581" s="9"/>
      <c r="D581" s="51"/>
      <c r="E581" s="51"/>
      <c r="F581" s="51"/>
      <c r="G581" s="106"/>
      <c r="H581" s="106"/>
      <c r="I581" s="9"/>
      <c r="J581" s="107"/>
    </row>
    <row r="582" spans="1:16" ht="18" customHeight="1">
      <c r="A582" s="85"/>
      <c r="B582" s="23" t="s">
        <v>237</v>
      </c>
      <c r="C582" s="24">
        <v>22</v>
      </c>
      <c r="D582" s="88">
        <v>2114</v>
      </c>
      <c r="E582" s="88">
        <v>1810</v>
      </c>
      <c r="F582" s="89">
        <f t="shared" ref="F582" si="454">O582</f>
        <v>10</v>
      </c>
      <c r="G582" s="90">
        <f t="shared" ref="G582" si="455">D582*E582/91809*F582</f>
        <v>416.77177618751978</v>
      </c>
      <c r="H582" s="90">
        <f t="shared" ref="H582" si="456">(D582/1000)*4*F582+(E582/1000)*4*F582</f>
        <v>156.96</v>
      </c>
      <c r="I582" s="91" t="str">
        <f>I575</f>
        <v>11동4라인</v>
      </c>
      <c r="J582" s="92" t="s">
        <v>206</v>
      </c>
      <c r="L582" s="89">
        <v>1</v>
      </c>
      <c r="M582" s="78">
        <f>M569</f>
        <v>10</v>
      </c>
      <c r="N582" s="84"/>
      <c r="O582" s="78">
        <f>L582*M582-N582*L582</f>
        <v>10</v>
      </c>
    </row>
    <row r="583" spans="1:16" ht="18" customHeight="1">
      <c r="A583" s="85"/>
      <c r="B583" s="93"/>
      <c r="C583" s="87"/>
      <c r="D583" s="325" t="s">
        <v>0</v>
      </c>
      <c r="E583" s="325"/>
      <c r="F583" s="94">
        <f>SUM(F582:F582)</f>
        <v>10</v>
      </c>
      <c r="G583" s="95">
        <f>SUM(G582:G582)</f>
        <v>416.77177618751978</v>
      </c>
      <c r="H583" s="95">
        <f>SUM(H582:H582)</f>
        <v>156.96</v>
      </c>
      <c r="I583" s="97"/>
      <c r="J583" s="98"/>
    </row>
    <row r="584" spans="1:16" ht="18" customHeight="1">
      <c r="A584" s="218"/>
      <c r="B584" s="219"/>
      <c r="C584" s="220"/>
      <c r="D584" s="161"/>
      <c r="E584" s="161"/>
      <c r="F584" s="89"/>
      <c r="G584" s="100"/>
      <c r="H584" s="100"/>
      <c r="I584" s="102"/>
      <c r="J584" s="221"/>
    </row>
    <row r="585" spans="1:16" ht="18" customHeight="1">
      <c r="A585" s="85"/>
      <c r="B585" s="23" t="s">
        <v>203</v>
      </c>
      <c r="C585" s="24">
        <v>22</v>
      </c>
      <c r="D585" s="88">
        <v>738</v>
      </c>
      <c r="E585" s="88">
        <v>1810</v>
      </c>
      <c r="F585" s="89">
        <f t="shared" ref="F585:F586" si="457">O585</f>
        <v>0</v>
      </c>
      <c r="G585" s="90">
        <f t="shared" ref="G585:G586" si="458">D585*E585/91809*F585</f>
        <v>0</v>
      </c>
      <c r="H585" s="90">
        <f t="shared" ref="H585:H586" si="459">(D585/1000)*4*F585+(E585/1000)*4*F585</f>
        <v>0</v>
      </c>
      <c r="I585" s="91" t="str">
        <f>I582</f>
        <v>11동4라인</v>
      </c>
      <c r="J585" s="92" t="s">
        <v>219</v>
      </c>
      <c r="L585" s="89">
        <v>2</v>
      </c>
      <c r="M585" s="78">
        <f>M582</f>
        <v>10</v>
      </c>
      <c r="N585" s="84">
        <v>10</v>
      </c>
      <c r="O585" s="78">
        <f>L585*M585-N585*L585</f>
        <v>0</v>
      </c>
      <c r="P585" s="64" t="s">
        <v>291</v>
      </c>
    </row>
    <row r="586" spans="1:16" ht="18" customHeight="1">
      <c r="A586" s="85"/>
      <c r="B586" s="86"/>
      <c r="C586" s="87"/>
      <c r="D586" s="88">
        <v>250</v>
      </c>
      <c r="E586" s="88">
        <v>930</v>
      </c>
      <c r="F586" s="89">
        <f t="shared" si="457"/>
        <v>20</v>
      </c>
      <c r="G586" s="90">
        <f t="shared" si="458"/>
        <v>50.648629219357574</v>
      </c>
      <c r="H586" s="90">
        <f t="shared" si="459"/>
        <v>94.4</v>
      </c>
      <c r="I586" s="91" t="str">
        <f>I585</f>
        <v>11동4라인</v>
      </c>
      <c r="J586" s="92" t="s">
        <v>220</v>
      </c>
      <c r="L586" s="89">
        <v>2</v>
      </c>
      <c r="M586" s="78">
        <f>M585</f>
        <v>10</v>
      </c>
      <c r="N586" s="84"/>
      <c r="O586" s="78">
        <f t="shared" ref="O586" si="460">L586*M586-N586*L586</f>
        <v>20</v>
      </c>
    </row>
    <row r="587" spans="1:16" ht="18" customHeight="1">
      <c r="A587" s="85"/>
      <c r="B587" s="93"/>
      <c r="C587" s="87"/>
      <c r="D587" s="325" t="s">
        <v>0</v>
      </c>
      <c r="E587" s="325"/>
      <c r="F587" s="94">
        <f>SUM(F585:F586)</f>
        <v>20</v>
      </c>
      <c r="G587" s="95">
        <f>SUM(G585:G586)</f>
        <v>50.648629219357574</v>
      </c>
      <c r="H587" s="96">
        <f>SUM(H585:H586)</f>
        <v>94.4</v>
      </c>
      <c r="I587" s="97"/>
      <c r="J587" s="162"/>
    </row>
    <row r="588" spans="1:16">
      <c r="A588" s="253"/>
      <c r="B588" s="254"/>
      <c r="C588" s="255"/>
      <c r="D588" s="361"/>
      <c r="E588" s="361"/>
      <c r="F588" s="256"/>
      <c r="G588" s="257"/>
      <c r="H588" s="258"/>
      <c r="I588" s="259"/>
      <c r="J588" s="260"/>
    </row>
    <row r="589" spans="1:16">
      <c r="A589" s="9"/>
      <c r="B589" s="9"/>
      <c r="C589" s="9"/>
      <c r="D589" s="51"/>
      <c r="E589" s="51"/>
      <c r="F589" s="51"/>
      <c r="G589" s="106"/>
      <c r="H589" s="106"/>
      <c r="I589" s="9"/>
      <c r="J589" s="9"/>
    </row>
    <row r="590" spans="1:16">
      <c r="A590" s="9"/>
      <c r="B590" s="9"/>
      <c r="C590" s="9"/>
      <c r="D590" s="51"/>
      <c r="E590" s="51"/>
      <c r="F590" s="51"/>
      <c r="G590" s="106"/>
      <c r="H590" s="106"/>
      <c r="I590" s="9"/>
      <c r="J590" s="9"/>
    </row>
    <row r="591" spans="1:16">
      <c r="A591" s="9"/>
      <c r="B591" s="9"/>
      <c r="C591" s="9"/>
      <c r="D591" s="51"/>
      <c r="E591" s="51"/>
      <c r="F591" s="51"/>
      <c r="G591" s="106"/>
      <c r="H591" s="106"/>
      <c r="I591" s="9"/>
      <c r="J591" s="9"/>
    </row>
    <row r="592" spans="1:16">
      <c r="A592" s="9"/>
      <c r="B592" s="9"/>
      <c r="C592" s="9"/>
      <c r="D592" s="51"/>
      <c r="E592" s="51"/>
      <c r="F592" s="51"/>
      <c r="G592" s="106"/>
      <c r="H592" s="106"/>
      <c r="I592" s="9"/>
      <c r="J592" s="9"/>
    </row>
    <row r="593" spans="1:10">
      <c r="A593" s="9"/>
      <c r="B593" s="9"/>
      <c r="C593" s="9"/>
      <c r="D593" s="51"/>
      <c r="E593" s="51"/>
      <c r="F593" s="51"/>
      <c r="G593" s="106"/>
      <c r="H593" s="106"/>
      <c r="I593" s="9"/>
      <c r="J593" s="9"/>
    </row>
    <row r="594" spans="1:10">
      <c r="A594" s="44" t="s">
        <v>59</v>
      </c>
      <c r="B594" s="23" t="s">
        <v>201</v>
      </c>
      <c r="C594" s="24">
        <v>22</v>
      </c>
      <c r="D594" s="51"/>
      <c r="E594" s="51"/>
      <c r="F594" s="51">
        <f>F573+F555+F533+F510+F491+F468+F450+F428+F407+F386+F365+F343+F320+F301+F279+F257+F234+F213+F193+F171+F148+F127+F107+F86+F64+F41+F22</f>
        <v>4290</v>
      </c>
      <c r="G594" s="51">
        <f t="shared" ref="G594:H594" si="461">G573+G555+G533+G510+G491+G468+G450+G428+G407+G386+G365+G343+G320+G301+G279+G257+G234+G213+G193+G171+G148+G127+G107+G86+G64+G41+G22</f>
        <v>34149.680968096814</v>
      </c>
      <c r="H594" s="51">
        <f t="shared" si="461"/>
        <v>28529.991999999998</v>
      </c>
      <c r="I594" s="9"/>
      <c r="J594" s="9"/>
    </row>
    <row r="595" spans="1:10">
      <c r="A595" s="44" t="s">
        <v>60</v>
      </c>
      <c r="B595" s="23" t="s">
        <v>198</v>
      </c>
      <c r="C595" s="24">
        <v>22</v>
      </c>
      <c r="D595" s="51"/>
      <c r="E595" s="51"/>
      <c r="F595" s="51">
        <f>F580+F564+F542+F517+F500+F475++F459+F437+F415+F394+F374+F352+F327+F310+F288+F266++F241+F221+F202+F180+F155+F135+F115+F95+F73+F48+F31</f>
        <v>4400</v>
      </c>
      <c r="G595" s="51">
        <f t="shared" ref="G595:H595" si="462">G580+G564+G542+G517+G500+G475++G459+G437+G415+G394+G374+G352+G327+G310+G288+G266++G241+G221+G202+G180+G155+G135+G115+G95+G73+G48+G31</f>
        <v>38734.170506159528</v>
      </c>
      <c r="H595" s="51">
        <f t="shared" si="462"/>
        <v>30256.551999999996</v>
      </c>
      <c r="I595" s="9"/>
      <c r="J595" s="9"/>
    </row>
    <row r="596" spans="1:10">
      <c r="A596" s="44" t="s">
        <v>109</v>
      </c>
      <c r="B596" s="23" t="s">
        <v>238</v>
      </c>
      <c r="C596" s="24">
        <v>22</v>
      </c>
      <c r="D596" s="51"/>
      <c r="E596" s="51"/>
      <c r="F596" s="51">
        <f>F583+F520+F478+F330+F244++F158+F51+F224++F138</f>
        <v>110</v>
      </c>
      <c r="G596" s="51">
        <f t="shared" ref="G596:H596" si="463">G583+G520+G478+G330+G244++G158+G51+G224++G138</f>
        <v>4584.4895380627167</v>
      </c>
      <c r="H596" s="51">
        <f t="shared" si="463"/>
        <v>1726.5600000000002</v>
      </c>
      <c r="I596" s="9"/>
      <c r="J596" s="9"/>
    </row>
    <row r="597" spans="1:10">
      <c r="A597" s="44" t="s">
        <v>110</v>
      </c>
      <c r="B597" s="23" t="s">
        <v>203</v>
      </c>
      <c r="C597" s="24">
        <v>22</v>
      </c>
      <c r="D597" s="51"/>
      <c r="E597" s="51"/>
      <c r="F597" s="51">
        <f>F587+F568+F546+F524+F504+F482+F463+F441+F420+F399+F378+F356+F334+F314+F292+F270+F248+F228+F206+F184+F162+F142+F120+F99+F77+F55+F35</f>
        <v>1112</v>
      </c>
      <c r="G597" s="51">
        <f t="shared" ref="G597:H597" si="464">G587+G568+G546+G524+G504+G482+G463+G441+G420+G399+G378+G356+G334+G314+G292+G270+G248+G228+G206+G184+G162+G142+G120+G99+G77+G55+G35</f>
        <v>8217.0122754849763</v>
      </c>
      <c r="H597" s="51">
        <f t="shared" si="464"/>
        <v>7727.8719999999994</v>
      </c>
      <c r="I597" s="9"/>
      <c r="J597" s="9"/>
    </row>
    <row r="598" spans="1:10">
      <c r="A598" s="44" t="s">
        <v>111</v>
      </c>
      <c r="B598" s="23" t="s">
        <v>90</v>
      </c>
      <c r="C598" s="24">
        <v>22</v>
      </c>
      <c r="D598" s="51"/>
      <c r="E598" s="51"/>
      <c r="F598" s="51"/>
      <c r="G598" s="106"/>
      <c r="H598" s="106"/>
      <c r="I598" s="9"/>
      <c r="J598" s="9"/>
    </row>
    <row r="599" spans="1:10">
      <c r="A599" s="9"/>
      <c r="B599" s="9"/>
      <c r="C599" s="9"/>
      <c r="D599" s="51"/>
      <c r="E599" s="51"/>
      <c r="F599" s="47">
        <f>SUM(F594:F598)</f>
        <v>9912</v>
      </c>
      <c r="G599" s="10">
        <f t="shared" ref="G599:H599" si="465">SUM(G594:G598)</f>
        <v>85685.353287804028</v>
      </c>
      <c r="H599" s="10">
        <f t="shared" si="465"/>
        <v>68240.975999999995</v>
      </c>
      <c r="I599" s="9"/>
      <c r="J599" s="9"/>
    </row>
    <row r="600" spans="1:10">
      <c r="A600" s="9"/>
      <c r="B600" s="9"/>
      <c r="C600" s="9"/>
      <c r="D600" s="51"/>
      <c r="E600" s="51"/>
      <c r="F600" s="51"/>
      <c r="G600" s="106"/>
      <c r="H600" s="106"/>
      <c r="I600" s="9"/>
      <c r="J600" s="9"/>
    </row>
    <row r="601" spans="1:10">
      <c r="A601" s="9"/>
      <c r="B601" s="9"/>
      <c r="C601" s="9"/>
      <c r="D601" s="51"/>
      <c r="E601" s="51"/>
      <c r="F601" s="51"/>
      <c r="G601" s="106"/>
      <c r="H601" s="106"/>
      <c r="I601" s="9"/>
      <c r="J601" s="9"/>
    </row>
  </sheetData>
  <mergeCells count="118">
    <mergeCell ref="D580:E580"/>
    <mergeCell ref="D583:E583"/>
    <mergeCell ref="D587:E587"/>
    <mergeCell ref="D588:E588"/>
    <mergeCell ref="D547:E547"/>
    <mergeCell ref="D555:E555"/>
    <mergeCell ref="D564:E564"/>
    <mergeCell ref="D568:E568"/>
    <mergeCell ref="D573:E573"/>
    <mergeCell ref="D504:E504"/>
    <mergeCell ref="D517:E517"/>
    <mergeCell ref="D520:E520"/>
    <mergeCell ref="D533:E533"/>
    <mergeCell ref="D542:E542"/>
    <mergeCell ref="D546:E546"/>
    <mergeCell ref="D459:E459"/>
    <mergeCell ref="D463:E463"/>
    <mergeCell ref="D468:E468"/>
    <mergeCell ref="D475:E475"/>
    <mergeCell ref="D478:E478"/>
    <mergeCell ref="D482:E482"/>
    <mergeCell ref="D510:E510"/>
    <mergeCell ref="D524:E524"/>
    <mergeCell ref="D500:E500"/>
    <mergeCell ref="D420:E420"/>
    <mergeCell ref="D428:E428"/>
    <mergeCell ref="D437:E437"/>
    <mergeCell ref="D441:E441"/>
    <mergeCell ref="D442:E442"/>
    <mergeCell ref="D450:E450"/>
    <mergeCell ref="D374:E374"/>
    <mergeCell ref="D378:E378"/>
    <mergeCell ref="D394:E394"/>
    <mergeCell ref="D399:E399"/>
    <mergeCell ref="D407:E407"/>
    <mergeCell ref="D415:E415"/>
    <mergeCell ref="D352:E352"/>
    <mergeCell ref="D356:E356"/>
    <mergeCell ref="D357:E357"/>
    <mergeCell ref="D234:E234"/>
    <mergeCell ref="D228:E228"/>
    <mergeCell ref="D224:E224"/>
    <mergeCell ref="D320:E320"/>
    <mergeCell ref="D288:E288"/>
    <mergeCell ref="D279:E279"/>
    <mergeCell ref="D271:E271"/>
    <mergeCell ref="D266:E266"/>
    <mergeCell ref="D257:E257"/>
    <mergeCell ref="D248:E248"/>
    <mergeCell ref="D244:E244"/>
    <mergeCell ref="D270:E270"/>
    <mergeCell ref="D241:E241"/>
    <mergeCell ref="D115:E115"/>
    <mergeCell ref="D483:E483"/>
    <mergeCell ref="D491:E491"/>
    <mergeCell ref="D386:E386"/>
    <mergeCell ref="D400:E400"/>
    <mergeCell ref="D330:E330"/>
    <mergeCell ref="D365:E365"/>
    <mergeCell ref="D310:E310"/>
    <mergeCell ref="D314:E314"/>
    <mergeCell ref="D221:E221"/>
    <mergeCell ref="D213:E213"/>
    <mergeCell ref="D301:E301"/>
    <mergeCell ref="D185:E185"/>
    <mergeCell ref="D206:E206"/>
    <mergeCell ref="D292:E292"/>
    <mergeCell ref="D148:E148"/>
    <mergeCell ref="D184:E184"/>
    <mergeCell ref="D135:E135"/>
    <mergeCell ref="D193:E193"/>
    <mergeCell ref="D202:E202"/>
    <mergeCell ref="D207:E207"/>
    <mergeCell ref="D327:E327"/>
    <mergeCell ref="D334:E334"/>
    <mergeCell ref="D343:E343"/>
    <mergeCell ref="D158:E158"/>
    <mergeCell ref="D162:E162"/>
    <mergeCell ref="D171:E171"/>
    <mergeCell ref="D180:E180"/>
    <mergeCell ref="D35:E35"/>
    <mergeCell ref="D41:E41"/>
    <mergeCell ref="D48:E48"/>
    <mergeCell ref="D51:E51"/>
    <mergeCell ref="B7:E7"/>
    <mergeCell ref="D120:E120"/>
    <mergeCell ref="D121:E121"/>
    <mergeCell ref="D127:E127"/>
    <mergeCell ref="D138:E138"/>
    <mergeCell ref="D55:E55"/>
    <mergeCell ref="D64:E64"/>
    <mergeCell ref="D78:E78"/>
    <mergeCell ref="D142:E142"/>
    <mergeCell ref="D155:E155"/>
    <mergeCell ref="D73:E73"/>
    <mergeCell ref="D77:E77"/>
    <mergeCell ref="D86:E86"/>
    <mergeCell ref="D95:E95"/>
    <mergeCell ref="D99:E99"/>
    <mergeCell ref="D107:E107"/>
    <mergeCell ref="A1:G3"/>
    <mergeCell ref="B4:F4"/>
    <mergeCell ref="H4:J4"/>
    <mergeCell ref="B5:E5"/>
    <mergeCell ref="G5:J5"/>
    <mergeCell ref="B6:E6"/>
    <mergeCell ref="G6:J6"/>
    <mergeCell ref="D22:E22"/>
    <mergeCell ref="D31:E31"/>
    <mergeCell ref="G7:J7"/>
    <mergeCell ref="A10:J10"/>
    <mergeCell ref="A13:A14"/>
    <mergeCell ref="B13:B14"/>
    <mergeCell ref="C13:E13"/>
    <mergeCell ref="F13:F14"/>
    <mergeCell ref="G13:G14"/>
    <mergeCell ref="H13:H14"/>
    <mergeCell ref="I13:J14"/>
  </mergeCells>
  <phoneticPr fontId="4" type="noConversion"/>
  <pageMargins left="0.17" right="0.17" top="0.75" bottom="0.75" header="0.3" footer="0.3"/>
  <pageSetup paperSize="9" scale="87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X601"/>
  <sheetViews>
    <sheetView topLeftCell="A106" workbookViewId="0">
      <selection activeCell="A122" sqref="A122:J143"/>
    </sheetView>
  </sheetViews>
  <sheetFormatPr defaultRowHeight="16.5"/>
  <cols>
    <col min="1" max="1" width="11" customWidth="1"/>
    <col min="2" max="2" width="18.625" customWidth="1"/>
    <col min="3" max="3" width="8.125" customWidth="1"/>
    <col min="4" max="4" width="11" style="122" customWidth="1"/>
    <col min="5" max="5" width="11.5" style="122" customWidth="1"/>
    <col min="6" max="6" width="6.875" style="122" customWidth="1"/>
    <col min="7" max="8" width="10.375" style="13" customWidth="1"/>
    <col min="9" max="10" width="9.375" customWidth="1"/>
    <col min="14" max="14" width="9.875" bestFit="1" customWidth="1"/>
    <col min="21" max="21" width="9.875" bestFit="1" customWidth="1"/>
  </cols>
  <sheetData>
    <row r="1" spans="1:16" ht="15" customHeight="1">
      <c r="A1" s="350" t="s">
        <v>28</v>
      </c>
      <c r="B1" s="350"/>
      <c r="C1" s="350"/>
      <c r="D1" s="350"/>
      <c r="E1" s="350"/>
      <c r="F1" s="350"/>
      <c r="G1" s="350"/>
      <c r="H1" s="55" t="s">
        <v>29</v>
      </c>
      <c r="I1" s="56"/>
      <c r="J1" s="57"/>
    </row>
    <row r="2" spans="1:16" ht="15" customHeight="1">
      <c r="A2" s="350"/>
      <c r="B2" s="350"/>
      <c r="C2" s="350"/>
      <c r="D2" s="350"/>
      <c r="E2" s="350"/>
      <c r="F2" s="350"/>
      <c r="G2" s="350"/>
      <c r="H2" s="58" t="s">
        <v>298</v>
      </c>
      <c r="I2" s="59"/>
      <c r="J2" s="57"/>
    </row>
    <row r="3" spans="1:16" ht="15" customHeight="1" thickBot="1">
      <c r="A3" s="351"/>
      <c r="B3" s="351"/>
      <c r="C3" s="351"/>
      <c r="D3" s="351"/>
      <c r="E3" s="351"/>
      <c r="F3" s="351"/>
      <c r="G3" s="351"/>
      <c r="H3" s="60"/>
      <c r="I3" s="61"/>
      <c r="J3" s="61"/>
    </row>
    <row r="4" spans="1:16" ht="23.1" customHeight="1">
      <c r="A4" s="62" t="s">
        <v>30</v>
      </c>
      <c r="B4" s="352" t="s">
        <v>113</v>
      </c>
      <c r="C4" s="353"/>
      <c r="D4" s="353"/>
      <c r="E4" s="353"/>
      <c r="F4" s="354"/>
      <c r="G4" s="63" t="s">
        <v>31</v>
      </c>
      <c r="H4" s="355" t="s">
        <v>228</v>
      </c>
      <c r="I4" s="356"/>
      <c r="J4" s="357"/>
      <c r="K4" s="64"/>
    </row>
    <row r="5" spans="1:16" ht="23.1" customHeight="1">
      <c r="A5" s="65" t="s">
        <v>32</v>
      </c>
      <c r="B5" s="358"/>
      <c r="C5" s="359"/>
      <c r="D5" s="359"/>
      <c r="E5" s="360"/>
      <c r="F5" s="66" t="s">
        <v>33</v>
      </c>
      <c r="G5" s="347"/>
      <c r="H5" s="348"/>
      <c r="I5" s="348"/>
      <c r="J5" s="349"/>
    </row>
    <row r="6" spans="1:16" ht="23.1" customHeight="1">
      <c r="A6" s="65" t="s">
        <v>34</v>
      </c>
      <c r="B6" s="346" t="s">
        <v>299</v>
      </c>
      <c r="C6" s="346"/>
      <c r="D6" s="346"/>
      <c r="E6" s="346"/>
      <c r="F6" s="67" t="s">
        <v>35</v>
      </c>
      <c r="G6" s="347"/>
      <c r="H6" s="348"/>
      <c r="I6" s="348"/>
      <c r="J6" s="349"/>
    </row>
    <row r="7" spans="1:16" ht="23.1" customHeight="1" thickBot="1">
      <c r="A7" s="68" t="s">
        <v>36</v>
      </c>
      <c r="B7" s="326" t="s">
        <v>302</v>
      </c>
      <c r="C7" s="326"/>
      <c r="D7" s="326"/>
      <c r="E7" s="326"/>
      <c r="F7" s="69" t="s">
        <v>37</v>
      </c>
      <c r="G7" s="327" t="s">
        <v>226</v>
      </c>
      <c r="H7" s="328"/>
      <c r="I7" s="328"/>
      <c r="J7" s="329"/>
    </row>
    <row r="8" spans="1:16" ht="3" customHeight="1">
      <c r="A8" s="70"/>
      <c r="B8" s="70"/>
      <c r="C8" s="70"/>
      <c r="D8" s="71"/>
      <c r="E8" s="71"/>
      <c r="F8" s="71"/>
      <c r="G8" s="72"/>
      <c r="H8" s="72"/>
      <c r="I8" s="70"/>
      <c r="J8" s="70"/>
    </row>
    <row r="9" spans="1:16" ht="0.75" customHeight="1" thickBot="1">
      <c r="A9" s="70"/>
      <c r="B9" s="70"/>
      <c r="C9" s="70"/>
      <c r="D9" s="71"/>
      <c r="E9" s="71"/>
      <c r="F9" s="71"/>
      <c r="G9" s="72"/>
      <c r="H9" s="72"/>
      <c r="I9" s="70"/>
      <c r="J9" s="70"/>
    </row>
    <row r="10" spans="1:16" ht="30.75" customHeight="1">
      <c r="A10" s="330" t="s">
        <v>38</v>
      </c>
      <c r="B10" s="331"/>
      <c r="C10" s="331"/>
      <c r="D10" s="331"/>
      <c r="E10" s="331"/>
      <c r="F10" s="331"/>
      <c r="G10" s="331"/>
      <c r="H10" s="331"/>
      <c r="I10" s="331"/>
      <c r="J10" s="332"/>
    </row>
    <row r="11" spans="1:16" ht="30.75" customHeight="1">
      <c r="A11" s="274" t="s">
        <v>305</v>
      </c>
      <c r="B11" s="275"/>
      <c r="C11" s="275"/>
      <c r="D11" s="275"/>
      <c r="E11" s="275"/>
      <c r="F11" s="275"/>
      <c r="G11" s="275"/>
      <c r="H11" s="275"/>
      <c r="I11" s="275"/>
      <c r="J11" s="289" t="s">
        <v>309</v>
      </c>
    </row>
    <row r="12" spans="1:16" ht="30.75" customHeight="1" thickBot="1">
      <c r="A12" s="73" t="s">
        <v>232</v>
      </c>
      <c r="B12" s="74"/>
      <c r="C12" s="74"/>
      <c r="D12" s="74"/>
      <c r="E12" s="74"/>
      <c r="F12" s="74"/>
      <c r="G12" s="75"/>
      <c r="H12" s="75"/>
      <c r="I12" s="74"/>
      <c r="J12" s="179" t="s">
        <v>115</v>
      </c>
    </row>
    <row r="13" spans="1:16" ht="18" customHeight="1">
      <c r="A13" s="333" t="s">
        <v>39</v>
      </c>
      <c r="B13" s="335" t="s">
        <v>40</v>
      </c>
      <c r="C13" s="337" t="s">
        <v>7</v>
      </c>
      <c r="D13" s="337"/>
      <c r="E13" s="337"/>
      <c r="F13" s="338" t="s">
        <v>41</v>
      </c>
      <c r="G13" s="340" t="s">
        <v>42</v>
      </c>
      <c r="H13" s="340" t="s">
        <v>43</v>
      </c>
      <c r="I13" s="342" t="s">
        <v>44</v>
      </c>
      <c r="J13" s="343"/>
    </row>
    <row r="14" spans="1:16" ht="18" customHeight="1" thickBot="1">
      <c r="A14" s="334"/>
      <c r="B14" s="336"/>
      <c r="C14" s="76" t="s">
        <v>45</v>
      </c>
      <c r="D14" s="286" t="s">
        <v>46</v>
      </c>
      <c r="E14" s="286" t="s">
        <v>47</v>
      </c>
      <c r="F14" s="339"/>
      <c r="G14" s="341"/>
      <c r="H14" s="341"/>
      <c r="I14" s="344"/>
      <c r="J14" s="345"/>
      <c r="L14" s="78" t="s">
        <v>48</v>
      </c>
      <c r="M14" s="78" t="s">
        <v>49</v>
      </c>
      <c r="N14" s="78" t="s">
        <v>50</v>
      </c>
      <c r="O14" s="78" t="s">
        <v>51</v>
      </c>
    </row>
    <row r="15" spans="1:16" ht="18" customHeight="1">
      <c r="A15" s="79" t="s">
        <v>234</v>
      </c>
      <c r="B15" s="23" t="s">
        <v>195</v>
      </c>
      <c r="C15" s="24">
        <v>22</v>
      </c>
      <c r="D15" s="80">
        <v>761</v>
      </c>
      <c r="E15" s="80">
        <v>1810</v>
      </c>
      <c r="F15" s="89">
        <f>O15</f>
        <v>20</v>
      </c>
      <c r="G15" s="81">
        <f t="shared" ref="G15:G21" si="0">D15*E15/91809*F15</f>
        <v>300.05990698079711</v>
      </c>
      <c r="H15" s="81">
        <f t="shared" ref="H15:H21" si="1">(D15/1000)*4*F15+(E15/1000)*4*F15</f>
        <v>205.68</v>
      </c>
      <c r="I15" s="91" t="s">
        <v>233</v>
      </c>
      <c r="J15" s="92" t="s">
        <v>205</v>
      </c>
      <c r="L15" s="89">
        <v>2</v>
      </c>
      <c r="M15" s="78">
        <v>10</v>
      </c>
      <c r="N15" s="84"/>
      <c r="O15" s="78">
        <f>L15*M15-N15*L15</f>
        <v>20</v>
      </c>
      <c r="P15" s="64"/>
    </row>
    <row r="16" spans="1:16" ht="18" customHeight="1">
      <c r="A16" s="85"/>
      <c r="B16" s="86"/>
      <c r="C16" s="87"/>
      <c r="D16" s="88">
        <v>1688</v>
      </c>
      <c r="E16" s="88">
        <v>1810</v>
      </c>
      <c r="F16" s="89">
        <f t="shared" ref="F16:F21" si="2">O16</f>
        <v>10</v>
      </c>
      <c r="G16" s="90">
        <f t="shared" si="0"/>
        <v>332.78654598133079</v>
      </c>
      <c r="H16" s="90">
        <f t="shared" si="1"/>
        <v>139.92000000000002</v>
      </c>
      <c r="I16" s="91" t="str">
        <f>I15</f>
        <v>1동1,2라인</v>
      </c>
      <c r="J16" s="92" t="s">
        <v>206</v>
      </c>
      <c r="L16" s="89">
        <v>1</v>
      </c>
      <c r="M16" s="78">
        <f>M15</f>
        <v>10</v>
      </c>
      <c r="N16" s="84"/>
      <c r="O16" s="78">
        <f t="shared" ref="O16:O21" si="3">L16*M16-N16*L16</f>
        <v>10</v>
      </c>
    </row>
    <row r="17" spans="1:15" ht="18" customHeight="1">
      <c r="A17" s="85"/>
      <c r="B17" s="86"/>
      <c r="C17" s="87"/>
      <c r="D17" s="88">
        <v>738</v>
      </c>
      <c r="E17" s="88">
        <v>1310</v>
      </c>
      <c r="F17" s="89">
        <f t="shared" si="2"/>
        <v>40</v>
      </c>
      <c r="G17" s="90">
        <f t="shared" si="0"/>
        <v>421.2136065091658</v>
      </c>
      <c r="H17" s="90">
        <f t="shared" si="1"/>
        <v>327.68</v>
      </c>
      <c r="I17" s="91" t="str">
        <f t="shared" ref="I17:I21" si="4">I16</f>
        <v>1동1,2라인</v>
      </c>
      <c r="J17" s="92" t="s">
        <v>207</v>
      </c>
      <c r="L17" s="89">
        <v>4</v>
      </c>
      <c r="M17" s="78">
        <f t="shared" ref="M17:M20" si="5">M16</f>
        <v>10</v>
      </c>
      <c r="N17" s="78"/>
      <c r="O17" s="78">
        <f t="shared" si="3"/>
        <v>40</v>
      </c>
    </row>
    <row r="18" spans="1:15" ht="18" customHeight="1">
      <c r="A18" s="85"/>
      <c r="B18" s="86"/>
      <c r="C18" s="87"/>
      <c r="D18" s="88">
        <v>288</v>
      </c>
      <c r="E18" s="88">
        <v>910</v>
      </c>
      <c r="F18" s="89">
        <f t="shared" si="2"/>
        <v>20</v>
      </c>
      <c r="G18" s="90">
        <f t="shared" si="0"/>
        <v>57.09244191745907</v>
      </c>
      <c r="H18" s="90">
        <f t="shared" si="1"/>
        <v>95.84</v>
      </c>
      <c r="I18" s="91" t="str">
        <f t="shared" si="4"/>
        <v>1동1,2라인</v>
      </c>
      <c r="J18" s="92" t="s">
        <v>208</v>
      </c>
      <c r="L18" s="89">
        <v>2</v>
      </c>
      <c r="M18" s="78">
        <f t="shared" si="5"/>
        <v>10</v>
      </c>
      <c r="N18" s="78"/>
      <c r="O18" s="78">
        <f t="shared" si="3"/>
        <v>20</v>
      </c>
    </row>
    <row r="19" spans="1:15" ht="18" customHeight="1">
      <c r="A19" s="85"/>
      <c r="B19" s="86"/>
      <c r="C19" s="87"/>
      <c r="D19" s="88">
        <v>228</v>
      </c>
      <c r="E19" s="88">
        <v>910</v>
      </c>
      <c r="F19" s="89">
        <f t="shared" si="2"/>
        <v>20</v>
      </c>
      <c r="G19" s="90">
        <f t="shared" si="0"/>
        <v>45.1981831846551</v>
      </c>
      <c r="H19" s="90">
        <f t="shared" si="1"/>
        <v>91.039999999999992</v>
      </c>
      <c r="I19" s="91" t="str">
        <f t="shared" si="4"/>
        <v>1동1,2라인</v>
      </c>
      <c r="J19" s="92" t="s">
        <v>209</v>
      </c>
      <c r="L19" s="89">
        <v>2</v>
      </c>
      <c r="M19" s="78">
        <f t="shared" si="5"/>
        <v>10</v>
      </c>
      <c r="N19" s="78"/>
      <c r="O19" s="78">
        <f t="shared" si="3"/>
        <v>20</v>
      </c>
    </row>
    <row r="20" spans="1:15" ht="18" customHeight="1">
      <c r="A20" s="85"/>
      <c r="B20" s="86"/>
      <c r="C20" s="87"/>
      <c r="D20" s="88">
        <v>438</v>
      </c>
      <c r="E20" s="88">
        <v>270</v>
      </c>
      <c r="F20" s="89">
        <f t="shared" si="2"/>
        <v>20</v>
      </c>
      <c r="G20" s="90">
        <f t="shared" si="0"/>
        <v>25.762180178413882</v>
      </c>
      <c r="H20" s="90">
        <f t="shared" si="1"/>
        <v>56.64</v>
      </c>
      <c r="I20" s="91" t="str">
        <f t="shared" si="4"/>
        <v>1동1,2라인</v>
      </c>
      <c r="J20" s="92" t="s">
        <v>210</v>
      </c>
      <c r="L20" s="89">
        <v>2</v>
      </c>
      <c r="M20" s="78">
        <f t="shared" si="5"/>
        <v>10</v>
      </c>
      <c r="N20" s="78"/>
      <c r="O20" s="78">
        <f t="shared" si="3"/>
        <v>20</v>
      </c>
    </row>
    <row r="21" spans="1:15" ht="18" customHeight="1">
      <c r="A21" s="85"/>
      <c r="B21" s="86"/>
      <c r="C21" s="87"/>
      <c r="D21" s="88">
        <v>208</v>
      </c>
      <c r="E21" s="88">
        <v>910</v>
      </c>
      <c r="F21" s="89">
        <f t="shared" si="2"/>
        <v>20</v>
      </c>
      <c r="G21" s="90">
        <f t="shared" si="0"/>
        <v>41.233430273720444</v>
      </c>
      <c r="H21" s="90">
        <f t="shared" si="1"/>
        <v>89.44</v>
      </c>
      <c r="I21" s="91" t="str">
        <f t="shared" si="4"/>
        <v>1동1,2라인</v>
      </c>
      <c r="J21" s="92" t="s">
        <v>211</v>
      </c>
      <c r="L21" s="89">
        <v>2</v>
      </c>
      <c r="M21" s="78">
        <f>M20</f>
        <v>10</v>
      </c>
      <c r="N21" s="78"/>
      <c r="O21" s="78">
        <f t="shared" si="3"/>
        <v>20</v>
      </c>
    </row>
    <row r="22" spans="1:15" ht="18" customHeight="1">
      <c r="A22" s="85"/>
      <c r="B22" s="93"/>
      <c r="C22" s="87"/>
      <c r="D22" s="325" t="s">
        <v>0</v>
      </c>
      <c r="E22" s="325"/>
      <c r="F22" s="94">
        <f>SUM(F15:F21)</f>
        <v>150</v>
      </c>
      <c r="G22" s="95">
        <f>SUM(G15:G21)</f>
        <v>1223.3462950255423</v>
      </c>
      <c r="H22" s="96">
        <f>SUM(H15:H21)</f>
        <v>1006.24</v>
      </c>
      <c r="I22" s="97"/>
      <c r="J22" s="162"/>
    </row>
    <row r="23" spans="1:15" ht="18" customHeight="1">
      <c r="A23" s="85"/>
      <c r="B23" s="93"/>
      <c r="C23" s="87"/>
      <c r="D23" s="161"/>
      <c r="E23" s="161"/>
      <c r="F23" s="89"/>
      <c r="G23" s="100"/>
      <c r="H23" s="101"/>
      <c r="I23" s="102"/>
      <c r="J23" s="121"/>
      <c r="L23" s="78" t="s">
        <v>48</v>
      </c>
      <c r="M23" s="78" t="s">
        <v>54</v>
      </c>
      <c r="N23" s="78" t="s">
        <v>50</v>
      </c>
      <c r="O23" s="78" t="s">
        <v>55</v>
      </c>
    </row>
    <row r="24" spans="1:15" ht="18" customHeight="1">
      <c r="A24" s="85"/>
      <c r="B24" s="23" t="s">
        <v>197</v>
      </c>
      <c r="C24" s="24">
        <v>22</v>
      </c>
      <c r="D24" s="88">
        <v>761</v>
      </c>
      <c r="E24" s="88">
        <v>1810</v>
      </c>
      <c r="F24" s="89">
        <f t="shared" ref="F24:F30" si="6">O24</f>
        <v>20</v>
      </c>
      <c r="G24" s="90">
        <f t="shared" ref="G24:G30" si="7">D24*E24/91809*F24</f>
        <v>300.05990698079711</v>
      </c>
      <c r="H24" s="90">
        <f t="shared" ref="H24:H30" si="8">(D24/1000)*4*F24+(E24/1000)*4*F24</f>
        <v>205.68</v>
      </c>
      <c r="I24" s="91" t="str">
        <f t="shared" ref="I24:I30" si="9">I15</f>
        <v>1동1,2라인</v>
      </c>
      <c r="J24" s="92" t="s">
        <v>212</v>
      </c>
      <c r="L24" s="89">
        <v>2</v>
      </c>
      <c r="M24" s="78">
        <f>M15</f>
        <v>10</v>
      </c>
      <c r="N24" s="84"/>
      <c r="O24" s="78">
        <f>L24*M24-N24*L24</f>
        <v>20</v>
      </c>
    </row>
    <row r="25" spans="1:15" ht="18" customHeight="1">
      <c r="A25" s="85"/>
      <c r="B25" s="86"/>
      <c r="C25" s="87"/>
      <c r="D25" s="88">
        <v>1688</v>
      </c>
      <c r="E25" s="88">
        <v>1810</v>
      </c>
      <c r="F25" s="89">
        <f t="shared" si="6"/>
        <v>10</v>
      </c>
      <c r="G25" s="90">
        <f t="shared" si="7"/>
        <v>332.78654598133079</v>
      </c>
      <c r="H25" s="90">
        <f t="shared" si="8"/>
        <v>139.92000000000002</v>
      </c>
      <c r="I25" s="91" t="str">
        <f t="shared" si="9"/>
        <v>1동1,2라인</v>
      </c>
      <c r="J25" s="92" t="s">
        <v>213</v>
      </c>
      <c r="L25" s="89">
        <v>1</v>
      </c>
      <c r="M25" s="78">
        <f>M24</f>
        <v>10</v>
      </c>
      <c r="N25" s="84"/>
      <c r="O25" s="78">
        <f>L25*M25-N25*L25</f>
        <v>10</v>
      </c>
    </row>
    <row r="26" spans="1:15" ht="18" customHeight="1">
      <c r="A26" s="104"/>
      <c r="B26" s="93"/>
      <c r="C26" s="87"/>
      <c r="D26" s="88">
        <v>738</v>
      </c>
      <c r="E26" s="88">
        <v>1310</v>
      </c>
      <c r="F26" s="89">
        <f t="shared" si="6"/>
        <v>40</v>
      </c>
      <c r="G26" s="90">
        <f t="shared" si="7"/>
        <v>421.2136065091658</v>
      </c>
      <c r="H26" s="90">
        <f t="shared" si="8"/>
        <v>327.68</v>
      </c>
      <c r="I26" s="91" t="str">
        <f t="shared" si="9"/>
        <v>1동1,2라인</v>
      </c>
      <c r="J26" s="92" t="s">
        <v>214</v>
      </c>
      <c r="L26" s="89">
        <v>4</v>
      </c>
      <c r="M26" s="78">
        <f t="shared" ref="M26:M30" si="10">M25</f>
        <v>10</v>
      </c>
      <c r="N26" s="84"/>
      <c r="O26" s="78">
        <f t="shared" ref="O26:O30" si="11">L26*M26-N26*L26</f>
        <v>40</v>
      </c>
    </row>
    <row r="27" spans="1:15" ht="18" customHeight="1">
      <c r="A27" s="104"/>
      <c r="B27" s="93"/>
      <c r="C27" s="87"/>
      <c r="D27" s="88">
        <v>288</v>
      </c>
      <c r="E27" s="88">
        <v>910</v>
      </c>
      <c r="F27" s="89">
        <f t="shared" si="6"/>
        <v>20</v>
      </c>
      <c r="G27" s="90">
        <f t="shared" si="7"/>
        <v>57.09244191745907</v>
      </c>
      <c r="H27" s="90">
        <f t="shared" si="8"/>
        <v>95.84</v>
      </c>
      <c r="I27" s="91" t="str">
        <f t="shared" si="9"/>
        <v>1동1,2라인</v>
      </c>
      <c r="J27" s="92" t="s">
        <v>215</v>
      </c>
      <c r="L27" s="89">
        <v>2</v>
      </c>
      <c r="M27" s="78">
        <f t="shared" si="10"/>
        <v>10</v>
      </c>
      <c r="N27" s="78"/>
      <c r="O27" s="78">
        <f t="shared" si="11"/>
        <v>20</v>
      </c>
    </row>
    <row r="28" spans="1:15" ht="18" customHeight="1">
      <c r="A28" s="104"/>
      <c r="B28" s="93"/>
      <c r="C28" s="87"/>
      <c r="D28" s="88">
        <v>228</v>
      </c>
      <c r="E28" s="88">
        <v>910</v>
      </c>
      <c r="F28" s="89">
        <f t="shared" si="6"/>
        <v>20</v>
      </c>
      <c r="G28" s="90">
        <f t="shared" si="7"/>
        <v>45.1981831846551</v>
      </c>
      <c r="H28" s="90">
        <f t="shared" si="8"/>
        <v>91.039999999999992</v>
      </c>
      <c r="I28" s="91" t="str">
        <f t="shared" si="9"/>
        <v>1동1,2라인</v>
      </c>
      <c r="J28" s="92" t="s">
        <v>216</v>
      </c>
      <c r="L28" s="89">
        <v>2</v>
      </c>
      <c r="M28" s="78">
        <f t="shared" si="10"/>
        <v>10</v>
      </c>
      <c r="N28" s="78"/>
      <c r="O28" s="78">
        <f t="shared" si="11"/>
        <v>20</v>
      </c>
    </row>
    <row r="29" spans="1:15" ht="18" customHeight="1">
      <c r="A29" s="104"/>
      <c r="B29" s="93"/>
      <c r="C29" s="87"/>
      <c r="D29" s="88">
        <v>438</v>
      </c>
      <c r="E29" s="88">
        <v>270</v>
      </c>
      <c r="F29" s="89">
        <f t="shared" si="6"/>
        <v>20</v>
      </c>
      <c r="G29" s="90">
        <f t="shared" si="7"/>
        <v>25.762180178413882</v>
      </c>
      <c r="H29" s="90">
        <f t="shared" si="8"/>
        <v>56.64</v>
      </c>
      <c r="I29" s="91" t="str">
        <f t="shared" si="9"/>
        <v>1동1,2라인</v>
      </c>
      <c r="J29" s="92" t="s">
        <v>217</v>
      </c>
      <c r="L29" s="89">
        <v>2</v>
      </c>
      <c r="M29" s="78">
        <f t="shared" si="10"/>
        <v>10</v>
      </c>
      <c r="N29" s="78"/>
      <c r="O29" s="78">
        <f t="shared" si="11"/>
        <v>20</v>
      </c>
    </row>
    <row r="30" spans="1:15" ht="18" customHeight="1">
      <c r="A30" s="104"/>
      <c r="B30" s="93"/>
      <c r="C30" s="87"/>
      <c r="D30" s="88">
        <v>208</v>
      </c>
      <c r="E30" s="88">
        <v>910</v>
      </c>
      <c r="F30" s="89">
        <f t="shared" si="6"/>
        <v>20</v>
      </c>
      <c r="G30" s="90">
        <f t="shared" si="7"/>
        <v>41.233430273720444</v>
      </c>
      <c r="H30" s="90">
        <f t="shared" si="8"/>
        <v>89.44</v>
      </c>
      <c r="I30" s="91" t="str">
        <f t="shared" si="9"/>
        <v>1동1,2라인</v>
      </c>
      <c r="J30" s="92" t="s">
        <v>218</v>
      </c>
      <c r="L30" s="89">
        <v>2</v>
      </c>
      <c r="M30" s="78">
        <f t="shared" si="10"/>
        <v>10</v>
      </c>
      <c r="N30" s="78"/>
      <c r="O30" s="78">
        <f t="shared" si="11"/>
        <v>20</v>
      </c>
    </row>
    <row r="31" spans="1:15" ht="18" customHeight="1">
      <c r="A31" s="104"/>
      <c r="B31" s="87"/>
      <c r="C31" s="87"/>
      <c r="D31" s="325" t="s">
        <v>0</v>
      </c>
      <c r="E31" s="325"/>
      <c r="F31" s="171">
        <f>SUM(F24:F30)</f>
        <v>150</v>
      </c>
      <c r="G31" s="95">
        <f>SUM(G24:G30)</f>
        <v>1223.3462950255423</v>
      </c>
      <c r="H31" s="95">
        <f>SUM(H24:H30)</f>
        <v>1006.24</v>
      </c>
      <c r="I31" s="97"/>
      <c r="J31" s="98"/>
    </row>
    <row r="32" spans="1:15">
      <c r="A32" s="105"/>
      <c r="B32" s="9"/>
      <c r="C32" s="9"/>
      <c r="D32" s="51"/>
      <c r="E32" s="51"/>
      <c r="F32" s="51"/>
      <c r="G32" s="106"/>
      <c r="H32" s="106"/>
      <c r="I32" s="9"/>
      <c r="J32" s="107"/>
    </row>
    <row r="33" spans="1:16" ht="18" customHeight="1">
      <c r="A33" s="85"/>
      <c r="B33" s="163" t="s">
        <v>199</v>
      </c>
      <c r="C33" s="163">
        <v>22</v>
      </c>
      <c r="D33" s="88">
        <v>738</v>
      </c>
      <c r="E33" s="88">
        <v>1810</v>
      </c>
      <c r="F33" s="89">
        <f t="shared" ref="F33:F34" si="12">O33</f>
        <v>10</v>
      </c>
      <c r="G33" s="90">
        <f t="shared" ref="G33:G34" si="13">D33*E33/91809*F33</f>
        <v>145.4955396529752</v>
      </c>
      <c r="H33" s="90">
        <f t="shared" ref="H33:H34" si="14">(D33/1000)*4*F33+(E33/1000)*4*F33</f>
        <v>101.92</v>
      </c>
      <c r="I33" s="91" t="str">
        <f>I24</f>
        <v>1동1,2라인</v>
      </c>
      <c r="J33" s="92" t="s">
        <v>219</v>
      </c>
      <c r="L33" s="89">
        <v>2</v>
      </c>
      <c r="M33" s="78">
        <f>M15</f>
        <v>10</v>
      </c>
      <c r="N33" s="84">
        <f>M33/2</f>
        <v>5</v>
      </c>
      <c r="O33" s="78">
        <f>L33*M33-N33*L33</f>
        <v>10</v>
      </c>
      <c r="P33" s="64" t="s">
        <v>244</v>
      </c>
    </row>
    <row r="34" spans="1:16" ht="18" customHeight="1">
      <c r="A34" s="85"/>
      <c r="B34" s="86"/>
      <c r="C34" s="87"/>
      <c r="D34" s="88">
        <v>250</v>
      </c>
      <c r="E34" s="88">
        <v>930</v>
      </c>
      <c r="F34" s="89">
        <f t="shared" si="12"/>
        <v>20</v>
      </c>
      <c r="G34" s="90">
        <f t="shared" si="13"/>
        <v>50.648629219357574</v>
      </c>
      <c r="H34" s="90">
        <f t="shared" si="14"/>
        <v>94.4</v>
      </c>
      <c r="I34" s="91" t="str">
        <f>I33</f>
        <v>1동1,2라인</v>
      </c>
      <c r="J34" s="92" t="s">
        <v>220</v>
      </c>
      <c r="L34" s="89">
        <v>2</v>
      </c>
      <c r="M34" s="78">
        <f>M33</f>
        <v>10</v>
      </c>
      <c r="N34" s="84"/>
      <c r="O34" s="78">
        <f t="shared" ref="O34" si="15">L34*M34-N34*L34</f>
        <v>20</v>
      </c>
    </row>
    <row r="35" spans="1:16" ht="18" customHeight="1">
      <c r="A35" s="85"/>
      <c r="B35" s="93"/>
      <c r="C35" s="87"/>
      <c r="D35" s="325" t="s">
        <v>0</v>
      </c>
      <c r="E35" s="325"/>
      <c r="F35" s="94">
        <f>SUM(F33:F34)</f>
        <v>30</v>
      </c>
      <c r="G35" s="95">
        <f>SUM(G33:G34)</f>
        <v>196.14416887233278</v>
      </c>
      <c r="H35" s="95">
        <f>SUM(H33:H34)</f>
        <v>196.32</v>
      </c>
      <c r="I35" s="97"/>
      <c r="J35" s="98"/>
    </row>
    <row r="36" spans="1:16" ht="18" customHeight="1">
      <c r="A36" s="108"/>
      <c r="B36" s="164"/>
      <c r="C36" s="109"/>
      <c r="D36" s="287"/>
      <c r="E36" s="287"/>
      <c r="F36" s="110"/>
      <c r="G36" s="111"/>
      <c r="H36" s="111"/>
      <c r="I36" s="112"/>
      <c r="J36" s="113"/>
    </row>
    <row r="37" spans="1:16" ht="18" customHeight="1">
      <c r="A37" s="85" t="s">
        <v>235</v>
      </c>
      <c r="B37" s="23" t="s">
        <v>196</v>
      </c>
      <c r="C37" s="24">
        <v>22</v>
      </c>
      <c r="D37" s="88">
        <v>861</v>
      </c>
      <c r="E37" s="88">
        <v>1810</v>
      </c>
      <c r="F37" s="89">
        <f t="shared" ref="F37:F40" si="16">O37</f>
        <v>5</v>
      </c>
      <c r="G37" s="90">
        <f t="shared" ref="G37:G40" si="17">D37*E37/91809*F37</f>
        <v>84.872398130902198</v>
      </c>
      <c r="H37" s="90">
        <f t="shared" ref="H37:H40" si="18">(D37/1000)*4*F37+(E37/1000)*4*F37</f>
        <v>53.42</v>
      </c>
      <c r="I37" s="91" t="s">
        <v>239</v>
      </c>
      <c r="J37" s="92" t="s">
        <v>205</v>
      </c>
      <c r="L37" s="89">
        <v>1</v>
      </c>
      <c r="M37" s="78">
        <v>5</v>
      </c>
      <c r="N37" s="84"/>
      <c r="O37" s="78">
        <f>L37*M37-N37*L37</f>
        <v>5</v>
      </c>
      <c r="P37" s="64"/>
    </row>
    <row r="38" spans="1:16" ht="18" customHeight="1">
      <c r="A38" s="85"/>
      <c r="B38" s="86"/>
      <c r="C38" s="87"/>
      <c r="D38" s="88">
        <v>738</v>
      </c>
      <c r="E38" s="88">
        <v>1310</v>
      </c>
      <c r="F38" s="89">
        <f t="shared" si="16"/>
        <v>20</v>
      </c>
      <c r="G38" s="90">
        <f t="shared" si="17"/>
        <v>210.6068032545829</v>
      </c>
      <c r="H38" s="90">
        <f t="shared" si="18"/>
        <v>163.84</v>
      </c>
      <c r="I38" s="91" t="str">
        <f>I37</f>
        <v>1동3라인</v>
      </c>
      <c r="J38" s="92" t="s">
        <v>207</v>
      </c>
      <c r="L38" s="89">
        <v>4</v>
      </c>
      <c r="M38" s="78">
        <f>M37</f>
        <v>5</v>
      </c>
      <c r="N38" s="84"/>
      <c r="O38" s="78">
        <f t="shared" ref="O38:O40" si="19">L38*M38-N38*L38</f>
        <v>20</v>
      </c>
    </row>
    <row r="39" spans="1:16" ht="18" customHeight="1">
      <c r="A39" s="85"/>
      <c r="B39" s="86"/>
      <c r="C39" s="87"/>
      <c r="D39" s="88">
        <v>228</v>
      </c>
      <c r="E39" s="88">
        <v>910</v>
      </c>
      <c r="F39" s="89">
        <f t="shared" si="16"/>
        <v>10</v>
      </c>
      <c r="G39" s="90">
        <f t="shared" si="17"/>
        <v>22.59909159232755</v>
      </c>
      <c r="H39" s="90">
        <f t="shared" si="18"/>
        <v>45.519999999999996</v>
      </c>
      <c r="I39" s="91" t="str">
        <f t="shared" ref="I39:I40" si="20">I38</f>
        <v>1동3라인</v>
      </c>
      <c r="J39" s="92" t="s">
        <v>209</v>
      </c>
      <c r="L39" s="89">
        <v>2</v>
      </c>
      <c r="M39" s="78">
        <f t="shared" ref="M39:M40" si="21">M38</f>
        <v>5</v>
      </c>
      <c r="N39" s="78"/>
      <c r="O39" s="78">
        <f t="shared" si="19"/>
        <v>10</v>
      </c>
    </row>
    <row r="40" spans="1:16" ht="18" customHeight="1">
      <c r="A40" s="85"/>
      <c r="B40" s="86"/>
      <c r="C40" s="87"/>
      <c r="D40" s="88">
        <v>438</v>
      </c>
      <c r="E40" s="88">
        <v>270</v>
      </c>
      <c r="F40" s="89">
        <f t="shared" si="16"/>
        <v>10</v>
      </c>
      <c r="G40" s="90">
        <f t="shared" si="17"/>
        <v>12.881090089206941</v>
      </c>
      <c r="H40" s="90">
        <f t="shared" si="18"/>
        <v>28.32</v>
      </c>
      <c r="I40" s="91" t="str">
        <f t="shared" si="20"/>
        <v>1동3라인</v>
      </c>
      <c r="J40" s="92" t="s">
        <v>210</v>
      </c>
      <c r="L40" s="89">
        <v>2</v>
      </c>
      <c r="M40" s="78">
        <f t="shared" si="21"/>
        <v>5</v>
      </c>
      <c r="N40" s="78"/>
      <c r="O40" s="78">
        <f t="shared" si="19"/>
        <v>10</v>
      </c>
    </row>
    <row r="41" spans="1:16" ht="18" customHeight="1">
      <c r="A41" s="85"/>
      <c r="B41" s="93"/>
      <c r="C41" s="87"/>
      <c r="D41" s="325" t="s">
        <v>0</v>
      </c>
      <c r="E41" s="325"/>
      <c r="F41" s="94">
        <f>SUM(F37:F40)</f>
        <v>45</v>
      </c>
      <c r="G41" s="95">
        <f>SUM(G37:G40)</f>
        <v>330.95938306701964</v>
      </c>
      <c r="H41" s="96">
        <f>SUM(H37:H40)</f>
        <v>291.09999999999997</v>
      </c>
      <c r="I41" s="97"/>
      <c r="J41" s="162"/>
    </row>
    <row r="42" spans="1:16" ht="18" customHeight="1">
      <c r="A42" s="85"/>
      <c r="B42" s="93"/>
      <c r="C42" s="87"/>
      <c r="D42" s="161"/>
      <c r="E42" s="161"/>
      <c r="F42" s="89"/>
      <c r="G42" s="100"/>
      <c r="H42" s="101"/>
      <c r="I42" s="102"/>
      <c r="J42" s="121"/>
      <c r="L42" s="252"/>
      <c r="M42" s="252"/>
      <c r="N42" s="252"/>
      <c r="O42" s="252"/>
    </row>
    <row r="43" spans="1:16" ht="18" customHeight="1">
      <c r="A43" s="85"/>
      <c r="B43" s="23" t="s">
        <v>198</v>
      </c>
      <c r="C43" s="24">
        <v>22</v>
      </c>
      <c r="D43" s="88">
        <v>861</v>
      </c>
      <c r="E43" s="88">
        <v>1810</v>
      </c>
      <c r="F43" s="89">
        <f t="shared" ref="F43:F47" si="22">O43</f>
        <v>5</v>
      </c>
      <c r="G43" s="90">
        <f t="shared" ref="G43:G47" si="23">D43*E43/91809*F43</f>
        <v>84.872398130902198</v>
      </c>
      <c r="H43" s="90">
        <f t="shared" ref="H43:H47" si="24">(D43/1000)*4*F43+(E43/1000)*4*F43</f>
        <v>53.42</v>
      </c>
      <c r="I43" s="103" t="str">
        <f>I37</f>
        <v>1동3라인</v>
      </c>
      <c r="J43" s="92" t="s">
        <v>212</v>
      </c>
      <c r="L43" s="89">
        <v>1</v>
      </c>
      <c r="M43" s="78">
        <f>M37</f>
        <v>5</v>
      </c>
      <c r="N43" s="84"/>
      <c r="O43" s="78">
        <f>L43*M43-N43*L43</f>
        <v>5</v>
      </c>
    </row>
    <row r="44" spans="1:16" ht="18" customHeight="1">
      <c r="A44" s="85"/>
      <c r="B44" s="86"/>
      <c r="C44" s="87"/>
      <c r="D44" s="88">
        <v>2114</v>
      </c>
      <c r="E44" s="88">
        <v>1810</v>
      </c>
      <c r="F44" s="89">
        <f t="shared" si="22"/>
        <v>5</v>
      </c>
      <c r="G44" s="90">
        <f t="shared" si="23"/>
        <v>208.38588809375989</v>
      </c>
      <c r="H44" s="90">
        <f t="shared" si="24"/>
        <v>78.48</v>
      </c>
      <c r="I44" s="91" t="str">
        <f>I37</f>
        <v>1동3라인</v>
      </c>
      <c r="J44" s="92" t="s">
        <v>213</v>
      </c>
      <c r="L44" s="89">
        <v>1</v>
      </c>
      <c r="M44" s="78">
        <f>M43</f>
        <v>5</v>
      </c>
      <c r="N44" s="84"/>
      <c r="O44" s="78">
        <f>L44*M44-N44*L44</f>
        <v>5</v>
      </c>
    </row>
    <row r="45" spans="1:16" ht="18" customHeight="1">
      <c r="A45" s="104"/>
      <c r="B45" s="93"/>
      <c r="C45" s="87"/>
      <c r="D45" s="88">
        <v>738</v>
      </c>
      <c r="E45" s="88">
        <v>1310</v>
      </c>
      <c r="F45" s="89">
        <f t="shared" si="22"/>
        <v>20</v>
      </c>
      <c r="G45" s="90">
        <f t="shared" si="23"/>
        <v>210.6068032545829</v>
      </c>
      <c r="H45" s="90">
        <f t="shared" si="24"/>
        <v>163.84</v>
      </c>
      <c r="I45" s="91" t="str">
        <f>I44</f>
        <v>1동3라인</v>
      </c>
      <c r="J45" s="92" t="s">
        <v>214</v>
      </c>
      <c r="L45" s="89">
        <v>4</v>
      </c>
      <c r="M45" s="78">
        <f t="shared" ref="M45:M47" si="25">M44</f>
        <v>5</v>
      </c>
      <c r="N45" s="84"/>
      <c r="O45" s="78">
        <f t="shared" ref="O45:O47" si="26">L45*M45-N45*L45</f>
        <v>20</v>
      </c>
    </row>
    <row r="46" spans="1:16" ht="18" customHeight="1">
      <c r="A46" s="104"/>
      <c r="B46" s="93"/>
      <c r="C46" s="87"/>
      <c r="D46" s="88">
        <v>228</v>
      </c>
      <c r="E46" s="88">
        <v>910</v>
      </c>
      <c r="F46" s="89">
        <f t="shared" si="22"/>
        <v>10</v>
      </c>
      <c r="G46" s="90">
        <f t="shared" si="23"/>
        <v>22.59909159232755</v>
      </c>
      <c r="H46" s="90">
        <f t="shared" si="24"/>
        <v>45.519999999999996</v>
      </c>
      <c r="I46" s="91" t="str">
        <f t="shared" ref="I46:I47" si="27">I45</f>
        <v>1동3라인</v>
      </c>
      <c r="J46" s="92" t="s">
        <v>216</v>
      </c>
      <c r="L46" s="89">
        <v>2</v>
      </c>
      <c r="M46" s="78">
        <f t="shared" si="25"/>
        <v>5</v>
      </c>
      <c r="N46" s="78"/>
      <c r="O46" s="78">
        <f t="shared" si="26"/>
        <v>10</v>
      </c>
    </row>
    <row r="47" spans="1:16" ht="18" customHeight="1">
      <c r="A47" s="104"/>
      <c r="B47" s="93"/>
      <c r="C47" s="87"/>
      <c r="D47" s="88">
        <v>438</v>
      </c>
      <c r="E47" s="88">
        <v>270</v>
      </c>
      <c r="F47" s="89">
        <f t="shared" si="22"/>
        <v>10</v>
      </c>
      <c r="G47" s="90">
        <f t="shared" si="23"/>
        <v>12.881090089206941</v>
      </c>
      <c r="H47" s="90">
        <f t="shared" si="24"/>
        <v>28.32</v>
      </c>
      <c r="I47" s="91" t="str">
        <f t="shared" si="27"/>
        <v>1동3라인</v>
      </c>
      <c r="J47" s="92" t="s">
        <v>217</v>
      </c>
      <c r="L47" s="89">
        <v>2</v>
      </c>
      <c r="M47" s="78">
        <f t="shared" si="25"/>
        <v>5</v>
      </c>
      <c r="N47" s="78"/>
      <c r="O47" s="78">
        <f t="shared" si="26"/>
        <v>10</v>
      </c>
    </row>
    <row r="48" spans="1:16" ht="18" customHeight="1">
      <c r="A48" s="104"/>
      <c r="B48" s="87"/>
      <c r="C48" s="87"/>
      <c r="D48" s="325" t="s">
        <v>0</v>
      </c>
      <c r="E48" s="325"/>
      <c r="F48" s="171">
        <f>SUM(F43:F47)</f>
        <v>50</v>
      </c>
      <c r="G48" s="95">
        <f>SUM(G43:G47)</f>
        <v>539.34527116077948</v>
      </c>
      <c r="H48" s="95">
        <f>SUM(H43:H47)</f>
        <v>369.58</v>
      </c>
      <c r="I48" s="97"/>
      <c r="J48" s="98"/>
    </row>
    <row r="49" spans="1:16">
      <c r="A49" s="105"/>
      <c r="B49" s="9"/>
      <c r="C49" s="9"/>
      <c r="D49" s="51"/>
      <c r="E49" s="51"/>
      <c r="F49" s="51"/>
      <c r="G49" s="106"/>
      <c r="H49" s="106"/>
      <c r="I49" s="9"/>
      <c r="J49" s="107"/>
    </row>
    <row r="50" spans="1:16" ht="18" customHeight="1">
      <c r="A50" s="85"/>
      <c r="B50" s="23" t="s">
        <v>237</v>
      </c>
      <c r="C50" s="24">
        <v>22</v>
      </c>
      <c r="D50" s="88">
        <v>2114</v>
      </c>
      <c r="E50" s="88">
        <v>1810</v>
      </c>
      <c r="F50" s="89">
        <f t="shared" ref="F50" si="28">O50</f>
        <v>5</v>
      </c>
      <c r="G50" s="90">
        <f t="shared" ref="G50" si="29">D50*E50/91809*F50</f>
        <v>208.38588809375989</v>
      </c>
      <c r="H50" s="90">
        <f t="shared" ref="H50" si="30">(D50/1000)*4*F50+(E50/1000)*4*F50</f>
        <v>78.48</v>
      </c>
      <c r="I50" s="91" t="str">
        <f>I43</f>
        <v>1동3라인</v>
      </c>
      <c r="J50" s="92" t="s">
        <v>206</v>
      </c>
      <c r="L50" s="89">
        <v>1</v>
      </c>
      <c r="M50" s="78">
        <f>M37</f>
        <v>5</v>
      </c>
      <c r="N50" s="84"/>
      <c r="O50" s="78">
        <f>L50*M50-N50*L50</f>
        <v>5</v>
      </c>
    </row>
    <row r="51" spans="1:16" ht="18" customHeight="1">
      <c r="A51" s="85"/>
      <c r="B51" s="93"/>
      <c r="C51" s="87"/>
      <c r="D51" s="325" t="s">
        <v>0</v>
      </c>
      <c r="E51" s="325"/>
      <c r="F51" s="94">
        <f>SUM(F50:F50)</f>
        <v>5</v>
      </c>
      <c r="G51" s="95">
        <f>SUM(G50:G50)</f>
        <v>208.38588809375989</v>
      </c>
      <c r="H51" s="95">
        <f>SUM(H50:H50)</f>
        <v>78.48</v>
      </c>
      <c r="I51" s="97"/>
      <c r="J51" s="98"/>
    </row>
    <row r="52" spans="1:16" ht="18" customHeight="1">
      <c r="A52" s="218"/>
      <c r="B52" s="219"/>
      <c r="C52" s="220"/>
      <c r="D52" s="161"/>
      <c r="E52" s="161"/>
      <c r="F52" s="89"/>
      <c r="G52" s="100"/>
      <c r="H52" s="100"/>
      <c r="I52" s="102"/>
      <c r="J52" s="221"/>
    </row>
    <row r="53" spans="1:16" ht="18" customHeight="1">
      <c r="A53" s="85"/>
      <c r="B53" s="23" t="s">
        <v>200</v>
      </c>
      <c r="C53" s="24">
        <v>22</v>
      </c>
      <c r="D53" s="88">
        <v>738</v>
      </c>
      <c r="E53" s="88">
        <v>1810</v>
      </c>
      <c r="F53" s="89">
        <f t="shared" ref="F53:F54" si="31">O53</f>
        <v>10</v>
      </c>
      <c r="G53" s="90">
        <f t="shared" ref="G53:G54" si="32">D53*E53/91809*F53</f>
        <v>145.4955396529752</v>
      </c>
      <c r="H53" s="90">
        <f t="shared" ref="H53:H54" si="33">(D53/1000)*4*F53+(E53/1000)*4*F53</f>
        <v>101.92</v>
      </c>
      <c r="I53" s="91" t="str">
        <f>I50</f>
        <v>1동3라인</v>
      </c>
      <c r="J53" s="92" t="s">
        <v>219</v>
      </c>
      <c r="L53" s="89">
        <v>2</v>
      </c>
      <c r="M53" s="78">
        <f>M50</f>
        <v>5</v>
      </c>
      <c r="N53" s="84"/>
      <c r="O53" s="78">
        <f>L53*M53-N53*L53</f>
        <v>10</v>
      </c>
      <c r="P53" s="64"/>
    </row>
    <row r="54" spans="1:16" ht="18" customHeight="1">
      <c r="A54" s="85"/>
      <c r="B54" s="86"/>
      <c r="C54" s="87"/>
      <c r="D54" s="88">
        <v>250</v>
      </c>
      <c r="E54" s="88">
        <v>930</v>
      </c>
      <c r="F54" s="89">
        <f t="shared" si="31"/>
        <v>10</v>
      </c>
      <c r="G54" s="90">
        <f t="shared" si="32"/>
        <v>25.324314609678787</v>
      </c>
      <c r="H54" s="90">
        <f t="shared" si="33"/>
        <v>47.2</v>
      </c>
      <c r="I54" s="91" t="str">
        <f>I53</f>
        <v>1동3라인</v>
      </c>
      <c r="J54" s="92" t="s">
        <v>220</v>
      </c>
      <c r="L54" s="89">
        <v>2</v>
      </c>
      <c r="M54" s="78">
        <f>M53</f>
        <v>5</v>
      </c>
      <c r="N54" s="84"/>
      <c r="O54" s="78">
        <f t="shared" ref="O54" si="34">L54*M54-N54*L54</f>
        <v>10</v>
      </c>
    </row>
    <row r="55" spans="1:16" ht="18" customHeight="1">
      <c r="A55" s="85"/>
      <c r="B55" s="93"/>
      <c r="C55" s="87"/>
      <c r="D55" s="325" t="s">
        <v>0</v>
      </c>
      <c r="E55" s="325"/>
      <c r="F55" s="94">
        <f>SUM(F53:F54)</f>
        <v>20</v>
      </c>
      <c r="G55" s="95">
        <f>SUM(G53:G54)</f>
        <v>170.81985426265399</v>
      </c>
      <c r="H55" s="96">
        <f>SUM(H53:H54)</f>
        <v>149.12</v>
      </c>
      <c r="I55" s="97"/>
      <c r="J55" s="162"/>
    </row>
    <row r="56" spans="1:16" ht="18" customHeight="1" thickBot="1">
      <c r="A56" s="222"/>
      <c r="B56" s="223"/>
      <c r="C56" s="224"/>
      <c r="D56" s="225"/>
      <c r="E56" s="225"/>
      <c r="F56" s="226"/>
      <c r="G56" s="227"/>
      <c r="H56" s="228"/>
      <c r="I56" s="229"/>
      <c r="J56" s="230"/>
      <c r="L56" s="78" t="s">
        <v>48</v>
      </c>
      <c r="M56" s="78" t="s">
        <v>49</v>
      </c>
      <c r="N56" s="78" t="s">
        <v>50</v>
      </c>
      <c r="O56" s="78" t="s">
        <v>55</v>
      </c>
    </row>
    <row r="57" spans="1:16" ht="18" customHeight="1">
      <c r="A57" s="79" t="s">
        <v>234</v>
      </c>
      <c r="B57" s="231" t="s">
        <v>195</v>
      </c>
      <c r="C57" s="232">
        <v>22</v>
      </c>
      <c r="D57" s="80">
        <v>761</v>
      </c>
      <c r="E57" s="80">
        <v>1810</v>
      </c>
      <c r="F57" s="233">
        <f>O57</f>
        <v>8</v>
      </c>
      <c r="G57" s="81">
        <f t="shared" ref="G57:G63" si="35">D57*E57/91809*F57</f>
        <v>120.02396279231884</v>
      </c>
      <c r="H57" s="81">
        <f t="shared" ref="H57:H63" si="36">(D57/1000)*4*F57+(E57/1000)*4*F57</f>
        <v>82.272000000000006</v>
      </c>
      <c r="I57" s="82" t="s">
        <v>240</v>
      </c>
      <c r="J57" s="83" t="s">
        <v>205</v>
      </c>
      <c r="L57" s="89">
        <v>2</v>
      </c>
      <c r="M57" s="78">
        <v>4</v>
      </c>
      <c r="N57" s="84"/>
      <c r="O57" s="78">
        <f>L57*M57-N57*L57</f>
        <v>8</v>
      </c>
      <c r="P57" s="64"/>
    </row>
    <row r="58" spans="1:16" ht="18" customHeight="1">
      <c r="A58" s="85"/>
      <c r="B58" s="86"/>
      <c r="C58" s="87"/>
      <c r="D58" s="88">
        <v>1688</v>
      </c>
      <c r="E58" s="88">
        <v>1810</v>
      </c>
      <c r="F58" s="89">
        <f t="shared" ref="F58:F63" si="37">O58</f>
        <v>4</v>
      </c>
      <c r="G58" s="90">
        <f t="shared" si="35"/>
        <v>133.11461839253232</v>
      </c>
      <c r="H58" s="90">
        <f t="shared" si="36"/>
        <v>55.968000000000004</v>
      </c>
      <c r="I58" s="91" t="str">
        <f>I57</f>
        <v>1동4라인</v>
      </c>
      <c r="J58" s="92" t="s">
        <v>206</v>
      </c>
      <c r="L58" s="89">
        <v>1</v>
      </c>
      <c r="M58" s="78">
        <f>M57</f>
        <v>4</v>
      </c>
      <c r="N58" s="84"/>
      <c r="O58" s="78">
        <f t="shared" ref="O58:O63" si="38">L58*M58-N58*L58</f>
        <v>4</v>
      </c>
    </row>
    <row r="59" spans="1:16" ht="18" customHeight="1">
      <c r="A59" s="85"/>
      <c r="B59" s="86"/>
      <c r="C59" s="87"/>
      <c r="D59" s="88">
        <v>738</v>
      </c>
      <c r="E59" s="88">
        <v>1310</v>
      </c>
      <c r="F59" s="89">
        <f t="shared" si="37"/>
        <v>16</v>
      </c>
      <c r="G59" s="90">
        <f t="shared" si="35"/>
        <v>168.48544260366631</v>
      </c>
      <c r="H59" s="90">
        <f t="shared" si="36"/>
        <v>131.072</v>
      </c>
      <c r="I59" s="91" t="str">
        <f t="shared" ref="I59:I63" si="39">I58</f>
        <v>1동4라인</v>
      </c>
      <c r="J59" s="92" t="s">
        <v>207</v>
      </c>
      <c r="L59" s="89">
        <v>4</v>
      </c>
      <c r="M59" s="78">
        <f t="shared" ref="M59:M62" si="40">M58</f>
        <v>4</v>
      </c>
      <c r="N59" s="78"/>
      <c r="O59" s="78">
        <f t="shared" si="38"/>
        <v>16</v>
      </c>
    </row>
    <row r="60" spans="1:16" ht="18" customHeight="1">
      <c r="A60" s="85"/>
      <c r="B60" s="86"/>
      <c r="C60" s="87"/>
      <c r="D60" s="88">
        <v>288</v>
      </c>
      <c r="E60" s="88">
        <v>910</v>
      </c>
      <c r="F60" s="89">
        <f t="shared" si="37"/>
        <v>8</v>
      </c>
      <c r="G60" s="90">
        <f t="shared" si="35"/>
        <v>22.836976766983629</v>
      </c>
      <c r="H60" s="90">
        <f t="shared" si="36"/>
        <v>38.335999999999999</v>
      </c>
      <c r="I60" s="91" t="str">
        <f t="shared" si="39"/>
        <v>1동4라인</v>
      </c>
      <c r="J60" s="92" t="s">
        <v>208</v>
      </c>
      <c r="L60" s="89">
        <v>2</v>
      </c>
      <c r="M60" s="78">
        <f t="shared" si="40"/>
        <v>4</v>
      </c>
      <c r="N60" s="78"/>
      <c r="O60" s="78">
        <f t="shared" si="38"/>
        <v>8</v>
      </c>
    </row>
    <row r="61" spans="1:16" ht="18" customHeight="1">
      <c r="A61" s="85"/>
      <c r="B61" s="86"/>
      <c r="C61" s="87"/>
      <c r="D61" s="88">
        <v>228</v>
      </c>
      <c r="E61" s="88">
        <v>910</v>
      </c>
      <c r="F61" s="89">
        <f t="shared" si="37"/>
        <v>8</v>
      </c>
      <c r="G61" s="90">
        <f t="shared" si="35"/>
        <v>18.079273273862039</v>
      </c>
      <c r="H61" s="90">
        <f t="shared" si="36"/>
        <v>36.416000000000004</v>
      </c>
      <c r="I61" s="91" t="str">
        <f t="shared" si="39"/>
        <v>1동4라인</v>
      </c>
      <c r="J61" s="92" t="s">
        <v>209</v>
      </c>
      <c r="L61" s="89">
        <v>2</v>
      </c>
      <c r="M61" s="78">
        <f t="shared" si="40"/>
        <v>4</v>
      </c>
      <c r="N61" s="78"/>
      <c r="O61" s="78">
        <f t="shared" si="38"/>
        <v>8</v>
      </c>
    </row>
    <row r="62" spans="1:16" ht="18" customHeight="1">
      <c r="A62" s="85"/>
      <c r="B62" s="86"/>
      <c r="C62" s="87"/>
      <c r="D62" s="88">
        <v>438</v>
      </c>
      <c r="E62" s="88">
        <v>270</v>
      </c>
      <c r="F62" s="89">
        <f t="shared" si="37"/>
        <v>8</v>
      </c>
      <c r="G62" s="90">
        <f t="shared" si="35"/>
        <v>10.304872071365553</v>
      </c>
      <c r="H62" s="90">
        <f t="shared" si="36"/>
        <v>22.655999999999999</v>
      </c>
      <c r="I62" s="91" t="str">
        <f t="shared" si="39"/>
        <v>1동4라인</v>
      </c>
      <c r="J62" s="92" t="s">
        <v>210</v>
      </c>
      <c r="L62" s="89">
        <v>2</v>
      </c>
      <c r="M62" s="78">
        <f t="shared" si="40"/>
        <v>4</v>
      </c>
      <c r="N62" s="78"/>
      <c r="O62" s="78">
        <f t="shared" si="38"/>
        <v>8</v>
      </c>
    </row>
    <row r="63" spans="1:16" ht="18" customHeight="1">
      <c r="A63" s="85"/>
      <c r="B63" s="86"/>
      <c r="C63" s="87"/>
      <c r="D63" s="88">
        <v>208</v>
      </c>
      <c r="E63" s="88">
        <v>910</v>
      </c>
      <c r="F63" s="89">
        <f t="shared" si="37"/>
        <v>8</v>
      </c>
      <c r="G63" s="90">
        <f t="shared" si="35"/>
        <v>16.493372109488178</v>
      </c>
      <c r="H63" s="90">
        <f t="shared" si="36"/>
        <v>35.776000000000003</v>
      </c>
      <c r="I63" s="91" t="str">
        <f t="shared" si="39"/>
        <v>1동4라인</v>
      </c>
      <c r="J63" s="92" t="s">
        <v>211</v>
      </c>
      <c r="L63" s="89">
        <v>2</v>
      </c>
      <c r="M63" s="78">
        <f>M62</f>
        <v>4</v>
      </c>
      <c r="N63" s="78"/>
      <c r="O63" s="78">
        <f t="shared" si="38"/>
        <v>8</v>
      </c>
    </row>
    <row r="64" spans="1:16" ht="18" customHeight="1">
      <c r="A64" s="85"/>
      <c r="B64" s="93"/>
      <c r="C64" s="87"/>
      <c r="D64" s="325" t="s">
        <v>0</v>
      </c>
      <c r="E64" s="325"/>
      <c r="F64" s="94">
        <f>SUM(F57:F63)</f>
        <v>60</v>
      </c>
      <c r="G64" s="95">
        <f>SUM(G57:G63)</f>
        <v>489.33851801021683</v>
      </c>
      <c r="H64" s="96">
        <f>SUM(H57:H63)</f>
        <v>402.49600000000004</v>
      </c>
      <c r="I64" s="97"/>
      <c r="J64" s="162"/>
    </row>
    <row r="65" spans="1:16" ht="18" customHeight="1">
      <c r="A65" s="85"/>
      <c r="B65" s="93"/>
      <c r="C65" s="87"/>
      <c r="D65" s="161"/>
      <c r="E65" s="161"/>
      <c r="F65" s="89"/>
      <c r="G65" s="100"/>
      <c r="H65" s="101"/>
      <c r="I65" s="102"/>
      <c r="J65" s="121"/>
      <c r="L65" s="78" t="s">
        <v>48</v>
      </c>
      <c r="M65" s="78" t="s">
        <v>54</v>
      </c>
      <c r="N65" s="78" t="s">
        <v>50</v>
      </c>
      <c r="O65" s="78" t="s">
        <v>55</v>
      </c>
    </row>
    <row r="66" spans="1:16" ht="18" customHeight="1">
      <c r="A66" s="85"/>
      <c r="B66" s="23" t="s">
        <v>197</v>
      </c>
      <c r="C66" s="24">
        <v>22</v>
      </c>
      <c r="D66" s="88">
        <v>761</v>
      </c>
      <c r="E66" s="88">
        <v>1810</v>
      </c>
      <c r="F66" s="89">
        <f t="shared" ref="F66:F72" si="41">O66</f>
        <v>8</v>
      </c>
      <c r="G66" s="90">
        <f t="shared" ref="G66:G72" si="42">D66*E66/91809*F66</f>
        <v>120.02396279231884</v>
      </c>
      <c r="H66" s="90">
        <f t="shared" ref="H66:H72" si="43">(D66/1000)*4*F66+(E66/1000)*4*F66</f>
        <v>82.272000000000006</v>
      </c>
      <c r="I66" s="91" t="str">
        <f t="shared" ref="I66:I72" si="44">I57</f>
        <v>1동4라인</v>
      </c>
      <c r="J66" s="92" t="s">
        <v>212</v>
      </c>
      <c r="L66" s="89">
        <v>2</v>
      </c>
      <c r="M66" s="78">
        <f>M57</f>
        <v>4</v>
      </c>
      <c r="N66" s="84"/>
      <c r="O66" s="78">
        <f>L66*M66-N66*L66</f>
        <v>8</v>
      </c>
    </row>
    <row r="67" spans="1:16" ht="18" customHeight="1">
      <c r="A67" s="85"/>
      <c r="B67" s="86"/>
      <c r="C67" s="87"/>
      <c r="D67" s="88">
        <v>1688</v>
      </c>
      <c r="E67" s="88">
        <v>1810</v>
      </c>
      <c r="F67" s="89">
        <f t="shared" si="41"/>
        <v>4</v>
      </c>
      <c r="G67" s="90">
        <f t="shared" si="42"/>
        <v>133.11461839253232</v>
      </c>
      <c r="H67" s="90">
        <f t="shared" si="43"/>
        <v>55.968000000000004</v>
      </c>
      <c r="I67" s="91" t="str">
        <f t="shared" si="44"/>
        <v>1동4라인</v>
      </c>
      <c r="J67" s="92" t="s">
        <v>213</v>
      </c>
      <c r="L67" s="89">
        <v>1</v>
      </c>
      <c r="M67" s="78">
        <f>M66</f>
        <v>4</v>
      </c>
      <c r="N67" s="84"/>
      <c r="O67" s="78">
        <f>L67*M67-N67*L67</f>
        <v>4</v>
      </c>
    </row>
    <row r="68" spans="1:16" ht="18" customHeight="1">
      <c r="A68" s="104"/>
      <c r="B68" s="93"/>
      <c r="C68" s="87"/>
      <c r="D68" s="88">
        <v>738</v>
      </c>
      <c r="E68" s="88">
        <v>1310</v>
      </c>
      <c r="F68" s="89">
        <f t="shared" si="41"/>
        <v>16</v>
      </c>
      <c r="G68" s="90">
        <f t="shared" si="42"/>
        <v>168.48544260366631</v>
      </c>
      <c r="H68" s="90">
        <f t="shared" si="43"/>
        <v>131.072</v>
      </c>
      <c r="I68" s="91" t="str">
        <f t="shared" si="44"/>
        <v>1동4라인</v>
      </c>
      <c r="J68" s="92" t="s">
        <v>214</v>
      </c>
      <c r="L68" s="89">
        <v>4</v>
      </c>
      <c r="M68" s="78">
        <f t="shared" ref="M68:M72" si="45">M67</f>
        <v>4</v>
      </c>
      <c r="N68" s="84"/>
      <c r="O68" s="78">
        <f t="shared" ref="O68:O72" si="46">L68*M68-N68*L68</f>
        <v>16</v>
      </c>
    </row>
    <row r="69" spans="1:16" ht="18" customHeight="1">
      <c r="A69" s="104"/>
      <c r="B69" s="93"/>
      <c r="C69" s="87"/>
      <c r="D69" s="88">
        <v>288</v>
      </c>
      <c r="E69" s="88">
        <v>910</v>
      </c>
      <c r="F69" s="89">
        <f t="shared" si="41"/>
        <v>8</v>
      </c>
      <c r="G69" s="90">
        <f t="shared" si="42"/>
        <v>22.836976766983629</v>
      </c>
      <c r="H69" s="90">
        <f t="shared" si="43"/>
        <v>38.335999999999999</v>
      </c>
      <c r="I69" s="91" t="str">
        <f t="shared" si="44"/>
        <v>1동4라인</v>
      </c>
      <c r="J69" s="92" t="s">
        <v>215</v>
      </c>
      <c r="L69" s="89">
        <v>2</v>
      </c>
      <c r="M69" s="78">
        <f t="shared" si="45"/>
        <v>4</v>
      </c>
      <c r="N69" s="78"/>
      <c r="O69" s="78">
        <f t="shared" si="46"/>
        <v>8</v>
      </c>
    </row>
    <row r="70" spans="1:16" ht="18" customHeight="1">
      <c r="A70" s="104"/>
      <c r="B70" s="93"/>
      <c r="C70" s="87"/>
      <c r="D70" s="88">
        <v>228</v>
      </c>
      <c r="E70" s="88">
        <v>910</v>
      </c>
      <c r="F70" s="89">
        <f t="shared" si="41"/>
        <v>8</v>
      </c>
      <c r="G70" s="90">
        <f t="shared" si="42"/>
        <v>18.079273273862039</v>
      </c>
      <c r="H70" s="90">
        <f t="shared" si="43"/>
        <v>36.416000000000004</v>
      </c>
      <c r="I70" s="91" t="str">
        <f t="shared" si="44"/>
        <v>1동4라인</v>
      </c>
      <c r="J70" s="92" t="s">
        <v>216</v>
      </c>
      <c r="L70" s="89">
        <v>2</v>
      </c>
      <c r="M70" s="78">
        <f t="shared" si="45"/>
        <v>4</v>
      </c>
      <c r="N70" s="78"/>
      <c r="O70" s="78">
        <f t="shared" si="46"/>
        <v>8</v>
      </c>
    </row>
    <row r="71" spans="1:16" ht="18" customHeight="1">
      <c r="A71" s="104"/>
      <c r="B71" s="93"/>
      <c r="C71" s="87"/>
      <c r="D71" s="88">
        <v>438</v>
      </c>
      <c r="E71" s="88">
        <v>270</v>
      </c>
      <c r="F71" s="89">
        <f t="shared" si="41"/>
        <v>8</v>
      </c>
      <c r="G71" s="90">
        <f t="shared" si="42"/>
        <v>10.304872071365553</v>
      </c>
      <c r="H71" s="90">
        <f t="shared" si="43"/>
        <v>22.655999999999999</v>
      </c>
      <c r="I71" s="91" t="str">
        <f t="shared" si="44"/>
        <v>1동4라인</v>
      </c>
      <c r="J71" s="92" t="s">
        <v>217</v>
      </c>
      <c r="L71" s="89">
        <v>2</v>
      </c>
      <c r="M71" s="78">
        <f t="shared" si="45"/>
        <v>4</v>
      </c>
      <c r="N71" s="78"/>
      <c r="O71" s="78">
        <f t="shared" si="46"/>
        <v>8</v>
      </c>
    </row>
    <row r="72" spans="1:16" ht="18" customHeight="1">
      <c r="A72" s="104"/>
      <c r="B72" s="93"/>
      <c r="C72" s="87"/>
      <c r="D72" s="88">
        <v>208</v>
      </c>
      <c r="E72" s="88">
        <v>910</v>
      </c>
      <c r="F72" s="89">
        <f t="shared" si="41"/>
        <v>8</v>
      </c>
      <c r="G72" s="90">
        <f t="shared" si="42"/>
        <v>16.493372109488178</v>
      </c>
      <c r="H72" s="90">
        <f t="shared" si="43"/>
        <v>35.776000000000003</v>
      </c>
      <c r="I72" s="91" t="str">
        <f t="shared" si="44"/>
        <v>1동4라인</v>
      </c>
      <c r="J72" s="92" t="s">
        <v>218</v>
      </c>
      <c r="L72" s="89">
        <v>2</v>
      </c>
      <c r="M72" s="78">
        <f t="shared" si="45"/>
        <v>4</v>
      </c>
      <c r="N72" s="78"/>
      <c r="O72" s="78">
        <f t="shared" si="46"/>
        <v>8</v>
      </c>
    </row>
    <row r="73" spans="1:16" ht="18" customHeight="1">
      <c r="A73" s="104"/>
      <c r="B73" s="87"/>
      <c r="C73" s="87"/>
      <c r="D73" s="325" t="s">
        <v>0</v>
      </c>
      <c r="E73" s="325"/>
      <c r="F73" s="171">
        <f>SUM(F66:F72)</f>
        <v>60</v>
      </c>
      <c r="G73" s="95">
        <f>SUM(G66:G72)</f>
        <v>489.33851801021683</v>
      </c>
      <c r="H73" s="95">
        <f>SUM(H66:H72)</f>
        <v>402.49600000000004</v>
      </c>
      <c r="I73" s="97"/>
      <c r="J73" s="98"/>
    </row>
    <row r="74" spans="1:16">
      <c r="A74" s="105"/>
      <c r="B74" s="9"/>
      <c r="C74" s="9"/>
      <c r="D74" s="51"/>
      <c r="E74" s="51"/>
      <c r="F74" s="51"/>
      <c r="G74" s="106"/>
      <c r="H74" s="106"/>
      <c r="I74" s="9"/>
      <c r="J74" s="107"/>
    </row>
    <row r="75" spans="1:16" ht="18" customHeight="1">
      <c r="A75" s="85"/>
      <c r="B75" s="163" t="s">
        <v>199</v>
      </c>
      <c r="C75" s="163">
        <v>22</v>
      </c>
      <c r="D75" s="88">
        <v>738</v>
      </c>
      <c r="E75" s="88">
        <v>1810</v>
      </c>
      <c r="F75" s="89">
        <f t="shared" ref="F75:F76" si="47">O75</f>
        <v>8</v>
      </c>
      <c r="G75" s="90">
        <f t="shared" ref="G75:G76" si="48">D75*E75/91809*F75</f>
        <v>116.39643172238016</v>
      </c>
      <c r="H75" s="90">
        <f t="shared" ref="H75:H76" si="49">(D75/1000)*4*F75+(E75/1000)*4*F75</f>
        <v>81.536000000000001</v>
      </c>
      <c r="I75" s="91" t="str">
        <f>I66</f>
        <v>1동4라인</v>
      </c>
      <c r="J75" s="92" t="s">
        <v>219</v>
      </c>
      <c r="L75" s="89">
        <v>2</v>
      </c>
      <c r="M75" s="78">
        <f>M57</f>
        <v>4</v>
      </c>
      <c r="N75" s="84"/>
      <c r="O75" s="78">
        <f>L75*M75-N75*L75</f>
        <v>8</v>
      </c>
      <c r="P75" s="64"/>
    </row>
    <row r="76" spans="1:16" ht="18" customHeight="1">
      <c r="A76" s="85"/>
      <c r="B76" s="86"/>
      <c r="C76" s="87"/>
      <c r="D76" s="88">
        <v>250</v>
      </c>
      <c r="E76" s="88">
        <v>930</v>
      </c>
      <c r="F76" s="89">
        <f t="shared" si="47"/>
        <v>8</v>
      </c>
      <c r="G76" s="90">
        <f t="shared" si="48"/>
        <v>20.259451687743031</v>
      </c>
      <c r="H76" s="90">
        <f t="shared" si="49"/>
        <v>37.760000000000005</v>
      </c>
      <c r="I76" s="91" t="str">
        <f>I75</f>
        <v>1동4라인</v>
      </c>
      <c r="J76" s="92" t="s">
        <v>220</v>
      </c>
      <c r="L76" s="89">
        <v>2</v>
      </c>
      <c r="M76" s="78">
        <f>M75</f>
        <v>4</v>
      </c>
      <c r="N76" s="84"/>
      <c r="O76" s="78">
        <f t="shared" ref="O76" si="50">L76*M76-N76*L76</f>
        <v>8</v>
      </c>
    </row>
    <row r="77" spans="1:16" ht="18" customHeight="1">
      <c r="A77" s="85"/>
      <c r="B77" s="93"/>
      <c r="C77" s="87"/>
      <c r="D77" s="325" t="s">
        <v>0</v>
      </c>
      <c r="E77" s="325"/>
      <c r="F77" s="94">
        <f>SUM(F75:F76)</f>
        <v>16</v>
      </c>
      <c r="G77" s="95">
        <f>SUM(G75:G76)</f>
        <v>136.65588341012318</v>
      </c>
      <c r="H77" s="95">
        <f>SUM(H75:H76)</f>
        <v>119.29600000000001</v>
      </c>
      <c r="I77" s="97"/>
      <c r="J77" s="98"/>
    </row>
    <row r="78" spans="1:16" ht="18" customHeight="1">
      <c r="A78" s="236"/>
      <c r="B78" s="237"/>
      <c r="C78" s="238"/>
      <c r="D78" s="362"/>
      <c r="E78" s="362"/>
      <c r="F78" s="239"/>
      <c r="G78" s="240"/>
      <c r="H78" s="241"/>
      <c r="I78" s="242"/>
      <c r="J78" s="243"/>
    </row>
    <row r="79" spans="1:16" ht="18" customHeight="1">
      <c r="A79" s="244" t="s">
        <v>234</v>
      </c>
      <c r="B79" s="23" t="s">
        <v>195</v>
      </c>
      <c r="C79" s="24">
        <v>22</v>
      </c>
      <c r="D79" s="88">
        <v>761</v>
      </c>
      <c r="E79" s="88">
        <v>1810</v>
      </c>
      <c r="F79" s="89">
        <f>O79</f>
        <v>10</v>
      </c>
      <c r="G79" s="90">
        <f t="shared" ref="G79:G85" si="51">D79*E79/91809*F79</f>
        <v>150.02995349039855</v>
      </c>
      <c r="H79" s="90">
        <f t="shared" ref="H79:H85" si="52">(D79/1000)*4*F79+(E79/1000)*4*F79</f>
        <v>102.84</v>
      </c>
      <c r="I79" s="91" t="s">
        <v>241</v>
      </c>
      <c r="J79" s="163" t="s">
        <v>205</v>
      </c>
      <c r="L79" s="89">
        <v>2</v>
      </c>
      <c r="M79" s="78">
        <v>5</v>
      </c>
      <c r="N79" s="84"/>
      <c r="O79" s="78">
        <f>L79*M79-N79*L79</f>
        <v>10</v>
      </c>
      <c r="P79" s="64"/>
    </row>
    <row r="80" spans="1:16" ht="18" customHeight="1">
      <c r="A80" s="85"/>
      <c r="B80" s="86"/>
      <c r="C80" s="87"/>
      <c r="D80" s="88">
        <v>1688</v>
      </c>
      <c r="E80" s="88">
        <v>1810</v>
      </c>
      <c r="F80" s="89">
        <f t="shared" ref="F80:F85" si="53">O80</f>
        <v>5</v>
      </c>
      <c r="G80" s="90">
        <f t="shared" si="51"/>
        <v>166.39327299066539</v>
      </c>
      <c r="H80" s="90">
        <f t="shared" si="52"/>
        <v>69.960000000000008</v>
      </c>
      <c r="I80" s="91" t="str">
        <f>I79</f>
        <v>1동5라인</v>
      </c>
      <c r="J80" s="92" t="s">
        <v>206</v>
      </c>
      <c r="L80" s="89">
        <v>1</v>
      </c>
      <c r="M80" s="78">
        <f>M79</f>
        <v>5</v>
      </c>
      <c r="N80" s="84"/>
      <c r="O80" s="78">
        <f t="shared" ref="O80:O85" si="54">L80*M80-N80*L80</f>
        <v>5</v>
      </c>
    </row>
    <row r="81" spans="1:15" ht="18" customHeight="1">
      <c r="A81" s="85"/>
      <c r="B81" s="86"/>
      <c r="C81" s="87"/>
      <c r="D81" s="88">
        <v>738</v>
      </c>
      <c r="E81" s="88">
        <v>1310</v>
      </c>
      <c r="F81" s="89">
        <f t="shared" si="53"/>
        <v>20</v>
      </c>
      <c r="G81" s="90">
        <f t="shared" si="51"/>
        <v>210.6068032545829</v>
      </c>
      <c r="H81" s="90">
        <f t="shared" si="52"/>
        <v>163.84</v>
      </c>
      <c r="I81" s="91" t="str">
        <f t="shared" ref="I81:I85" si="55">I80</f>
        <v>1동5라인</v>
      </c>
      <c r="J81" s="92" t="s">
        <v>207</v>
      </c>
      <c r="L81" s="89">
        <v>4</v>
      </c>
      <c r="M81" s="78">
        <f t="shared" ref="M81:M84" si="56">M80</f>
        <v>5</v>
      </c>
      <c r="N81" s="78"/>
      <c r="O81" s="78">
        <f t="shared" si="54"/>
        <v>20</v>
      </c>
    </row>
    <row r="82" spans="1:15" ht="18" customHeight="1">
      <c r="A82" s="85"/>
      <c r="B82" s="86"/>
      <c r="C82" s="87"/>
      <c r="D82" s="88">
        <v>288</v>
      </c>
      <c r="E82" s="88">
        <v>910</v>
      </c>
      <c r="F82" s="89">
        <f t="shared" si="53"/>
        <v>10</v>
      </c>
      <c r="G82" s="90">
        <f t="shared" si="51"/>
        <v>28.546220958729535</v>
      </c>
      <c r="H82" s="90">
        <f t="shared" si="52"/>
        <v>47.92</v>
      </c>
      <c r="I82" s="91" t="str">
        <f t="shared" si="55"/>
        <v>1동5라인</v>
      </c>
      <c r="J82" s="92" t="s">
        <v>208</v>
      </c>
      <c r="L82" s="89">
        <v>2</v>
      </c>
      <c r="M82" s="78">
        <f t="shared" si="56"/>
        <v>5</v>
      </c>
      <c r="N82" s="78"/>
      <c r="O82" s="78">
        <f t="shared" si="54"/>
        <v>10</v>
      </c>
    </row>
    <row r="83" spans="1:15" ht="18" customHeight="1">
      <c r="A83" s="85"/>
      <c r="B83" s="86"/>
      <c r="C83" s="87"/>
      <c r="D83" s="88">
        <v>228</v>
      </c>
      <c r="E83" s="88">
        <v>910</v>
      </c>
      <c r="F83" s="89">
        <f t="shared" si="53"/>
        <v>10</v>
      </c>
      <c r="G83" s="90">
        <f t="shared" si="51"/>
        <v>22.59909159232755</v>
      </c>
      <c r="H83" s="90">
        <f t="shared" si="52"/>
        <v>45.519999999999996</v>
      </c>
      <c r="I83" s="91" t="str">
        <f t="shared" si="55"/>
        <v>1동5라인</v>
      </c>
      <c r="J83" s="92" t="s">
        <v>209</v>
      </c>
      <c r="L83" s="89">
        <v>2</v>
      </c>
      <c r="M83" s="78">
        <f t="shared" si="56"/>
        <v>5</v>
      </c>
      <c r="N83" s="78"/>
      <c r="O83" s="78">
        <f t="shared" si="54"/>
        <v>10</v>
      </c>
    </row>
    <row r="84" spans="1:15" ht="18" customHeight="1">
      <c r="A84" s="85"/>
      <c r="B84" s="86"/>
      <c r="C84" s="87"/>
      <c r="D84" s="88">
        <v>438</v>
      </c>
      <c r="E84" s="88">
        <v>270</v>
      </c>
      <c r="F84" s="89">
        <f t="shared" si="53"/>
        <v>10</v>
      </c>
      <c r="G84" s="90">
        <f t="shared" si="51"/>
        <v>12.881090089206941</v>
      </c>
      <c r="H84" s="90">
        <f t="shared" si="52"/>
        <v>28.32</v>
      </c>
      <c r="I84" s="91" t="str">
        <f t="shared" si="55"/>
        <v>1동5라인</v>
      </c>
      <c r="J84" s="92" t="s">
        <v>210</v>
      </c>
      <c r="L84" s="89">
        <v>2</v>
      </c>
      <c r="M84" s="78">
        <f t="shared" si="56"/>
        <v>5</v>
      </c>
      <c r="N84" s="78"/>
      <c r="O84" s="78">
        <f t="shared" si="54"/>
        <v>10</v>
      </c>
    </row>
    <row r="85" spans="1:15" ht="18" customHeight="1">
      <c r="A85" s="85"/>
      <c r="B85" s="86"/>
      <c r="C85" s="87"/>
      <c r="D85" s="88">
        <v>208</v>
      </c>
      <c r="E85" s="88">
        <v>910</v>
      </c>
      <c r="F85" s="89">
        <f t="shared" si="53"/>
        <v>10</v>
      </c>
      <c r="G85" s="90">
        <f t="shared" si="51"/>
        <v>20.616715136860222</v>
      </c>
      <c r="H85" s="90">
        <f t="shared" si="52"/>
        <v>44.72</v>
      </c>
      <c r="I85" s="91" t="str">
        <f t="shared" si="55"/>
        <v>1동5라인</v>
      </c>
      <c r="J85" s="92" t="s">
        <v>211</v>
      </c>
      <c r="L85" s="89">
        <v>2</v>
      </c>
      <c r="M85" s="78">
        <f>M84</f>
        <v>5</v>
      </c>
      <c r="N85" s="78"/>
      <c r="O85" s="78">
        <f t="shared" si="54"/>
        <v>10</v>
      </c>
    </row>
    <row r="86" spans="1:15" ht="18" customHeight="1">
      <c r="A86" s="85"/>
      <c r="B86" s="93"/>
      <c r="C86" s="87"/>
      <c r="D86" s="325" t="s">
        <v>0</v>
      </c>
      <c r="E86" s="325"/>
      <c r="F86" s="94">
        <f>SUM(F79:F85)</f>
        <v>75</v>
      </c>
      <c r="G86" s="95">
        <f>SUM(G79:G85)</f>
        <v>611.67314751277115</v>
      </c>
      <c r="H86" s="96">
        <f>SUM(H79:H85)</f>
        <v>503.12</v>
      </c>
      <c r="I86" s="97"/>
      <c r="J86" s="162"/>
    </row>
    <row r="87" spans="1:15" ht="18" customHeight="1">
      <c r="A87" s="85"/>
      <c r="B87" s="93"/>
      <c r="C87" s="87"/>
      <c r="D87" s="161"/>
      <c r="E87" s="161"/>
      <c r="F87" s="89"/>
      <c r="G87" s="100"/>
      <c r="H87" s="101"/>
      <c r="I87" s="102"/>
      <c r="J87" s="121"/>
      <c r="L87" s="78" t="s">
        <v>48</v>
      </c>
      <c r="M87" s="78" t="s">
        <v>54</v>
      </c>
      <c r="N87" s="78" t="s">
        <v>50</v>
      </c>
      <c r="O87" s="78" t="s">
        <v>55</v>
      </c>
    </row>
    <row r="88" spans="1:15" ht="18" customHeight="1">
      <c r="A88" s="85"/>
      <c r="B88" s="23" t="s">
        <v>197</v>
      </c>
      <c r="C88" s="24">
        <v>22</v>
      </c>
      <c r="D88" s="88">
        <v>761</v>
      </c>
      <c r="E88" s="88">
        <v>1810</v>
      </c>
      <c r="F88" s="89">
        <f t="shared" ref="F88:F94" si="57">O88</f>
        <v>10</v>
      </c>
      <c r="G88" s="90">
        <f t="shared" ref="G88:G94" si="58">D88*E88/91809*F88</f>
        <v>150.02995349039855</v>
      </c>
      <c r="H88" s="90">
        <f t="shared" ref="H88:H94" si="59">(D88/1000)*4*F88+(E88/1000)*4*F88</f>
        <v>102.84</v>
      </c>
      <c r="I88" s="91" t="str">
        <f t="shared" ref="I88:I94" si="60">I79</f>
        <v>1동5라인</v>
      </c>
      <c r="J88" s="92" t="s">
        <v>212</v>
      </c>
      <c r="L88" s="89">
        <v>2</v>
      </c>
      <c r="M88" s="78">
        <f>M79</f>
        <v>5</v>
      </c>
      <c r="N88" s="84"/>
      <c r="O88" s="78">
        <f>L88*M88-N88*L88</f>
        <v>10</v>
      </c>
    </row>
    <row r="89" spans="1:15" ht="18" customHeight="1">
      <c r="A89" s="85"/>
      <c r="B89" s="86"/>
      <c r="C89" s="87"/>
      <c r="D89" s="88">
        <v>1688</v>
      </c>
      <c r="E89" s="88">
        <v>1810</v>
      </c>
      <c r="F89" s="89">
        <f t="shared" si="57"/>
        <v>5</v>
      </c>
      <c r="G89" s="90">
        <f t="shared" si="58"/>
        <v>166.39327299066539</v>
      </c>
      <c r="H89" s="90">
        <f t="shared" si="59"/>
        <v>69.960000000000008</v>
      </c>
      <c r="I89" s="91" t="str">
        <f t="shared" si="60"/>
        <v>1동5라인</v>
      </c>
      <c r="J89" s="92" t="s">
        <v>213</v>
      </c>
      <c r="L89" s="89">
        <v>1</v>
      </c>
      <c r="M89" s="78">
        <f>M88</f>
        <v>5</v>
      </c>
      <c r="N89" s="84"/>
      <c r="O89" s="78">
        <f>L89*M89-N89*L89</f>
        <v>5</v>
      </c>
    </row>
    <row r="90" spans="1:15" ht="18" customHeight="1">
      <c r="A90" s="104"/>
      <c r="B90" s="93"/>
      <c r="C90" s="87"/>
      <c r="D90" s="88">
        <v>738</v>
      </c>
      <c r="E90" s="88">
        <v>1310</v>
      </c>
      <c r="F90" s="89">
        <f t="shared" si="57"/>
        <v>20</v>
      </c>
      <c r="G90" s="90">
        <f t="shared" si="58"/>
        <v>210.6068032545829</v>
      </c>
      <c r="H90" s="90">
        <f t="shared" si="59"/>
        <v>163.84</v>
      </c>
      <c r="I90" s="91" t="str">
        <f t="shared" si="60"/>
        <v>1동5라인</v>
      </c>
      <c r="J90" s="92" t="s">
        <v>214</v>
      </c>
      <c r="L90" s="89">
        <v>4</v>
      </c>
      <c r="M90" s="78">
        <f t="shared" ref="M90:M94" si="61">M89</f>
        <v>5</v>
      </c>
      <c r="N90" s="84"/>
      <c r="O90" s="78">
        <f t="shared" ref="O90:O94" si="62">L90*M90-N90*L90</f>
        <v>20</v>
      </c>
    </row>
    <row r="91" spans="1:15" ht="18" customHeight="1">
      <c r="A91" s="104"/>
      <c r="B91" s="93"/>
      <c r="C91" s="87"/>
      <c r="D91" s="88">
        <v>288</v>
      </c>
      <c r="E91" s="88">
        <v>910</v>
      </c>
      <c r="F91" s="89">
        <f t="shared" si="57"/>
        <v>10</v>
      </c>
      <c r="G91" s="90">
        <f t="shared" si="58"/>
        <v>28.546220958729535</v>
      </c>
      <c r="H91" s="90">
        <f t="shared" si="59"/>
        <v>47.92</v>
      </c>
      <c r="I91" s="91" t="str">
        <f t="shared" si="60"/>
        <v>1동5라인</v>
      </c>
      <c r="J91" s="92" t="s">
        <v>215</v>
      </c>
      <c r="L91" s="89">
        <v>2</v>
      </c>
      <c r="M91" s="78">
        <f t="shared" si="61"/>
        <v>5</v>
      </c>
      <c r="N91" s="78"/>
      <c r="O91" s="78">
        <f t="shared" si="62"/>
        <v>10</v>
      </c>
    </row>
    <row r="92" spans="1:15" ht="18" customHeight="1">
      <c r="A92" s="104"/>
      <c r="B92" s="93"/>
      <c r="C92" s="87"/>
      <c r="D92" s="88">
        <v>228</v>
      </c>
      <c r="E92" s="88">
        <v>910</v>
      </c>
      <c r="F92" s="89">
        <f t="shared" si="57"/>
        <v>10</v>
      </c>
      <c r="G92" s="90">
        <f t="shared" si="58"/>
        <v>22.59909159232755</v>
      </c>
      <c r="H92" s="90">
        <f t="shared" si="59"/>
        <v>45.519999999999996</v>
      </c>
      <c r="I92" s="91" t="str">
        <f t="shared" si="60"/>
        <v>1동5라인</v>
      </c>
      <c r="J92" s="92" t="s">
        <v>216</v>
      </c>
      <c r="L92" s="89">
        <v>2</v>
      </c>
      <c r="M92" s="78">
        <f t="shared" si="61"/>
        <v>5</v>
      </c>
      <c r="N92" s="78"/>
      <c r="O92" s="78">
        <f t="shared" si="62"/>
        <v>10</v>
      </c>
    </row>
    <row r="93" spans="1:15" ht="18" customHeight="1">
      <c r="A93" s="104"/>
      <c r="B93" s="93"/>
      <c r="C93" s="87"/>
      <c r="D93" s="88">
        <v>438</v>
      </c>
      <c r="E93" s="88">
        <v>270</v>
      </c>
      <c r="F93" s="89">
        <f t="shared" si="57"/>
        <v>10</v>
      </c>
      <c r="G93" s="90">
        <f t="shared" si="58"/>
        <v>12.881090089206941</v>
      </c>
      <c r="H93" s="90">
        <f t="shared" si="59"/>
        <v>28.32</v>
      </c>
      <c r="I93" s="91" t="str">
        <f t="shared" si="60"/>
        <v>1동5라인</v>
      </c>
      <c r="J93" s="92" t="s">
        <v>217</v>
      </c>
      <c r="L93" s="89">
        <v>2</v>
      </c>
      <c r="M93" s="78">
        <f t="shared" si="61"/>
        <v>5</v>
      </c>
      <c r="N93" s="78"/>
      <c r="O93" s="78">
        <f t="shared" si="62"/>
        <v>10</v>
      </c>
    </row>
    <row r="94" spans="1:15" ht="18" customHeight="1">
      <c r="A94" s="104"/>
      <c r="B94" s="93"/>
      <c r="C94" s="87"/>
      <c r="D94" s="88">
        <v>208</v>
      </c>
      <c r="E94" s="88">
        <v>910</v>
      </c>
      <c r="F94" s="89">
        <f t="shared" si="57"/>
        <v>10</v>
      </c>
      <c r="G94" s="90">
        <f t="shared" si="58"/>
        <v>20.616715136860222</v>
      </c>
      <c r="H94" s="90">
        <f t="shared" si="59"/>
        <v>44.72</v>
      </c>
      <c r="I94" s="91" t="str">
        <f t="shared" si="60"/>
        <v>1동5라인</v>
      </c>
      <c r="J94" s="92" t="s">
        <v>218</v>
      </c>
      <c r="L94" s="89">
        <v>2</v>
      </c>
      <c r="M94" s="78">
        <f t="shared" si="61"/>
        <v>5</v>
      </c>
      <c r="N94" s="78"/>
      <c r="O94" s="78">
        <f t="shared" si="62"/>
        <v>10</v>
      </c>
    </row>
    <row r="95" spans="1:15" ht="18" customHeight="1">
      <c r="A95" s="104"/>
      <c r="B95" s="87"/>
      <c r="C95" s="87"/>
      <c r="D95" s="325" t="s">
        <v>0</v>
      </c>
      <c r="E95" s="325"/>
      <c r="F95" s="171">
        <f>SUM(F88:F94)</f>
        <v>75</v>
      </c>
      <c r="G95" s="95">
        <f>SUM(G88:G94)</f>
        <v>611.67314751277115</v>
      </c>
      <c r="H95" s="95">
        <f>SUM(H88:H94)</f>
        <v>503.12</v>
      </c>
      <c r="I95" s="97"/>
      <c r="J95" s="98"/>
    </row>
    <row r="96" spans="1:15">
      <c r="A96" s="105"/>
      <c r="B96" s="9"/>
      <c r="C96" s="9"/>
      <c r="D96" s="51"/>
      <c r="E96" s="51"/>
      <c r="F96" s="51"/>
      <c r="G96" s="106"/>
      <c r="H96" s="106"/>
      <c r="I96" s="9"/>
      <c r="J96" s="107"/>
    </row>
    <row r="97" spans="1:16" ht="18" customHeight="1">
      <c r="A97" s="85"/>
      <c r="B97" s="163" t="s">
        <v>199</v>
      </c>
      <c r="C97" s="163">
        <v>22</v>
      </c>
      <c r="D97" s="88">
        <v>738</v>
      </c>
      <c r="E97" s="88">
        <v>1810</v>
      </c>
      <c r="F97" s="89">
        <f t="shared" ref="F97:F98" si="63">O97</f>
        <v>10</v>
      </c>
      <c r="G97" s="90">
        <f t="shared" ref="G97:G98" si="64">D97*E97/91809*F97</f>
        <v>145.4955396529752</v>
      </c>
      <c r="H97" s="90">
        <f t="shared" ref="H97:H98" si="65">(D97/1000)*4*F97+(E97/1000)*4*F97</f>
        <v>101.92</v>
      </c>
      <c r="I97" s="91" t="str">
        <f>I88</f>
        <v>1동5라인</v>
      </c>
      <c r="J97" s="92" t="s">
        <v>219</v>
      </c>
      <c r="L97" s="89">
        <v>2</v>
      </c>
      <c r="M97" s="78">
        <f>M79</f>
        <v>5</v>
      </c>
      <c r="N97" s="84"/>
      <c r="O97" s="78">
        <f>L97*M97-N97*L97</f>
        <v>10</v>
      </c>
      <c r="P97" s="64"/>
    </row>
    <row r="98" spans="1:16" ht="18" customHeight="1">
      <c r="A98" s="85"/>
      <c r="B98" s="86"/>
      <c r="C98" s="87"/>
      <c r="D98" s="88">
        <v>250</v>
      </c>
      <c r="E98" s="88">
        <v>930</v>
      </c>
      <c r="F98" s="89">
        <f t="shared" si="63"/>
        <v>10</v>
      </c>
      <c r="G98" s="90">
        <f t="shared" si="64"/>
        <v>25.324314609678787</v>
      </c>
      <c r="H98" s="90">
        <f t="shared" si="65"/>
        <v>47.2</v>
      </c>
      <c r="I98" s="91" t="str">
        <f>I97</f>
        <v>1동5라인</v>
      </c>
      <c r="J98" s="92" t="s">
        <v>220</v>
      </c>
      <c r="L98" s="89">
        <v>2</v>
      </c>
      <c r="M98" s="78">
        <f>M97</f>
        <v>5</v>
      </c>
      <c r="N98" s="84"/>
      <c r="O98" s="78">
        <f t="shared" ref="O98" si="66">L98*M98-N98*L98</f>
        <v>10</v>
      </c>
    </row>
    <row r="99" spans="1:16" ht="18" customHeight="1">
      <c r="A99" s="85"/>
      <c r="B99" s="93"/>
      <c r="C99" s="87"/>
      <c r="D99" s="325" t="s">
        <v>0</v>
      </c>
      <c r="E99" s="325"/>
      <c r="F99" s="94">
        <f>SUM(F97:F98)</f>
        <v>20</v>
      </c>
      <c r="G99" s="95">
        <f>SUM(G97:G98)</f>
        <v>170.81985426265399</v>
      </c>
      <c r="H99" s="95">
        <f>SUM(H97:H98)</f>
        <v>149.12</v>
      </c>
      <c r="I99" s="97"/>
      <c r="J99" s="98"/>
    </row>
    <row r="100" spans="1:16" ht="18" customHeight="1" thickBot="1">
      <c r="A100" s="222"/>
      <c r="B100" s="245"/>
      <c r="C100" s="224"/>
      <c r="D100" s="246"/>
      <c r="E100" s="246"/>
      <c r="F100" s="226"/>
      <c r="G100" s="247"/>
      <c r="H100" s="247"/>
      <c r="I100" s="248"/>
      <c r="J100" s="249"/>
      <c r="L100" s="250"/>
      <c r="M100" s="250"/>
      <c r="N100" s="250"/>
      <c r="O100" s="250"/>
    </row>
    <row r="101" spans="1:16" ht="18" customHeight="1">
      <c r="A101" s="79" t="s">
        <v>242</v>
      </c>
      <c r="B101" s="231" t="s">
        <v>195</v>
      </c>
      <c r="C101" s="232">
        <v>22</v>
      </c>
      <c r="D101" s="80">
        <v>761</v>
      </c>
      <c r="E101" s="80">
        <v>1810</v>
      </c>
      <c r="F101" s="233">
        <f t="shared" ref="F101:F106" si="67">O101</f>
        <v>10</v>
      </c>
      <c r="G101" s="81">
        <f t="shared" ref="G101:G106" si="68">D101*E101/91809*F101</f>
        <v>150.02995349039855</v>
      </c>
      <c r="H101" s="81">
        <f t="shared" ref="H101:H106" si="69">(D101/1000)*4*F101+(E101/1000)*4*F101</f>
        <v>102.84</v>
      </c>
      <c r="I101" s="82" t="s">
        <v>243</v>
      </c>
      <c r="J101" s="83" t="s">
        <v>205</v>
      </c>
      <c r="L101" s="89">
        <v>2</v>
      </c>
      <c r="M101" s="78">
        <v>5</v>
      </c>
      <c r="N101" s="78"/>
      <c r="O101" s="78">
        <f t="shared" ref="O101:O106" si="70">L101*M101-N101*L101</f>
        <v>10</v>
      </c>
    </row>
    <row r="102" spans="1:16" ht="18" customHeight="1">
      <c r="A102" s="85"/>
      <c r="B102" s="86"/>
      <c r="C102" s="87"/>
      <c r="D102" s="88">
        <v>1688</v>
      </c>
      <c r="E102" s="88">
        <v>1810</v>
      </c>
      <c r="F102" s="89">
        <f t="shared" si="67"/>
        <v>5</v>
      </c>
      <c r="G102" s="90">
        <f t="shared" si="68"/>
        <v>166.39327299066539</v>
      </c>
      <c r="H102" s="90">
        <f t="shared" si="69"/>
        <v>69.960000000000008</v>
      </c>
      <c r="I102" s="91" t="str">
        <f>I101</f>
        <v>1동6라인</v>
      </c>
      <c r="J102" s="92" t="s">
        <v>206</v>
      </c>
      <c r="L102" s="89">
        <v>1</v>
      </c>
      <c r="M102" s="78">
        <f t="shared" ref="M102:M118" si="71">M101</f>
        <v>5</v>
      </c>
      <c r="N102" s="78"/>
      <c r="O102" s="78">
        <f t="shared" si="70"/>
        <v>5</v>
      </c>
    </row>
    <row r="103" spans="1:16" ht="18" customHeight="1">
      <c r="A103" s="85"/>
      <c r="B103" s="86"/>
      <c r="C103" s="87"/>
      <c r="D103" s="88">
        <v>738</v>
      </c>
      <c r="E103" s="88">
        <v>1310</v>
      </c>
      <c r="F103" s="89">
        <f t="shared" si="67"/>
        <v>20</v>
      </c>
      <c r="G103" s="90">
        <f t="shared" si="68"/>
        <v>210.6068032545829</v>
      </c>
      <c r="H103" s="90">
        <f t="shared" si="69"/>
        <v>163.84</v>
      </c>
      <c r="I103" s="91" t="str">
        <f t="shared" ref="I103:I106" si="72">I102</f>
        <v>1동6라인</v>
      </c>
      <c r="J103" s="92" t="s">
        <v>207</v>
      </c>
      <c r="L103" s="89">
        <v>4</v>
      </c>
      <c r="M103" s="78">
        <f t="shared" si="71"/>
        <v>5</v>
      </c>
      <c r="N103" s="78"/>
      <c r="O103" s="78">
        <f t="shared" si="70"/>
        <v>20</v>
      </c>
    </row>
    <row r="104" spans="1:16" ht="18" customHeight="1">
      <c r="A104" s="85"/>
      <c r="B104" s="86"/>
      <c r="C104" s="87"/>
      <c r="D104" s="88">
        <v>438</v>
      </c>
      <c r="E104" s="88">
        <v>910</v>
      </c>
      <c r="F104" s="89">
        <f t="shared" si="67"/>
        <v>10</v>
      </c>
      <c r="G104" s="90">
        <f t="shared" si="68"/>
        <v>43.414044374734502</v>
      </c>
      <c r="H104" s="90">
        <f t="shared" si="69"/>
        <v>53.92</v>
      </c>
      <c r="I104" s="91" t="str">
        <f t="shared" si="72"/>
        <v>1동6라인</v>
      </c>
      <c r="J104" s="92" t="s">
        <v>223</v>
      </c>
      <c r="L104" s="89">
        <v>2</v>
      </c>
      <c r="M104" s="78">
        <f t="shared" si="71"/>
        <v>5</v>
      </c>
      <c r="N104" s="78"/>
      <c r="O104" s="78">
        <f t="shared" si="70"/>
        <v>10</v>
      </c>
    </row>
    <row r="105" spans="1:16" ht="18" customHeight="1">
      <c r="A105" s="85"/>
      <c r="B105" s="86"/>
      <c r="C105" s="87"/>
      <c r="D105" s="88">
        <v>228</v>
      </c>
      <c r="E105" s="88">
        <v>910</v>
      </c>
      <c r="F105" s="89">
        <f t="shared" si="67"/>
        <v>10</v>
      </c>
      <c r="G105" s="90">
        <f t="shared" si="68"/>
        <v>22.59909159232755</v>
      </c>
      <c r="H105" s="90">
        <f t="shared" si="69"/>
        <v>45.519999999999996</v>
      </c>
      <c r="I105" s="91" t="str">
        <f t="shared" si="72"/>
        <v>1동6라인</v>
      </c>
      <c r="J105" s="92" t="s">
        <v>209</v>
      </c>
      <c r="L105" s="89">
        <v>2</v>
      </c>
      <c r="M105" s="78">
        <f t="shared" si="71"/>
        <v>5</v>
      </c>
      <c r="N105" s="78"/>
      <c r="O105" s="78">
        <f t="shared" si="70"/>
        <v>10</v>
      </c>
    </row>
    <row r="106" spans="1:16" ht="18" customHeight="1">
      <c r="A106" s="85"/>
      <c r="B106" s="86"/>
      <c r="C106" s="87"/>
      <c r="D106" s="88">
        <v>438</v>
      </c>
      <c r="E106" s="88">
        <v>270</v>
      </c>
      <c r="F106" s="89">
        <f t="shared" si="67"/>
        <v>10</v>
      </c>
      <c r="G106" s="90">
        <f t="shared" si="68"/>
        <v>12.881090089206941</v>
      </c>
      <c r="H106" s="90">
        <f t="shared" si="69"/>
        <v>28.32</v>
      </c>
      <c r="I106" s="91" t="str">
        <f t="shared" si="72"/>
        <v>1동6라인</v>
      </c>
      <c r="J106" s="92" t="s">
        <v>210</v>
      </c>
      <c r="L106" s="89">
        <v>2</v>
      </c>
      <c r="M106" s="78">
        <f t="shared" si="71"/>
        <v>5</v>
      </c>
      <c r="N106" s="78"/>
      <c r="O106" s="78">
        <f t="shared" si="70"/>
        <v>10</v>
      </c>
    </row>
    <row r="107" spans="1:16" ht="18" customHeight="1">
      <c r="A107" s="85"/>
      <c r="B107" s="93"/>
      <c r="C107" s="87"/>
      <c r="D107" s="325" t="s">
        <v>0</v>
      </c>
      <c r="E107" s="325"/>
      <c r="F107" s="94">
        <f>SUM(F101:F106)</f>
        <v>65</v>
      </c>
      <c r="G107" s="95">
        <f>SUM(G101:G106)</f>
        <v>605.92425579191593</v>
      </c>
      <c r="H107" s="96">
        <f>SUM(H101:H106)</f>
        <v>464.4</v>
      </c>
      <c r="I107" s="97"/>
      <c r="J107" s="162"/>
      <c r="L107" s="250"/>
      <c r="M107" s="250"/>
      <c r="N107" s="250"/>
      <c r="O107" s="250"/>
    </row>
    <row r="108" spans="1:16" ht="18" customHeight="1">
      <c r="A108" s="85"/>
      <c r="B108" s="93"/>
      <c r="C108" s="87"/>
      <c r="D108" s="161"/>
      <c r="E108" s="161"/>
      <c r="F108" s="89"/>
      <c r="G108" s="100"/>
      <c r="H108" s="101"/>
      <c r="I108" s="102"/>
      <c r="J108" s="121"/>
      <c r="L108" s="250"/>
      <c r="M108" s="250"/>
      <c r="N108" s="250"/>
      <c r="O108" s="250"/>
    </row>
    <row r="109" spans="1:16" ht="18" customHeight="1">
      <c r="A109" s="85"/>
      <c r="B109" s="23" t="s">
        <v>197</v>
      </c>
      <c r="C109" s="24">
        <v>22</v>
      </c>
      <c r="D109" s="88">
        <v>761</v>
      </c>
      <c r="E109" s="88">
        <v>1810</v>
      </c>
      <c r="F109" s="89">
        <f t="shared" ref="F109:F114" si="73">O109</f>
        <v>10</v>
      </c>
      <c r="G109" s="90">
        <f t="shared" ref="G109:G114" si="74">D109*E109/91809*F109</f>
        <v>150.02995349039855</v>
      </c>
      <c r="H109" s="90">
        <f t="shared" ref="H109:H114" si="75">(D109/1000)*4*F109+(E109/1000)*4*F109</f>
        <v>102.84</v>
      </c>
      <c r="I109" s="91" t="str">
        <f>I101</f>
        <v>1동6라인</v>
      </c>
      <c r="J109" s="92" t="s">
        <v>212</v>
      </c>
      <c r="L109" s="89">
        <v>2</v>
      </c>
      <c r="M109" s="78">
        <f>M106</f>
        <v>5</v>
      </c>
      <c r="N109" s="78"/>
      <c r="O109" s="78">
        <f t="shared" ref="O109:O118" si="76">L109*M109-N109*L109</f>
        <v>10</v>
      </c>
    </row>
    <row r="110" spans="1:16" ht="18" customHeight="1">
      <c r="A110" s="85"/>
      <c r="B110" s="86"/>
      <c r="C110" s="87"/>
      <c r="D110" s="88">
        <v>1688</v>
      </c>
      <c r="E110" s="88">
        <v>1810</v>
      </c>
      <c r="F110" s="89">
        <f t="shared" si="73"/>
        <v>5</v>
      </c>
      <c r="G110" s="90">
        <f t="shared" si="74"/>
        <v>166.39327299066539</v>
      </c>
      <c r="H110" s="90">
        <f t="shared" si="75"/>
        <v>69.960000000000008</v>
      </c>
      <c r="I110" s="91" t="str">
        <f>I101</f>
        <v>1동6라인</v>
      </c>
      <c r="J110" s="92" t="s">
        <v>213</v>
      </c>
      <c r="L110" s="89">
        <v>1</v>
      </c>
      <c r="M110" s="78">
        <f t="shared" si="71"/>
        <v>5</v>
      </c>
      <c r="N110" s="78"/>
      <c r="O110" s="78">
        <f t="shared" si="76"/>
        <v>5</v>
      </c>
    </row>
    <row r="111" spans="1:16">
      <c r="A111" s="104"/>
      <c r="B111" s="93"/>
      <c r="C111" s="87"/>
      <c r="D111" s="88">
        <v>738</v>
      </c>
      <c r="E111" s="88">
        <v>1310</v>
      </c>
      <c r="F111" s="89">
        <f t="shared" si="73"/>
        <v>20</v>
      </c>
      <c r="G111" s="90">
        <f t="shared" si="74"/>
        <v>210.6068032545829</v>
      </c>
      <c r="H111" s="90">
        <f t="shared" si="75"/>
        <v>163.84</v>
      </c>
      <c r="I111" s="91" t="str">
        <f>I110</f>
        <v>1동6라인</v>
      </c>
      <c r="J111" s="92" t="s">
        <v>214</v>
      </c>
      <c r="L111" s="89">
        <v>4</v>
      </c>
      <c r="M111" s="78">
        <f t="shared" si="71"/>
        <v>5</v>
      </c>
      <c r="N111" s="78"/>
      <c r="O111" s="78">
        <f t="shared" si="76"/>
        <v>20</v>
      </c>
    </row>
    <row r="112" spans="1:16" ht="18" customHeight="1">
      <c r="A112" s="104"/>
      <c r="B112" s="93"/>
      <c r="C112" s="87"/>
      <c r="D112" s="88">
        <v>438</v>
      </c>
      <c r="E112" s="88">
        <v>910</v>
      </c>
      <c r="F112" s="89">
        <f t="shared" si="73"/>
        <v>10</v>
      </c>
      <c r="G112" s="90">
        <f t="shared" si="74"/>
        <v>43.414044374734502</v>
      </c>
      <c r="H112" s="90">
        <f t="shared" si="75"/>
        <v>53.92</v>
      </c>
      <c r="I112" s="91" t="str">
        <f t="shared" ref="I112:I114" si="77">I111</f>
        <v>1동6라인</v>
      </c>
      <c r="J112" s="92" t="s">
        <v>225</v>
      </c>
      <c r="L112" s="89">
        <v>2</v>
      </c>
      <c r="M112" s="78">
        <f t="shared" si="71"/>
        <v>5</v>
      </c>
      <c r="N112" s="78"/>
      <c r="O112" s="78">
        <f t="shared" si="76"/>
        <v>10</v>
      </c>
      <c r="P112" s="64"/>
    </row>
    <row r="113" spans="1:16" ht="18" customHeight="1">
      <c r="A113" s="104"/>
      <c r="B113" s="93"/>
      <c r="C113" s="87"/>
      <c r="D113" s="88">
        <v>228</v>
      </c>
      <c r="E113" s="88">
        <v>910</v>
      </c>
      <c r="F113" s="89">
        <f t="shared" si="73"/>
        <v>10</v>
      </c>
      <c r="G113" s="90">
        <f t="shared" si="74"/>
        <v>22.59909159232755</v>
      </c>
      <c r="H113" s="90">
        <f t="shared" si="75"/>
        <v>45.519999999999996</v>
      </c>
      <c r="I113" s="91" t="str">
        <f t="shared" si="77"/>
        <v>1동6라인</v>
      </c>
      <c r="J113" s="92" t="s">
        <v>216</v>
      </c>
      <c r="L113" s="89">
        <v>2</v>
      </c>
      <c r="M113" s="78">
        <f t="shared" si="71"/>
        <v>5</v>
      </c>
      <c r="N113" s="78"/>
      <c r="O113" s="78">
        <f t="shared" si="76"/>
        <v>10</v>
      </c>
    </row>
    <row r="114" spans="1:16" ht="18" customHeight="1">
      <c r="A114" s="104"/>
      <c r="B114" s="93"/>
      <c r="C114" s="87"/>
      <c r="D114" s="88">
        <v>438</v>
      </c>
      <c r="E114" s="88">
        <v>270</v>
      </c>
      <c r="F114" s="89">
        <f t="shared" si="73"/>
        <v>10</v>
      </c>
      <c r="G114" s="90">
        <f t="shared" si="74"/>
        <v>12.881090089206941</v>
      </c>
      <c r="H114" s="90">
        <f t="shared" si="75"/>
        <v>28.32</v>
      </c>
      <c r="I114" s="91" t="str">
        <f t="shared" si="77"/>
        <v>1동6라인</v>
      </c>
      <c r="J114" s="92" t="s">
        <v>217</v>
      </c>
      <c r="L114" s="89">
        <v>2</v>
      </c>
      <c r="M114" s="78">
        <f t="shared" si="71"/>
        <v>5</v>
      </c>
      <c r="N114" s="78"/>
      <c r="O114" s="78">
        <f t="shared" si="76"/>
        <v>10</v>
      </c>
    </row>
    <row r="115" spans="1:16">
      <c r="A115" s="104"/>
      <c r="B115" s="87"/>
      <c r="C115" s="87"/>
      <c r="D115" s="325" t="s">
        <v>0</v>
      </c>
      <c r="E115" s="325"/>
      <c r="F115" s="171">
        <f>SUM(F109:F114)</f>
        <v>65</v>
      </c>
      <c r="G115" s="95">
        <f>SUM(G109:G114)</f>
        <v>605.92425579191593</v>
      </c>
      <c r="H115" s="95">
        <f>SUM(H109:H114)</f>
        <v>464.4</v>
      </c>
      <c r="I115" s="97"/>
      <c r="J115" s="98"/>
      <c r="L115" s="250"/>
      <c r="M115" s="250"/>
      <c r="N115" s="250"/>
      <c r="O115" s="250"/>
    </row>
    <row r="116" spans="1:16">
      <c r="A116" s="105"/>
      <c r="B116" s="9"/>
      <c r="C116" s="9"/>
      <c r="D116" s="51"/>
      <c r="E116" s="51"/>
      <c r="F116" s="51"/>
      <c r="G116" s="106"/>
      <c r="H116" s="106"/>
      <c r="I116" s="9"/>
      <c r="J116" s="107"/>
      <c r="L116" s="250"/>
      <c r="M116" s="250"/>
      <c r="N116" s="250"/>
      <c r="O116" s="250"/>
    </row>
    <row r="117" spans="1:16" ht="18" customHeight="1">
      <c r="A117" s="85"/>
      <c r="B117" s="163" t="s">
        <v>199</v>
      </c>
      <c r="C117" s="163">
        <v>22</v>
      </c>
      <c r="D117" s="88">
        <v>738</v>
      </c>
      <c r="E117" s="88">
        <v>1810</v>
      </c>
      <c r="F117" s="89">
        <f t="shared" ref="F117:F118" si="78">O117</f>
        <v>0</v>
      </c>
      <c r="G117" s="90">
        <f t="shared" ref="G117:G119" si="79">D117*E117/91809*F117</f>
        <v>0</v>
      </c>
      <c r="H117" s="90">
        <f t="shared" ref="H117:H119" si="80">(D117/1000)*4*F117+(E117/1000)*4*F117</f>
        <v>0</v>
      </c>
      <c r="I117" s="91" t="str">
        <f>I109</f>
        <v>1동6라인</v>
      </c>
      <c r="J117" s="92" t="s">
        <v>219</v>
      </c>
      <c r="L117" s="89">
        <v>2</v>
      </c>
      <c r="M117" s="78">
        <f>M114</f>
        <v>5</v>
      </c>
      <c r="N117" s="78">
        <v>5</v>
      </c>
      <c r="O117" s="78">
        <f t="shared" si="76"/>
        <v>0</v>
      </c>
      <c r="P117" s="64" t="s">
        <v>245</v>
      </c>
    </row>
    <row r="118" spans="1:16" ht="18" customHeight="1">
      <c r="A118" s="85"/>
      <c r="B118" s="86"/>
      <c r="C118" s="87"/>
      <c r="D118" s="88">
        <v>250</v>
      </c>
      <c r="E118" s="88">
        <v>930</v>
      </c>
      <c r="F118" s="89">
        <f t="shared" si="78"/>
        <v>10</v>
      </c>
      <c r="G118" s="90">
        <f t="shared" si="79"/>
        <v>25.324314609678787</v>
      </c>
      <c r="H118" s="90">
        <f t="shared" si="80"/>
        <v>47.2</v>
      </c>
      <c r="I118" s="91" t="str">
        <f>I117</f>
        <v>1동6라인</v>
      </c>
      <c r="J118" s="92" t="s">
        <v>220</v>
      </c>
      <c r="L118" s="89">
        <v>2</v>
      </c>
      <c r="M118" s="78">
        <f t="shared" si="71"/>
        <v>5</v>
      </c>
      <c r="N118" s="78"/>
      <c r="O118" s="78">
        <f t="shared" si="76"/>
        <v>10</v>
      </c>
    </row>
    <row r="119" spans="1:16" ht="18" customHeight="1">
      <c r="A119" s="85"/>
      <c r="B119" s="86"/>
      <c r="C119" s="87"/>
      <c r="D119" s="88"/>
      <c r="E119" s="88"/>
      <c r="F119" s="89"/>
      <c r="G119" s="90">
        <f t="shared" si="79"/>
        <v>0</v>
      </c>
      <c r="H119" s="90">
        <f t="shared" si="80"/>
        <v>0</v>
      </c>
      <c r="I119" s="91"/>
      <c r="J119" s="92"/>
      <c r="L119" s="250"/>
      <c r="M119" s="250"/>
      <c r="N119" s="250"/>
      <c r="O119" s="250"/>
    </row>
    <row r="120" spans="1:16" ht="18" customHeight="1">
      <c r="A120" s="85"/>
      <c r="B120" s="93"/>
      <c r="C120" s="87"/>
      <c r="D120" s="325" t="s">
        <v>0</v>
      </c>
      <c r="E120" s="325"/>
      <c r="F120" s="94">
        <f>SUM(F117:F119)</f>
        <v>10</v>
      </c>
      <c r="G120" s="95">
        <f>SUM(G117:G119)</f>
        <v>25.324314609678787</v>
      </c>
      <c r="H120" s="95">
        <f>SUM(H117:H119)</f>
        <v>47.2</v>
      </c>
      <c r="I120" s="97"/>
      <c r="J120" s="98"/>
      <c r="L120" s="250"/>
      <c r="M120" s="250"/>
      <c r="N120" s="250"/>
      <c r="O120" s="250"/>
    </row>
    <row r="121" spans="1:16" ht="18" customHeight="1">
      <c r="A121" s="253"/>
      <c r="B121" s="254"/>
      <c r="C121" s="255"/>
      <c r="D121" s="361"/>
      <c r="E121" s="361"/>
      <c r="F121" s="256"/>
      <c r="G121" s="257"/>
      <c r="H121" s="258"/>
      <c r="I121" s="259"/>
      <c r="J121" s="260"/>
      <c r="L121" s="250"/>
      <c r="M121" s="250"/>
      <c r="N121" s="250"/>
      <c r="O121" s="250"/>
    </row>
    <row r="122" spans="1:16" ht="18" customHeight="1">
      <c r="A122" s="85">
        <v>74</v>
      </c>
      <c r="B122" s="23" t="s">
        <v>196</v>
      </c>
      <c r="C122" s="24">
        <v>22</v>
      </c>
      <c r="D122" s="88">
        <v>861</v>
      </c>
      <c r="E122" s="88">
        <v>1810</v>
      </c>
      <c r="F122" s="89">
        <f t="shared" ref="F122:F126" si="81">O122</f>
        <v>10</v>
      </c>
      <c r="G122" s="90">
        <f t="shared" ref="G122:G126" si="82">D122*E122/91809*F122</f>
        <v>169.7447962618044</v>
      </c>
      <c r="H122" s="90">
        <f t="shared" ref="H122:H126" si="83">(D122/1000)*4*F122+(E122/1000)*4*F122</f>
        <v>106.84</v>
      </c>
      <c r="I122" s="91" t="s">
        <v>246</v>
      </c>
      <c r="J122" s="92" t="s">
        <v>205</v>
      </c>
      <c r="L122" s="89">
        <v>1</v>
      </c>
      <c r="M122" s="78">
        <v>10</v>
      </c>
      <c r="N122" s="84"/>
      <c r="O122" s="78">
        <f>L122*M122-N122*L122</f>
        <v>10</v>
      </c>
      <c r="P122" s="64"/>
    </row>
    <row r="123" spans="1:16" ht="18" customHeight="1">
      <c r="A123" s="85"/>
      <c r="B123" s="86"/>
      <c r="C123" s="87"/>
      <c r="D123" s="88">
        <v>738</v>
      </c>
      <c r="E123" s="88">
        <v>1310</v>
      </c>
      <c r="F123" s="89">
        <f t="shared" si="81"/>
        <v>40</v>
      </c>
      <c r="G123" s="90">
        <f t="shared" si="82"/>
        <v>421.2136065091658</v>
      </c>
      <c r="H123" s="90">
        <f t="shared" si="83"/>
        <v>327.68</v>
      </c>
      <c r="I123" s="91" t="str">
        <f>I122</f>
        <v>2동1,2라인</v>
      </c>
      <c r="J123" s="92" t="s">
        <v>207</v>
      </c>
      <c r="L123" s="89">
        <v>4</v>
      </c>
      <c r="M123" s="78">
        <f>M122</f>
        <v>10</v>
      </c>
      <c r="N123" s="84"/>
      <c r="O123" s="78">
        <f t="shared" ref="O123:O126" si="84">L123*M123-N123*L123</f>
        <v>40</v>
      </c>
    </row>
    <row r="124" spans="1:16" ht="18" customHeight="1">
      <c r="A124" s="85"/>
      <c r="B124" s="86"/>
      <c r="C124" s="87"/>
      <c r="D124" s="88">
        <v>288</v>
      </c>
      <c r="E124" s="88">
        <v>910</v>
      </c>
      <c r="F124" s="89">
        <f t="shared" si="81"/>
        <v>20</v>
      </c>
      <c r="G124" s="90">
        <f t="shared" si="82"/>
        <v>57.09244191745907</v>
      </c>
      <c r="H124" s="90">
        <f t="shared" si="83"/>
        <v>95.84</v>
      </c>
      <c r="I124" s="91" t="str">
        <f t="shared" ref="I124:I125" si="85">I123</f>
        <v>2동1,2라인</v>
      </c>
      <c r="J124" s="92" t="s">
        <v>208</v>
      </c>
      <c r="L124" s="89">
        <v>2</v>
      </c>
      <c r="M124" s="78">
        <f t="shared" ref="M124" si="86">M123</f>
        <v>10</v>
      </c>
      <c r="N124" s="78"/>
      <c r="O124" s="78">
        <f t="shared" si="84"/>
        <v>20</v>
      </c>
    </row>
    <row r="125" spans="1:16" ht="18" customHeight="1">
      <c r="A125" s="85"/>
      <c r="B125" s="86"/>
      <c r="C125" s="87"/>
      <c r="D125" s="88">
        <v>228</v>
      </c>
      <c r="E125" s="88">
        <v>910</v>
      </c>
      <c r="F125" s="89">
        <f t="shared" si="81"/>
        <v>20</v>
      </c>
      <c r="G125" s="90">
        <f t="shared" si="82"/>
        <v>45.1981831846551</v>
      </c>
      <c r="H125" s="90">
        <f t="shared" si="83"/>
        <v>91.039999999999992</v>
      </c>
      <c r="I125" s="91" t="str">
        <f t="shared" si="85"/>
        <v>2동1,2라인</v>
      </c>
      <c r="J125" s="92" t="s">
        <v>209</v>
      </c>
      <c r="L125" s="89">
        <v>2</v>
      </c>
      <c r="M125" s="78">
        <f>M124</f>
        <v>10</v>
      </c>
      <c r="N125" s="78"/>
      <c r="O125" s="78">
        <f t="shared" si="84"/>
        <v>20</v>
      </c>
    </row>
    <row r="126" spans="1:16" ht="18" customHeight="1">
      <c r="A126" s="85"/>
      <c r="B126" s="86"/>
      <c r="C126" s="87"/>
      <c r="D126" s="88">
        <v>438</v>
      </c>
      <c r="E126" s="88">
        <v>270</v>
      </c>
      <c r="F126" s="89">
        <f t="shared" si="81"/>
        <v>20</v>
      </c>
      <c r="G126" s="90">
        <f t="shared" si="82"/>
        <v>25.762180178413882</v>
      </c>
      <c r="H126" s="90">
        <f t="shared" si="83"/>
        <v>56.64</v>
      </c>
      <c r="I126" s="91" t="str">
        <f>I124</f>
        <v>2동1,2라인</v>
      </c>
      <c r="J126" s="92" t="s">
        <v>210</v>
      </c>
      <c r="L126" s="89">
        <v>2</v>
      </c>
      <c r="M126" s="78">
        <f>M124</f>
        <v>10</v>
      </c>
      <c r="N126" s="78"/>
      <c r="O126" s="78">
        <f t="shared" si="84"/>
        <v>20</v>
      </c>
    </row>
    <row r="127" spans="1:16" ht="18" customHeight="1">
      <c r="A127" s="85"/>
      <c r="B127" s="93"/>
      <c r="C127" s="87"/>
      <c r="D127" s="325" t="s">
        <v>0</v>
      </c>
      <c r="E127" s="325"/>
      <c r="F127" s="94">
        <f>SUM(F122:F126)</f>
        <v>110</v>
      </c>
      <c r="G127" s="95">
        <f>SUM(G122:G126)</f>
        <v>719.01120805149833</v>
      </c>
      <c r="H127" s="96">
        <f>SUM(H122:H126)</f>
        <v>678.04</v>
      </c>
      <c r="I127" s="97"/>
      <c r="J127" s="162"/>
    </row>
    <row r="128" spans="1:16" ht="18" customHeight="1">
      <c r="A128" s="85"/>
      <c r="B128" s="93"/>
      <c r="C128" s="87"/>
      <c r="D128" s="161"/>
      <c r="E128" s="161"/>
      <c r="F128" s="89"/>
      <c r="G128" s="100"/>
      <c r="H128" s="101"/>
      <c r="I128" s="102"/>
      <c r="J128" s="121"/>
      <c r="L128" s="252"/>
      <c r="M128" s="252"/>
      <c r="N128" s="252"/>
      <c r="O128" s="252"/>
    </row>
    <row r="129" spans="1:16" ht="18" customHeight="1">
      <c r="A129" s="85"/>
      <c r="B129" s="23" t="s">
        <v>198</v>
      </c>
      <c r="C129" s="24">
        <v>22</v>
      </c>
      <c r="D129" s="88">
        <v>861</v>
      </c>
      <c r="E129" s="88">
        <v>1810</v>
      </c>
      <c r="F129" s="89">
        <f t="shared" ref="F129:F134" si="87">O129</f>
        <v>10</v>
      </c>
      <c r="G129" s="90">
        <f t="shared" ref="G129:G134" si="88">D129*E129/91809*F129</f>
        <v>169.7447962618044</v>
      </c>
      <c r="H129" s="90">
        <f t="shared" ref="H129:H134" si="89">(D129/1000)*4*F129+(E129/1000)*4*F129</f>
        <v>106.84</v>
      </c>
      <c r="I129" s="91" t="str">
        <f>I122</f>
        <v>2동1,2라인</v>
      </c>
      <c r="J129" s="92" t="s">
        <v>212</v>
      </c>
      <c r="L129" s="89">
        <v>1</v>
      </c>
      <c r="M129" s="78">
        <f>M122</f>
        <v>10</v>
      </c>
      <c r="N129" s="84"/>
      <c r="O129" s="78">
        <f>L129*M129-N129*L129</f>
        <v>10</v>
      </c>
    </row>
    <row r="130" spans="1:16" ht="18" customHeight="1">
      <c r="A130" s="85"/>
      <c r="B130" s="86"/>
      <c r="C130" s="87"/>
      <c r="D130" s="88">
        <v>2114</v>
      </c>
      <c r="E130" s="88">
        <v>1810</v>
      </c>
      <c r="F130" s="89">
        <f t="shared" si="87"/>
        <v>10</v>
      </c>
      <c r="G130" s="90">
        <f t="shared" si="88"/>
        <v>416.77177618751978</v>
      </c>
      <c r="H130" s="90">
        <f t="shared" si="89"/>
        <v>156.96</v>
      </c>
      <c r="I130" s="91" t="str">
        <f>I122</f>
        <v>2동1,2라인</v>
      </c>
      <c r="J130" s="92" t="s">
        <v>213</v>
      </c>
      <c r="L130" s="89">
        <v>1</v>
      </c>
      <c r="M130" s="78">
        <f>M129</f>
        <v>10</v>
      </c>
      <c r="N130" s="84"/>
      <c r="O130" s="78">
        <f>L130*M130-N130*L130</f>
        <v>10</v>
      </c>
    </row>
    <row r="131" spans="1:16" ht="18" customHeight="1">
      <c r="A131" s="104"/>
      <c r="B131" s="93"/>
      <c r="C131" s="87"/>
      <c r="D131" s="88">
        <v>738</v>
      </c>
      <c r="E131" s="88">
        <v>1310</v>
      </c>
      <c r="F131" s="89">
        <f t="shared" si="87"/>
        <v>40</v>
      </c>
      <c r="G131" s="90">
        <f t="shared" si="88"/>
        <v>421.2136065091658</v>
      </c>
      <c r="H131" s="90">
        <f t="shared" si="89"/>
        <v>327.68</v>
      </c>
      <c r="I131" s="91" t="str">
        <f>I130</f>
        <v>2동1,2라인</v>
      </c>
      <c r="J131" s="92" t="s">
        <v>214</v>
      </c>
      <c r="L131" s="89">
        <v>4</v>
      </c>
      <c r="M131" s="78">
        <f t="shared" ref="M131:M134" si="90">M130</f>
        <v>10</v>
      </c>
      <c r="N131" s="84"/>
      <c r="O131" s="78">
        <f t="shared" ref="O131:O134" si="91">L131*M131-N131*L131</f>
        <v>40</v>
      </c>
    </row>
    <row r="132" spans="1:16" ht="18" customHeight="1">
      <c r="A132" s="104"/>
      <c r="B132" s="93"/>
      <c r="C132" s="87"/>
      <c r="D132" s="88">
        <v>288</v>
      </c>
      <c r="E132" s="88">
        <v>910</v>
      </c>
      <c r="F132" s="89">
        <f t="shared" si="87"/>
        <v>20</v>
      </c>
      <c r="G132" s="90">
        <f t="shared" si="88"/>
        <v>57.09244191745907</v>
      </c>
      <c r="H132" s="90">
        <f t="shared" si="89"/>
        <v>95.84</v>
      </c>
      <c r="I132" s="91" t="str">
        <f>I131</f>
        <v>2동1,2라인</v>
      </c>
      <c r="J132" s="92" t="s">
        <v>215</v>
      </c>
      <c r="L132" s="89">
        <v>2</v>
      </c>
      <c r="M132" s="78">
        <f>M131</f>
        <v>10</v>
      </c>
      <c r="N132" s="84"/>
      <c r="O132" s="78">
        <f t="shared" si="91"/>
        <v>20</v>
      </c>
    </row>
    <row r="133" spans="1:16" ht="18" customHeight="1">
      <c r="A133" s="104"/>
      <c r="B133" s="93"/>
      <c r="C133" s="87"/>
      <c r="D133" s="88">
        <v>228</v>
      </c>
      <c r="E133" s="88">
        <v>910</v>
      </c>
      <c r="F133" s="89">
        <f t="shared" si="87"/>
        <v>20</v>
      </c>
      <c r="G133" s="90">
        <f t="shared" si="88"/>
        <v>45.1981831846551</v>
      </c>
      <c r="H133" s="90">
        <f t="shared" si="89"/>
        <v>91.039999999999992</v>
      </c>
      <c r="I133" s="91" t="str">
        <f>I131</f>
        <v>2동1,2라인</v>
      </c>
      <c r="J133" s="92" t="s">
        <v>216</v>
      </c>
      <c r="L133" s="89">
        <v>2</v>
      </c>
      <c r="M133" s="78">
        <f>M131</f>
        <v>10</v>
      </c>
      <c r="N133" s="78"/>
      <c r="O133" s="78">
        <f t="shared" si="91"/>
        <v>20</v>
      </c>
    </row>
    <row r="134" spans="1:16" ht="18" customHeight="1">
      <c r="A134" s="104"/>
      <c r="B134" s="93"/>
      <c r="C134" s="87"/>
      <c r="D134" s="88">
        <v>438</v>
      </c>
      <c r="E134" s="88">
        <v>270</v>
      </c>
      <c r="F134" s="89">
        <f t="shared" si="87"/>
        <v>20</v>
      </c>
      <c r="G134" s="90">
        <f t="shared" si="88"/>
        <v>25.762180178413882</v>
      </c>
      <c r="H134" s="90">
        <f t="shared" si="89"/>
        <v>56.64</v>
      </c>
      <c r="I134" s="91" t="str">
        <f t="shared" ref="I134" si="92">I133</f>
        <v>2동1,2라인</v>
      </c>
      <c r="J134" s="92" t="s">
        <v>217</v>
      </c>
      <c r="L134" s="89">
        <v>2</v>
      </c>
      <c r="M134" s="78">
        <f t="shared" si="90"/>
        <v>10</v>
      </c>
      <c r="N134" s="78"/>
      <c r="O134" s="78">
        <f t="shared" si="91"/>
        <v>20</v>
      </c>
    </row>
    <row r="135" spans="1:16" ht="18" customHeight="1">
      <c r="A135" s="104"/>
      <c r="B135" s="87"/>
      <c r="C135" s="87"/>
      <c r="D135" s="325" t="s">
        <v>0</v>
      </c>
      <c r="E135" s="325"/>
      <c r="F135" s="171">
        <f>SUM(F129:F134)</f>
        <v>120</v>
      </c>
      <c r="G135" s="95">
        <f>SUM(G129:G134)</f>
        <v>1135.7829842390181</v>
      </c>
      <c r="H135" s="95">
        <f>SUM(H129:H134)</f>
        <v>835</v>
      </c>
      <c r="I135" s="97"/>
      <c r="J135" s="98"/>
    </row>
    <row r="136" spans="1:16">
      <c r="A136" s="105"/>
      <c r="B136" s="9"/>
      <c r="C136" s="9"/>
      <c r="D136" s="51"/>
      <c r="E136" s="51"/>
      <c r="F136" s="51"/>
      <c r="G136" s="106"/>
      <c r="H136" s="106"/>
      <c r="I136" s="9"/>
      <c r="J136" s="107"/>
    </row>
    <row r="137" spans="1:16" ht="18" customHeight="1">
      <c r="A137" s="85"/>
      <c r="B137" s="23" t="s">
        <v>237</v>
      </c>
      <c r="C137" s="24">
        <v>22</v>
      </c>
      <c r="D137" s="88">
        <v>2114</v>
      </c>
      <c r="E137" s="88">
        <v>1810</v>
      </c>
      <c r="F137" s="89">
        <f t="shared" ref="F137" si="93">O137</f>
        <v>10</v>
      </c>
      <c r="G137" s="90">
        <f t="shared" ref="G137" si="94">D137*E137/91809*F137</f>
        <v>416.77177618751978</v>
      </c>
      <c r="H137" s="90">
        <f t="shared" ref="H137" si="95">(D137/1000)*4*F137+(E137/1000)*4*F137</f>
        <v>156.96</v>
      </c>
      <c r="I137" s="91" t="str">
        <f>I129</f>
        <v>2동1,2라인</v>
      </c>
      <c r="J137" s="92" t="s">
        <v>206</v>
      </c>
      <c r="L137" s="89">
        <v>1</v>
      </c>
      <c r="M137" s="78">
        <f>M122</f>
        <v>10</v>
      </c>
      <c r="N137" s="84"/>
      <c r="O137" s="78">
        <f>L137*M137-N137*L137</f>
        <v>10</v>
      </c>
    </row>
    <row r="138" spans="1:16" ht="18" customHeight="1">
      <c r="A138" s="85"/>
      <c r="B138" s="93"/>
      <c r="C138" s="87"/>
      <c r="D138" s="325" t="s">
        <v>0</v>
      </c>
      <c r="E138" s="325"/>
      <c r="F138" s="94">
        <f>SUM(F137:F137)</f>
        <v>10</v>
      </c>
      <c r="G138" s="95">
        <f>SUM(G137:G137)</f>
        <v>416.77177618751978</v>
      </c>
      <c r="H138" s="95">
        <f>SUM(H137:H137)</f>
        <v>156.96</v>
      </c>
      <c r="I138" s="97"/>
      <c r="J138" s="98"/>
    </row>
    <row r="139" spans="1:16" ht="18" customHeight="1">
      <c r="A139" s="218"/>
      <c r="B139" s="219"/>
      <c r="C139" s="220"/>
      <c r="D139" s="161"/>
      <c r="E139" s="161"/>
      <c r="F139" s="89"/>
      <c r="G139" s="100"/>
      <c r="H139" s="100"/>
      <c r="I139" s="102"/>
      <c r="J139" s="221"/>
    </row>
    <row r="140" spans="1:16" ht="18" customHeight="1">
      <c r="A140" s="85"/>
      <c r="B140" s="23" t="s">
        <v>200</v>
      </c>
      <c r="C140" s="24">
        <v>22</v>
      </c>
      <c r="D140" s="88">
        <v>638</v>
      </c>
      <c r="E140" s="88">
        <v>1810</v>
      </c>
      <c r="F140" s="89">
        <f t="shared" ref="F140:F141" si="96">O140</f>
        <v>10</v>
      </c>
      <c r="G140" s="90">
        <f t="shared" ref="G140:G141" si="97">D140*E140/91809*F140</f>
        <v>125.78069688156936</v>
      </c>
      <c r="H140" s="90">
        <f t="shared" ref="H140:H141" si="98">(D140/1000)*4*F140+(E140/1000)*4*F140</f>
        <v>97.92</v>
      </c>
      <c r="I140" s="91" t="str">
        <f>I137</f>
        <v>2동1,2라인</v>
      </c>
      <c r="J140" s="92" t="s">
        <v>219</v>
      </c>
      <c r="L140" s="89">
        <v>2</v>
      </c>
      <c r="M140" s="78">
        <f>M137</f>
        <v>10</v>
      </c>
      <c r="N140" s="84">
        <f>M140/2</f>
        <v>5</v>
      </c>
      <c r="O140" s="78">
        <f>L140*M140-N140*L140</f>
        <v>10</v>
      </c>
      <c r="P140" s="64" t="s">
        <v>247</v>
      </c>
    </row>
    <row r="141" spans="1:16" ht="18" customHeight="1">
      <c r="A141" s="85"/>
      <c r="B141" s="86"/>
      <c r="C141" s="87"/>
      <c r="D141" s="88">
        <v>250</v>
      </c>
      <c r="E141" s="88">
        <v>930</v>
      </c>
      <c r="F141" s="89">
        <f t="shared" si="96"/>
        <v>20</v>
      </c>
      <c r="G141" s="90">
        <f t="shared" si="97"/>
        <v>50.648629219357574</v>
      </c>
      <c r="H141" s="90">
        <f t="shared" si="98"/>
        <v>94.4</v>
      </c>
      <c r="I141" s="91" t="str">
        <f>I140</f>
        <v>2동1,2라인</v>
      </c>
      <c r="J141" s="92" t="s">
        <v>220</v>
      </c>
      <c r="L141" s="89">
        <v>2</v>
      </c>
      <c r="M141" s="78">
        <f>M140</f>
        <v>10</v>
      </c>
      <c r="N141" s="84"/>
      <c r="O141" s="78">
        <f t="shared" ref="O141" si="99">L141*M141-N141*L141</f>
        <v>20</v>
      </c>
    </row>
    <row r="142" spans="1:16" ht="18" customHeight="1">
      <c r="A142" s="85"/>
      <c r="B142" s="93"/>
      <c r="C142" s="87"/>
      <c r="D142" s="325" t="s">
        <v>0</v>
      </c>
      <c r="E142" s="325"/>
      <c r="F142" s="94">
        <f>SUM(F140:F141)</f>
        <v>30</v>
      </c>
      <c r="G142" s="95">
        <f>SUM(G140:G141)</f>
        <v>176.42932610092691</v>
      </c>
      <c r="H142" s="96">
        <f>SUM(H140:H141)</f>
        <v>192.32</v>
      </c>
      <c r="I142" s="97"/>
      <c r="J142" s="162"/>
    </row>
    <row r="143" spans="1:16">
      <c r="A143" s="16"/>
      <c r="B143" s="16"/>
      <c r="C143" s="16"/>
      <c r="D143" s="261"/>
      <c r="E143" s="261"/>
      <c r="F143" s="261"/>
      <c r="G143" s="19"/>
      <c r="H143" s="19"/>
      <c r="I143" s="16"/>
      <c r="J143" s="16"/>
    </row>
    <row r="144" spans="1:16" ht="18" customHeight="1">
      <c r="A144" s="85" t="s">
        <v>235</v>
      </c>
      <c r="B144" s="23" t="s">
        <v>196</v>
      </c>
      <c r="C144" s="24">
        <v>22</v>
      </c>
      <c r="D144" s="88">
        <v>861</v>
      </c>
      <c r="E144" s="88">
        <v>1810</v>
      </c>
      <c r="F144" s="89">
        <f t="shared" ref="F144:F147" si="100">O144</f>
        <v>5</v>
      </c>
      <c r="G144" s="90">
        <f t="shared" ref="G144:G147" si="101">D144*E144/91809*F144</f>
        <v>84.872398130902198</v>
      </c>
      <c r="H144" s="90">
        <f t="shared" ref="H144:H147" si="102">(D144/1000)*4*F144+(E144/1000)*4*F144</f>
        <v>53.42</v>
      </c>
      <c r="I144" s="91" t="s">
        <v>248</v>
      </c>
      <c r="J144" s="92" t="s">
        <v>205</v>
      </c>
      <c r="L144" s="89">
        <v>1</v>
      </c>
      <c r="M144" s="78">
        <v>5</v>
      </c>
      <c r="N144" s="84"/>
      <c r="O144" s="78">
        <f>L144*M144-N144*L144</f>
        <v>5</v>
      </c>
      <c r="P144" s="64"/>
    </row>
    <row r="145" spans="1:16" ht="18" customHeight="1">
      <c r="A145" s="85"/>
      <c r="B145" s="86"/>
      <c r="C145" s="87"/>
      <c r="D145" s="88">
        <v>738</v>
      </c>
      <c r="E145" s="88">
        <v>1310</v>
      </c>
      <c r="F145" s="89">
        <f t="shared" si="100"/>
        <v>20</v>
      </c>
      <c r="G145" s="90">
        <f t="shared" si="101"/>
        <v>210.6068032545829</v>
      </c>
      <c r="H145" s="90">
        <f t="shared" si="102"/>
        <v>163.84</v>
      </c>
      <c r="I145" s="91" t="str">
        <f>I144</f>
        <v>2동3라인</v>
      </c>
      <c r="J145" s="92" t="s">
        <v>207</v>
      </c>
      <c r="L145" s="89">
        <v>4</v>
      </c>
      <c r="M145" s="78">
        <f>M144</f>
        <v>5</v>
      </c>
      <c r="N145" s="84"/>
      <c r="O145" s="78">
        <f t="shared" ref="O145:O147" si="103">L145*M145-N145*L145</f>
        <v>20</v>
      </c>
    </row>
    <row r="146" spans="1:16" ht="18" customHeight="1">
      <c r="A146" s="85"/>
      <c r="B146" s="86"/>
      <c r="C146" s="87"/>
      <c r="D146" s="88">
        <v>228</v>
      </c>
      <c r="E146" s="88">
        <v>910</v>
      </c>
      <c r="F146" s="89">
        <f t="shared" si="100"/>
        <v>10</v>
      </c>
      <c r="G146" s="90">
        <f t="shared" si="101"/>
        <v>22.59909159232755</v>
      </c>
      <c r="H146" s="90">
        <f t="shared" si="102"/>
        <v>45.519999999999996</v>
      </c>
      <c r="I146" s="91" t="str">
        <f t="shared" ref="I146:I147" si="104">I145</f>
        <v>2동3라인</v>
      </c>
      <c r="J146" s="92" t="s">
        <v>209</v>
      </c>
      <c r="L146" s="89">
        <v>2</v>
      </c>
      <c r="M146" s="78">
        <f t="shared" ref="M146:M147" si="105">M145</f>
        <v>5</v>
      </c>
      <c r="N146" s="78"/>
      <c r="O146" s="78">
        <f t="shared" si="103"/>
        <v>10</v>
      </c>
    </row>
    <row r="147" spans="1:16" ht="18" customHeight="1">
      <c r="A147" s="85"/>
      <c r="B147" s="86"/>
      <c r="C147" s="87"/>
      <c r="D147" s="88">
        <v>438</v>
      </c>
      <c r="E147" s="88">
        <v>270</v>
      </c>
      <c r="F147" s="89">
        <f t="shared" si="100"/>
        <v>10</v>
      </c>
      <c r="G147" s="90">
        <f t="shared" si="101"/>
        <v>12.881090089206941</v>
      </c>
      <c r="H147" s="90">
        <f t="shared" si="102"/>
        <v>28.32</v>
      </c>
      <c r="I147" s="91" t="str">
        <f t="shared" si="104"/>
        <v>2동3라인</v>
      </c>
      <c r="J147" s="92" t="s">
        <v>210</v>
      </c>
      <c r="L147" s="89">
        <v>2</v>
      </c>
      <c r="M147" s="78">
        <f t="shared" si="105"/>
        <v>5</v>
      </c>
      <c r="N147" s="78"/>
      <c r="O147" s="78">
        <f t="shared" si="103"/>
        <v>10</v>
      </c>
    </row>
    <row r="148" spans="1:16" ht="18" customHeight="1">
      <c r="A148" s="85"/>
      <c r="B148" s="93"/>
      <c r="C148" s="87"/>
      <c r="D148" s="325" t="s">
        <v>0</v>
      </c>
      <c r="E148" s="325"/>
      <c r="F148" s="94">
        <f>SUM(F144:F147)</f>
        <v>45</v>
      </c>
      <c r="G148" s="95">
        <f>SUM(G144:G147)</f>
        <v>330.95938306701964</v>
      </c>
      <c r="H148" s="96">
        <f>SUM(H144:H147)</f>
        <v>291.09999999999997</v>
      </c>
      <c r="I148" s="97"/>
      <c r="J148" s="162"/>
    </row>
    <row r="149" spans="1:16" ht="18" customHeight="1">
      <c r="A149" s="85"/>
      <c r="B149" s="93"/>
      <c r="C149" s="87"/>
      <c r="D149" s="161"/>
      <c r="E149" s="161"/>
      <c r="F149" s="89"/>
      <c r="G149" s="100"/>
      <c r="H149" s="101"/>
      <c r="I149" s="102"/>
      <c r="J149" s="121"/>
      <c r="L149" s="252"/>
      <c r="M149" s="252"/>
      <c r="N149" s="252"/>
      <c r="O149" s="252"/>
    </row>
    <row r="150" spans="1:16" ht="18" customHeight="1">
      <c r="A150" s="85"/>
      <c r="B150" s="23" t="s">
        <v>198</v>
      </c>
      <c r="C150" s="24">
        <v>22</v>
      </c>
      <c r="D150" s="88">
        <v>861</v>
      </c>
      <c r="E150" s="88">
        <v>1810</v>
      </c>
      <c r="F150" s="89">
        <f t="shared" ref="F150:F154" si="106">O150</f>
        <v>5</v>
      </c>
      <c r="G150" s="90">
        <f t="shared" ref="G150:G154" si="107">D150*E150/91809*F150</f>
        <v>84.872398130902198</v>
      </c>
      <c r="H150" s="90">
        <f t="shared" ref="H150:H154" si="108">(D150/1000)*4*F150+(E150/1000)*4*F150</f>
        <v>53.42</v>
      </c>
      <c r="I150" s="91" t="str">
        <f>I144</f>
        <v>2동3라인</v>
      </c>
      <c r="J150" s="92" t="s">
        <v>212</v>
      </c>
      <c r="L150" s="89">
        <v>1</v>
      </c>
      <c r="M150" s="78">
        <f>M144</f>
        <v>5</v>
      </c>
      <c r="N150" s="84"/>
      <c r="O150" s="78">
        <f>L150*M150-N150*L150</f>
        <v>5</v>
      </c>
    </row>
    <row r="151" spans="1:16" ht="18" customHeight="1">
      <c r="A151" s="85"/>
      <c r="B151" s="86"/>
      <c r="C151" s="87"/>
      <c r="D151" s="88">
        <v>2114</v>
      </c>
      <c r="E151" s="88">
        <v>1810</v>
      </c>
      <c r="F151" s="89">
        <f t="shared" si="106"/>
        <v>5</v>
      </c>
      <c r="G151" s="90">
        <f t="shared" si="107"/>
        <v>208.38588809375989</v>
      </c>
      <c r="H151" s="90">
        <f t="shared" si="108"/>
        <v>78.48</v>
      </c>
      <c r="I151" s="91" t="str">
        <f>I144</f>
        <v>2동3라인</v>
      </c>
      <c r="J151" s="92" t="s">
        <v>213</v>
      </c>
      <c r="L151" s="89">
        <v>1</v>
      </c>
      <c r="M151" s="78">
        <f>M150</f>
        <v>5</v>
      </c>
      <c r="N151" s="84"/>
      <c r="O151" s="78">
        <f>L151*M151-N151*L151</f>
        <v>5</v>
      </c>
    </row>
    <row r="152" spans="1:16" ht="18" customHeight="1">
      <c r="A152" s="104"/>
      <c r="B152" s="93"/>
      <c r="C152" s="87"/>
      <c r="D152" s="88">
        <v>738</v>
      </c>
      <c r="E152" s="88">
        <v>1310</v>
      </c>
      <c r="F152" s="89">
        <f t="shared" si="106"/>
        <v>20</v>
      </c>
      <c r="G152" s="90">
        <f t="shared" si="107"/>
        <v>210.6068032545829</v>
      </c>
      <c r="H152" s="90">
        <f t="shared" si="108"/>
        <v>163.84</v>
      </c>
      <c r="I152" s="91" t="str">
        <f>I151</f>
        <v>2동3라인</v>
      </c>
      <c r="J152" s="92" t="s">
        <v>214</v>
      </c>
      <c r="L152" s="89">
        <v>4</v>
      </c>
      <c r="M152" s="78">
        <f t="shared" ref="M152:M154" si="109">M151</f>
        <v>5</v>
      </c>
      <c r="N152" s="84"/>
      <c r="O152" s="78">
        <f t="shared" ref="O152:O154" si="110">L152*M152-N152*L152</f>
        <v>20</v>
      </c>
    </row>
    <row r="153" spans="1:16" ht="18" customHeight="1">
      <c r="A153" s="104"/>
      <c r="B153" s="93"/>
      <c r="C153" s="87"/>
      <c r="D153" s="88">
        <v>228</v>
      </c>
      <c r="E153" s="88">
        <v>910</v>
      </c>
      <c r="F153" s="89">
        <f t="shared" si="106"/>
        <v>10</v>
      </c>
      <c r="G153" s="90">
        <f t="shared" si="107"/>
        <v>22.59909159232755</v>
      </c>
      <c r="H153" s="90">
        <f t="shared" si="108"/>
        <v>45.519999999999996</v>
      </c>
      <c r="I153" s="91" t="str">
        <f t="shared" ref="I153:I154" si="111">I152</f>
        <v>2동3라인</v>
      </c>
      <c r="J153" s="92" t="s">
        <v>216</v>
      </c>
      <c r="L153" s="89">
        <v>2</v>
      </c>
      <c r="M153" s="78">
        <f t="shared" si="109"/>
        <v>5</v>
      </c>
      <c r="N153" s="78"/>
      <c r="O153" s="78">
        <f t="shared" si="110"/>
        <v>10</v>
      </c>
    </row>
    <row r="154" spans="1:16" ht="18" customHeight="1">
      <c r="A154" s="104"/>
      <c r="B154" s="93"/>
      <c r="C154" s="87"/>
      <c r="D154" s="88">
        <v>438</v>
      </c>
      <c r="E154" s="88">
        <v>270</v>
      </c>
      <c r="F154" s="89">
        <f t="shared" si="106"/>
        <v>10</v>
      </c>
      <c r="G154" s="90">
        <f t="shared" si="107"/>
        <v>12.881090089206941</v>
      </c>
      <c r="H154" s="90">
        <f t="shared" si="108"/>
        <v>28.32</v>
      </c>
      <c r="I154" s="91" t="str">
        <f t="shared" si="111"/>
        <v>2동3라인</v>
      </c>
      <c r="J154" s="92" t="s">
        <v>217</v>
      </c>
      <c r="L154" s="89">
        <v>2</v>
      </c>
      <c r="M154" s="78">
        <f t="shared" si="109"/>
        <v>5</v>
      </c>
      <c r="N154" s="78"/>
      <c r="O154" s="78">
        <f t="shared" si="110"/>
        <v>10</v>
      </c>
    </row>
    <row r="155" spans="1:16" ht="18" customHeight="1">
      <c r="A155" s="104"/>
      <c r="B155" s="87"/>
      <c r="C155" s="87"/>
      <c r="D155" s="325" t="s">
        <v>0</v>
      </c>
      <c r="E155" s="325"/>
      <c r="F155" s="171">
        <f>SUM(F150:F154)</f>
        <v>50</v>
      </c>
      <c r="G155" s="95">
        <f>SUM(G150:G154)</f>
        <v>539.34527116077948</v>
      </c>
      <c r="H155" s="95">
        <f>SUM(H150:H154)</f>
        <v>369.58</v>
      </c>
      <c r="I155" s="97"/>
      <c r="J155" s="98"/>
    </row>
    <row r="156" spans="1:16">
      <c r="A156" s="105"/>
      <c r="B156" s="9"/>
      <c r="C156" s="9"/>
      <c r="D156" s="51"/>
      <c r="E156" s="51"/>
      <c r="F156" s="51"/>
      <c r="G156" s="106"/>
      <c r="H156" s="106"/>
      <c r="I156" s="9"/>
      <c r="J156" s="107"/>
    </row>
    <row r="157" spans="1:16" ht="18" customHeight="1">
      <c r="A157" s="85"/>
      <c r="B157" s="23" t="s">
        <v>237</v>
      </c>
      <c r="C157" s="24">
        <v>22</v>
      </c>
      <c r="D157" s="88">
        <v>2114</v>
      </c>
      <c r="E157" s="88">
        <v>1810</v>
      </c>
      <c r="F157" s="89">
        <f t="shared" ref="F157" si="112">O157</f>
        <v>5</v>
      </c>
      <c r="G157" s="90">
        <f t="shared" ref="G157" si="113">D157*E157/91809*F157</f>
        <v>208.38588809375989</v>
      </c>
      <c r="H157" s="90">
        <f t="shared" ref="H157" si="114">(D157/1000)*4*F157+(E157/1000)*4*F157</f>
        <v>78.48</v>
      </c>
      <c r="I157" s="91" t="str">
        <f>I150</f>
        <v>2동3라인</v>
      </c>
      <c r="J157" s="92" t="s">
        <v>206</v>
      </c>
      <c r="L157" s="89">
        <v>1</v>
      </c>
      <c r="M157" s="78">
        <f>M144</f>
        <v>5</v>
      </c>
      <c r="N157" s="84"/>
      <c r="O157" s="78">
        <f>L157*M157-N157*L157</f>
        <v>5</v>
      </c>
    </row>
    <row r="158" spans="1:16" ht="18" customHeight="1">
      <c r="A158" s="85"/>
      <c r="B158" s="93"/>
      <c r="C158" s="87"/>
      <c r="D158" s="325" t="s">
        <v>0</v>
      </c>
      <c r="E158" s="325"/>
      <c r="F158" s="94">
        <f>SUM(F157:F157)</f>
        <v>5</v>
      </c>
      <c r="G158" s="95">
        <f>SUM(G157:G157)</f>
        <v>208.38588809375989</v>
      </c>
      <c r="H158" s="95">
        <f>SUM(H157:H157)</f>
        <v>78.48</v>
      </c>
      <c r="I158" s="97"/>
      <c r="J158" s="98"/>
    </row>
    <row r="159" spans="1:16" ht="18" customHeight="1">
      <c r="A159" s="218"/>
      <c r="B159" s="219"/>
      <c r="C159" s="220"/>
      <c r="D159" s="161"/>
      <c r="E159" s="161"/>
      <c r="F159" s="89"/>
      <c r="G159" s="100"/>
      <c r="H159" s="100"/>
      <c r="I159" s="102"/>
      <c r="J159" s="221"/>
    </row>
    <row r="160" spans="1:16" ht="18" customHeight="1">
      <c r="A160" s="85"/>
      <c r="B160" s="23" t="s">
        <v>200</v>
      </c>
      <c r="C160" s="24">
        <v>22</v>
      </c>
      <c r="D160" s="88">
        <v>738</v>
      </c>
      <c r="E160" s="88">
        <v>1810</v>
      </c>
      <c r="F160" s="89">
        <f t="shared" ref="F160:F161" si="115">O160</f>
        <v>0</v>
      </c>
      <c r="G160" s="90">
        <f t="shared" ref="G160:G161" si="116">D160*E160/91809*F160</f>
        <v>0</v>
      </c>
      <c r="H160" s="90">
        <f t="shared" ref="H160:H161" si="117">(D160/1000)*4*F160+(E160/1000)*4*F160</f>
        <v>0</v>
      </c>
      <c r="I160" s="91" t="str">
        <f>I157</f>
        <v>2동3라인</v>
      </c>
      <c r="J160" s="92" t="s">
        <v>219</v>
      </c>
      <c r="L160" s="89">
        <v>2</v>
      </c>
      <c r="M160" s="78">
        <f>M157</f>
        <v>5</v>
      </c>
      <c r="N160" s="84">
        <f>M160</f>
        <v>5</v>
      </c>
      <c r="O160" s="78">
        <f>L160*M160-N160*L160</f>
        <v>0</v>
      </c>
      <c r="P160" s="64" t="s">
        <v>279</v>
      </c>
    </row>
    <row r="161" spans="1:16" ht="18" customHeight="1">
      <c r="A161" s="85"/>
      <c r="B161" s="86"/>
      <c r="C161" s="87"/>
      <c r="D161" s="88">
        <v>250</v>
      </c>
      <c r="E161" s="88">
        <v>930</v>
      </c>
      <c r="F161" s="89">
        <f t="shared" si="115"/>
        <v>10</v>
      </c>
      <c r="G161" s="90">
        <f t="shared" si="116"/>
        <v>25.324314609678787</v>
      </c>
      <c r="H161" s="90">
        <f t="shared" si="117"/>
        <v>47.2</v>
      </c>
      <c r="I161" s="91" t="str">
        <f>I160</f>
        <v>2동3라인</v>
      </c>
      <c r="J161" s="92" t="s">
        <v>220</v>
      </c>
      <c r="L161" s="89">
        <v>2</v>
      </c>
      <c r="M161" s="78">
        <f>M160</f>
        <v>5</v>
      </c>
      <c r="N161" s="84"/>
      <c r="O161" s="78">
        <f t="shared" ref="O161" si="118">L161*M161-N161*L161</f>
        <v>10</v>
      </c>
    </row>
    <row r="162" spans="1:16" ht="18" customHeight="1">
      <c r="A162" s="85"/>
      <c r="B162" s="93"/>
      <c r="C162" s="87"/>
      <c r="D162" s="325" t="s">
        <v>0</v>
      </c>
      <c r="E162" s="325"/>
      <c r="F162" s="94">
        <f>SUM(F160:F161)</f>
        <v>10</v>
      </c>
      <c r="G162" s="95">
        <f>SUM(G160:G161)</f>
        <v>25.324314609678787</v>
      </c>
      <c r="H162" s="96">
        <f>SUM(H160:H161)</f>
        <v>47.2</v>
      </c>
      <c r="I162" s="97"/>
      <c r="J162" s="162"/>
    </row>
    <row r="163" spans="1:16" ht="18" customHeight="1" thickBot="1">
      <c r="A163" s="222"/>
      <c r="B163" s="223"/>
      <c r="C163" s="224"/>
      <c r="D163" s="225"/>
      <c r="E163" s="225"/>
      <c r="F163" s="226"/>
      <c r="G163" s="227"/>
      <c r="H163" s="228"/>
      <c r="I163" s="229"/>
      <c r="J163" s="230"/>
      <c r="L163" s="78" t="s">
        <v>48</v>
      </c>
      <c r="M163" s="78" t="s">
        <v>49</v>
      </c>
      <c r="N163" s="78" t="s">
        <v>50</v>
      </c>
      <c r="O163" s="78" t="s">
        <v>55</v>
      </c>
    </row>
    <row r="164" spans="1:16" ht="18" customHeight="1">
      <c r="A164" s="79" t="s">
        <v>234</v>
      </c>
      <c r="B164" s="231" t="s">
        <v>195</v>
      </c>
      <c r="C164" s="232">
        <v>22</v>
      </c>
      <c r="D164" s="80">
        <v>761</v>
      </c>
      <c r="E164" s="80">
        <v>1810</v>
      </c>
      <c r="F164" s="233">
        <f>O164</f>
        <v>8</v>
      </c>
      <c r="G164" s="81">
        <f t="shared" ref="G164:G170" si="119">D164*E164/91809*F164</f>
        <v>120.02396279231884</v>
      </c>
      <c r="H164" s="81">
        <f t="shared" ref="H164:H170" si="120">(D164/1000)*4*F164+(E164/1000)*4*F164</f>
        <v>82.272000000000006</v>
      </c>
      <c r="I164" s="82" t="s">
        <v>249</v>
      </c>
      <c r="J164" s="83" t="s">
        <v>205</v>
      </c>
      <c r="L164" s="89">
        <v>2</v>
      </c>
      <c r="M164" s="78">
        <v>4</v>
      </c>
      <c r="N164" s="84"/>
      <c r="O164" s="78">
        <f>L164*M164-N164*L164</f>
        <v>8</v>
      </c>
      <c r="P164" s="64"/>
    </row>
    <row r="165" spans="1:16" ht="18" customHeight="1">
      <c r="A165" s="85"/>
      <c r="B165" s="86"/>
      <c r="C165" s="87"/>
      <c r="D165" s="88">
        <v>1688</v>
      </c>
      <c r="E165" s="88">
        <v>1810</v>
      </c>
      <c r="F165" s="89">
        <f t="shared" ref="F165:F170" si="121">O165</f>
        <v>4</v>
      </c>
      <c r="G165" s="90">
        <f t="shared" si="119"/>
        <v>133.11461839253232</v>
      </c>
      <c r="H165" s="90">
        <f t="shared" si="120"/>
        <v>55.968000000000004</v>
      </c>
      <c r="I165" s="91" t="str">
        <f>I164</f>
        <v>2동4라인</v>
      </c>
      <c r="J165" s="92" t="s">
        <v>206</v>
      </c>
      <c r="L165" s="89">
        <v>1</v>
      </c>
      <c r="M165" s="78">
        <f>M164</f>
        <v>4</v>
      </c>
      <c r="N165" s="84"/>
      <c r="O165" s="78">
        <f t="shared" ref="O165:O170" si="122">L165*M165-N165*L165</f>
        <v>4</v>
      </c>
    </row>
    <row r="166" spans="1:16" ht="18" customHeight="1">
      <c r="A166" s="85"/>
      <c r="B166" s="86"/>
      <c r="C166" s="87"/>
      <c r="D166" s="88">
        <v>738</v>
      </c>
      <c r="E166" s="88">
        <v>1310</v>
      </c>
      <c r="F166" s="89">
        <f t="shared" si="121"/>
        <v>16</v>
      </c>
      <c r="G166" s="90">
        <f t="shared" si="119"/>
        <v>168.48544260366631</v>
      </c>
      <c r="H166" s="90">
        <f t="shared" si="120"/>
        <v>131.072</v>
      </c>
      <c r="I166" s="91" t="str">
        <f t="shared" ref="I166:I170" si="123">I165</f>
        <v>2동4라인</v>
      </c>
      <c r="J166" s="92" t="s">
        <v>207</v>
      </c>
      <c r="L166" s="89">
        <v>4</v>
      </c>
      <c r="M166" s="78">
        <f t="shared" ref="M166:M169" si="124">M165</f>
        <v>4</v>
      </c>
      <c r="N166" s="78"/>
      <c r="O166" s="78">
        <f t="shared" si="122"/>
        <v>16</v>
      </c>
    </row>
    <row r="167" spans="1:16" ht="18" customHeight="1">
      <c r="A167" s="85"/>
      <c r="B167" s="86"/>
      <c r="C167" s="87"/>
      <c r="D167" s="88">
        <v>288</v>
      </c>
      <c r="E167" s="88">
        <v>910</v>
      </c>
      <c r="F167" s="89">
        <f t="shared" si="121"/>
        <v>8</v>
      </c>
      <c r="G167" s="90">
        <f t="shared" si="119"/>
        <v>22.836976766983629</v>
      </c>
      <c r="H167" s="90">
        <f t="shared" si="120"/>
        <v>38.335999999999999</v>
      </c>
      <c r="I167" s="91" t="str">
        <f t="shared" si="123"/>
        <v>2동4라인</v>
      </c>
      <c r="J167" s="92" t="s">
        <v>208</v>
      </c>
      <c r="L167" s="89">
        <v>2</v>
      </c>
      <c r="M167" s="78">
        <f t="shared" si="124"/>
        <v>4</v>
      </c>
      <c r="N167" s="78"/>
      <c r="O167" s="78">
        <f t="shared" si="122"/>
        <v>8</v>
      </c>
    </row>
    <row r="168" spans="1:16" ht="18" customHeight="1">
      <c r="A168" s="85"/>
      <c r="B168" s="86"/>
      <c r="C168" s="87"/>
      <c r="D168" s="88">
        <v>228</v>
      </c>
      <c r="E168" s="88">
        <v>910</v>
      </c>
      <c r="F168" s="89">
        <f t="shared" si="121"/>
        <v>8</v>
      </c>
      <c r="G168" s="90">
        <f t="shared" si="119"/>
        <v>18.079273273862039</v>
      </c>
      <c r="H168" s="90">
        <f t="shared" si="120"/>
        <v>36.416000000000004</v>
      </c>
      <c r="I168" s="91" t="str">
        <f t="shared" si="123"/>
        <v>2동4라인</v>
      </c>
      <c r="J168" s="92" t="s">
        <v>209</v>
      </c>
      <c r="L168" s="89">
        <v>2</v>
      </c>
      <c r="M168" s="78">
        <f t="shared" si="124"/>
        <v>4</v>
      </c>
      <c r="N168" s="78"/>
      <c r="O168" s="78">
        <f t="shared" si="122"/>
        <v>8</v>
      </c>
    </row>
    <row r="169" spans="1:16" ht="18" customHeight="1">
      <c r="A169" s="85"/>
      <c r="B169" s="86"/>
      <c r="C169" s="87"/>
      <c r="D169" s="88">
        <v>438</v>
      </c>
      <c r="E169" s="88">
        <v>270</v>
      </c>
      <c r="F169" s="89">
        <f t="shared" si="121"/>
        <v>8</v>
      </c>
      <c r="G169" s="90">
        <f t="shared" si="119"/>
        <v>10.304872071365553</v>
      </c>
      <c r="H169" s="90">
        <f t="shared" si="120"/>
        <v>22.655999999999999</v>
      </c>
      <c r="I169" s="91" t="str">
        <f t="shared" si="123"/>
        <v>2동4라인</v>
      </c>
      <c r="J169" s="92" t="s">
        <v>210</v>
      </c>
      <c r="L169" s="89">
        <v>2</v>
      </c>
      <c r="M169" s="78">
        <f t="shared" si="124"/>
        <v>4</v>
      </c>
      <c r="N169" s="78"/>
      <c r="O169" s="78">
        <f t="shared" si="122"/>
        <v>8</v>
      </c>
    </row>
    <row r="170" spans="1:16" ht="18" customHeight="1">
      <c r="A170" s="85"/>
      <c r="B170" s="86"/>
      <c r="C170" s="87"/>
      <c r="D170" s="88">
        <v>208</v>
      </c>
      <c r="E170" s="88">
        <v>910</v>
      </c>
      <c r="F170" s="89">
        <f t="shared" si="121"/>
        <v>8</v>
      </c>
      <c r="G170" s="90">
        <f t="shared" si="119"/>
        <v>16.493372109488178</v>
      </c>
      <c r="H170" s="90">
        <f t="shared" si="120"/>
        <v>35.776000000000003</v>
      </c>
      <c r="I170" s="91" t="str">
        <f t="shared" si="123"/>
        <v>2동4라인</v>
      </c>
      <c r="J170" s="92" t="s">
        <v>211</v>
      </c>
      <c r="L170" s="89">
        <v>2</v>
      </c>
      <c r="M170" s="78">
        <f>M169</f>
        <v>4</v>
      </c>
      <c r="N170" s="78"/>
      <c r="O170" s="78">
        <f t="shared" si="122"/>
        <v>8</v>
      </c>
    </row>
    <row r="171" spans="1:16" ht="18" customHeight="1">
      <c r="A171" s="85"/>
      <c r="B171" s="93"/>
      <c r="C171" s="87"/>
      <c r="D171" s="325" t="s">
        <v>0</v>
      </c>
      <c r="E171" s="325"/>
      <c r="F171" s="94">
        <f>SUM(F164:F170)</f>
        <v>60</v>
      </c>
      <c r="G171" s="95">
        <f>SUM(G164:G170)</f>
        <v>489.33851801021683</v>
      </c>
      <c r="H171" s="96">
        <f>SUM(H164:H170)</f>
        <v>402.49600000000004</v>
      </c>
      <c r="I171" s="97"/>
      <c r="J171" s="162"/>
    </row>
    <row r="172" spans="1:16" ht="18" customHeight="1">
      <c r="A172" s="85"/>
      <c r="B172" s="93"/>
      <c r="C172" s="87"/>
      <c r="D172" s="161"/>
      <c r="E172" s="161"/>
      <c r="F172" s="89"/>
      <c r="G172" s="100"/>
      <c r="H172" s="101"/>
      <c r="I172" s="102"/>
      <c r="J172" s="121"/>
      <c r="L172" s="78" t="s">
        <v>48</v>
      </c>
      <c r="M172" s="78" t="s">
        <v>54</v>
      </c>
      <c r="N172" s="78" t="s">
        <v>50</v>
      </c>
      <c r="O172" s="78" t="s">
        <v>55</v>
      </c>
    </row>
    <row r="173" spans="1:16" ht="18" customHeight="1">
      <c r="A173" s="85"/>
      <c r="B173" s="23" t="s">
        <v>197</v>
      </c>
      <c r="C173" s="24">
        <v>22</v>
      </c>
      <c r="D173" s="88">
        <v>761</v>
      </c>
      <c r="E173" s="88">
        <v>1810</v>
      </c>
      <c r="F173" s="89">
        <f t="shared" ref="F173:F179" si="125">O173</f>
        <v>8</v>
      </c>
      <c r="G173" s="90">
        <f t="shared" ref="G173:G179" si="126">D173*E173/91809*F173</f>
        <v>120.02396279231884</v>
      </c>
      <c r="H173" s="90">
        <f t="shared" ref="H173:H179" si="127">(D173/1000)*4*F173+(E173/1000)*4*F173</f>
        <v>82.272000000000006</v>
      </c>
      <c r="I173" s="91" t="str">
        <f t="shared" ref="I173:I179" si="128">I164</f>
        <v>2동4라인</v>
      </c>
      <c r="J173" s="92" t="s">
        <v>212</v>
      </c>
      <c r="L173" s="89">
        <v>2</v>
      </c>
      <c r="M173" s="78">
        <f>M164</f>
        <v>4</v>
      </c>
      <c r="N173" s="84"/>
      <c r="O173" s="78">
        <f>L173*M173-N173*L173</f>
        <v>8</v>
      </c>
    </row>
    <row r="174" spans="1:16" ht="18" customHeight="1">
      <c r="A174" s="85"/>
      <c r="B174" s="86"/>
      <c r="C174" s="87"/>
      <c r="D174" s="88">
        <v>1688</v>
      </c>
      <c r="E174" s="88">
        <v>1810</v>
      </c>
      <c r="F174" s="89">
        <f t="shared" si="125"/>
        <v>4</v>
      </c>
      <c r="G174" s="90">
        <f t="shared" si="126"/>
        <v>133.11461839253232</v>
      </c>
      <c r="H174" s="90">
        <f t="shared" si="127"/>
        <v>55.968000000000004</v>
      </c>
      <c r="I174" s="91" t="str">
        <f t="shared" si="128"/>
        <v>2동4라인</v>
      </c>
      <c r="J174" s="92" t="s">
        <v>213</v>
      </c>
      <c r="L174" s="89">
        <v>1</v>
      </c>
      <c r="M174" s="78">
        <f>M173</f>
        <v>4</v>
      </c>
      <c r="N174" s="84"/>
      <c r="O174" s="78">
        <f>L174*M174-N174*L174</f>
        <v>4</v>
      </c>
    </row>
    <row r="175" spans="1:16" ht="18" customHeight="1">
      <c r="A175" s="104"/>
      <c r="B175" s="93"/>
      <c r="C175" s="87"/>
      <c r="D175" s="88">
        <v>738</v>
      </c>
      <c r="E175" s="88">
        <v>1310</v>
      </c>
      <c r="F175" s="89">
        <f t="shared" si="125"/>
        <v>16</v>
      </c>
      <c r="G175" s="90">
        <f t="shared" si="126"/>
        <v>168.48544260366631</v>
      </c>
      <c r="H175" s="90">
        <f t="shared" si="127"/>
        <v>131.072</v>
      </c>
      <c r="I175" s="91" t="str">
        <f t="shared" si="128"/>
        <v>2동4라인</v>
      </c>
      <c r="J175" s="92" t="s">
        <v>214</v>
      </c>
      <c r="L175" s="89">
        <v>4</v>
      </c>
      <c r="M175" s="78">
        <f t="shared" ref="M175:M179" si="129">M174</f>
        <v>4</v>
      </c>
      <c r="N175" s="84"/>
      <c r="O175" s="78">
        <f t="shared" ref="O175:O179" si="130">L175*M175-N175*L175</f>
        <v>16</v>
      </c>
    </row>
    <row r="176" spans="1:16" ht="18" customHeight="1">
      <c r="A176" s="104"/>
      <c r="B176" s="93"/>
      <c r="C176" s="87"/>
      <c r="D176" s="88">
        <v>288</v>
      </c>
      <c r="E176" s="88">
        <v>910</v>
      </c>
      <c r="F176" s="89">
        <f t="shared" si="125"/>
        <v>8</v>
      </c>
      <c r="G176" s="90">
        <f t="shared" si="126"/>
        <v>22.836976766983629</v>
      </c>
      <c r="H176" s="90">
        <f t="shared" si="127"/>
        <v>38.335999999999999</v>
      </c>
      <c r="I176" s="91" t="str">
        <f t="shared" si="128"/>
        <v>2동4라인</v>
      </c>
      <c r="J176" s="92" t="s">
        <v>215</v>
      </c>
      <c r="L176" s="89">
        <v>2</v>
      </c>
      <c r="M176" s="78">
        <f t="shared" si="129"/>
        <v>4</v>
      </c>
      <c r="N176" s="78"/>
      <c r="O176" s="78">
        <f t="shared" si="130"/>
        <v>8</v>
      </c>
    </row>
    <row r="177" spans="1:16" ht="18" customHeight="1">
      <c r="A177" s="104"/>
      <c r="B177" s="93"/>
      <c r="C177" s="87"/>
      <c r="D177" s="88">
        <v>228</v>
      </c>
      <c r="E177" s="88">
        <v>910</v>
      </c>
      <c r="F177" s="89">
        <f t="shared" si="125"/>
        <v>8</v>
      </c>
      <c r="G177" s="90">
        <f t="shared" si="126"/>
        <v>18.079273273862039</v>
      </c>
      <c r="H177" s="90">
        <f t="shared" si="127"/>
        <v>36.416000000000004</v>
      </c>
      <c r="I177" s="91" t="str">
        <f t="shared" si="128"/>
        <v>2동4라인</v>
      </c>
      <c r="J177" s="92" t="s">
        <v>216</v>
      </c>
      <c r="L177" s="89">
        <v>2</v>
      </c>
      <c r="M177" s="78">
        <f t="shared" si="129"/>
        <v>4</v>
      </c>
      <c r="N177" s="78"/>
      <c r="O177" s="78">
        <f t="shared" si="130"/>
        <v>8</v>
      </c>
    </row>
    <row r="178" spans="1:16" ht="18" customHeight="1">
      <c r="A178" s="104"/>
      <c r="B178" s="93"/>
      <c r="C178" s="87"/>
      <c r="D178" s="88">
        <v>438</v>
      </c>
      <c r="E178" s="88">
        <v>270</v>
      </c>
      <c r="F178" s="89">
        <f t="shared" si="125"/>
        <v>8</v>
      </c>
      <c r="G178" s="90">
        <f t="shared" si="126"/>
        <v>10.304872071365553</v>
      </c>
      <c r="H178" s="90">
        <f t="shared" si="127"/>
        <v>22.655999999999999</v>
      </c>
      <c r="I178" s="91" t="str">
        <f t="shared" si="128"/>
        <v>2동4라인</v>
      </c>
      <c r="J178" s="92" t="s">
        <v>217</v>
      </c>
      <c r="L178" s="89">
        <v>2</v>
      </c>
      <c r="M178" s="78">
        <f t="shared" si="129"/>
        <v>4</v>
      </c>
      <c r="N178" s="78"/>
      <c r="O178" s="78">
        <f t="shared" si="130"/>
        <v>8</v>
      </c>
    </row>
    <row r="179" spans="1:16" ht="18" customHeight="1">
      <c r="A179" s="104"/>
      <c r="B179" s="93"/>
      <c r="C179" s="87"/>
      <c r="D179" s="88">
        <v>208</v>
      </c>
      <c r="E179" s="88">
        <v>910</v>
      </c>
      <c r="F179" s="89">
        <f t="shared" si="125"/>
        <v>8</v>
      </c>
      <c r="G179" s="90">
        <f t="shared" si="126"/>
        <v>16.493372109488178</v>
      </c>
      <c r="H179" s="90">
        <f t="shared" si="127"/>
        <v>35.776000000000003</v>
      </c>
      <c r="I179" s="91" t="str">
        <f t="shared" si="128"/>
        <v>2동4라인</v>
      </c>
      <c r="J179" s="92" t="s">
        <v>218</v>
      </c>
      <c r="L179" s="89">
        <v>2</v>
      </c>
      <c r="M179" s="78">
        <f t="shared" si="129"/>
        <v>4</v>
      </c>
      <c r="N179" s="78"/>
      <c r="O179" s="78">
        <f t="shared" si="130"/>
        <v>8</v>
      </c>
    </row>
    <row r="180" spans="1:16" ht="18" customHeight="1">
      <c r="A180" s="104"/>
      <c r="B180" s="87"/>
      <c r="C180" s="87"/>
      <c r="D180" s="325" t="s">
        <v>0</v>
      </c>
      <c r="E180" s="325"/>
      <c r="F180" s="171">
        <f>SUM(F173:F179)</f>
        <v>60</v>
      </c>
      <c r="G180" s="95">
        <f>SUM(G173:G179)</f>
        <v>489.33851801021683</v>
      </c>
      <c r="H180" s="95">
        <f>SUM(H173:H179)</f>
        <v>402.49600000000004</v>
      </c>
      <c r="I180" s="97"/>
      <c r="J180" s="98"/>
    </row>
    <row r="181" spans="1:16">
      <c r="A181" s="105"/>
      <c r="B181" s="9"/>
      <c r="C181" s="9"/>
      <c r="D181" s="51"/>
      <c r="E181" s="51"/>
      <c r="F181" s="51"/>
      <c r="G181" s="106"/>
      <c r="H181" s="106"/>
      <c r="I181" s="9"/>
      <c r="J181" s="107"/>
    </row>
    <row r="182" spans="1:16" ht="18" customHeight="1">
      <c r="A182" s="85"/>
      <c r="B182" s="163" t="s">
        <v>199</v>
      </c>
      <c r="C182" s="163">
        <v>22</v>
      </c>
      <c r="D182" s="88">
        <v>738</v>
      </c>
      <c r="E182" s="88">
        <v>1810</v>
      </c>
      <c r="F182" s="89">
        <f t="shared" ref="F182:F183" si="131">O182</f>
        <v>8</v>
      </c>
      <c r="G182" s="90">
        <f t="shared" ref="G182:G183" si="132">D182*E182/91809*F182</f>
        <v>116.39643172238016</v>
      </c>
      <c r="H182" s="90">
        <f t="shared" ref="H182:H183" si="133">(D182/1000)*4*F182+(E182/1000)*4*F182</f>
        <v>81.536000000000001</v>
      </c>
      <c r="I182" s="91" t="str">
        <f>I173</f>
        <v>2동4라인</v>
      </c>
      <c r="J182" s="92" t="s">
        <v>219</v>
      </c>
      <c r="L182" s="89">
        <v>2</v>
      </c>
      <c r="M182" s="78">
        <f>M164</f>
        <v>4</v>
      </c>
      <c r="N182" s="84"/>
      <c r="O182" s="78">
        <f>L182*M182-N182*L182</f>
        <v>8</v>
      </c>
      <c r="P182" s="64"/>
    </row>
    <row r="183" spans="1:16" ht="18" customHeight="1">
      <c r="A183" s="85"/>
      <c r="B183" s="86"/>
      <c r="C183" s="87"/>
      <c r="D183" s="88">
        <v>250</v>
      </c>
      <c r="E183" s="88">
        <v>930</v>
      </c>
      <c r="F183" s="89">
        <f t="shared" si="131"/>
        <v>8</v>
      </c>
      <c r="G183" s="90">
        <f t="shared" si="132"/>
        <v>20.259451687743031</v>
      </c>
      <c r="H183" s="90">
        <f t="shared" si="133"/>
        <v>37.760000000000005</v>
      </c>
      <c r="I183" s="91" t="str">
        <f>I182</f>
        <v>2동4라인</v>
      </c>
      <c r="J183" s="92" t="s">
        <v>220</v>
      </c>
      <c r="L183" s="89">
        <v>2</v>
      </c>
      <c r="M183" s="78">
        <f>M182</f>
        <v>4</v>
      </c>
      <c r="N183" s="84"/>
      <c r="O183" s="78">
        <f t="shared" ref="O183" si="134">L183*M183-N183*L183</f>
        <v>8</v>
      </c>
    </row>
    <row r="184" spans="1:16" ht="18" customHeight="1">
      <c r="A184" s="85"/>
      <c r="B184" s="93"/>
      <c r="C184" s="87"/>
      <c r="D184" s="325" t="s">
        <v>0</v>
      </c>
      <c r="E184" s="325"/>
      <c r="F184" s="94">
        <f>SUM(F182:F183)</f>
        <v>16</v>
      </c>
      <c r="G184" s="95">
        <f>SUM(G182:G183)</f>
        <v>136.65588341012318</v>
      </c>
      <c r="H184" s="95">
        <f>SUM(H182:H183)</f>
        <v>119.29600000000001</v>
      </c>
      <c r="I184" s="97"/>
      <c r="J184" s="98"/>
    </row>
    <row r="185" spans="1:16" ht="18" customHeight="1">
      <c r="A185" s="108"/>
      <c r="B185" s="164"/>
      <c r="C185" s="109"/>
      <c r="D185" s="363"/>
      <c r="E185" s="363"/>
      <c r="F185" s="110"/>
      <c r="G185" s="111"/>
      <c r="H185" s="234"/>
      <c r="I185" s="112"/>
      <c r="J185" s="235"/>
    </row>
    <row r="186" spans="1:16" ht="18" customHeight="1">
      <c r="A186" s="262" t="s">
        <v>234</v>
      </c>
      <c r="B186" s="263" t="s">
        <v>195</v>
      </c>
      <c r="C186" s="264">
        <v>22</v>
      </c>
      <c r="D186" s="265">
        <v>761</v>
      </c>
      <c r="E186" s="265">
        <v>1810</v>
      </c>
      <c r="F186" s="251">
        <f>O186</f>
        <v>16</v>
      </c>
      <c r="G186" s="266">
        <f t="shared" ref="G186:G192" si="135">D186*E186/91809*F186</f>
        <v>240.04792558463768</v>
      </c>
      <c r="H186" s="266">
        <f t="shared" ref="H186:H192" si="136">(D186/1000)*4*F186+(E186/1000)*4*F186</f>
        <v>164.54400000000001</v>
      </c>
      <c r="I186" s="267" t="s">
        <v>250</v>
      </c>
      <c r="J186" s="268" t="s">
        <v>205</v>
      </c>
      <c r="L186" s="89">
        <v>2</v>
      </c>
      <c r="M186" s="78">
        <f>4+4</f>
        <v>8</v>
      </c>
      <c r="N186" s="84"/>
      <c r="O186" s="78">
        <f>L186*M186-N186*L186</f>
        <v>16</v>
      </c>
      <c r="P186" s="64"/>
    </row>
    <row r="187" spans="1:16" ht="18" customHeight="1">
      <c r="A187" s="85"/>
      <c r="B187" s="86"/>
      <c r="C187" s="87"/>
      <c r="D187" s="88">
        <v>1688</v>
      </c>
      <c r="E187" s="88">
        <v>1810</v>
      </c>
      <c r="F187" s="89">
        <f t="shared" ref="F187:F192" si="137">O187</f>
        <v>8</v>
      </c>
      <c r="G187" s="90">
        <f t="shared" si="135"/>
        <v>266.22923678506464</v>
      </c>
      <c r="H187" s="90">
        <f t="shared" si="136"/>
        <v>111.93600000000001</v>
      </c>
      <c r="I187" s="91" t="str">
        <f>I186</f>
        <v>2동5,6라인</v>
      </c>
      <c r="J187" s="92" t="s">
        <v>206</v>
      </c>
      <c r="L187" s="89">
        <v>1</v>
      </c>
      <c r="M187" s="78">
        <f>M186</f>
        <v>8</v>
      </c>
      <c r="N187" s="84"/>
      <c r="O187" s="78">
        <f t="shared" ref="O187:O192" si="138">L187*M187-N187*L187</f>
        <v>8</v>
      </c>
    </row>
    <row r="188" spans="1:16" ht="18" customHeight="1">
      <c r="A188" s="85"/>
      <c r="B188" s="86"/>
      <c r="C188" s="87"/>
      <c r="D188" s="88">
        <v>738</v>
      </c>
      <c r="E188" s="88">
        <v>1310</v>
      </c>
      <c r="F188" s="89">
        <f t="shared" si="137"/>
        <v>32</v>
      </c>
      <c r="G188" s="90">
        <f t="shared" si="135"/>
        <v>336.97088520733263</v>
      </c>
      <c r="H188" s="90">
        <f t="shared" si="136"/>
        <v>262.14400000000001</v>
      </c>
      <c r="I188" s="91" t="str">
        <f t="shared" ref="I188:I192" si="139">I187</f>
        <v>2동5,6라인</v>
      </c>
      <c r="J188" s="92" t="s">
        <v>207</v>
      </c>
      <c r="L188" s="89">
        <v>4</v>
      </c>
      <c r="M188" s="78">
        <f t="shared" ref="M188:M191" si="140">M187</f>
        <v>8</v>
      </c>
      <c r="N188" s="78"/>
      <c r="O188" s="78">
        <f t="shared" si="138"/>
        <v>32</v>
      </c>
    </row>
    <row r="189" spans="1:16" ht="18" customHeight="1">
      <c r="A189" s="85"/>
      <c r="B189" s="86"/>
      <c r="C189" s="87"/>
      <c r="D189" s="88">
        <v>288</v>
      </c>
      <c r="E189" s="88">
        <v>910</v>
      </c>
      <c r="F189" s="89">
        <f t="shared" si="137"/>
        <v>16</v>
      </c>
      <c r="G189" s="90">
        <f t="shared" si="135"/>
        <v>45.673953533967257</v>
      </c>
      <c r="H189" s="90">
        <f t="shared" si="136"/>
        <v>76.671999999999997</v>
      </c>
      <c r="I189" s="91" t="str">
        <f t="shared" si="139"/>
        <v>2동5,6라인</v>
      </c>
      <c r="J189" s="92" t="s">
        <v>208</v>
      </c>
      <c r="L189" s="89">
        <v>2</v>
      </c>
      <c r="M189" s="78">
        <f t="shared" si="140"/>
        <v>8</v>
      </c>
      <c r="N189" s="78"/>
      <c r="O189" s="78">
        <f t="shared" si="138"/>
        <v>16</v>
      </c>
    </row>
    <row r="190" spans="1:16" ht="18" customHeight="1">
      <c r="A190" s="85"/>
      <c r="B190" s="86"/>
      <c r="C190" s="87"/>
      <c r="D190" s="88">
        <v>228</v>
      </c>
      <c r="E190" s="88">
        <v>910</v>
      </c>
      <c r="F190" s="89">
        <f t="shared" si="137"/>
        <v>16</v>
      </c>
      <c r="G190" s="90">
        <f t="shared" si="135"/>
        <v>36.158546547724079</v>
      </c>
      <c r="H190" s="90">
        <f t="shared" si="136"/>
        <v>72.832000000000008</v>
      </c>
      <c r="I190" s="91" t="str">
        <f t="shared" si="139"/>
        <v>2동5,6라인</v>
      </c>
      <c r="J190" s="92" t="s">
        <v>209</v>
      </c>
      <c r="L190" s="89">
        <v>2</v>
      </c>
      <c r="M190" s="78">
        <f t="shared" si="140"/>
        <v>8</v>
      </c>
      <c r="N190" s="78"/>
      <c r="O190" s="78">
        <f t="shared" si="138"/>
        <v>16</v>
      </c>
    </row>
    <row r="191" spans="1:16" ht="18" customHeight="1">
      <c r="A191" s="85"/>
      <c r="B191" s="86"/>
      <c r="C191" s="87"/>
      <c r="D191" s="88">
        <v>438</v>
      </c>
      <c r="E191" s="88">
        <v>270</v>
      </c>
      <c r="F191" s="89">
        <f t="shared" si="137"/>
        <v>16</v>
      </c>
      <c r="G191" s="90">
        <f t="shared" si="135"/>
        <v>20.609744142731106</v>
      </c>
      <c r="H191" s="90">
        <f t="shared" si="136"/>
        <v>45.311999999999998</v>
      </c>
      <c r="I191" s="91" t="str">
        <f t="shared" si="139"/>
        <v>2동5,6라인</v>
      </c>
      <c r="J191" s="92" t="s">
        <v>210</v>
      </c>
      <c r="L191" s="89">
        <v>2</v>
      </c>
      <c r="M191" s="78">
        <f t="shared" si="140"/>
        <v>8</v>
      </c>
      <c r="N191" s="78"/>
      <c r="O191" s="78">
        <f t="shared" si="138"/>
        <v>16</v>
      </c>
    </row>
    <row r="192" spans="1:16" ht="18" customHeight="1">
      <c r="A192" s="85"/>
      <c r="B192" s="86"/>
      <c r="C192" s="87"/>
      <c r="D192" s="88">
        <v>208</v>
      </c>
      <c r="E192" s="88">
        <v>910</v>
      </c>
      <c r="F192" s="89">
        <f t="shared" si="137"/>
        <v>16</v>
      </c>
      <c r="G192" s="90">
        <f t="shared" si="135"/>
        <v>32.986744218976355</v>
      </c>
      <c r="H192" s="90">
        <f t="shared" si="136"/>
        <v>71.552000000000007</v>
      </c>
      <c r="I192" s="91" t="str">
        <f t="shared" si="139"/>
        <v>2동5,6라인</v>
      </c>
      <c r="J192" s="92" t="s">
        <v>211</v>
      </c>
      <c r="L192" s="89">
        <v>2</v>
      </c>
      <c r="M192" s="78">
        <f>M191</f>
        <v>8</v>
      </c>
      <c r="N192" s="78"/>
      <c r="O192" s="78">
        <f t="shared" si="138"/>
        <v>16</v>
      </c>
    </row>
    <row r="193" spans="1:16" ht="18" customHeight="1">
      <c r="A193" s="85"/>
      <c r="B193" s="93"/>
      <c r="C193" s="87"/>
      <c r="D193" s="325" t="s">
        <v>0</v>
      </c>
      <c r="E193" s="325"/>
      <c r="F193" s="94">
        <f>SUM(F186:F192)</f>
        <v>120</v>
      </c>
      <c r="G193" s="95">
        <f>SUM(G186:G192)</f>
        <v>978.67703602043366</v>
      </c>
      <c r="H193" s="96">
        <f>SUM(H186:H192)</f>
        <v>804.99200000000008</v>
      </c>
      <c r="I193" s="97"/>
      <c r="J193" s="162"/>
    </row>
    <row r="194" spans="1:16" ht="18" customHeight="1">
      <c r="A194" s="85"/>
      <c r="B194" s="93"/>
      <c r="C194" s="87"/>
      <c r="D194" s="161"/>
      <c r="E194" s="161"/>
      <c r="F194" s="89"/>
      <c r="G194" s="100"/>
      <c r="H194" s="101"/>
      <c r="I194" s="102"/>
      <c r="J194" s="121"/>
      <c r="L194" s="78" t="s">
        <v>48</v>
      </c>
      <c r="M194" s="78" t="s">
        <v>54</v>
      </c>
      <c r="N194" s="78" t="s">
        <v>50</v>
      </c>
      <c r="O194" s="78" t="s">
        <v>55</v>
      </c>
    </row>
    <row r="195" spans="1:16" ht="18" customHeight="1">
      <c r="A195" s="85"/>
      <c r="B195" s="23" t="s">
        <v>197</v>
      </c>
      <c r="C195" s="24">
        <v>22</v>
      </c>
      <c r="D195" s="88">
        <v>761</v>
      </c>
      <c r="E195" s="88">
        <v>1810</v>
      </c>
      <c r="F195" s="89">
        <f t="shared" ref="F195:F201" si="141">O195</f>
        <v>16</v>
      </c>
      <c r="G195" s="90">
        <f t="shared" ref="G195:G201" si="142">D195*E195/91809*F195</f>
        <v>240.04792558463768</v>
      </c>
      <c r="H195" s="90">
        <f t="shared" ref="H195:H201" si="143">(D195/1000)*4*F195+(E195/1000)*4*F195</f>
        <v>164.54400000000001</v>
      </c>
      <c r="I195" s="91" t="str">
        <f t="shared" ref="I195:I201" si="144">I186</f>
        <v>2동5,6라인</v>
      </c>
      <c r="J195" s="92" t="s">
        <v>212</v>
      </c>
      <c r="L195" s="89">
        <v>2</v>
      </c>
      <c r="M195" s="78">
        <f>M186</f>
        <v>8</v>
      </c>
      <c r="N195" s="84"/>
      <c r="O195" s="78">
        <f>L195*M195-N195*L195</f>
        <v>16</v>
      </c>
    </row>
    <row r="196" spans="1:16" ht="18" customHeight="1">
      <c r="A196" s="85"/>
      <c r="B196" s="86"/>
      <c r="C196" s="87"/>
      <c r="D196" s="88">
        <v>1688</v>
      </c>
      <c r="E196" s="88">
        <v>1810</v>
      </c>
      <c r="F196" s="89">
        <f t="shared" si="141"/>
        <v>8</v>
      </c>
      <c r="G196" s="90">
        <f t="shared" si="142"/>
        <v>266.22923678506464</v>
      </c>
      <c r="H196" s="90">
        <f t="shared" si="143"/>
        <v>111.93600000000001</v>
      </c>
      <c r="I196" s="91" t="str">
        <f t="shared" si="144"/>
        <v>2동5,6라인</v>
      </c>
      <c r="J196" s="92" t="s">
        <v>213</v>
      </c>
      <c r="L196" s="89">
        <v>1</v>
      </c>
      <c r="M196" s="78">
        <f>M195</f>
        <v>8</v>
      </c>
      <c r="N196" s="84"/>
      <c r="O196" s="78">
        <f>L196*M196-N196*L196</f>
        <v>8</v>
      </c>
    </row>
    <row r="197" spans="1:16" ht="18" customHeight="1">
      <c r="A197" s="104"/>
      <c r="B197" s="93"/>
      <c r="C197" s="87"/>
      <c r="D197" s="88">
        <v>738</v>
      </c>
      <c r="E197" s="88">
        <v>1310</v>
      </c>
      <c r="F197" s="89">
        <f t="shared" si="141"/>
        <v>32</v>
      </c>
      <c r="G197" s="90">
        <f t="shared" si="142"/>
        <v>336.97088520733263</v>
      </c>
      <c r="H197" s="90">
        <f t="shared" si="143"/>
        <v>262.14400000000001</v>
      </c>
      <c r="I197" s="91" t="str">
        <f t="shared" si="144"/>
        <v>2동5,6라인</v>
      </c>
      <c r="J197" s="92" t="s">
        <v>214</v>
      </c>
      <c r="L197" s="89">
        <v>4</v>
      </c>
      <c r="M197" s="78">
        <f t="shared" ref="M197:M201" si="145">M196</f>
        <v>8</v>
      </c>
      <c r="N197" s="84"/>
      <c r="O197" s="78">
        <f t="shared" ref="O197:O201" si="146">L197*M197-N197*L197</f>
        <v>32</v>
      </c>
    </row>
    <row r="198" spans="1:16" ht="18" customHeight="1">
      <c r="A198" s="104"/>
      <c r="B198" s="93"/>
      <c r="C198" s="87"/>
      <c r="D198" s="88">
        <v>288</v>
      </c>
      <c r="E198" s="88">
        <v>910</v>
      </c>
      <c r="F198" s="89">
        <f t="shared" si="141"/>
        <v>16</v>
      </c>
      <c r="G198" s="90">
        <f t="shared" si="142"/>
        <v>45.673953533967257</v>
      </c>
      <c r="H198" s="90">
        <f t="shared" si="143"/>
        <v>76.671999999999997</v>
      </c>
      <c r="I198" s="91" t="str">
        <f t="shared" si="144"/>
        <v>2동5,6라인</v>
      </c>
      <c r="J198" s="92" t="s">
        <v>215</v>
      </c>
      <c r="L198" s="89">
        <v>2</v>
      </c>
      <c r="M198" s="78">
        <f t="shared" si="145"/>
        <v>8</v>
      </c>
      <c r="N198" s="78"/>
      <c r="O198" s="78">
        <f t="shared" si="146"/>
        <v>16</v>
      </c>
    </row>
    <row r="199" spans="1:16" ht="18" customHeight="1">
      <c r="A199" s="104"/>
      <c r="B199" s="93"/>
      <c r="C199" s="87"/>
      <c r="D199" s="88">
        <v>228</v>
      </c>
      <c r="E199" s="88">
        <v>910</v>
      </c>
      <c r="F199" s="89">
        <f t="shared" si="141"/>
        <v>16</v>
      </c>
      <c r="G199" s="90">
        <f t="shared" si="142"/>
        <v>36.158546547724079</v>
      </c>
      <c r="H199" s="90">
        <f t="shared" si="143"/>
        <v>72.832000000000008</v>
      </c>
      <c r="I199" s="91" t="str">
        <f t="shared" si="144"/>
        <v>2동5,6라인</v>
      </c>
      <c r="J199" s="92" t="s">
        <v>216</v>
      </c>
      <c r="L199" s="89">
        <v>2</v>
      </c>
      <c r="M199" s="78">
        <f t="shared" si="145"/>
        <v>8</v>
      </c>
      <c r="N199" s="78"/>
      <c r="O199" s="78">
        <f t="shared" si="146"/>
        <v>16</v>
      </c>
    </row>
    <row r="200" spans="1:16" ht="18" customHeight="1">
      <c r="A200" s="104"/>
      <c r="B200" s="93"/>
      <c r="C200" s="87"/>
      <c r="D200" s="88">
        <v>438</v>
      </c>
      <c r="E200" s="88">
        <v>270</v>
      </c>
      <c r="F200" s="89">
        <f t="shared" si="141"/>
        <v>16</v>
      </c>
      <c r="G200" s="90">
        <f t="shared" si="142"/>
        <v>20.609744142731106</v>
      </c>
      <c r="H200" s="90">
        <f t="shared" si="143"/>
        <v>45.311999999999998</v>
      </c>
      <c r="I200" s="91" t="str">
        <f t="shared" si="144"/>
        <v>2동5,6라인</v>
      </c>
      <c r="J200" s="92" t="s">
        <v>217</v>
      </c>
      <c r="L200" s="89">
        <v>2</v>
      </c>
      <c r="M200" s="78">
        <f t="shared" si="145"/>
        <v>8</v>
      </c>
      <c r="N200" s="78"/>
      <c r="O200" s="78">
        <f t="shared" si="146"/>
        <v>16</v>
      </c>
    </row>
    <row r="201" spans="1:16" ht="18" customHeight="1">
      <c r="A201" s="104"/>
      <c r="B201" s="93"/>
      <c r="C201" s="87"/>
      <c r="D201" s="88">
        <v>208</v>
      </c>
      <c r="E201" s="88">
        <v>910</v>
      </c>
      <c r="F201" s="89">
        <f t="shared" si="141"/>
        <v>16</v>
      </c>
      <c r="G201" s="90">
        <f t="shared" si="142"/>
        <v>32.986744218976355</v>
      </c>
      <c r="H201" s="90">
        <f t="shared" si="143"/>
        <v>71.552000000000007</v>
      </c>
      <c r="I201" s="91" t="str">
        <f t="shared" si="144"/>
        <v>2동5,6라인</v>
      </c>
      <c r="J201" s="92" t="s">
        <v>218</v>
      </c>
      <c r="L201" s="89">
        <v>2</v>
      </c>
      <c r="M201" s="78">
        <f t="shared" si="145"/>
        <v>8</v>
      </c>
      <c r="N201" s="78"/>
      <c r="O201" s="78">
        <f t="shared" si="146"/>
        <v>16</v>
      </c>
    </row>
    <row r="202" spans="1:16" ht="18" customHeight="1">
      <c r="A202" s="104"/>
      <c r="B202" s="87"/>
      <c r="C202" s="87"/>
      <c r="D202" s="325" t="s">
        <v>0</v>
      </c>
      <c r="E202" s="325"/>
      <c r="F202" s="171">
        <f>SUM(F195:F201)</f>
        <v>120</v>
      </c>
      <c r="G202" s="95">
        <f>SUM(G195:G201)</f>
        <v>978.67703602043366</v>
      </c>
      <c r="H202" s="95">
        <f>SUM(H195:H201)</f>
        <v>804.99200000000008</v>
      </c>
      <c r="I202" s="97"/>
      <c r="J202" s="98"/>
    </row>
    <row r="203" spans="1:16">
      <c r="A203" s="105"/>
      <c r="B203" s="9"/>
      <c r="C203" s="9"/>
      <c r="D203" s="51"/>
      <c r="E203" s="51"/>
      <c r="F203" s="51"/>
      <c r="G203" s="106"/>
      <c r="H203" s="106"/>
      <c r="I203" s="9"/>
      <c r="J203" s="107"/>
    </row>
    <row r="204" spans="1:16" ht="18" customHeight="1">
      <c r="A204" s="85"/>
      <c r="B204" s="163" t="s">
        <v>199</v>
      </c>
      <c r="C204" s="163">
        <v>22</v>
      </c>
      <c r="D204" s="88">
        <v>738</v>
      </c>
      <c r="E204" s="88">
        <v>1810</v>
      </c>
      <c r="F204" s="89">
        <f t="shared" ref="F204:F205" si="147">O204</f>
        <v>16</v>
      </c>
      <c r="G204" s="90">
        <f t="shared" ref="G204:G205" si="148">D204*E204/91809*F204</f>
        <v>232.79286344476031</v>
      </c>
      <c r="H204" s="90">
        <f t="shared" ref="H204:H205" si="149">(D204/1000)*4*F204+(E204/1000)*4*F204</f>
        <v>163.072</v>
      </c>
      <c r="I204" s="91" t="str">
        <f>I195</f>
        <v>2동5,6라인</v>
      </c>
      <c r="J204" s="92" t="s">
        <v>219</v>
      </c>
      <c r="L204" s="89">
        <v>2</v>
      </c>
      <c r="M204" s="78">
        <f>M186</f>
        <v>8</v>
      </c>
      <c r="N204" s="84"/>
      <c r="O204" s="78">
        <f>L204*M204-N204*L204</f>
        <v>16</v>
      </c>
      <c r="P204" s="64"/>
    </row>
    <row r="205" spans="1:16" ht="18" customHeight="1">
      <c r="A205" s="85"/>
      <c r="B205" s="86"/>
      <c r="C205" s="87"/>
      <c r="D205" s="88">
        <v>250</v>
      </c>
      <c r="E205" s="88">
        <v>930</v>
      </c>
      <c r="F205" s="89">
        <f t="shared" si="147"/>
        <v>16</v>
      </c>
      <c r="G205" s="90">
        <f t="shared" si="148"/>
        <v>40.518903375486062</v>
      </c>
      <c r="H205" s="90">
        <f t="shared" si="149"/>
        <v>75.52000000000001</v>
      </c>
      <c r="I205" s="91" t="str">
        <f>I204</f>
        <v>2동5,6라인</v>
      </c>
      <c r="J205" s="92" t="s">
        <v>220</v>
      </c>
      <c r="L205" s="89">
        <v>2</v>
      </c>
      <c r="M205" s="78">
        <f>M204</f>
        <v>8</v>
      </c>
      <c r="N205" s="84"/>
      <c r="O205" s="78">
        <f t="shared" ref="O205" si="150">L205*M205-N205*L205</f>
        <v>16</v>
      </c>
    </row>
    <row r="206" spans="1:16" ht="18" customHeight="1">
      <c r="A206" s="85"/>
      <c r="B206" s="93"/>
      <c r="C206" s="87"/>
      <c r="D206" s="325" t="s">
        <v>0</v>
      </c>
      <c r="E206" s="325"/>
      <c r="F206" s="94">
        <f>SUM(F204:F205)</f>
        <v>32</v>
      </c>
      <c r="G206" s="95">
        <f>SUM(G204:G205)</f>
        <v>273.31176682024636</v>
      </c>
      <c r="H206" s="95">
        <f>SUM(H204:H205)</f>
        <v>238.59200000000001</v>
      </c>
      <c r="I206" s="97"/>
      <c r="J206" s="98"/>
    </row>
    <row r="207" spans="1:16" ht="18" customHeight="1">
      <c r="A207" s="253"/>
      <c r="B207" s="254"/>
      <c r="C207" s="255"/>
      <c r="D207" s="361"/>
      <c r="E207" s="361"/>
      <c r="F207" s="256"/>
      <c r="G207" s="257"/>
      <c r="H207" s="258"/>
      <c r="I207" s="259"/>
      <c r="J207" s="260"/>
      <c r="L207" s="250"/>
      <c r="M207" s="250"/>
      <c r="N207" s="250"/>
      <c r="O207" s="250"/>
    </row>
    <row r="208" spans="1:16" ht="18" customHeight="1">
      <c r="A208" s="85">
        <v>74</v>
      </c>
      <c r="B208" s="23" t="s">
        <v>196</v>
      </c>
      <c r="C208" s="24">
        <v>22</v>
      </c>
      <c r="D208" s="88">
        <v>861</v>
      </c>
      <c r="E208" s="88">
        <v>1810</v>
      </c>
      <c r="F208" s="89">
        <f t="shared" ref="F208:F212" si="151">O208</f>
        <v>10</v>
      </c>
      <c r="G208" s="90">
        <f t="shared" ref="G208:G212" si="152">D208*E208/91809*F208</f>
        <v>169.7447962618044</v>
      </c>
      <c r="H208" s="90">
        <f t="shared" ref="H208:H212" si="153">(D208/1000)*4*F208+(E208/1000)*4*F208</f>
        <v>106.84</v>
      </c>
      <c r="I208" s="91" t="s">
        <v>251</v>
      </c>
      <c r="J208" s="92" t="s">
        <v>205</v>
      </c>
      <c r="L208" s="89">
        <v>1</v>
      </c>
      <c r="M208" s="78">
        <v>10</v>
      </c>
      <c r="N208" s="84"/>
      <c r="O208" s="78">
        <f>L208*M208-N208*L208</f>
        <v>10</v>
      </c>
      <c r="P208" s="64"/>
    </row>
    <row r="209" spans="1:15" ht="18" customHeight="1">
      <c r="A209" s="85"/>
      <c r="B209" s="86"/>
      <c r="C209" s="87"/>
      <c r="D209" s="88">
        <v>738</v>
      </c>
      <c r="E209" s="88">
        <v>1310</v>
      </c>
      <c r="F209" s="89">
        <f t="shared" si="151"/>
        <v>40</v>
      </c>
      <c r="G209" s="90">
        <f t="shared" si="152"/>
        <v>421.2136065091658</v>
      </c>
      <c r="H209" s="90">
        <f t="shared" si="153"/>
        <v>327.68</v>
      </c>
      <c r="I209" s="91" t="str">
        <f>I208</f>
        <v>3동1,2라인</v>
      </c>
      <c r="J209" s="92" t="s">
        <v>207</v>
      </c>
      <c r="L209" s="89">
        <v>4</v>
      </c>
      <c r="M209" s="78">
        <f>M208</f>
        <v>10</v>
      </c>
      <c r="N209" s="84"/>
      <c r="O209" s="78">
        <f t="shared" ref="O209:O212" si="154">L209*M209-N209*L209</f>
        <v>40</v>
      </c>
    </row>
    <row r="210" spans="1:15" ht="18" customHeight="1">
      <c r="A210" s="85"/>
      <c r="B210" s="86"/>
      <c r="C210" s="87"/>
      <c r="D210" s="88">
        <v>288</v>
      </c>
      <c r="E210" s="88">
        <v>910</v>
      </c>
      <c r="F210" s="89">
        <f t="shared" si="151"/>
        <v>20</v>
      </c>
      <c r="G210" s="90">
        <f t="shared" si="152"/>
        <v>57.09244191745907</v>
      </c>
      <c r="H210" s="90">
        <f t="shared" si="153"/>
        <v>95.84</v>
      </c>
      <c r="I210" s="91" t="str">
        <f t="shared" ref="I210:I211" si="155">I209</f>
        <v>3동1,2라인</v>
      </c>
      <c r="J210" s="92" t="s">
        <v>208</v>
      </c>
      <c r="L210" s="89">
        <v>2</v>
      </c>
      <c r="M210" s="78">
        <f t="shared" ref="M210" si="156">M209</f>
        <v>10</v>
      </c>
      <c r="N210" s="78"/>
      <c r="O210" s="78">
        <f t="shared" si="154"/>
        <v>20</v>
      </c>
    </row>
    <row r="211" spans="1:15" ht="18" customHeight="1">
      <c r="A211" s="85"/>
      <c r="B211" s="86"/>
      <c r="C211" s="87"/>
      <c r="D211" s="88">
        <v>228</v>
      </c>
      <c r="E211" s="88">
        <v>910</v>
      </c>
      <c r="F211" s="89">
        <f t="shared" si="151"/>
        <v>20</v>
      </c>
      <c r="G211" s="90">
        <f t="shared" si="152"/>
        <v>45.1981831846551</v>
      </c>
      <c r="H211" s="90">
        <f t="shared" si="153"/>
        <v>91.039999999999992</v>
      </c>
      <c r="I211" s="91" t="str">
        <f t="shared" si="155"/>
        <v>3동1,2라인</v>
      </c>
      <c r="J211" s="92" t="s">
        <v>209</v>
      </c>
      <c r="L211" s="89">
        <v>2</v>
      </c>
      <c r="M211" s="78">
        <f>M210</f>
        <v>10</v>
      </c>
      <c r="N211" s="78"/>
      <c r="O211" s="78">
        <f t="shared" si="154"/>
        <v>20</v>
      </c>
    </row>
    <row r="212" spans="1:15" ht="18" customHeight="1">
      <c r="A212" s="85"/>
      <c r="B212" s="86"/>
      <c r="C212" s="87"/>
      <c r="D212" s="88">
        <v>438</v>
      </c>
      <c r="E212" s="88">
        <v>270</v>
      </c>
      <c r="F212" s="89">
        <f t="shared" si="151"/>
        <v>20</v>
      </c>
      <c r="G212" s="90">
        <f t="shared" si="152"/>
        <v>25.762180178413882</v>
      </c>
      <c r="H212" s="90">
        <f t="shared" si="153"/>
        <v>56.64</v>
      </c>
      <c r="I212" s="91" t="str">
        <f>I210</f>
        <v>3동1,2라인</v>
      </c>
      <c r="J212" s="92" t="s">
        <v>210</v>
      </c>
      <c r="L212" s="89">
        <v>2</v>
      </c>
      <c r="M212" s="78">
        <f>M210</f>
        <v>10</v>
      </c>
      <c r="N212" s="78"/>
      <c r="O212" s="78">
        <f t="shared" si="154"/>
        <v>20</v>
      </c>
    </row>
    <row r="213" spans="1:15" ht="18" customHeight="1">
      <c r="A213" s="85"/>
      <c r="B213" s="93"/>
      <c r="C213" s="87"/>
      <c r="D213" s="325" t="s">
        <v>0</v>
      </c>
      <c r="E213" s="325"/>
      <c r="F213" s="94">
        <f>SUM(F208:F212)</f>
        <v>110</v>
      </c>
      <c r="G213" s="95">
        <f>SUM(G208:G212)</f>
        <v>719.01120805149833</v>
      </c>
      <c r="H213" s="96">
        <f>SUM(H208:H212)</f>
        <v>678.04</v>
      </c>
      <c r="I213" s="97"/>
      <c r="J213" s="162"/>
    </row>
    <row r="214" spans="1:15" ht="18" customHeight="1">
      <c r="A214" s="85"/>
      <c r="B214" s="93"/>
      <c r="C214" s="87"/>
      <c r="D214" s="161"/>
      <c r="E214" s="161"/>
      <c r="F214" s="89"/>
      <c r="G214" s="100"/>
      <c r="H214" s="101"/>
      <c r="I214" s="102"/>
      <c r="J214" s="121"/>
      <c r="L214" s="252"/>
      <c r="M214" s="252"/>
      <c r="N214" s="252"/>
      <c r="O214" s="252"/>
    </row>
    <row r="215" spans="1:15" ht="18" customHeight="1">
      <c r="A215" s="85"/>
      <c r="B215" s="23" t="s">
        <v>198</v>
      </c>
      <c r="C215" s="24">
        <v>22</v>
      </c>
      <c r="D215" s="88">
        <v>861</v>
      </c>
      <c r="E215" s="88">
        <v>1810</v>
      </c>
      <c r="F215" s="89">
        <f t="shared" ref="F215:F220" si="157">O215</f>
        <v>10</v>
      </c>
      <c r="G215" s="90">
        <f t="shared" ref="G215:G220" si="158">D215*E215/91809*F215</f>
        <v>169.7447962618044</v>
      </c>
      <c r="H215" s="90">
        <f t="shared" ref="H215:H220" si="159">(D215/1000)*4*F215+(E215/1000)*4*F215</f>
        <v>106.84</v>
      </c>
      <c r="I215" s="91" t="str">
        <f>I208</f>
        <v>3동1,2라인</v>
      </c>
      <c r="J215" s="92" t="s">
        <v>212</v>
      </c>
      <c r="L215" s="89">
        <v>1</v>
      </c>
      <c r="M215" s="78">
        <f>M208</f>
        <v>10</v>
      </c>
      <c r="N215" s="84"/>
      <c r="O215" s="78">
        <f>L215*M215-N215*L215</f>
        <v>10</v>
      </c>
    </row>
    <row r="216" spans="1:15" ht="18" customHeight="1">
      <c r="A216" s="85"/>
      <c r="B216" s="86"/>
      <c r="C216" s="87"/>
      <c r="D216" s="88">
        <v>2114</v>
      </c>
      <c r="E216" s="88">
        <v>1810</v>
      </c>
      <c r="F216" s="89">
        <f t="shared" si="157"/>
        <v>10</v>
      </c>
      <c r="G216" s="90">
        <f t="shared" si="158"/>
        <v>416.77177618751978</v>
      </c>
      <c r="H216" s="90">
        <f t="shared" si="159"/>
        <v>156.96</v>
      </c>
      <c r="I216" s="91" t="str">
        <f>I208</f>
        <v>3동1,2라인</v>
      </c>
      <c r="J216" s="92" t="s">
        <v>213</v>
      </c>
      <c r="L216" s="89">
        <v>1</v>
      </c>
      <c r="M216" s="78">
        <f>M215</f>
        <v>10</v>
      </c>
      <c r="N216" s="84"/>
      <c r="O216" s="78">
        <f>L216*M216-N216*L216</f>
        <v>10</v>
      </c>
    </row>
    <row r="217" spans="1:15" ht="18" customHeight="1">
      <c r="A217" s="104"/>
      <c r="B217" s="93"/>
      <c r="C217" s="87"/>
      <c r="D217" s="88">
        <v>738</v>
      </c>
      <c r="E217" s="88">
        <v>1310</v>
      </c>
      <c r="F217" s="89">
        <f t="shared" si="157"/>
        <v>40</v>
      </c>
      <c r="G217" s="90">
        <f t="shared" si="158"/>
        <v>421.2136065091658</v>
      </c>
      <c r="H217" s="90">
        <f t="shared" si="159"/>
        <v>327.68</v>
      </c>
      <c r="I217" s="91" t="str">
        <f>I216</f>
        <v>3동1,2라인</v>
      </c>
      <c r="J217" s="92" t="s">
        <v>214</v>
      </c>
      <c r="L217" s="89">
        <v>4</v>
      </c>
      <c r="M217" s="78">
        <f t="shared" ref="M217:M220" si="160">M216</f>
        <v>10</v>
      </c>
      <c r="N217" s="84"/>
      <c r="O217" s="78">
        <f t="shared" ref="O217:O220" si="161">L217*M217-N217*L217</f>
        <v>40</v>
      </c>
    </row>
    <row r="218" spans="1:15" ht="18" customHeight="1">
      <c r="A218" s="104"/>
      <c r="B218" s="93"/>
      <c r="C218" s="87"/>
      <c r="D218" s="88">
        <v>288</v>
      </c>
      <c r="E218" s="88">
        <v>910</v>
      </c>
      <c r="F218" s="89">
        <f t="shared" si="157"/>
        <v>20</v>
      </c>
      <c r="G218" s="90">
        <f t="shared" si="158"/>
        <v>57.09244191745907</v>
      </c>
      <c r="H218" s="90">
        <f t="shared" si="159"/>
        <v>95.84</v>
      </c>
      <c r="I218" s="91" t="str">
        <f>I217</f>
        <v>3동1,2라인</v>
      </c>
      <c r="J218" s="92" t="s">
        <v>215</v>
      </c>
      <c r="L218" s="89">
        <v>2</v>
      </c>
      <c r="M218" s="78">
        <f>M217</f>
        <v>10</v>
      </c>
      <c r="N218" s="84"/>
      <c r="O218" s="78">
        <f t="shared" si="161"/>
        <v>20</v>
      </c>
    </row>
    <row r="219" spans="1:15" ht="18" customHeight="1">
      <c r="A219" s="104"/>
      <c r="B219" s="93"/>
      <c r="C219" s="87"/>
      <c r="D219" s="88">
        <v>228</v>
      </c>
      <c r="E219" s="88">
        <v>910</v>
      </c>
      <c r="F219" s="89">
        <f t="shared" si="157"/>
        <v>20</v>
      </c>
      <c r="G219" s="90">
        <f t="shared" si="158"/>
        <v>45.1981831846551</v>
      </c>
      <c r="H219" s="90">
        <f t="shared" si="159"/>
        <v>91.039999999999992</v>
      </c>
      <c r="I219" s="91" t="str">
        <f>I217</f>
        <v>3동1,2라인</v>
      </c>
      <c r="J219" s="92" t="s">
        <v>216</v>
      </c>
      <c r="L219" s="89">
        <v>2</v>
      </c>
      <c r="M219" s="78">
        <f>M217</f>
        <v>10</v>
      </c>
      <c r="N219" s="78"/>
      <c r="O219" s="78">
        <f t="shared" si="161"/>
        <v>20</v>
      </c>
    </row>
    <row r="220" spans="1:15" ht="18" customHeight="1">
      <c r="A220" s="104"/>
      <c r="B220" s="93"/>
      <c r="C220" s="87"/>
      <c r="D220" s="88">
        <v>438</v>
      </c>
      <c r="E220" s="88">
        <v>270</v>
      </c>
      <c r="F220" s="89">
        <f t="shared" si="157"/>
        <v>20</v>
      </c>
      <c r="G220" s="90">
        <f t="shared" si="158"/>
        <v>25.762180178413882</v>
      </c>
      <c r="H220" s="90">
        <f t="shared" si="159"/>
        <v>56.64</v>
      </c>
      <c r="I220" s="91" t="str">
        <f t="shared" ref="I220" si="162">I219</f>
        <v>3동1,2라인</v>
      </c>
      <c r="J220" s="92" t="s">
        <v>217</v>
      </c>
      <c r="L220" s="89">
        <v>2</v>
      </c>
      <c r="M220" s="78">
        <f t="shared" si="160"/>
        <v>10</v>
      </c>
      <c r="N220" s="78"/>
      <c r="O220" s="78">
        <f t="shared" si="161"/>
        <v>20</v>
      </c>
    </row>
    <row r="221" spans="1:15" ht="18" customHeight="1">
      <c r="A221" s="104"/>
      <c r="B221" s="87"/>
      <c r="C221" s="87"/>
      <c r="D221" s="325" t="s">
        <v>0</v>
      </c>
      <c r="E221" s="325"/>
      <c r="F221" s="171">
        <f>SUM(F215:F220)</f>
        <v>120</v>
      </c>
      <c r="G221" s="95">
        <f>SUM(G215:G220)</f>
        <v>1135.7829842390181</v>
      </c>
      <c r="H221" s="95">
        <f>SUM(H215:H220)</f>
        <v>835</v>
      </c>
      <c r="I221" s="97"/>
      <c r="J221" s="98"/>
    </row>
    <row r="222" spans="1:15">
      <c r="A222" s="105"/>
      <c r="B222" s="9"/>
      <c r="C222" s="9"/>
      <c r="D222" s="51"/>
      <c r="E222" s="51"/>
      <c r="F222" s="51"/>
      <c r="G222" s="106"/>
      <c r="H222" s="106"/>
      <c r="I222" s="9"/>
      <c r="J222" s="107"/>
    </row>
    <row r="223" spans="1:15" ht="18" customHeight="1">
      <c r="A223" s="85"/>
      <c r="B223" s="23" t="s">
        <v>237</v>
      </c>
      <c r="C223" s="24">
        <v>22</v>
      </c>
      <c r="D223" s="88">
        <v>2114</v>
      </c>
      <c r="E223" s="88">
        <v>1810</v>
      </c>
      <c r="F223" s="89">
        <f t="shared" ref="F223" si="163">O223</f>
        <v>10</v>
      </c>
      <c r="G223" s="90">
        <f t="shared" ref="G223" si="164">D223*E223/91809*F223</f>
        <v>416.77177618751978</v>
      </c>
      <c r="H223" s="90">
        <f t="shared" ref="H223" si="165">(D223/1000)*4*F223+(E223/1000)*4*F223</f>
        <v>156.96</v>
      </c>
      <c r="I223" s="91" t="str">
        <f>I215</f>
        <v>3동1,2라인</v>
      </c>
      <c r="J223" s="92" t="s">
        <v>206</v>
      </c>
      <c r="L223" s="89">
        <v>1</v>
      </c>
      <c r="M223" s="78">
        <f>M208</f>
        <v>10</v>
      </c>
      <c r="N223" s="84"/>
      <c r="O223" s="78">
        <f>L223*M223-N223*L223</f>
        <v>10</v>
      </c>
    </row>
    <row r="224" spans="1:15" ht="18" customHeight="1">
      <c r="A224" s="85"/>
      <c r="B224" s="93"/>
      <c r="C224" s="87"/>
      <c r="D224" s="325" t="s">
        <v>0</v>
      </c>
      <c r="E224" s="325"/>
      <c r="F224" s="94">
        <f>SUM(F223:F223)</f>
        <v>10</v>
      </c>
      <c r="G224" s="95">
        <f>SUM(G223:G223)</f>
        <v>416.77177618751978</v>
      </c>
      <c r="H224" s="95">
        <f>SUM(H223:H223)</f>
        <v>156.96</v>
      </c>
      <c r="I224" s="97"/>
      <c r="J224" s="98"/>
    </row>
    <row r="225" spans="1:16" ht="18" customHeight="1">
      <c r="A225" s="218"/>
      <c r="B225" s="219"/>
      <c r="C225" s="220"/>
      <c r="D225" s="161"/>
      <c r="E225" s="161"/>
      <c r="F225" s="89"/>
      <c r="G225" s="100"/>
      <c r="H225" s="100"/>
      <c r="I225" s="102"/>
      <c r="J225" s="221"/>
    </row>
    <row r="226" spans="1:16" ht="18" customHeight="1">
      <c r="A226" s="85"/>
      <c r="B226" s="23" t="s">
        <v>200</v>
      </c>
      <c r="C226" s="24">
        <v>22</v>
      </c>
      <c r="D226" s="88">
        <v>638</v>
      </c>
      <c r="E226" s="88">
        <v>1810</v>
      </c>
      <c r="F226" s="89">
        <f t="shared" ref="F226:F227" si="166">O226</f>
        <v>10</v>
      </c>
      <c r="G226" s="90">
        <f t="shared" ref="G226:G227" si="167">D226*E226/91809*F226</f>
        <v>125.78069688156936</v>
      </c>
      <c r="H226" s="90">
        <f t="shared" ref="H226:H227" si="168">(D226/1000)*4*F226+(E226/1000)*4*F226</f>
        <v>97.92</v>
      </c>
      <c r="I226" s="91" t="str">
        <f>I223</f>
        <v>3동1,2라인</v>
      </c>
      <c r="J226" s="92" t="s">
        <v>219</v>
      </c>
      <c r="L226" s="89">
        <v>2</v>
      </c>
      <c r="M226" s="78">
        <f>M223</f>
        <v>10</v>
      </c>
      <c r="N226" s="84">
        <f>M226/2</f>
        <v>5</v>
      </c>
      <c r="O226" s="78">
        <f>L226*M226-N226*L226</f>
        <v>10</v>
      </c>
      <c r="P226" s="64" t="s">
        <v>247</v>
      </c>
    </row>
    <row r="227" spans="1:16" ht="18" customHeight="1">
      <c r="A227" s="85"/>
      <c r="B227" s="86"/>
      <c r="C227" s="87"/>
      <c r="D227" s="88">
        <v>250</v>
      </c>
      <c r="E227" s="88">
        <v>930</v>
      </c>
      <c r="F227" s="89">
        <f t="shared" si="166"/>
        <v>20</v>
      </c>
      <c r="G227" s="90">
        <f t="shared" si="167"/>
        <v>50.648629219357574</v>
      </c>
      <c r="H227" s="90">
        <f t="shared" si="168"/>
        <v>94.4</v>
      </c>
      <c r="I227" s="91" t="str">
        <f>I226</f>
        <v>3동1,2라인</v>
      </c>
      <c r="J227" s="92" t="s">
        <v>220</v>
      </c>
      <c r="L227" s="89">
        <v>2</v>
      </c>
      <c r="M227" s="78">
        <f>M226</f>
        <v>10</v>
      </c>
      <c r="N227" s="84"/>
      <c r="O227" s="78">
        <f t="shared" ref="O227" si="169">L227*M227-N227*L227</f>
        <v>20</v>
      </c>
    </row>
    <row r="228" spans="1:16" ht="18" customHeight="1">
      <c r="A228" s="85"/>
      <c r="B228" s="93"/>
      <c r="C228" s="87"/>
      <c r="D228" s="325" t="s">
        <v>0</v>
      </c>
      <c r="E228" s="325"/>
      <c r="F228" s="94">
        <f>SUM(F226:F227)</f>
        <v>30</v>
      </c>
      <c r="G228" s="95">
        <f>SUM(G226:G227)</f>
        <v>176.42932610092691</v>
      </c>
      <c r="H228" s="96">
        <f>SUM(H226:H227)</f>
        <v>192.32</v>
      </c>
      <c r="I228" s="97"/>
      <c r="J228" s="162"/>
    </row>
    <row r="229" spans="1:16">
      <c r="A229" s="16"/>
      <c r="B229" s="16"/>
      <c r="C229" s="16"/>
      <c r="D229" s="261"/>
      <c r="E229" s="261"/>
      <c r="F229" s="261"/>
      <c r="G229" s="19"/>
      <c r="H229" s="19"/>
      <c r="I229" s="16"/>
      <c r="J229" s="16"/>
    </row>
    <row r="230" spans="1:16" ht="18" customHeight="1">
      <c r="A230" s="85" t="s">
        <v>235</v>
      </c>
      <c r="B230" s="23" t="s">
        <v>196</v>
      </c>
      <c r="C230" s="24">
        <v>22</v>
      </c>
      <c r="D230" s="88">
        <v>861</v>
      </c>
      <c r="E230" s="88">
        <v>1810</v>
      </c>
      <c r="F230" s="89">
        <f t="shared" ref="F230:F233" si="170">O230</f>
        <v>5</v>
      </c>
      <c r="G230" s="90">
        <f t="shared" ref="G230:G233" si="171">D230*E230/91809*F230</f>
        <v>84.872398130902198</v>
      </c>
      <c r="H230" s="90">
        <f t="shared" ref="H230:H233" si="172">(D230/1000)*4*F230+(E230/1000)*4*F230</f>
        <v>53.42</v>
      </c>
      <c r="I230" s="91" t="s">
        <v>252</v>
      </c>
      <c r="J230" s="92" t="s">
        <v>205</v>
      </c>
      <c r="L230" s="89">
        <v>1</v>
      </c>
      <c r="M230" s="78">
        <v>5</v>
      </c>
      <c r="N230" s="84"/>
      <c r="O230" s="78">
        <f>L230*M230-N230*L230</f>
        <v>5</v>
      </c>
      <c r="P230" s="64"/>
    </row>
    <row r="231" spans="1:16" ht="18" customHeight="1">
      <c r="A231" s="85"/>
      <c r="B231" s="86"/>
      <c r="C231" s="87"/>
      <c r="D231" s="88">
        <v>738</v>
      </c>
      <c r="E231" s="88">
        <v>1310</v>
      </c>
      <c r="F231" s="89">
        <f t="shared" si="170"/>
        <v>20</v>
      </c>
      <c r="G231" s="90">
        <f t="shared" si="171"/>
        <v>210.6068032545829</v>
      </c>
      <c r="H231" s="90">
        <f t="shared" si="172"/>
        <v>163.84</v>
      </c>
      <c r="I231" s="91" t="str">
        <f>I230</f>
        <v>3동3라인</v>
      </c>
      <c r="J231" s="92" t="s">
        <v>207</v>
      </c>
      <c r="L231" s="89">
        <v>4</v>
      </c>
      <c r="M231" s="78">
        <f>M230</f>
        <v>5</v>
      </c>
      <c r="N231" s="84"/>
      <c r="O231" s="78">
        <f t="shared" ref="O231:O233" si="173">L231*M231-N231*L231</f>
        <v>20</v>
      </c>
    </row>
    <row r="232" spans="1:16" ht="18" customHeight="1">
      <c r="A232" s="85"/>
      <c r="B232" s="86"/>
      <c r="C232" s="87"/>
      <c r="D232" s="88">
        <v>228</v>
      </c>
      <c r="E232" s="88">
        <v>910</v>
      </c>
      <c r="F232" s="89">
        <f t="shared" si="170"/>
        <v>10</v>
      </c>
      <c r="G232" s="90">
        <f t="shared" si="171"/>
        <v>22.59909159232755</v>
      </c>
      <c r="H232" s="90">
        <f t="shared" si="172"/>
        <v>45.519999999999996</v>
      </c>
      <c r="I232" s="91" t="str">
        <f t="shared" ref="I232:I233" si="174">I231</f>
        <v>3동3라인</v>
      </c>
      <c r="J232" s="92" t="s">
        <v>209</v>
      </c>
      <c r="L232" s="89">
        <v>2</v>
      </c>
      <c r="M232" s="78">
        <f t="shared" ref="M232:M233" si="175">M231</f>
        <v>5</v>
      </c>
      <c r="N232" s="78"/>
      <c r="O232" s="78">
        <f t="shared" si="173"/>
        <v>10</v>
      </c>
    </row>
    <row r="233" spans="1:16" ht="18" customHeight="1">
      <c r="A233" s="85"/>
      <c r="B233" s="86"/>
      <c r="C233" s="87"/>
      <c r="D233" s="88">
        <v>438</v>
      </c>
      <c r="E233" s="88">
        <v>270</v>
      </c>
      <c r="F233" s="89">
        <f t="shared" si="170"/>
        <v>10</v>
      </c>
      <c r="G233" s="90">
        <f t="shared" si="171"/>
        <v>12.881090089206941</v>
      </c>
      <c r="H233" s="90">
        <f t="shared" si="172"/>
        <v>28.32</v>
      </c>
      <c r="I233" s="91" t="str">
        <f t="shared" si="174"/>
        <v>3동3라인</v>
      </c>
      <c r="J233" s="92" t="s">
        <v>210</v>
      </c>
      <c r="L233" s="89">
        <v>2</v>
      </c>
      <c r="M233" s="78">
        <f t="shared" si="175"/>
        <v>5</v>
      </c>
      <c r="N233" s="78"/>
      <c r="O233" s="78">
        <f t="shared" si="173"/>
        <v>10</v>
      </c>
    </row>
    <row r="234" spans="1:16" ht="18" customHeight="1">
      <c r="A234" s="85"/>
      <c r="B234" s="93"/>
      <c r="C234" s="87"/>
      <c r="D234" s="325" t="s">
        <v>0</v>
      </c>
      <c r="E234" s="325"/>
      <c r="F234" s="94">
        <f>SUM(F230:F233)</f>
        <v>45</v>
      </c>
      <c r="G234" s="95">
        <f>SUM(G230:G233)</f>
        <v>330.95938306701964</v>
      </c>
      <c r="H234" s="96">
        <f>SUM(H230:H233)</f>
        <v>291.09999999999997</v>
      </c>
      <c r="I234" s="97"/>
      <c r="J234" s="162"/>
    </row>
    <row r="235" spans="1:16" ht="18" customHeight="1">
      <c r="A235" s="85"/>
      <c r="B235" s="93"/>
      <c r="C235" s="87"/>
      <c r="D235" s="161"/>
      <c r="E235" s="161"/>
      <c r="F235" s="89"/>
      <c r="G235" s="100"/>
      <c r="H235" s="101"/>
      <c r="I235" s="102"/>
      <c r="J235" s="121"/>
      <c r="L235" s="252"/>
      <c r="M235" s="252"/>
      <c r="N235" s="252"/>
      <c r="O235" s="252"/>
    </row>
    <row r="236" spans="1:16" ht="18" customHeight="1">
      <c r="A236" s="85"/>
      <c r="B236" s="23" t="s">
        <v>198</v>
      </c>
      <c r="C236" s="24">
        <v>22</v>
      </c>
      <c r="D236" s="88">
        <v>861</v>
      </c>
      <c r="E236" s="88">
        <v>1810</v>
      </c>
      <c r="F236" s="89">
        <f t="shared" ref="F236:F240" si="176">O236</f>
        <v>5</v>
      </c>
      <c r="G236" s="90">
        <f t="shared" ref="G236:G240" si="177">D236*E236/91809*F236</f>
        <v>84.872398130902198</v>
      </c>
      <c r="H236" s="90">
        <f t="shared" ref="H236:H240" si="178">(D236/1000)*4*F236+(E236/1000)*4*F236</f>
        <v>53.42</v>
      </c>
      <c r="I236" s="91" t="str">
        <f>I230</f>
        <v>3동3라인</v>
      </c>
      <c r="J236" s="92" t="s">
        <v>212</v>
      </c>
      <c r="L236" s="89">
        <v>1</v>
      </c>
      <c r="M236" s="78">
        <f>M230</f>
        <v>5</v>
      </c>
      <c r="N236" s="84"/>
      <c r="O236" s="78">
        <f>L236*M236-N236*L236</f>
        <v>5</v>
      </c>
    </row>
    <row r="237" spans="1:16" ht="18" customHeight="1">
      <c r="A237" s="85"/>
      <c r="B237" s="86"/>
      <c r="C237" s="87"/>
      <c r="D237" s="88">
        <v>2114</v>
      </c>
      <c r="E237" s="88">
        <v>1810</v>
      </c>
      <c r="F237" s="89">
        <f t="shared" si="176"/>
        <v>5</v>
      </c>
      <c r="G237" s="90">
        <f t="shared" si="177"/>
        <v>208.38588809375989</v>
      </c>
      <c r="H237" s="90">
        <f t="shared" si="178"/>
        <v>78.48</v>
      </c>
      <c r="I237" s="91" t="str">
        <f>I230</f>
        <v>3동3라인</v>
      </c>
      <c r="J237" s="92" t="s">
        <v>213</v>
      </c>
      <c r="L237" s="89">
        <v>1</v>
      </c>
      <c r="M237" s="78">
        <f>M236</f>
        <v>5</v>
      </c>
      <c r="N237" s="84"/>
      <c r="O237" s="78">
        <f>L237*M237-N237*L237</f>
        <v>5</v>
      </c>
    </row>
    <row r="238" spans="1:16" ht="18" customHeight="1">
      <c r="A238" s="104"/>
      <c r="B238" s="93"/>
      <c r="C238" s="87"/>
      <c r="D238" s="88">
        <v>738</v>
      </c>
      <c r="E238" s="88">
        <v>1310</v>
      </c>
      <c r="F238" s="89">
        <f t="shared" si="176"/>
        <v>20</v>
      </c>
      <c r="G238" s="90">
        <f t="shared" si="177"/>
        <v>210.6068032545829</v>
      </c>
      <c r="H238" s="90">
        <f t="shared" si="178"/>
        <v>163.84</v>
      </c>
      <c r="I238" s="91" t="str">
        <f>I237</f>
        <v>3동3라인</v>
      </c>
      <c r="J238" s="92" t="s">
        <v>214</v>
      </c>
      <c r="L238" s="89">
        <v>4</v>
      </c>
      <c r="M238" s="78">
        <f t="shared" ref="M238:M240" si="179">M237</f>
        <v>5</v>
      </c>
      <c r="N238" s="84"/>
      <c r="O238" s="78">
        <f t="shared" ref="O238:O240" si="180">L238*M238-N238*L238</f>
        <v>20</v>
      </c>
    </row>
    <row r="239" spans="1:16" ht="18" customHeight="1">
      <c r="A239" s="104"/>
      <c r="B239" s="93"/>
      <c r="C239" s="87"/>
      <c r="D239" s="88">
        <v>228</v>
      </c>
      <c r="E239" s="88">
        <v>910</v>
      </c>
      <c r="F239" s="89">
        <f t="shared" si="176"/>
        <v>10</v>
      </c>
      <c r="G239" s="90">
        <f t="shared" si="177"/>
        <v>22.59909159232755</v>
      </c>
      <c r="H239" s="90">
        <f t="shared" si="178"/>
        <v>45.519999999999996</v>
      </c>
      <c r="I239" s="91" t="str">
        <f t="shared" ref="I239:I240" si="181">I238</f>
        <v>3동3라인</v>
      </c>
      <c r="J239" s="92" t="s">
        <v>216</v>
      </c>
      <c r="L239" s="89">
        <v>2</v>
      </c>
      <c r="M239" s="78">
        <f t="shared" si="179"/>
        <v>5</v>
      </c>
      <c r="N239" s="78"/>
      <c r="O239" s="78">
        <f t="shared" si="180"/>
        <v>10</v>
      </c>
    </row>
    <row r="240" spans="1:16" ht="18" customHeight="1">
      <c r="A240" s="104"/>
      <c r="B240" s="93"/>
      <c r="C240" s="87"/>
      <c r="D240" s="88">
        <v>438</v>
      </c>
      <c r="E240" s="88">
        <v>270</v>
      </c>
      <c r="F240" s="89">
        <f t="shared" si="176"/>
        <v>10</v>
      </c>
      <c r="G240" s="90">
        <f t="shared" si="177"/>
        <v>12.881090089206941</v>
      </c>
      <c r="H240" s="90">
        <f t="shared" si="178"/>
        <v>28.32</v>
      </c>
      <c r="I240" s="91" t="str">
        <f t="shared" si="181"/>
        <v>3동3라인</v>
      </c>
      <c r="J240" s="92" t="s">
        <v>217</v>
      </c>
      <c r="L240" s="89">
        <v>2</v>
      </c>
      <c r="M240" s="78">
        <f t="shared" si="179"/>
        <v>5</v>
      </c>
      <c r="N240" s="78"/>
      <c r="O240" s="78">
        <f t="shared" si="180"/>
        <v>10</v>
      </c>
    </row>
    <row r="241" spans="1:16" ht="18" customHeight="1">
      <c r="A241" s="104"/>
      <c r="B241" s="87"/>
      <c r="C241" s="87"/>
      <c r="D241" s="325" t="s">
        <v>0</v>
      </c>
      <c r="E241" s="325"/>
      <c r="F241" s="171">
        <f>SUM(F236:F240)</f>
        <v>50</v>
      </c>
      <c r="G241" s="95">
        <f>SUM(G236:G240)</f>
        <v>539.34527116077948</v>
      </c>
      <c r="H241" s="95">
        <f>SUM(H236:H240)</f>
        <v>369.58</v>
      </c>
      <c r="I241" s="97"/>
      <c r="J241" s="98"/>
    </row>
    <row r="242" spans="1:16">
      <c r="A242" s="105"/>
      <c r="B242" s="9"/>
      <c r="C242" s="9"/>
      <c r="D242" s="51"/>
      <c r="E242" s="51"/>
      <c r="F242" s="51"/>
      <c r="G242" s="106"/>
      <c r="H242" s="106"/>
      <c r="I242" s="9"/>
      <c r="J242" s="107"/>
    </row>
    <row r="243" spans="1:16" ht="18" customHeight="1">
      <c r="A243" s="85"/>
      <c r="B243" s="23" t="s">
        <v>237</v>
      </c>
      <c r="C243" s="24">
        <v>22</v>
      </c>
      <c r="D243" s="88">
        <v>2114</v>
      </c>
      <c r="E243" s="88">
        <v>1810</v>
      </c>
      <c r="F243" s="89">
        <f t="shared" ref="F243" si="182">O243</f>
        <v>5</v>
      </c>
      <c r="G243" s="90">
        <f t="shared" ref="G243" si="183">D243*E243/91809*F243</f>
        <v>208.38588809375989</v>
      </c>
      <c r="H243" s="90">
        <f t="shared" ref="H243" si="184">(D243/1000)*4*F243+(E243/1000)*4*F243</f>
        <v>78.48</v>
      </c>
      <c r="I243" s="91" t="str">
        <f>I236</f>
        <v>3동3라인</v>
      </c>
      <c r="J243" s="92" t="s">
        <v>206</v>
      </c>
      <c r="L243" s="89">
        <v>1</v>
      </c>
      <c r="M243" s="78">
        <f>M230</f>
        <v>5</v>
      </c>
      <c r="N243" s="84"/>
      <c r="O243" s="78">
        <f>L243*M243-N243*L243</f>
        <v>5</v>
      </c>
    </row>
    <row r="244" spans="1:16" ht="18" customHeight="1">
      <c r="A244" s="85"/>
      <c r="B244" s="93"/>
      <c r="C244" s="87"/>
      <c r="D244" s="325" t="s">
        <v>0</v>
      </c>
      <c r="E244" s="325"/>
      <c r="F244" s="94">
        <f>SUM(F243:F243)</f>
        <v>5</v>
      </c>
      <c r="G244" s="95">
        <f>SUM(G243:G243)</f>
        <v>208.38588809375989</v>
      </c>
      <c r="H244" s="95">
        <f>SUM(H243:H243)</f>
        <v>78.48</v>
      </c>
      <c r="I244" s="97"/>
      <c r="J244" s="98"/>
    </row>
    <row r="245" spans="1:16" ht="18" customHeight="1">
      <c r="A245" s="218"/>
      <c r="B245" s="219"/>
      <c r="C245" s="220"/>
      <c r="D245" s="161"/>
      <c r="E245" s="161"/>
      <c r="F245" s="89"/>
      <c r="G245" s="100"/>
      <c r="H245" s="100"/>
      <c r="I245" s="102"/>
      <c r="J245" s="221"/>
    </row>
    <row r="246" spans="1:16" ht="18" customHeight="1">
      <c r="A246" s="85"/>
      <c r="B246" s="23" t="s">
        <v>200</v>
      </c>
      <c r="C246" s="24">
        <v>22</v>
      </c>
      <c r="D246" s="88">
        <v>738</v>
      </c>
      <c r="E246" s="88">
        <v>1810</v>
      </c>
      <c r="F246" s="89">
        <f t="shared" ref="F246:F247" si="185">O246</f>
        <v>10</v>
      </c>
      <c r="G246" s="90">
        <f t="shared" ref="G246:G247" si="186">D246*E246/91809*F246</f>
        <v>145.4955396529752</v>
      </c>
      <c r="H246" s="90">
        <f t="shared" ref="H246:H247" si="187">(D246/1000)*4*F246+(E246/1000)*4*F246</f>
        <v>101.92</v>
      </c>
      <c r="I246" s="91" t="str">
        <f>I243</f>
        <v>3동3라인</v>
      </c>
      <c r="J246" s="92" t="s">
        <v>219</v>
      </c>
      <c r="L246" s="89">
        <v>2</v>
      </c>
      <c r="M246" s="78">
        <f>M243</f>
        <v>5</v>
      </c>
      <c r="N246" s="84"/>
      <c r="O246" s="78">
        <f>L246*M246-N246*L246</f>
        <v>10</v>
      </c>
      <c r="P246" s="64"/>
    </row>
    <row r="247" spans="1:16" ht="18" customHeight="1">
      <c r="A247" s="85"/>
      <c r="B247" s="86"/>
      <c r="C247" s="87"/>
      <c r="D247" s="88">
        <v>250</v>
      </c>
      <c r="E247" s="88">
        <v>930</v>
      </c>
      <c r="F247" s="89">
        <f t="shared" si="185"/>
        <v>10</v>
      </c>
      <c r="G247" s="90">
        <f t="shared" si="186"/>
        <v>25.324314609678787</v>
      </c>
      <c r="H247" s="90">
        <f t="shared" si="187"/>
        <v>47.2</v>
      </c>
      <c r="I247" s="91" t="str">
        <f>I246</f>
        <v>3동3라인</v>
      </c>
      <c r="J247" s="92" t="s">
        <v>220</v>
      </c>
      <c r="L247" s="89">
        <v>2</v>
      </c>
      <c r="M247" s="78">
        <f>M246</f>
        <v>5</v>
      </c>
      <c r="N247" s="84"/>
      <c r="O247" s="78">
        <f t="shared" ref="O247" si="188">L247*M247-N247*L247</f>
        <v>10</v>
      </c>
    </row>
    <row r="248" spans="1:16" ht="18" customHeight="1">
      <c r="A248" s="85"/>
      <c r="B248" s="93"/>
      <c r="C248" s="87"/>
      <c r="D248" s="325" t="s">
        <v>0</v>
      </c>
      <c r="E248" s="325"/>
      <c r="F248" s="94">
        <f>SUM(F246:F247)</f>
        <v>20</v>
      </c>
      <c r="G248" s="95">
        <f>SUM(G246:G247)</f>
        <v>170.81985426265399</v>
      </c>
      <c r="H248" s="96">
        <f>SUM(H246:H247)</f>
        <v>149.12</v>
      </c>
      <c r="I248" s="97"/>
      <c r="J248" s="162"/>
    </row>
    <row r="249" spans="1:16" ht="18" customHeight="1" thickBot="1">
      <c r="A249" s="222"/>
      <c r="B249" s="223"/>
      <c r="C249" s="224"/>
      <c r="D249" s="225"/>
      <c r="E249" s="225"/>
      <c r="F249" s="226"/>
      <c r="G249" s="227"/>
      <c r="H249" s="228"/>
      <c r="I249" s="229"/>
      <c r="J249" s="230"/>
      <c r="L249" s="78" t="s">
        <v>48</v>
      </c>
      <c r="M249" s="78" t="s">
        <v>49</v>
      </c>
      <c r="N249" s="78" t="s">
        <v>50</v>
      </c>
      <c r="O249" s="78" t="s">
        <v>55</v>
      </c>
    </row>
    <row r="250" spans="1:16" ht="18" customHeight="1">
      <c r="A250" s="79" t="s">
        <v>234</v>
      </c>
      <c r="B250" s="231" t="s">
        <v>195</v>
      </c>
      <c r="C250" s="232">
        <v>22</v>
      </c>
      <c r="D250" s="80">
        <v>761</v>
      </c>
      <c r="E250" s="80">
        <v>1810</v>
      </c>
      <c r="F250" s="233">
        <f>O250</f>
        <v>6</v>
      </c>
      <c r="G250" s="81">
        <f t="shared" ref="G250:G256" si="189">D250*E250/91809*F250</f>
        <v>90.017972094239127</v>
      </c>
      <c r="H250" s="81">
        <f t="shared" ref="H250:H256" si="190">(D250/1000)*4*F250+(E250/1000)*4*F250</f>
        <v>61.703999999999994</v>
      </c>
      <c r="I250" s="82" t="s">
        <v>253</v>
      </c>
      <c r="J250" s="83" t="s">
        <v>205</v>
      </c>
      <c r="L250" s="89">
        <v>2</v>
      </c>
      <c r="M250" s="78">
        <v>3</v>
      </c>
      <c r="N250" s="84"/>
      <c r="O250" s="78">
        <f>L250*M250-N250*L250</f>
        <v>6</v>
      </c>
      <c r="P250" s="64"/>
    </row>
    <row r="251" spans="1:16" ht="18" customHeight="1">
      <c r="A251" s="85"/>
      <c r="B251" s="86"/>
      <c r="C251" s="87"/>
      <c r="D251" s="88">
        <v>1688</v>
      </c>
      <c r="E251" s="88">
        <v>1810</v>
      </c>
      <c r="F251" s="89">
        <f t="shared" ref="F251:F256" si="191">O251</f>
        <v>3</v>
      </c>
      <c r="G251" s="90">
        <f t="shared" si="189"/>
        <v>99.835963794399248</v>
      </c>
      <c r="H251" s="90">
        <f t="shared" si="190"/>
        <v>41.975999999999999</v>
      </c>
      <c r="I251" s="91" t="str">
        <f>I250</f>
        <v>3동4라인</v>
      </c>
      <c r="J251" s="92" t="s">
        <v>206</v>
      </c>
      <c r="L251" s="89">
        <v>1</v>
      </c>
      <c r="M251" s="78">
        <f>M250</f>
        <v>3</v>
      </c>
      <c r="N251" s="84"/>
      <c r="O251" s="78">
        <f t="shared" ref="O251:O256" si="192">L251*M251-N251*L251</f>
        <v>3</v>
      </c>
    </row>
    <row r="252" spans="1:16" ht="18" customHeight="1">
      <c r="A252" s="85"/>
      <c r="B252" s="86"/>
      <c r="C252" s="87"/>
      <c r="D252" s="88">
        <v>738</v>
      </c>
      <c r="E252" s="88">
        <v>1310</v>
      </c>
      <c r="F252" s="89">
        <f t="shared" si="191"/>
        <v>12</v>
      </c>
      <c r="G252" s="90">
        <f t="shared" si="189"/>
        <v>126.36408195274973</v>
      </c>
      <c r="H252" s="90">
        <f t="shared" si="190"/>
        <v>98.304000000000002</v>
      </c>
      <c r="I252" s="91" t="str">
        <f t="shared" ref="I252:I256" si="193">I251</f>
        <v>3동4라인</v>
      </c>
      <c r="J252" s="92" t="s">
        <v>207</v>
      </c>
      <c r="L252" s="89">
        <v>4</v>
      </c>
      <c r="M252" s="78">
        <f t="shared" ref="M252:M255" si="194">M251</f>
        <v>3</v>
      </c>
      <c r="N252" s="78"/>
      <c r="O252" s="78">
        <f t="shared" si="192"/>
        <v>12</v>
      </c>
    </row>
    <row r="253" spans="1:16" ht="18" customHeight="1">
      <c r="A253" s="85"/>
      <c r="B253" s="86"/>
      <c r="C253" s="87"/>
      <c r="D253" s="88">
        <v>288</v>
      </c>
      <c r="E253" s="88">
        <v>910</v>
      </c>
      <c r="F253" s="89">
        <f t="shared" si="191"/>
        <v>6</v>
      </c>
      <c r="G253" s="90">
        <f t="shared" si="189"/>
        <v>17.127732575237722</v>
      </c>
      <c r="H253" s="90">
        <f t="shared" si="190"/>
        <v>28.751999999999999</v>
      </c>
      <c r="I253" s="91" t="str">
        <f t="shared" si="193"/>
        <v>3동4라인</v>
      </c>
      <c r="J253" s="92" t="s">
        <v>208</v>
      </c>
      <c r="L253" s="89">
        <v>2</v>
      </c>
      <c r="M253" s="78">
        <f t="shared" si="194"/>
        <v>3</v>
      </c>
      <c r="N253" s="78"/>
      <c r="O253" s="78">
        <f t="shared" si="192"/>
        <v>6</v>
      </c>
    </row>
    <row r="254" spans="1:16" ht="18" customHeight="1">
      <c r="A254" s="85"/>
      <c r="B254" s="86"/>
      <c r="C254" s="87"/>
      <c r="D254" s="88">
        <v>228</v>
      </c>
      <c r="E254" s="88">
        <v>910</v>
      </c>
      <c r="F254" s="89">
        <f t="shared" si="191"/>
        <v>6</v>
      </c>
      <c r="G254" s="90">
        <f t="shared" si="189"/>
        <v>13.559454955396529</v>
      </c>
      <c r="H254" s="90">
        <f t="shared" si="190"/>
        <v>27.312000000000001</v>
      </c>
      <c r="I254" s="91" t="str">
        <f t="shared" si="193"/>
        <v>3동4라인</v>
      </c>
      <c r="J254" s="92" t="s">
        <v>209</v>
      </c>
      <c r="L254" s="89">
        <v>2</v>
      </c>
      <c r="M254" s="78">
        <f t="shared" si="194"/>
        <v>3</v>
      </c>
      <c r="N254" s="78"/>
      <c r="O254" s="78">
        <f t="shared" si="192"/>
        <v>6</v>
      </c>
    </row>
    <row r="255" spans="1:16" ht="18" customHeight="1">
      <c r="A255" s="85"/>
      <c r="B255" s="86"/>
      <c r="C255" s="87"/>
      <c r="D255" s="88">
        <v>438</v>
      </c>
      <c r="E255" s="88">
        <v>270</v>
      </c>
      <c r="F255" s="89">
        <f t="shared" si="191"/>
        <v>6</v>
      </c>
      <c r="G255" s="90">
        <f t="shared" si="189"/>
        <v>7.7286540535241652</v>
      </c>
      <c r="H255" s="90">
        <f t="shared" si="190"/>
        <v>16.992000000000001</v>
      </c>
      <c r="I255" s="91" t="str">
        <f t="shared" si="193"/>
        <v>3동4라인</v>
      </c>
      <c r="J255" s="92" t="s">
        <v>210</v>
      </c>
      <c r="L255" s="89">
        <v>2</v>
      </c>
      <c r="M255" s="78">
        <f t="shared" si="194"/>
        <v>3</v>
      </c>
      <c r="N255" s="78"/>
      <c r="O255" s="78">
        <f t="shared" si="192"/>
        <v>6</v>
      </c>
    </row>
    <row r="256" spans="1:16" ht="18" customHeight="1">
      <c r="A256" s="85"/>
      <c r="B256" s="86"/>
      <c r="C256" s="87"/>
      <c r="D256" s="88">
        <v>208</v>
      </c>
      <c r="E256" s="88">
        <v>910</v>
      </c>
      <c r="F256" s="89">
        <f t="shared" si="191"/>
        <v>6</v>
      </c>
      <c r="G256" s="90">
        <f t="shared" si="189"/>
        <v>12.370029082116133</v>
      </c>
      <c r="H256" s="90">
        <f t="shared" si="190"/>
        <v>26.832000000000001</v>
      </c>
      <c r="I256" s="91" t="str">
        <f t="shared" si="193"/>
        <v>3동4라인</v>
      </c>
      <c r="J256" s="92" t="s">
        <v>211</v>
      </c>
      <c r="L256" s="89">
        <v>2</v>
      </c>
      <c r="M256" s="78">
        <f>M255</f>
        <v>3</v>
      </c>
      <c r="N256" s="78"/>
      <c r="O256" s="78">
        <f t="shared" si="192"/>
        <v>6</v>
      </c>
    </row>
    <row r="257" spans="1:16" ht="18" customHeight="1">
      <c r="A257" s="85"/>
      <c r="B257" s="93"/>
      <c r="C257" s="87"/>
      <c r="D257" s="325" t="s">
        <v>0</v>
      </c>
      <c r="E257" s="325"/>
      <c r="F257" s="94">
        <f>SUM(F250:F256)</f>
        <v>45</v>
      </c>
      <c r="G257" s="95">
        <f>SUM(G250:G256)</f>
        <v>367.00388850766262</v>
      </c>
      <c r="H257" s="96">
        <f>SUM(H250:H256)</f>
        <v>301.87200000000001</v>
      </c>
      <c r="I257" s="97"/>
      <c r="J257" s="162"/>
    </row>
    <row r="258" spans="1:16" ht="18" customHeight="1">
      <c r="A258" s="85"/>
      <c r="B258" s="93"/>
      <c r="C258" s="87"/>
      <c r="D258" s="161"/>
      <c r="E258" s="161"/>
      <c r="F258" s="89"/>
      <c r="G258" s="100"/>
      <c r="H258" s="101"/>
      <c r="I258" s="102"/>
      <c r="J258" s="121"/>
      <c r="L258" s="78" t="s">
        <v>48</v>
      </c>
      <c r="M258" s="78" t="s">
        <v>54</v>
      </c>
      <c r="N258" s="78" t="s">
        <v>50</v>
      </c>
      <c r="O258" s="78" t="s">
        <v>55</v>
      </c>
    </row>
    <row r="259" spans="1:16" ht="18" customHeight="1">
      <c r="A259" s="85"/>
      <c r="B259" s="23" t="s">
        <v>197</v>
      </c>
      <c r="C259" s="24">
        <v>22</v>
      </c>
      <c r="D259" s="88">
        <v>761</v>
      </c>
      <c r="E259" s="88">
        <v>1810</v>
      </c>
      <c r="F259" s="89">
        <f t="shared" ref="F259:F265" si="195">O259</f>
        <v>6</v>
      </c>
      <c r="G259" s="90">
        <f t="shared" ref="G259:G265" si="196">D259*E259/91809*F259</f>
        <v>90.017972094239127</v>
      </c>
      <c r="H259" s="90">
        <f t="shared" ref="H259:H265" si="197">(D259/1000)*4*F259+(E259/1000)*4*F259</f>
        <v>61.703999999999994</v>
      </c>
      <c r="I259" s="91" t="str">
        <f t="shared" ref="I259:I265" si="198">I250</f>
        <v>3동4라인</v>
      </c>
      <c r="J259" s="92" t="s">
        <v>212</v>
      </c>
      <c r="L259" s="89">
        <v>2</v>
      </c>
      <c r="M259" s="78">
        <f>M250</f>
        <v>3</v>
      </c>
      <c r="N259" s="84"/>
      <c r="O259" s="78">
        <f>L259*M259-N259*L259</f>
        <v>6</v>
      </c>
    </row>
    <row r="260" spans="1:16" ht="18" customHeight="1">
      <c r="A260" s="85"/>
      <c r="B260" s="86"/>
      <c r="C260" s="87"/>
      <c r="D260" s="88">
        <v>1688</v>
      </c>
      <c r="E260" s="88">
        <v>1810</v>
      </c>
      <c r="F260" s="89">
        <f t="shared" si="195"/>
        <v>3</v>
      </c>
      <c r="G260" s="90">
        <f t="shared" si="196"/>
        <v>99.835963794399248</v>
      </c>
      <c r="H260" s="90">
        <f t="shared" si="197"/>
        <v>41.975999999999999</v>
      </c>
      <c r="I260" s="91" t="str">
        <f t="shared" si="198"/>
        <v>3동4라인</v>
      </c>
      <c r="J260" s="92" t="s">
        <v>213</v>
      </c>
      <c r="L260" s="89">
        <v>1</v>
      </c>
      <c r="M260" s="78">
        <f>M259</f>
        <v>3</v>
      </c>
      <c r="N260" s="84"/>
      <c r="O260" s="78">
        <f>L260*M260-N260*L260</f>
        <v>3</v>
      </c>
    </row>
    <row r="261" spans="1:16" ht="18" customHeight="1">
      <c r="A261" s="104"/>
      <c r="B261" s="93"/>
      <c r="C261" s="87"/>
      <c r="D261" s="88">
        <v>738</v>
      </c>
      <c r="E261" s="88">
        <v>1310</v>
      </c>
      <c r="F261" s="89">
        <f t="shared" si="195"/>
        <v>12</v>
      </c>
      <c r="G261" s="90">
        <f t="shared" si="196"/>
        <v>126.36408195274973</v>
      </c>
      <c r="H261" s="90">
        <f t="shared" si="197"/>
        <v>98.304000000000002</v>
      </c>
      <c r="I261" s="91" t="str">
        <f t="shared" si="198"/>
        <v>3동4라인</v>
      </c>
      <c r="J261" s="92" t="s">
        <v>214</v>
      </c>
      <c r="L261" s="89">
        <v>4</v>
      </c>
      <c r="M261" s="78">
        <f t="shared" ref="M261:M265" si="199">M260</f>
        <v>3</v>
      </c>
      <c r="N261" s="84"/>
      <c r="O261" s="78">
        <f t="shared" ref="O261:O265" si="200">L261*M261-N261*L261</f>
        <v>12</v>
      </c>
    </row>
    <row r="262" spans="1:16" ht="18" customHeight="1">
      <c r="A262" s="104"/>
      <c r="B262" s="93"/>
      <c r="C262" s="87"/>
      <c r="D262" s="88">
        <v>288</v>
      </c>
      <c r="E262" s="88">
        <v>910</v>
      </c>
      <c r="F262" s="89">
        <f t="shared" si="195"/>
        <v>6</v>
      </c>
      <c r="G262" s="90">
        <f t="shared" si="196"/>
        <v>17.127732575237722</v>
      </c>
      <c r="H262" s="90">
        <f t="shared" si="197"/>
        <v>28.751999999999999</v>
      </c>
      <c r="I262" s="91" t="str">
        <f t="shared" si="198"/>
        <v>3동4라인</v>
      </c>
      <c r="J262" s="92" t="s">
        <v>215</v>
      </c>
      <c r="L262" s="89">
        <v>2</v>
      </c>
      <c r="M262" s="78">
        <f t="shared" si="199"/>
        <v>3</v>
      </c>
      <c r="N262" s="78"/>
      <c r="O262" s="78">
        <f t="shared" si="200"/>
        <v>6</v>
      </c>
    </row>
    <row r="263" spans="1:16" ht="18" customHeight="1">
      <c r="A263" s="104"/>
      <c r="B263" s="93"/>
      <c r="C263" s="87"/>
      <c r="D263" s="88">
        <v>228</v>
      </c>
      <c r="E263" s="88">
        <v>910</v>
      </c>
      <c r="F263" s="89">
        <f t="shared" si="195"/>
        <v>6</v>
      </c>
      <c r="G263" s="90">
        <f t="shared" si="196"/>
        <v>13.559454955396529</v>
      </c>
      <c r="H263" s="90">
        <f t="shared" si="197"/>
        <v>27.312000000000001</v>
      </c>
      <c r="I263" s="91" t="str">
        <f t="shared" si="198"/>
        <v>3동4라인</v>
      </c>
      <c r="J263" s="92" t="s">
        <v>216</v>
      </c>
      <c r="L263" s="89">
        <v>2</v>
      </c>
      <c r="M263" s="78">
        <f t="shared" si="199"/>
        <v>3</v>
      </c>
      <c r="N263" s="78"/>
      <c r="O263" s="78">
        <f t="shared" si="200"/>
        <v>6</v>
      </c>
    </row>
    <row r="264" spans="1:16" ht="18" customHeight="1">
      <c r="A264" s="104"/>
      <c r="B264" s="93"/>
      <c r="C264" s="87"/>
      <c r="D264" s="88">
        <v>438</v>
      </c>
      <c r="E264" s="88">
        <v>270</v>
      </c>
      <c r="F264" s="89">
        <f t="shared" si="195"/>
        <v>6</v>
      </c>
      <c r="G264" s="90">
        <f t="shared" si="196"/>
        <v>7.7286540535241652</v>
      </c>
      <c r="H264" s="90">
        <f t="shared" si="197"/>
        <v>16.992000000000001</v>
      </c>
      <c r="I264" s="91" t="str">
        <f t="shared" si="198"/>
        <v>3동4라인</v>
      </c>
      <c r="J264" s="92" t="s">
        <v>217</v>
      </c>
      <c r="L264" s="89">
        <v>2</v>
      </c>
      <c r="M264" s="78">
        <f t="shared" si="199"/>
        <v>3</v>
      </c>
      <c r="N264" s="78"/>
      <c r="O264" s="78">
        <f t="shared" si="200"/>
        <v>6</v>
      </c>
    </row>
    <row r="265" spans="1:16" ht="18" customHeight="1">
      <c r="A265" s="104"/>
      <c r="B265" s="93"/>
      <c r="C265" s="87"/>
      <c r="D265" s="88">
        <v>208</v>
      </c>
      <c r="E265" s="88">
        <v>910</v>
      </c>
      <c r="F265" s="89">
        <f t="shared" si="195"/>
        <v>6</v>
      </c>
      <c r="G265" s="90">
        <f t="shared" si="196"/>
        <v>12.370029082116133</v>
      </c>
      <c r="H265" s="90">
        <f t="shared" si="197"/>
        <v>26.832000000000001</v>
      </c>
      <c r="I265" s="91" t="str">
        <f t="shared" si="198"/>
        <v>3동4라인</v>
      </c>
      <c r="J265" s="92" t="s">
        <v>218</v>
      </c>
      <c r="L265" s="89">
        <v>2</v>
      </c>
      <c r="M265" s="78">
        <f t="shared" si="199"/>
        <v>3</v>
      </c>
      <c r="N265" s="78"/>
      <c r="O265" s="78">
        <f t="shared" si="200"/>
        <v>6</v>
      </c>
    </row>
    <row r="266" spans="1:16" ht="18" customHeight="1">
      <c r="A266" s="104"/>
      <c r="B266" s="87"/>
      <c r="C266" s="87"/>
      <c r="D266" s="325" t="s">
        <v>0</v>
      </c>
      <c r="E266" s="325"/>
      <c r="F266" s="171">
        <f>SUM(F259:F265)</f>
        <v>45</v>
      </c>
      <c r="G266" s="95">
        <f>SUM(G259:G265)</f>
        <v>367.00388850766262</v>
      </c>
      <c r="H266" s="95">
        <f>SUM(H259:H265)</f>
        <v>301.87200000000001</v>
      </c>
      <c r="I266" s="97"/>
      <c r="J266" s="98"/>
    </row>
    <row r="267" spans="1:16">
      <c r="A267" s="105"/>
      <c r="B267" s="9"/>
      <c r="C267" s="9"/>
      <c r="D267" s="51"/>
      <c r="E267" s="51"/>
      <c r="F267" s="51"/>
      <c r="G267" s="106"/>
      <c r="H267" s="106"/>
      <c r="I267" s="9"/>
      <c r="J267" s="107"/>
    </row>
    <row r="268" spans="1:16" ht="18" customHeight="1">
      <c r="A268" s="85"/>
      <c r="B268" s="163" t="s">
        <v>199</v>
      </c>
      <c r="C268" s="163">
        <v>22</v>
      </c>
      <c r="D268" s="88">
        <v>738</v>
      </c>
      <c r="E268" s="88">
        <v>1810</v>
      </c>
      <c r="F268" s="89">
        <f t="shared" ref="F268:F269" si="201">O268</f>
        <v>6</v>
      </c>
      <c r="G268" s="90">
        <f t="shared" ref="G268:G269" si="202">D268*E268/91809*F268</f>
        <v>87.297323791785118</v>
      </c>
      <c r="H268" s="90">
        <f t="shared" ref="H268:H269" si="203">(D268/1000)*4*F268+(E268/1000)*4*F268</f>
        <v>61.152000000000001</v>
      </c>
      <c r="I268" s="91" t="str">
        <f>I259</f>
        <v>3동4라인</v>
      </c>
      <c r="J268" s="92" t="s">
        <v>219</v>
      </c>
      <c r="L268" s="89">
        <v>2</v>
      </c>
      <c r="M268" s="78">
        <f>M250</f>
        <v>3</v>
      </c>
      <c r="N268" s="84"/>
      <c r="O268" s="78">
        <f>L268*M268-N268*L268</f>
        <v>6</v>
      </c>
      <c r="P268" s="64"/>
    </row>
    <row r="269" spans="1:16" ht="18" customHeight="1">
      <c r="A269" s="85"/>
      <c r="B269" s="86"/>
      <c r="C269" s="87"/>
      <c r="D269" s="88">
        <v>250</v>
      </c>
      <c r="E269" s="88">
        <v>930</v>
      </c>
      <c r="F269" s="89">
        <f t="shared" si="201"/>
        <v>6</v>
      </c>
      <c r="G269" s="90">
        <f t="shared" si="202"/>
        <v>15.194588765807273</v>
      </c>
      <c r="H269" s="90">
        <f t="shared" si="203"/>
        <v>28.32</v>
      </c>
      <c r="I269" s="91" t="str">
        <f>I268</f>
        <v>3동4라인</v>
      </c>
      <c r="J269" s="92" t="s">
        <v>220</v>
      </c>
      <c r="L269" s="89">
        <v>2</v>
      </c>
      <c r="M269" s="78">
        <f>M268</f>
        <v>3</v>
      </c>
      <c r="N269" s="84"/>
      <c r="O269" s="78">
        <f t="shared" ref="O269" si="204">L269*M269-N269*L269</f>
        <v>6</v>
      </c>
    </row>
    <row r="270" spans="1:16" ht="18" customHeight="1">
      <c r="A270" s="85"/>
      <c r="B270" s="93"/>
      <c r="C270" s="87"/>
      <c r="D270" s="325" t="s">
        <v>0</v>
      </c>
      <c r="E270" s="325"/>
      <c r="F270" s="94">
        <f>SUM(F268:F269)</f>
        <v>12</v>
      </c>
      <c r="G270" s="95">
        <f>SUM(G268:G269)</f>
        <v>102.49191255759239</v>
      </c>
      <c r="H270" s="95">
        <f>SUM(H268:H269)</f>
        <v>89.472000000000008</v>
      </c>
      <c r="I270" s="97"/>
      <c r="J270" s="98"/>
    </row>
    <row r="271" spans="1:16" ht="18" customHeight="1">
      <c r="A271" s="108"/>
      <c r="B271" s="164"/>
      <c r="C271" s="109"/>
      <c r="D271" s="363"/>
      <c r="E271" s="363"/>
      <c r="F271" s="110"/>
      <c r="G271" s="111"/>
      <c r="H271" s="234"/>
      <c r="I271" s="112"/>
      <c r="J271" s="235"/>
    </row>
    <row r="272" spans="1:16" ht="18" customHeight="1">
      <c r="A272" s="262" t="s">
        <v>234</v>
      </c>
      <c r="B272" s="263" t="s">
        <v>195</v>
      </c>
      <c r="C272" s="264">
        <v>22</v>
      </c>
      <c r="D272" s="265">
        <v>761</v>
      </c>
      <c r="E272" s="265">
        <v>1810</v>
      </c>
      <c r="F272" s="251">
        <f>O272</f>
        <v>12</v>
      </c>
      <c r="G272" s="266">
        <f t="shared" ref="G272:G278" si="205">D272*E272/91809*F272</f>
        <v>180.03594418847825</v>
      </c>
      <c r="H272" s="266">
        <f t="shared" ref="H272:H278" si="206">(D272/1000)*4*F272+(E272/1000)*4*F272</f>
        <v>123.40799999999999</v>
      </c>
      <c r="I272" s="267" t="s">
        <v>254</v>
      </c>
      <c r="J272" s="268" t="s">
        <v>205</v>
      </c>
      <c r="L272" s="89">
        <v>2</v>
      </c>
      <c r="M272" s="78">
        <v>6</v>
      </c>
      <c r="N272" s="84"/>
      <c r="O272" s="78">
        <f>L272*M272-N272*L272</f>
        <v>12</v>
      </c>
      <c r="P272" s="64"/>
    </row>
    <row r="273" spans="1:15" ht="18" customHeight="1">
      <c r="A273" s="85"/>
      <c r="B273" s="86"/>
      <c r="C273" s="87"/>
      <c r="D273" s="88">
        <v>1688</v>
      </c>
      <c r="E273" s="88">
        <v>1810</v>
      </c>
      <c r="F273" s="89">
        <f t="shared" ref="F273:F278" si="207">O273</f>
        <v>6</v>
      </c>
      <c r="G273" s="90">
        <f t="shared" si="205"/>
        <v>199.6719275887985</v>
      </c>
      <c r="H273" s="90">
        <f t="shared" si="206"/>
        <v>83.951999999999998</v>
      </c>
      <c r="I273" s="91" t="str">
        <f>I272</f>
        <v>3동5,6라인</v>
      </c>
      <c r="J273" s="92" t="s">
        <v>206</v>
      </c>
      <c r="L273" s="89">
        <v>1</v>
      </c>
      <c r="M273" s="78">
        <f>M272</f>
        <v>6</v>
      </c>
      <c r="N273" s="84"/>
      <c r="O273" s="78">
        <f t="shared" ref="O273:O278" si="208">L273*M273-N273*L273</f>
        <v>6</v>
      </c>
    </row>
    <row r="274" spans="1:15" ht="18" customHeight="1">
      <c r="A274" s="85"/>
      <c r="B274" s="86"/>
      <c r="C274" s="87"/>
      <c r="D274" s="88">
        <v>738</v>
      </c>
      <c r="E274" s="88">
        <v>1310</v>
      </c>
      <c r="F274" s="89">
        <f t="shared" si="207"/>
        <v>24</v>
      </c>
      <c r="G274" s="90">
        <f t="shared" si="205"/>
        <v>252.72816390549946</v>
      </c>
      <c r="H274" s="90">
        <f t="shared" si="206"/>
        <v>196.608</v>
      </c>
      <c r="I274" s="91" t="str">
        <f t="shared" ref="I274:I278" si="209">I273</f>
        <v>3동5,6라인</v>
      </c>
      <c r="J274" s="92" t="s">
        <v>207</v>
      </c>
      <c r="L274" s="89">
        <v>4</v>
      </c>
      <c r="M274" s="78">
        <f t="shared" ref="M274:M277" si="210">M273</f>
        <v>6</v>
      </c>
      <c r="N274" s="78"/>
      <c r="O274" s="78">
        <f t="shared" si="208"/>
        <v>24</v>
      </c>
    </row>
    <row r="275" spans="1:15" ht="18" customHeight="1">
      <c r="A275" s="85"/>
      <c r="B275" s="86"/>
      <c r="C275" s="87"/>
      <c r="D275" s="88">
        <v>288</v>
      </c>
      <c r="E275" s="88">
        <v>910</v>
      </c>
      <c r="F275" s="89">
        <f t="shared" si="207"/>
        <v>12</v>
      </c>
      <c r="G275" s="90">
        <f t="shared" si="205"/>
        <v>34.255465150475445</v>
      </c>
      <c r="H275" s="90">
        <f t="shared" si="206"/>
        <v>57.503999999999998</v>
      </c>
      <c r="I275" s="91" t="str">
        <f t="shared" si="209"/>
        <v>3동5,6라인</v>
      </c>
      <c r="J275" s="92" t="s">
        <v>208</v>
      </c>
      <c r="L275" s="89">
        <v>2</v>
      </c>
      <c r="M275" s="78">
        <f t="shared" si="210"/>
        <v>6</v>
      </c>
      <c r="N275" s="78"/>
      <c r="O275" s="78">
        <f t="shared" si="208"/>
        <v>12</v>
      </c>
    </row>
    <row r="276" spans="1:15" ht="18" customHeight="1">
      <c r="A276" s="85"/>
      <c r="B276" s="86"/>
      <c r="C276" s="87"/>
      <c r="D276" s="88">
        <v>228</v>
      </c>
      <c r="E276" s="88">
        <v>910</v>
      </c>
      <c r="F276" s="89">
        <f t="shared" si="207"/>
        <v>12</v>
      </c>
      <c r="G276" s="90">
        <f t="shared" si="205"/>
        <v>27.118909910793057</v>
      </c>
      <c r="H276" s="90">
        <f t="shared" si="206"/>
        <v>54.624000000000002</v>
      </c>
      <c r="I276" s="91" t="str">
        <f t="shared" si="209"/>
        <v>3동5,6라인</v>
      </c>
      <c r="J276" s="92" t="s">
        <v>209</v>
      </c>
      <c r="L276" s="89">
        <v>2</v>
      </c>
      <c r="M276" s="78">
        <f t="shared" si="210"/>
        <v>6</v>
      </c>
      <c r="N276" s="78"/>
      <c r="O276" s="78">
        <f t="shared" si="208"/>
        <v>12</v>
      </c>
    </row>
    <row r="277" spans="1:15" ht="18" customHeight="1">
      <c r="A277" s="85"/>
      <c r="B277" s="86"/>
      <c r="C277" s="87"/>
      <c r="D277" s="88">
        <v>438</v>
      </c>
      <c r="E277" s="88">
        <v>270</v>
      </c>
      <c r="F277" s="89">
        <f t="shared" si="207"/>
        <v>12</v>
      </c>
      <c r="G277" s="90">
        <f t="shared" si="205"/>
        <v>15.45730810704833</v>
      </c>
      <c r="H277" s="90">
        <f t="shared" si="206"/>
        <v>33.984000000000002</v>
      </c>
      <c r="I277" s="91" t="str">
        <f t="shared" si="209"/>
        <v>3동5,6라인</v>
      </c>
      <c r="J277" s="92" t="s">
        <v>210</v>
      </c>
      <c r="L277" s="89">
        <v>2</v>
      </c>
      <c r="M277" s="78">
        <f t="shared" si="210"/>
        <v>6</v>
      </c>
      <c r="N277" s="78"/>
      <c r="O277" s="78">
        <f t="shared" si="208"/>
        <v>12</v>
      </c>
    </row>
    <row r="278" spans="1:15" ht="18" customHeight="1">
      <c r="A278" s="85"/>
      <c r="B278" s="86"/>
      <c r="C278" s="87"/>
      <c r="D278" s="88">
        <v>208</v>
      </c>
      <c r="E278" s="88">
        <v>910</v>
      </c>
      <c r="F278" s="89">
        <f t="shared" si="207"/>
        <v>12</v>
      </c>
      <c r="G278" s="90">
        <f t="shared" si="205"/>
        <v>24.740058164232266</v>
      </c>
      <c r="H278" s="90">
        <f t="shared" si="206"/>
        <v>53.664000000000001</v>
      </c>
      <c r="I278" s="91" t="str">
        <f t="shared" si="209"/>
        <v>3동5,6라인</v>
      </c>
      <c r="J278" s="92" t="s">
        <v>211</v>
      </c>
      <c r="L278" s="89">
        <v>2</v>
      </c>
      <c r="M278" s="78">
        <f>M277</f>
        <v>6</v>
      </c>
      <c r="N278" s="78"/>
      <c r="O278" s="78">
        <f t="shared" si="208"/>
        <v>12</v>
      </c>
    </row>
    <row r="279" spans="1:15" ht="18" customHeight="1">
      <c r="A279" s="85"/>
      <c r="B279" s="93"/>
      <c r="C279" s="87"/>
      <c r="D279" s="325" t="s">
        <v>0</v>
      </c>
      <c r="E279" s="325"/>
      <c r="F279" s="94">
        <f>SUM(F272:F278)</f>
        <v>90</v>
      </c>
      <c r="G279" s="95">
        <f>SUM(G272:G278)</f>
        <v>734.00777701532525</v>
      </c>
      <c r="H279" s="96">
        <f>SUM(H272:H278)</f>
        <v>603.74400000000003</v>
      </c>
      <c r="I279" s="97"/>
      <c r="J279" s="162"/>
    </row>
    <row r="280" spans="1:15" ht="18" customHeight="1">
      <c r="A280" s="85"/>
      <c r="B280" s="93"/>
      <c r="C280" s="87"/>
      <c r="D280" s="161"/>
      <c r="E280" s="161"/>
      <c r="F280" s="89"/>
      <c r="G280" s="100"/>
      <c r="H280" s="101"/>
      <c r="I280" s="102"/>
      <c r="J280" s="121"/>
      <c r="L280" s="78" t="s">
        <v>48</v>
      </c>
      <c r="M280" s="78" t="s">
        <v>54</v>
      </c>
      <c r="N280" s="78" t="s">
        <v>50</v>
      </c>
      <c r="O280" s="78" t="s">
        <v>55</v>
      </c>
    </row>
    <row r="281" spans="1:15" ht="18" customHeight="1">
      <c r="A281" s="85"/>
      <c r="B281" s="23" t="s">
        <v>197</v>
      </c>
      <c r="C281" s="24">
        <v>22</v>
      </c>
      <c r="D281" s="88">
        <v>761</v>
      </c>
      <c r="E281" s="88">
        <v>1810</v>
      </c>
      <c r="F281" s="89">
        <f t="shared" ref="F281:F287" si="211">O281</f>
        <v>12</v>
      </c>
      <c r="G281" s="90">
        <f t="shared" ref="G281:G287" si="212">D281*E281/91809*F281</f>
        <v>180.03594418847825</v>
      </c>
      <c r="H281" s="90">
        <f t="shared" ref="H281:H287" si="213">(D281/1000)*4*F281+(E281/1000)*4*F281</f>
        <v>123.40799999999999</v>
      </c>
      <c r="I281" s="91" t="str">
        <f t="shared" ref="I281:I287" si="214">I272</f>
        <v>3동5,6라인</v>
      </c>
      <c r="J281" s="92" t="s">
        <v>212</v>
      </c>
      <c r="L281" s="89">
        <v>2</v>
      </c>
      <c r="M281" s="78">
        <f>M272</f>
        <v>6</v>
      </c>
      <c r="N281" s="84"/>
      <c r="O281" s="78">
        <f>L281*M281-N281*L281</f>
        <v>12</v>
      </c>
    </row>
    <row r="282" spans="1:15" ht="18" customHeight="1">
      <c r="A282" s="85"/>
      <c r="B282" s="86"/>
      <c r="C282" s="87"/>
      <c r="D282" s="88">
        <v>1688</v>
      </c>
      <c r="E282" s="88">
        <v>1810</v>
      </c>
      <c r="F282" s="89">
        <f t="shared" si="211"/>
        <v>6</v>
      </c>
      <c r="G282" s="90">
        <f t="shared" si="212"/>
        <v>199.6719275887985</v>
      </c>
      <c r="H282" s="90">
        <f t="shared" si="213"/>
        <v>83.951999999999998</v>
      </c>
      <c r="I282" s="91" t="str">
        <f t="shared" si="214"/>
        <v>3동5,6라인</v>
      </c>
      <c r="J282" s="92" t="s">
        <v>213</v>
      </c>
      <c r="L282" s="89">
        <v>1</v>
      </c>
      <c r="M282" s="78">
        <f>M281</f>
        <v>6</v>
      </c>
      <c r="N282" s="84"/>
      <c r="O282" s="78">
        <f>L282*M282-N282*L282</f>
        <v>6</v>
      </c>
    </row>
    <row r="283" spans="1:15" ht="18" customHeight="1">
      <c r="A283" s="104"/>
      <c r="B283" s="93"/>
      <c r="C283" s="87"/>
      <c r="D283" s="88">
        <v>738</v>
      </c>
      <c r="E283" s="88">
        <v>1310</v>
      </c>
      <c r="F283" s="89">
        <f t="shared" si="211"/>
        <v>24</v>
      </c>
      <c r="G283" s="90">
        <f t="shared" si="212"/>
        <v>252.72816390549946</v>
      </c>
      <c r="H283" s="90">
        <f t="shared" si="213"/>
        <v>196.608</v>
      </c>
      <c r="I283" s="91" t="str">
        <f t="shared" si="214"/>
        <v>3동5,6라인</v>
      </c>
      <c r="J283" s="92" t="s">
        <v>214</v>
      </c>
      <c r="L283" s="89">
        <v>4</v>
      </c>
      <c r="M283" s="78">
        <f t="shared" ref="M283:M287" si="215">M282</f>
        <v>6</v>
      </c>
      <c r="N283" s="84"/>
      <c r="O283" s="78">
        <f t="shared" ref="O283:O287" si="216">L283*M283-N283*L283</f>
        <v>24</v>
      </c>
    </row>
    <row r="284" spans="1:15" ht="18" customHeight="1">
      <c r="A284" s="104"/>
      <c r="B284" s="93"/>
      <c r="C284" s="87"/>
      <c r="D284" s="88">
        <v>288</v>
      </c>
      <c r="E284" s="88">
        <v>910</v>
      </c>
      <c r="F284" s="89">
        <f t="shared" si="211"/>
        <v>12</v>
      </c>
      <c r="G284" s="90">
        <f t="shared" si="212"/>
        <v>34.255465150475445</v>
      </c>
      <c r="H284" s="90">
        <f t="shared" si="213"/>
        <v>57.503999999999998</v>
      </c>
      <c r="I284" s="91" t="str">
        <f t="shared" si="214"/>
        <v>3동5,6라인</v>
      </c>
      <c r="J284" s="92" t="s">
        <v>215</v>
      </c>
      <c r="L284" s="89">
        <v>2</v>
      </c>
      <c r="M284" s="78">
        <f t="shared" si="215"/>
        <v>6</v>
      </c>
      <c r="N284" s="78"/>
      <c r="O284" s="78">
        <f t="shared" si="216"/>
        <v>12</v>
      </c>
    </row>
    <row r="285" spans="1:15" ht="18" customHeight="1">
      <c r="A285" s="104"/>
      <c r="B285" s="93"/>
      <c r="C285" s="87"/>
      <c r="D285" s="88">
        <v>228</v>
      </c>
      <c r="E285" s="88">
        <v>910</v>
      </c>
      <c r="F285" s="89">
        <f t="shared" si="211"/>
        <v>12</v>
      </c>
      <c r="G285" s="90">
        <f t="shared" si="212"/>
        <v>27.118909910793057</v>
      </c>
      <c r="H285" s="90">
        <f t="shared" si="213"/>
        <v>54.624000000000002</v>
      </c>
      <c r="I285" s="91" t="str">
        <f t="shared" si="214"/>
        <v>3동5,6라인</v>
      </c>
      <c r="J285" s="92" t="s">
        <v>216</v>
      </c>
      <c r="L285" s="89">
        <v>2</v>
      </c>
      <c r="M285" s="78">
        <f t="shared" si="215"/>
        <v>6</v>
      </c>
      <c r="N285" s="78"/>
      <c r="O285" s="78">
        <f t="shared" si="216"/>
        <v>12</v>
      </c>
    </row>
    <row r="286" spans="1:15" ht="18" customHeight="1">
      <c r="A286" s="104"/>
      <c r="B286" s="93"/>
      <c r="C286" s="87"/>
      <c r="D286" s="88">
        <v>438</v>
      </c>
      <c r="E286" s="88">
        <v>270</v>
      </c>
      <c r="F286" s="89">
        <f t="shared" si="211"/>
        <v>12</v>
      </c>
      <c r="G286" s="90">
        <f t="shared" si="212"/>
        <v>15.45730810704833</v>
      </c>
      <c r="H286" s="90">
        <f t="shared" si="213"/>
        <v>33.984000000000002</v>
      </c>
      <c r="I286" s="91" t="str">
        <f t="shared" si="214"/>
        <v>3동5,6라인</v>
      </c>
      <c r="J286" s="92" t="s">
        <v>217</v>
      </c>
      <c r="L286" s="89">
        <v>2</v>
      </c>
      <c r="M286" s="78">
        <f t="shared" si="215"/>
        <v>6</v>
      </c>
      <c r="N286" s="78"/>
      <c r="O286" s="78">
        <f t="shared" si="216"/>
        <v>12</v>
      </c>
    </row>
    <row r="287" spans="1:15" ht="18" customHeight="1">
      <c r="A287" s="104"/>
      <c r="B287" s="93"/>
      <c r="C287" s="87"/>
      <c r="D287" s="88">
        <v>208</v>
      </c>
      <c r="E287" s="88">
        <v>910</v>
      </c>
      <c r="F287" s="89">
        <f t="shared" si="211"/>
        <v>12</v>
      </c>
      <c r="G287" s="90">
        <f t="shared" si="212"/>
        <v>24.740058164232266</v>
      </c>
      <c r="H287" s="90">
        <f t="shared" si="213"/>
        <v>53.664000000000001</v>
      </c>
      <c r="I287" s="91" t="str">
        <f t="shared" si="214"/>
        <v>3동5,6라인</v>
      </c>
      <c r="J287" s="92" t="s">
        <v>218</v>
      </c>
      <c r="L287" s="89">
        <v>2</v>
      </c>
      <c r="M287" s="78">
        <f t="shared" si="215"/>
        <v>6</v>
      </c>
      <c r="N287" s="78"/>
      <c r="O287" s="78">
        <f t="shared" si="216"/>
        <v>12</v>
      </c>
    </row>
    <row r="288" spans="1:15" ht="18" customHeight="1">
      <c r="A288" s="104"/>
      <c r="B288" s="87"/>
      <c r="C288" s="87"/>
      <c r="D288" s="325" t="s">
        <v>0</v>
      </c>
      <c r="E288" s="325"/>
      <c r="F288" s="171">
        <f>SUM(F281:F287)</f>
        <v>90</v>
      </c>
      <c r="G288" s="95">
        <f>SUM(G281:G287)</f>
        <v>734.00777701532525</v>
      </c>
      <c r="H288" s="95">
        <f>SUM(H281:H287)</f>
        <v>603.74400000000003</v>
      </c>
      <c r="I288" s="97"/>
      <c r="J288" s="98"/>
    </row>
    <row r="289" spans="1:16">
      <c r="A289" s="105"/>
      <c r="B289" s="9"/>
      <c r="C289" s="9"/>
      <c r="D289" s="51"/>
      <c r="E289" s="51"/>
      <c r="F289" s="51"/>
      <c r="G289" s="106"/>
      <c r="H289" s="106"/>
      <c r="I289" s="9"/>
      <c r="J289" s="107"/>
    </row>
    <row r="290" spans="1:16" ht="18" customHeight="1">
      <c r="A290" s="85"/>
      <c r="B290" s="163" t="s">
        <v>199</v>
      </c>
      <c r="C290" s="163">
        <v>22</v>
      </c>
      <c r="D290" s="88">
        <v>738</v>
      </c>
      <c r="E290" s="88">
        <v>1810</v>
      </c>
      <c r="F290" s="89">
        <f t="shared" ref="F290:F291" si="217">O290</f>
        <v>12</v>
      </c>
      <c r="G290" s="90">
        <f t="shared" ref="G290:G291" si="218">D290*E290/91809*F290</f>
        <v>174.59464758357024</v>
      </c>
      <c r="H290" s="90">
        <f t="shared" ref="H290:H291" si="219">(D290/1000)*4*F290+(E290/1000)*4*F290</f>
        <v>122.304</v>
      </c>
      <c r="I290" s="91" t="str">
        <f>I281</f>
        <v>3동5,6라인</v>
      </c>
      <c r="J290" s="92" t="s">
        <v>219</v>
      </c>
      <c r="L290" s="89">
        <v>2</v>
      </c>
      <c r="M290" s="78">
        <f>M272</f>
        <v>6</v>
      </c>
      <c r="N290" s="84"/>
      <c r="O290" s="78">
        <f>L290*M290-N290*L290</f>
        <v>12</v>
      </c>
      <c r="P290" s="64"/>
    </row>
    <row r="291" spans="1:16" ht="18" customHeight="1">
      <c r="A291" s="85"/>
      <c r="B291" s="86"/>
      <c r="C291" s="87"/>
      <c r="D291" s="88">
        <v>250</v>
      </c>
      <c r="E291" s="88">
        <v>930</v>
      </c>
      <c r="F291" s="89">
        <f t="shared" si="217"/>
        <v>12</v>
      </c>
      <c r="G291" s="90">
        <f t="shared" si="218"/>
        <v>30.389177531614546</v>
      </c>
      <c r="H291" s="90">
        <f t="shared" si="219"/>
        <v>56.64</v>
      </c>
      <c r="I291" s="91" t="str">
        <f>I290</f>
        <v>3동5,6라인</v>
      </c>
      <c r="J291" s="92" t="s">
        <v>220</v>
      </c>
      <c r="L291" s="89">
        <v>2</v>
      </c>
      <c r="M291" s="78">
        <f>M290</f>
        <v>6</v>
      </c>
      <c r="N291" s="84"/>
      <c r="O291" s="78">
        <f t="shared" ref="O291" si="220">L291*M291-N291*L291</f>
        <v>12</v>
      </c>
    </row>
    <row r="292" spans="1:16" ht="18" customHeight="1">
      <c r="A292" s="85"/>
      <c r="B292" s="93"/>
      <c r="C292" s="87"/>
      <c r="D292" s="325" t="s">
        <v>0</v>
      </c>
      <c r="E292" s="325"/>
      <c r="F292" s="94">
        <f>SUM(F290:F291)</f>
        <v>24</v>
      </c>
      <c r="G292" s="95">
        <f>SUM(G290:G291)</f>
        <v>204.98382511518477</v>
      </c>
      <c r="H292" s="95">
        <f>SUM(H290:H291)</f>
        <v>178.94400000000002</v>
      </c>
      <c r="I292" s="97"/>
      <c r="J292" s="98"/>
    </row>
    <row r="293" spans="1:16" ht="18" customHeight="1">
      <c r="A293" s="114"/>
      <c r="B293" s="169"/>
      <c r="C293" s="115"/>
      <c r="D293" s="170"/>
      <c r="E293" s="170"/>
      <c r="F293" s="116"/>
      <c r="G293" s="117"/>
      <c r="H293" s="117"/>
      <c r="I293" s="118"/>
      <c r="J293" s="119"/>
    </row>
    <row r="294" spans="1:16" ht="18" customHeight="1">
      <c r="A294" s="262" t="s">
        <v>234</v>
      </c>
      <c r="B294" s="263" t="s">
        <v>195</v>
      </c>
      <c r="C294" s="264">
        <v>22</v>
      </c>
      <c r="D294" s="265">
        <v>761</v>
      </c>
      <c r="E294" s="265">
        <v>1810</v>
      </c>
      <c r="F294" s="251">
        <f>O294</f>
        <v>20</v>
      </c>
      <c r="G294" s="266">
        <f t="shared" ref="G294:G300" si="221">D294*E294/91809*F294</f>
        <v>300.05990698079711</v>
      </c>
      <c r="H294" s="266">
        <f t="shared" ref="H294:H300" si="222">(D294/1000)*4*F294+(E294/1000)*4*F294</f>
        <v>205.68</v>
      </c>
      <c r="I294" s="267" t="s">
        <v>255</v>
      </c>
      <c r="J294" s="268" t="s">
        <v>205</v>
      </c>
      <c r="L294" s="89">
        <v>2</v>
      </c>
      <c r="M294" s="78">
        <v>10</v>
      </c>
      <c r="N294" s="84"/>
      <c r="O294" s="78">
        <f>L294*M294-N294*L294</f>
        <v>20</v>
      </c>
      <c r="P294" s="64"/>
    </row>
    <row r="295" spans="1:16" ht="18" customHeight="1">
      <c r="A295" s="85"/>
      <c r="B295" s="86"/>
      <c r="C295" s="87"/>
      <c r="D295" s="88">
        <v>1688</v>
      </c>
      <c r="E295" s="88">
        <v>1810</v>
      </c>
      <c r="F295" s="89">
        <f t="shared" ref="F295:F300" si="223">O295</f>
        <v>10</v>
      </c>
      <c r="G295" s="90">
        <f t="shared" si="221"/>
        <v>332.78654598133079</v>
      </c>
      <c r="H295" s="90">
        <f t="shared" si="222"/>
        <v>139.92000000000002</v>
      </c>
      <c r="I295" s="91" t="str">
        <f>I294</f>
        <v>9동1,2라인</v>
      </c>
      <c r="J295" s="92" t="s">
        <v>206</v>
      </c>
      <c r="L295" s="89">
        <v>1</v>
      </c>
      <c r="M295" s="78">
        <f>M294</f>
        <v>10</v>
      </c>
      <c r="N295" s="84"/>
      <c r="O295" s="78">
        <f t="shared" ref="O295:O300" si="224">L295*M295-N295*L295</f>
        <v>10</v>
      </c>
    </row>
    <row r="296" spans="1:16" ht="18" customHeight="1">
      <c r="A296" s="85"/>
      <c r="B296" s="86"/>
      <c r="C296" s="87"/>
      <c r="D296" s="88">
        <v>738</v>
      </c>
      <c r="E296" s="88">
        <v>1310</v>
      </c>
      <c r="F296" s="89">
        <f t="shared" si="223"/>
        <v>40</v>
      </c>
      <c r="G296" s="90">
        <f t="shared" si="221"/>
        <v>421.2136065091658</v>
      </c>
      <c r="H296" s="90">
        <f t="shared" si="222"/>
        <v>327.68</v>
      </c>
      <c r="I296" s="91" t="str">
        <f t="shared" ref="I296:I300" si="225">I295</f>
        <v>9동1,2라인</v>
      </c>
      <c r="J296" s="92" t="s">
        <v>207</v>
      </c>
      <c r="L296" s="89">
        <v>4</v>
      </c>
      <c r="M296" s="78">
        <f t="shared" ref="M296:M299" si="226">M295</f>
        <v>10</v>
      </c>
      <c r="N296" s="78"/>
      <c r="O296" s="78">
        <f t="shared" si="224"/>
        <v>40</v>
      </c>
    </row>
    <row r="297" spans="1:16" ht="18" customHeight="1">
      <c r="A297" s="85"/>
      <c r="B297" s="86"/>
      <c r="C297" s="87"/>
      <c r="D297" s="88">
        <v>288</v>
      </c>
      <c r="E297" s="88">
        <v>910</v>
      </c>
      <c r="F297" s="89">
        <f t="shared" si="223"/>
        <v>20</v>
      </c>
      <c r="G297" s="90">
        <f t="shared" si="221"/>
        <v>57.09244191745907</v>
      </c>
      <c r="H297" s="90">
        <f t="shared" si="222"/>
        <v>95.84</v>
      </c>
      <c r="I297" s="91" t="str">
        <f t="shared" si="225"/>
        <v>9동1,2라인</v>
      </c>
      <c r="J297" s="92" t="s">
        <v>208</v>
      </c>
      <c r="L297" s="89">
        <v>2</v>
      </c>
      <c r="M297" s="78">
        <f t="shared" si="226"/>
        <v>10</v>
      </c>
      <c r="N297" s="78"/>
      <c r="O297" s="78">
        <f t="shared" si="224"/>
        <v>20</v>
      </c>
    </row>
    <row r="298" spans="1:16" ht="18" customHeight="1">
      <c r="A298" s="85"/>
      <c r="B298" s="86"/>
      <c r="C298" s="87"/>
      <c r="D298" s="88">
        <v>228</v>
      </c>
      <c r="E298" s="88">
        <v>910</v>
      </c>
      <c r="F298" s="89">
        <f t="shared" si="223"/>
        <v>20</v>
      </c>
      <c r="G298" s="90">
        <f t="shared" si="221"/>
        <v>45.1981831846551</v>
      </c>
      <c r="H298" s="90">
        <f t="shared" si="222"/>
        <v>91.039999999999992</v>
      </c>
      <c r="I298" s="91" t="str">
        <f t="shared" si="225"/>
        <v>9동1,2라인</v>
      </c>
      <c r="J298" s="92" t="s">
        <v>209</v>
      </c>
      <c r="L298" s="89">
        <v>2</v>
      </c>
      <c r="M298" s="78">
        <f t="shared" si="226"/>
        <v>10</v>
      </c>
      <c r="N298" s="78"/>
      <c r="O298" s="78">
        <f t="shared" si="224"/>
        <v>20</v>
      </c>
    </row>
    <row r="299" spans="1:16" ht="18" customHeight="1">
      <c r="A299" s="85"/>
      <c r="B299" s="86"/>
      <c r="C299" s="87"/>
      <c r="D299" s="88">
        <v>438</v>
      </c>
      <c r="E299" s="88">
        <v>270</v>
      </c>
      <c r="F299" s="89">
        <f t="shared" si="223"/>
        <v>20</v>
      </c>
      <c r="G299" s="90">
        <f t="shared" si="221"/>
        <v>25.762180178413882</v>
      </c>
      <c r="H299" s="90">
        <f t="shared" si="222"/>
        <v>56.64</v>
      </c>
      <c r="I299" s="91" t="str">
        <f t="shared" si="225"/>
        <v>9동1,2라인</v>
      </c>
      <c r="J299" s="92" t="s">
        <v>210</v>
      </c>
      <c r="L299" s="89">
        <v>2</v>
      </c>
      <c r="M299" s="78">
        <f t="shared" si="226"/>
        <v>10</v>
      </c>
      <c r="N299" s="78"/>
      <c r="O299" s="78">
        <f t="shared" si="224"/>
        <v>20</v>
      </c>
    </row>
    <row r="300" spans="1:16" ht="18" customHeight="1">
      <c r="A300" s="85"/>
      <c r="B300" s="86"/>
      <c r="C300" s="87"/>
      <c r="D300" s="88">
        <v>208</v>
      </c>
      <c r="E300" s="88">
        <v>910</v>
      </c>
      <c r="F300" s="89">
        <f t="shared" si="223"/>
        <v>20</v>
      </c>
      <c r="G300" s="90">
        <f t="shared" si="221"/>
        <v>41.233430273720444</v>
      </c>
      <c r="H300" s="90">
        <f t="shared" si="222"/>
        <v>89.44</v>
      </c>
      <c r="I300" s="91" t="str">
        <f t="shared" si="225"/>
        <v>9동1,2라인</v>
      </c>
      <c r="J300" s="92" t="s">
        <v>211</v>
      </c>
      <c r="L300" s="89">
        <v>2</v>
      </c>
      <c r="M300" s="78">
        <f>M299</f>
        <v>10</v>
      </c>
      <c r="N300" s="78"/>
      <c r="O300" s="78">
        <f t="shared" si="224"/>
        <v>20</v>
      </c>
    </row>
    <row r="301" spans="1:16" ht="18" customHeight="1">
      <c r="A301" s="85"/>
      <c r="B301" s="93"/>
      <c r="C301" s="87"/>
      <c r="D301" s="325" t="s">
        <v>0</v>
      </c>
      <c r="E301" s="325"/>
      <c r="F301" s="94">
        <f>SUM(F294:F300)</f>
        <v>150</v>
      </c>
      <c r="G301" s="95">
        <f>SUM(G294:G300)</f>
        <v>1223.3462950255423</v>
      </c>
      <c r="H301" s="96">
        <f>SUM(H294:H300)</f>
        <v>1006.24</v>
      </c>
      <c r="I301" s="97"/>
      <c r="J301" s="162"/>
    </row>
    <row r="302" spans="1:16" ht="18" customHeight="1">
      <c r="A302" s="85"/>
      <c r="B302" s="93"/>
      <c r="C302" s="87"/>
      <c r="D302" s="161"/>
      <c r="E302" s="161"/>
      <c r="F302" s="89"/>
      <c r="G302" s="100"/>
      <c r="H302" s="101"/>
      <c r="I302" s="102"/>
      <c r="J302" s="121"/>
      <c r="L302" s="78" t="s">
        <v>48</v>
      </c>
      <c r="M302" s="78" t="s">
        <v>54</v>
      </c>
      <c r="N302" s="78" t="s">
        <v>50</v>
      </c>
      <c r="O302" s="78" t="s">
        <v>55</v>
      </c>
    </row>
    <row r="303" spans="1:16" ht="18" customHeight="1">
      <c r="A303" s="85"/>
      <c r="B303" s="23" t="s">
        <v>197</v>
      </c>
      <c r="C303" s="24">
        <v>22</v>
      </c>
      <c r="D303" s="88">
        <v>761</v>
      </c>
      <c r="E303" s="88">
        <v>1810</v>
      </c>
      <c r="F303" s="89">
        <f t="shared" ref="F303:F309" si="227">O303</f>
        <v>20</v>
      </c>
      <c r="G303" s="90">
        <f t="shared" ref="G303:G309" si="228">D303*E303/91809*F303</f>
        <v>300.05990698079711</v>
      </c>
      <c r="H303" s="90">
        <f t="shared" ref="H303:H309" si="229">(D303/1000)*4*F303+(E303/1000)*4*F303</f>
        <v>205.68</v>
      </c>
      <c r="I303" s="91" t="str">
        <f t="shared" ref="I303:I309" si="230">I294</f>
        <v>9동1,2라인</v>
      </c>
      <c r="J303" s="92" t="s">
        <v>212</v>
      </c>
      <c r="L303" s="89">
        <v>2</v>
      </c>
      <c r="M303" s="78">
        <f>M294</f>
        <v>10</v>
      </c>
      <c r="N303" s="84"/>
      <c r="O303" s="78">
        <f>L303*M303-N303*L303</f>
        <v>20</v>
      </c>
    </row>
    <row r="304" spans="1:16" ht="18" customHeight="1">
      <c r="A304" s="85"/>
      <c r="B304" s="86"/>
      <c r="C304" s="87"/>
      <c r="D304" s="88">
        <v>1688</v>
      </c>
      <c r="E304" s="88">
        <v>1810</v>
      </c>
      <c r="F304" s="89">
        <f t="shared" si="227"/>
        <v>10</v>
      </c>
      <c r="G304" s="90">
        <f t="shared" si="228"/>
        <v>332.78654598133079</v>
      </c>
      <c r="H304" s="90">
        <f t="shared" si="229"/>
        <v>139.92000000000002</v>
      </c>
      <c r="I304" s="91" t="str">
        <f t="shared" si="230"/>
        <v>9동1,2라인</v>
      </c>
      <c r="J304" s="92" t="s">
        <v>213</v>
      </c>
      <c r="L304" s="89">
        <v>1</v>
      </c>
      <c r="M304" s="78">
        <f>M303</f>
        <v>10</v>
      </c>
      <c r="N304" s="84"/>
      <c r="O304" s="78">
        <f>L304*M304-N304*L304</f>
        <v>10</v>
      </c>
    </row>
    <row r="305" spans="1:16" ht="18" customHeight="1">
      <c r="A305" s="104"/>
      <c r="B305" s="93"/>
      <c r="C305" s="87"/>
      <c r="D305" s="88">
        <v>738</v>
      </c>
      <c r="E305" s="88">
        <v>1310</v>
      </c>
      <c r="F305" s="89">
        <f t="shared" si="227"/>
        <v>40</v>
      </c>
      <c r="G305" s="90">
        <f t="shared" si="228"/>
        <v>421.2136065091658</v>
      </c>
      <c r="H305" s="90">
        <f t="shared" si="229"/>
        <v>327.68</v>
      </c>
      <c r="I305" s="91" t="str">
        <f t="shared" si="230"/>
        <v>9동1,2라인</v>
      </c>
      <c r="J305" s="92" t="s">
        <v>214</v>
      </c>
      <c r="L305" s="89">
        <v>4</v>
      </c>
      <c r="M305" s="78">
        <f t="shared" ref="M305:M309" si="231">M304</f>
        <v>10</v>
      </c>
      <c r="N305" s="84"/>
      <c r="O305" s="78">
        <f t="shared" ref="O305:O309" si="232">L305*M305-N305*L305</f>
        <v>40</v>
      </c>
    </row>
    <row r="306" spans="1:16" ht="18" customHeight="1">
      <c r="A306" s="104"/>
      <c r="B306" s="93"/>
      <c r="C306" s="87"/>
      <c r="D306" s="88">
        <v>288</v>
      </c>
      <c r="E306" s="88">
        <v>910</v>
      </c>
      <c r="F306" s="89">
        <f t="shared" si="227"/>
        <v>20</v>
      </c>
      <c r="G306" s="90">
        <f t="shared" si="228"/>
        <v>57.09244191745907</v>
      </c>
      <c r="H306" s="90">
        <f t="shared" si="229"/>
        <v>95.84</v>
      </c>
      <c r="I306" s="91" t="str">
        <f t="shared" si="230"/>
        <v>9동1,2라인</v>
      </c>
      <c r="J306" s="92" t="s">
        <v>215</v>
      </c>
      <c r="L306" s="89">
        <v>2</v>
      </c>
      <c r="M306" s="78">
        <f t="shared" si="231"/>
        <v>10</v>
      </c>
      <c r="N306" s="78"/>
      <c r="O306" s="78">
        <f t="shared" si="232"/>
        <v>20</v>
      </c>
    </row>
    <row r="307" spans="1:16" ht="18" customHeight="1">
      <c r="A307" s="104"/>
      <c r="B307" s="93"/>
      <c r="C307" s="87"/>
      <c r="D307" s="88">
        <v>228</v>
      </c>
      <c r="E307" s="88">
        <v>910</v>
      </c>
      <c r="F307" s="89">
        <f t="shared" si="227"/>
        <v>20</v>
      </c>
      <c r="G307" s="90">
        <f t="shared" si="228"/>
        <v>45.1981831846551</v>
      </c>
      <c r="H307" s="90">
        <f t="shared" si="229"/>
        <v>91.039999999999992</v>
      </c>
      <c r="I307" s="91" t="str">
        <f t="shared" si="230"/>
        <v>9동1,2라인</v>
      </c>
      <c r="J307" s="92" t="s">
        <v>216</v>
      </c>
      <c r="L307" s="89">
        <v>2</v>
      </c>
      <c r="M307" s="78">
        <f t="shared" si="231"/>
        <v>10</v>
      </c>
      <c r="N307" s="78"/>
      <c r="O307" s="78">
        <f t="shared" si="232"/>
        <v>20</v>
      </c>
    </row>
    <row r="308" spans="1:16" ht="18" customHeight="1">
      <c r="A308" s="104"/>
      <c r="B308" s="93"/>
      <c r="C308" s="87"/>
      <c r="D308" s="88">
        <v>438</v>
      </c>
      <c r="E308" s="88">
        <v>270</v>
      </c>
      <c r="F308" s="89">
        <f t="shared" si="227"/>
        <v>20</v>
      </c>
      <c r="G308" s="90">
        <f t="shared" si="228"/>
        <v>25.762180178413882</v>
      </c>
      <c r="H308" s="90">
        <f t="shared" si="229"/>
        <v>56.64</v>
      </c>
      <c r="I308" s="91" t="str">
        <f t="shared" si="230"/>
        <v>9동1,2라인</v>
      </c>
      <c r="J308" s="92" t="s">
        <v>217</v>
      </c>
      <c r="L308" s="89">
        <v>2</v>
      </c>
      <c r="M308" s="78">
        <f t="shared" si="231"/>
        <v>10</v>
      </c>
      <c r="N308" s="78"/>
      <c r="O308" s="78">
        <f t="shared" si="232"/>
        <v>20</v>
      </c>
    </row>
    <row r="309" spans="1:16" ht="18" customHeight="1">
      <c r="A309" s="104"/>
      <c r="B309" s="93"/>
      <c r="C309" s="87"/>
      <c r="D309" s="88">
        <v>208</v>
      </c>
      <c r="E309" s="88">
        <v>910</v>
      </c>
      <c r="F309" s="89">
        <f t="shared" si="227"/>
        <v>20</v>
      </c>
      <c r="G309" s="90">
        <f t="shared" si="228"/>
        <v>41.233430273720444</v>
      </c>
      <c r="H309" s="90">
        <f t="shared" si="229"/>
        <v>89.44</v>
      </c>
      <c r="I309" s="91" t="str">
        <f t="shared" si="230"/>
        <v>9동1,2라인</v>
      </c>
      <c r="J309" s="92" t="s">
        <v>218</v>
      </c>
      <c r="L309" s="89">
        <v>2</v>
      </c>
      <c r="M309" s="78">
        <f t="shared" si="231"/>
        <v>10</v>
      </c>
      <c r="N309" s="78"/>
      <c r="O309" s="78">
        <f t="shared" si="232"/>
        <v>20</v>
      </c>
    </row>
    <row r="310" spans="1:16" ht="18" customHeight="1">
      <c r="A310" s="104"/>
      <c r="B310" s="87"/>
      <c r="C310" s="87"/>
      <c r="D310" s="325" t="s">
        <v>0</v>
      </c>
      <c r="E310" s="325"/>
      <c r="F310" s="171">
        <f>SUM(F303:F309)</f>
        <v>150</v>
      </c>
      <c r="G310" s="95">
        <f>SUM(G303:G309)</f>
        <v>1223.3462950255423</v>
      </c>
      <c r="H310" s="95">
        <f>SUM(H303:H309)</f>
        <v>1006.24</v>
      </c>
      <c r="I310" s="97"/>
      <c r="J310" s="98"/>
    </row>
    <row r="311" spans="1:16">
      <c r="A311" s="105"/>
      <c r="B311" s="9"/>
      <c r="C311" s="9"/>
      <c r="D311" s="51"/>
      <c r="E311" s="51"/>
      <c r="F311" s="51"/>
      <c r="G311" s="106"/>
      <c r="H311" s="106"/>
      <c r="I311" s="9"/>
      <c r="J311" s="107"/>
    </row>
    <row r="312" spans="1:16" ht="18" customHeight="1">
      <c r="A312" s="85"/>
      <c r="B312" s="163" t="s">
        <v>199</v>
      </c>
      <c r="C312" s="163">
        <v>22</v>
      </c>
      <c r="D312" s="88">
        <v>738</v>
      </c>
      <c r="E312" s="88">
        <v>1810</v>
      </c>
      <c r="F312" s="89">
        <f t="shared" ref="F312:F313" si="233">O312</f>
        <v>10</v>
      </c>
      <c r="G312" s="90">
        <f t="shared" ref="G312:G313" si="234">D312*E312/91809*F312</f>
        <v>145.4955396529752</v>
      </c>
      <c r="H312" s="90">
        <f t="shared" ref="H312:H313" si="235">(D312/1000)*4*F312+(E312/1000)*4*F312</f>
        <v>101.92</v>
      </c>
      <c r="I312" s="91" t="str">
        <f>I303</f>
        <v>9동1,2라인</v>
      </c>
      <c r="J312" s="92" t="s">
        <v>219</v>
      </c>
      <c r="L312" s="89">
        <v>2</v>
      </c>
      <c r="M312" s="78">
        <f>M294</f>
        <v>10</v>
      </c>
      <c r="N312" s="84">
        <f>M312/2</f>
        <v>5</v>
      </c>
      <c r="O312" s="78">
        <f>L312*M312-N312*L312</f>
        <v>10</v>
      </c>
      <c r="P312" s="64" t="s">
        <v>244</v>
      </c>
    </row>
    <row r="313" spans="1:16" ht="18" customHeight="1">
      <c r="A313" s="85"/>
      <c r="B313" s="86"/>
      <c r="C313" s="87"/>
      <c r="D313" s="88">
        <v>250</v>
      </c>
      <c r="E313" s="88">
        <v>930</v>
      </c>
      <c r="F313" s="89">
        <f t="shared" si="233"/>
        <v>20</v>
      </c>
      <c r="G313" s="90">
        <f t="shared" si="234"/>
        <v>50.648629219357574</v>
      </c>
      <c r="H313" s="90">
        <f t="shared" si="235"/>
        <v>94.4</v>
      </c>
      <c r="I313" s="91" t="str">
        <f>I312</f>
        <v>9동1,2라인</v>
      </c>
      <c r="J313" s="92" t="s">
        <v>220</v>
      </c>
      <c r="L313" s="89">
        <v>2</v>
      </c>
      <c r="M313" s="78">
        <f>M312</f>
        <v>10</v>
      </c>
      <c r="N313" s="84"/>
      <c r="O313" s="78">
        <f t="shared" ref="O313" si="236">L313*M313-N313*L313</f>
        <v>20</v>
      </c>
    </row>
    <row r="314" spans="1:16" ht="18" customHeight="1">
      <c r="A314" s="85"/>
      <c r="B314" s="93"/>
      <c r="C314" s="87"/>
      <c r="D314" s="325" t="s">
        <v>0</v>
      </c>
      <c r="E314" s="325"/>
      <c r="F314" s="94">
        <f>SUM(F312:F313)</f>
        <v>30</v>
      </c>
      <c r="G314" s="95">
        <f>SUM(G312:G313)</f>
        <v>196.14416887233278</v>
      </c>
      <c r="H314" s="95">
        <f>SUM(H312:H313)</f>
        <v>196.32</v>
      </c>
      <c r="I314" s="97"/>
      <c r="J314" s="98"/>
    </row>
    <row r="315" spans="1:16" ht="18" customHeight="1">
      <c r="A315" s="108"/>
      <c r="B315" s="164"/>
      <c r="C315" s="109"/>
      <c r="D315" s="287"/>
      <c r="E315" s="287"/>
      <c r="F315" s="110"/>
      <c r="G315" s="111"/>
      <c r="H315" s="111"/>
      <c r="I315" s="112"/>
      <c r="J315" s="113"/>
    </row>
    <row r="316" spans="1:16" ht="18" customHeight="1">
      <c r="A316" s="85" t="s">
        <v>235</v>
      </c>
      <c r="B316" s="23" t="s">
        <v>196</v>
      </c>
      <c r="C316" s="24">
        <v>22</v>
      </c>
      <c r="D316" s="88">
        <v>861</v>
      </c>
      <c r="E316" s="88">
        <v>1810</v>
      </c>
      <c r="F316" s="89">
        <f t="shared" ref="F316:F319" si="237">O316</f>
        <v>5</v>
      </c>
      <c r="G316" s="90">
        <f t="shared" ref="G316:G319" si="238">D316*E316/91809*F316</f>
        <v>84.872398130902198</v>
      </c>
      <c r="H316" s="90">
        <f t="shared" ref="H316:H319" si="239">(D316/1000)*4*F316+(E316/1000)*4*F316</f>
        <v>53.42</v>
      </c>
      <c r="I316" s="91" t="s">
        <v>256</v>
      </c>
      <c r="J316" s="92" t="s">
        <v>205</v>
      </c>
      <c r="L316" s="89">
        <v>1</v>
      </c>
      <c r="M316" s="78">
        <v>5</v>
      </c>
      <c r="N316" s="84"/>
      <c r="O316" s="78">
        <f>L316*M316-N316*L316</f>
        <v>5</v>
      </c>
      <c r="P316" s="64"/>
    </row>
    <row r="317" spans="1:16" ht="18" customHeight="1">
      <c r="A317" s="85"/>
      <c r="B317" s="86"/>
      <c r="C317" s="87"/>
      <c r="D317" s="88">
        <v>738</v>
      </c>
      <c r="E317" s="88">
        <v>1310</v>
      </c>
      <c r="F317" s="89">
        <f t="shared" si="237"/>
        <v>20</v>
      </c>
      <c r="G317" s="90">
        <f t="shared" si="238"/>
        <v>210.6068032545829</v>
      </c>
      <c r="H317" s="90">
        <f t="shared" si="239"/>
        <v>163.84</v>
      </c>
      <c r="I317" s="91" t="str">
        <f>I316</f>
        <v>9동3라인</v>
      </c>
      <c r="J317" s="92" t="s">
        <v>207</v>
      </c>
      <c r="L317" s="89">
        <v>4</v>
      </c>
      <c r="M317" s="78">
        <f>M316</f>
        <v>5</v>
      </c>
      <c r="N317" s="84"/>
      <c r="O317" s="78">
        <f t="shared" ref="O317:O319" si="240">L317*M317-N317*L317</f>
        <v>20</v>
      </c>
    </row>
    <row r="318" spans="1:16" ht="18" customHeight="1">
      <c r="A318" s="85"/>
      <c r="B318" s="86"/>
      <c r="C318" s="87"/>
      <c r="D318" s="88">
        <v>228</v>
      </c>
      <c r="E318" s="88">
        <v>910</v>
      </c>
      <c r="F318" s="89">
        <f t="shared" si="237"/>
        <v>10</v>
      </c>
      <c r="G318" s="90">
        <f t="shared" si="238"/>
        <v>22.59909159232755</v>
      </c>
      <c r="H318" s="90">
        <f t="shared" si="239"/>
        <v>45.519999999999996</v>
      </c>
      <c r="I318" s="91" t="str">
        <f t="shared" ref="I318:I319" si="241">I317</f>
        <v>9동3라인</v>
      </c>
      <c r="J318" s="92" t="s">
        <v>209</v>
      </c>
      <c r="L318" s="89">
        <v>2</v>
      </c>
      <c r="M318" s="78">
        <f t="shared" ref="M318:M319" si="242">M317</f>
        <v>5</v>
      </c>
      <c r="N318" s="78"/>
      <c r="O318" s="78">
        <f t="shared" si="240"/>
        <v>10</v>
      </c>
    </row>
    <row r="319" spans="1:16" ht="18" customHeight="1">
      <c r="A319" s="85"/>
      <c r="B319" s="86"/>
      <c r="C319" s="87"/>
      <c r="D319" s="88">
        <v>438</v>
      </c>
      <c r="E319" s="88">
        <v>270</v>
      </c>
      <c r="F319" s="89">
        <f t="shared" si="237"/>
        <v>10</v>
      </c>
      <c r="G319" s="90">
        <f t="shared" si="238"/>
        <v>12.881090089206941</v>
      </c>
      <c r="H319" s="90">
        <f t="shared" si="239"/>
        <v>28.32</v>
      </c>
      <c r="I319" s="91" t="str">
        <f t="shared" si="241"/>
        <v>9동3라인</v>
      </c>
      <c r="J319" s="92" t="s">
        <v>210</v>
      </c>
      <c r="L319" s="89">
        <v>2</v>
      </c>
      <c r="M319" s="78">
        <f t="shared" si="242"/>
        <v>5</v>
      </c>
      <c r="N319" s="78"/>
      <c r="O319" s="78">
        <f t="shared" si="240"/>
        <v>10</v>
      </c>
    </row>
    <row r="320" spans="1:16" ht="18" customHeight="1">
      <c r="A320" s="85"/>
      <c r="B320" s="93"/>
      <c r="C320" s="87"/>
      <c r="D320" s="325" t="s">
        <v>0</v>
      </c>
      <c r="E320" s="325"/>
      <c r="F320" s="94">
        <f>SUM(F316:F319)</f>
        <v>45</v>
      </c>
      <c r="G320" s="95">
        <f>SUM(G316:G319)</f>
        <v>330.95938306701964</v>
      </c>
      <c r="H320" s="96">
        <f>SUM(H316:H319)</f>
        <v>291.09999999999997</v>
      </c>
      <c r="I320" s="97"/>
      <c r="J320" s="162"/>
    </row>
    <row r="321" spans="1:16" ht="18" customHeight="1">
      <c r="A321" s="85"/>
      <c r="B321" s="93"/>
      <c r="C321" s="87"/>
      <c r="D321" s="161"/>
      <c r="E321" s="161"/>
      <c r="F321" s="89"/>
      <c r="G321" s="100"/>
      <c r="H321" s="101"/>
      <c r="I321" s="102"/>
      <c r="J321" s="121"/>
      <c r="L321" s="252"/>
      <c r="M321" s="252"/>
      <c r="N321" s="252"/>
      <c r="O321" s="252"/>
    </row>
    <row r="322" spans="1:16" ht="18" customHeight="1">
      <c r="A322" s="85"/>
      <c r="B322" s="23" t="s">
        <v>198</v>
      </c>
      <c r="C322" s="24">
        <v>22</v>
      </c>
      <c r="D322" s="88">
        <v>861</v>
      </c>
      <c r="E322" s="88">
        <v>1810</v>
      </c>
      <c r="F322" s="89">
        <f t="shared" ref="F322:F326" si="243">O322</f>
        <v>5</v>
      </c>
      <c r="G322" s="90">
        <f t="shared" ref="G322:G326" si="244">D322*E322/91809*F322</f>
        <v>84.872398130902198</v>
      </c>
      <c r="H322" s="90">
        <f t="shared" ref="H322:H326" si="245">(D322/1000)*4*F322+(E322/1000)*4*F322</f>
        <v>53.42</v>
      </c>
      <c r="I322" s="103" t="str">
        <f>I316</f>
        <v>9동3라인</v>
      </c>
      <c r="J322" s="92" t="s">
        <v>212</v>
      </c>
      <c r="L322" s="89">
        <v>1</v>
      </c>
      <c r="M322" s="78">
        <f>M316</f>
        <v>5</v>
      </c>
      <c r="N322" s="84"/>
      <c r="O322" s="78">
        <f>L322*M322-N322*L322</f>
        <v>5</v>
      </c>
    </row>
    <row r="323" spans="1:16" ht="18" customHeight="1">
      <c r="A323" s="85"/>
      <c r="B323" s="86"/>
      <c r="C323" s="87"/>
      <c r="D323" s="88">
        <v>2114</v>
      </c>
      <c r="E323" s="88">
        <v>1810</v>
      </c>
      <c r="F323" s="89">
        <f t="shared" si="243"/>
        <v>5</v>
      </c>
      <c r="G323" s="90">
        <f t="shared" si="244"/>
        <v>208.38588809375989</v>
      </c>
      <c r="H323" s="90">
        <f t="shared" si="245"/>
        <v>78.48</v>
      </c>
      <c r="I323" s="91" t="str">
        <f>I316</f>
        <v>9동3라인</v>
      </c>
      <c r="J323" s="92" t="s">
        <v>213</v>
      </c>
      <c r="L323" s="89">
        <v>1</v>
      </c>
      <c r="M323" s="78">
        <f>M322</f>
        <v>5</v>
      </c>
      <c r="N323" s="84"/>
      <c r="O323" s="78">
        <f>L323*M323-N323*L323</f>
        <v>5</v>
      </c>
    </row>
    <row r="324" spans="1:16" ht="18" customHeight="1">
      <c r="A324" s="104"/>
      <c r="B324" s="93"/>
      <c r="C324" s="87"/>
      <c r="D324" s="88">
        <v>738</v>
      </c>
      <c r="E324" s="88">
        <v>1310</v>
      </c>
      <c r="F324" s="89">
        <f t="shared" si="243"/>
        <v>20</v>
      </c>
      <c r="G324" s="90">
        <f t="shared" si="244"/>
        <v>210.6068032545829</v>
      </c>
      <c r="H324" s="90">
        <f t="shared" si="245"/>
        <v>163.84</v>
      </c>
      <c r="I324" s="91" t="str">
        <f>I323</f>
        <v>9동3라인</v>
      </c>
      <c r="J324" s="92" t="s">
        <v>214</v>
      </c>
      <c r="L324" s="89">
        <v>4</v>
      </c>
      <c r="M324" s="78">
        <f t="shared" ref="M324:M326" si="246">M323</f>
        <v>5</v>
      </c>
      <c r="N324" s="84"/>
      <c r="O324" s="78">
        <f t="shared" ref="O324:O326" si="247">L324*M324-N324*L324</f>
        <v>20</v>
      </c>
    </row>
    <row r="325" spans="1:16" ht="18" customHeight="1">
      <c r="A325" s="104"/>
      <c r="B325" s="93"/>
      <c r="C325" s="87"/>
      <c r="D325" s="88">
        <v>228</v>
      </c>
      <c r="E325" s="88">
        <v>910</v>
      </c>
      <c r="F325" s="89">
        <f t="shared" si="243"/>
        <v>10</v>
      </c>
      <c r="G325" s="90">
        <f t="shared" si="244"/>
        <v>22.59909159232755</v>
      </c>
      <c r="H325" s="90">
        <f t="shared" si="245"/>
        <v>45.519999999999996</v>
      </c>
      <c r="I325" s="91" t="str">
        <f t="shared" ref="I325:I326" si="248">I324</f>
        <v>9동3라인</v>
      </c>
      <c r="J325" s="92" t="s">
        <v>216</v>
      </c>
      <c r="L325" s="89">
        <v>2</v>
      </c>
      <c r="M325" s="78">
        <f t="shared" si="246"/>
        <v>5</v>
      </c>
      <c r="N325" s="78"/>
      <c r="O325" s="78">
        <f t="shared" si="247"/>
        <v>10</v>
      </c>
    </row>
    <row r="326" spans="1:16" ht="18" customHeight="1">
      <c r="A326" s="104"/>
      <c r="B326" s="93"/>
      <c r="C326" s="87"/>
      <c r="D326" s="88">
        <v>438</v>
      </c>
      <c r="E326" s="88">
        <v>270</v>
      </c>
      <c r="F326" s="89">
        <f t="shared" si="243"/>
        <v>10</v>
      </c>
      <c r="G326" s="90">
        <f t="shared" si="244"/>
        <v>12.881090089206941</v>
      </c>
      <c r="H326" s="90">
        <f t="shared" si="245"/>
        <v>28.32</v>
      </c>
      <c r="I326" s="91" t="str">
        <f t="shared" si="248"/>
        <v>9동3라인</v>
      </c>
      <c r="J326" s="92" t="s">
        <v>217</v>
      </c>
      <c r="L326" s="89">
        <v>2</v>
      </c>
      <c r="M326" s="78">
        <f t="shared" si="246"/>
        <v>5</v>
      </c>
      <c r="N326" s="78"/>
      <c r="O326" s="78">
        <f t="shared" si="247"/>
        <v>10</v>
      </c>
    </row>
    <row r="327" spans="1:16" ht="18" customHeight="1">
      <c r="A327" s="104"/>
      <c r="B327" s="87"/>
      <c r="C327" s="87"/>
      <c r="D327" s="325" t="s">
        <v>0</v>
      </c>
      <c r="E327" s="325"/>
      <c r="F327" s="171">
        <f>SUM(F322:F326)</f>
        <v>50</v>
      </c>
      <c r="G327" s="95">
        <f>SUM(G322:G326)</f>
        <v>539.34527116077948</v>
      </c>
      <c r="H327" s="95">
        <f>SUM(H322:H326)</f>
        <v>369.58</v>
      </c>
      <c r="I327" s="97"/>
      <c r="J327" s="98"/>
    </row>
    <row r="328" spans="1:16">
      <c r="A328" s="105"/>
      <c r="B328" s="9"/>
      <c r="C328" s="9"/>
      <c r="D328" s="51"/>
      <c r="E328" s="51"/>
      <c r="F328" s="51"/>
      <c r="G328" s="106"/>
      <c r="H328" s="106"/>
      <c r="I328" s="9"/>
      <c r="J328" s="107"/>
    </row>
    <row r="329" spans="1:16" ht="18" customHeight="1">
      <c r="A329" s="85"/>
      <c r="B329" s="23" t="s">
        <v>237</v>
      </c>
      <c r="C329" s="24">
        <v>22</v>
      </c>
      <c r="D329" s="88">
        <v>2114</v>
      </c>
      <c r="E329" s="88">
        <v>1810</v>
      </c>
      <c r="F329" s="89">
        <f t="shared" ref="F329" si="249">O329</f>
        <v>5</v>
      </c>
      <c r="G329" s="90">
        <f t="shared" ref="G329" si="250">D329*E329/91809*F329</f>
        <v>208.38588809375989</v>
      </c>
      <c r="H329" s="90">
        <f t="shared" ref="H329" si="251">(D329/1000)*4*F329+(E329/1000)*4*F329</f>
        <v>78.48</v>
      </c>
      <c r="I329" s="91" t="str">
        <f>I322</f>
        <v>9동3라인</v>
      </c>
      <c r="J329" s="92" t="s">
        <v>206</v>
      </c>
      <c r="L329" s="89">
        <v>1</v>
      </c>
      <c r="M329" s="78">
        <f>M316</f>
        <v>5</v>
      </c>
      <c r="N329" s="84"/>
      <c r="O329" s="78">
        <f>L329*M329-N329*L329</f>
        <v>5</v>
      </c>
    </row>
    <row r="330" spans="1:16" ht="18" customHeight="1">
      <c r="A330" s="85"/>
      <c r="B330" s="93"/>
      <c r="C330" s="87"/>
      <c r="D330" s="325" t="s">
        <v>0</v>
      </c>
      <c r="E330" s="325"/>
      <c r="F330" s="94">
        <f>SUM(F329:F329)</f>
        <v>5</v>
      </c>
      <c r="G330" s="95">
        <f>SUM(G329:G329)</f>
        <v>208.38588809375989</v>
      </c>
      <c r="H330" s="95">
        <f>SUM(H329:H329)</f>
        <v>78.48</v>
      </c>
      <c r="I330" s="97"/>
      <c r="J330" s="98"/>
    </row>
    <row r="331" spans="1:16" ht="18" customHeight="1">
      <c r="A331" s="218"/>
      <c r="B331" s="219"/>
      <c r="C331" s="220"/>
      <c r="D331" s="161"/>
      <c r="E331" s="161"/>
      <c r="F331" s="89"/>
      <c r="G331" s="100"/>
      <c r="H331" s="100"/>
      <c r="I331" s="102"/>
      <c r="J331" s="221"/>
    </row>
    <row r="332" spans="1:16" ht="18" customHeight="1">
      <c r="A332" s="85"/>
      <c r="B332" s="23" t="s">
        <v>200</v>
      </c>
      <c r="C332" s="24">
        <v>22</v>
      </c>
      <c r="D332" s="88">
        <v>738</v>
      </c>
      <c r="E332" s="88">
        <v>1810</v>
      </c>
      <c r="F332" s="89">
        <f t="shared" ref="F332:F333" si="252">O332</f>
        <v>10</v>
      </c>
      <c r="G332" s="90">
        <f t="shared" ref="G332:G333" si="253">D332*E332/91809*F332</f>
        <v>145.4955396529752</v>
      </c>
      <c r="H332" s="90">
        <f t="shared" ref="H332:H333" si="254">(D332/1000)*4*F332+(E332/1000)*4*F332</f>
        <v>101.92</v>
      </c>
      <c r="I332" s="91" t="str">
        <f>I329</f>
        <v>9동3라인</v>
      </c>
      <c r="J332" s="92" t="s">
        <v>219</v>
      </c>
      <c r="L332" s="89">
        <v>2</v>
      </c>
      <c r="M332" s="78">
        <f>M329</f>
        <v>5</v>
      </c>
      <c r="N332" s="84"/>
      <c r="O332" s="78">
        <f>L332*M332-N332*L332</f>
        <v>10</v>
      </c>
      <c r="P332" s="64"/>
    </row>
    <row r="333" spans="1:16" ht="18" customHeight="1">
      <c r="A333" s="85"/>
      <c r="B333" s="86"/>
      <c r="C333" s="87"/>
      <c r="D333" s="88">
        <v>250</v>
      </c>
      <c r="E333" s="88">
        <v>930</v>
      </c>
      <c r="F333" s="89">
        <f t="shared" si="252"/>
        <v>10</v>
      </c>
      <c r="G333" s="90">
        <f t="shared" si="253"/>
        <v>25.324314609678787</v>
      </c>
      <c r="H333" s="90">
        <f t="shared" si="254"/>
        <v>47.2</v>
      </c>
      <c r="I333" s="91" t="str">
        <f>I332</f>
        <v>9동3라인</v>
      </c>
      <c r="J333" s="92" t="s">
        <v>220</v>
      </c>
      <c r="L333" s="89">
        <v>2</v>
      </c>
      <c r="M333" s="78">
        <f>M332</f>
        <v>5</v>
      </c>
      <c r="N333" s="84"/>
      <c r="O333" s="78">
        <f t="shared" ref="O333" si="255">L333*M333-N333*L333</f>
        <v>10</v>
      </c>
    </row>
    <row r="334" spans="1:16" ht="18" customHeight="1">
      <c r="A334" s="85"/>
      <c r="B334" s="93"/>
      <c r="C334" s="87"/>
      <c r="D334" s="325" t="s">
        <v>0</v>
      </c>
      <c r="E334" s="325"/>
      <c r="F334" s="94">
        <f>SUM(F332:F333)</f>
        <v>20</v>
      </c>
      <c r="G334" s="95">
        <f>SUM(G332:G333)</f>
        <v>170.81985426265399</v>
      </c>
      <c r="H334" s="96">
        <f>SUM(H332:H333)</f>
        <v>149.12</v>
      </c>
      <c r="I334" s="97"/>
      <c r="J334" s="162"/>
    </row>
    <row r="335" spans="1:16" ht="18" customHeight="1" thickBot="1">
      <c r="A335" s="222"/>
      <c r="B335" s="223"/>
      <c r="C335" s="224"/>
      <c r="D335" s="225"/>
      <c r="E335" s="225"/>
      <c r="F335" s="226"/>
      <c r="G335" s="227"/>
      <c r="H335" s="228"/>
      <c r="I335" s="229"/>
      <c r="J335" s="230"/>
      <c r="L335" s="78" t="s">
        <v>48</v>
      </c>
      <c r="M335" s="78" t="s">
        <v>49</v>
      </c>
      <c r="N335" s="78" t="s">
        <v>50</v>
      </c>
      <c r="O335" s="78" t="s">
        <v>55</v>
      </c>
    </row>
    <row r="336" spans="1:16" ht="18" customHeight="1">
      <c r="A336" s="79" t="s">
        <v>234</v>
      </c>
      <c r="B336" s="231" t="s">
        <v>195</v>
      </c>
      <c r="C336" s="232">
        <v>22</v>
      </c>
      <c r="D336" s="80">
        <v>761</v>
      </c>
      <c r="E336" s="80">
        <v>1810</v>
      </c>
      <c r="F336" s="233">
        <f>O336</f>
        <v>4</v>
      </c>
      <c r="G336" s="81">
        <f t="shared" ref="G336:G342" si="256">D336*E336/91809*F336</f>
        <v>60.01198139615942</v>
      </c>
      <c r="H336" s="81">
        <f t="shared" ref="H336:H342" si="257">(D336/1000)*4*F336+(E336/1000)*4*F336</f>
        <v>41.136000000000003</v>
      </c>
      <c r="I336" s="82" t="s">
        <v>257</v>
      </c>
      <c r="J336" s="83" t="s">
        <v>205</v>
      </c>
      <c r="L336" s="89">
        <v>2</v>
      </c>
      <c r="M336" s="78">
        <v>2</v>
      </c>
      <c r="N336" s="84"/>
      <c r="O336" s="78">
        <f>L336*M336-N336*L336</f>
        <v>4</v>
      </c>
      <c r="P336" s="64"/>
    </row>
    <row r="337" spans="1:15" ht="18" customHeight="1">
      <c r="A337" s="85"/>
      <c r="B337" s="86"/>
      <c r="C337" s="87"/>
      <c r="D337" s="88">
        <v>1688</v>
      </c>
      <c r="E337" s="88">
        <v>1810</v>
      </c>
      <c r="F337" s="89">
        <f t="shared" ref="F337:F342" si="258">O337</f>
        <v>2</v>
      </c>
      <c r="G337" s="90">
        <f t="shared" si="256"/>
        <v>66.557309196266161</v>
      </c>
      <c r="H337" s="90">
        <f t="shared" si="257"/>
        <v>27.984000000000002</v>
      </c>
      <c r="I337" s="91" t="str">
        <f>I336</f>
        <v>9동4라인</v>
      </c>
      <c r="J337" s="92" t="s">
        <v>206</v>
      </c>
      <c r="L337" s="89">
        <v>1</v>
      </c>
      <c r="M337" s="78">
        <f>M336</f>
        <v>2</v>
      </c>
      <c r="N337" s="84"/>
      <c r="O337" s="78">
        <f t="shared" ref="O337:O342" si="259">L337*M337-N337*L337</f>
        <v>2</v>
      </c>
    </row>
    <row r="338" spans="1:15" ht="18" customHeight="1">
      <c r="A338" s="85"/>
      <c r="B338" s="86"/>
      <c r="C338" s="87"/>
      <c r="D338" s="88">
        <v>738</v>
      </c>
      <c r="E338" s="88">
        <v>1310</v>
      </c>
      <c r="F338" s="89">
        <f t="shared" si="258"/>
        <v>8</v>
      </c>
      <c r="G338" s="90">
        <f t="shared" si="256"/>
        <v>84.242721301833157</v>
      </c>
      <c r="H338" s="90">
        <f t="shared" si="257"/>
        <v>65.536000000000001</v>
      </c>
      <c r="I338" s="91" t="str">
        <f t="shared" ref="I338:I342" si="260">I337</f>
        <v>9동4라인</v>
      </c>
      <c r="J338" s="92" t="s">
        <v>207</v>
      </c>
      <c r="L338" s="89">
        <v>4</v>
      </c>
      <c r="M338" s="78">
        <f t="shared" ref="M338:M341" si="261">M337</f>
        <v>2</v>
      </c>
      <c r="N338" s="78"/>
      <c r="O338" s="78">
        <f t="shared" si="259"/>
        <v>8</v>
      </c>
    </row>
    <row r="339" spans="1:15" ht="18" customHeight="1">
      <c r="A339" s="85"/>
      <c r="B339" s="86"/>
      <c r="C339" s="87"/>
      <c r="D339" s="88">
        <v>288</v>
      </c>
      <c r="E339" s="88">
        <v>910</v>
      </c>
      <c r="F339" s="89">
        <f t="shared" si="258"/>
        <v>4</v>
      </c>
      <c r="G339" s="90">
        <f t="shared" si="256"/>
        <v>11.418488383491814</v>
      </c>
      <c r="H339" s="90">
        <f t="shared" si="257"/>
        <v>19.167999999999999</v>
      </c>
      <c r="I339" s="91" t="str">
        <f t="shared" si="260"/>
        <v>9동4라인</v>
      </c>
      <c r="J339" s="92" t="s">
        <v>208</v>
      </c>
      <c r="L339" s="89">
        <v>2</v>
      </c>
      <c r="M339" s="78">
        <f t="shared" si="261"/>
        <v>2</v>
      </c>
      <c r="N339" s="78"/>
      <c r="O339" s="78">
        <f t="shared" si="259"/>
        <v>4</v>
      </c>
    </row>
    <row r="340" spans="1:15" ht="18" customHeight="1">
      <c r="A340" s="85"/>
      <c r="B340" s="86"/>
      <c r="C340" s="87"/>
      <c r="D340" s="88">
        <v>228</v>
      </c>
      <c r="E340" s="88">
        <v>910</v>
      </c>
      <c r="F340" s="89">
        <f t="shared" si="258"/>
        <v>4</v>
      </c>
      <c r="G340" s="90">
        <f t="shared" si="256"/>
        <v>9.0396366369310197</v>
      </c>
      <c r="H340" s="90">
        <f t="shared" si="257"/>
        <v>18.208000000000002</v>
      </c>
      <c r="I340" s="91" t="str">
        <f t="shared" si="260"/>
        <v>9동4라인</v>
      </c>
      <c r="J340" s="92" t="s">
        <v>209</v>
      </c>
      <c r="L340" s="89">
        <v>2</v>
      </c>
      <c r="M340" s="78">
        <f t="shared" si="261"/>
        <v>2</v>
      </c>
      <c r="N340" s="78"/>
      <c r="O340" s="78">
        <f t="shared" si="259"/>
        <v>4</v>
      </c>
    </row>
    <row r="341" spans="1:15" ht="18" customHeight="1">
      <c r="A341" s="85"/>
      <c r="B341" s="86"/>
      <c r="C341" s="87"/>
      <c r="D341" s="88">
        <v>438</v>
      </c>
      <c r="E341" s="88">
        <v>270</v>
      </c>
      <c r="F341" s="89">
        <f t="shared" si="258"/>
        <v>4</v>
      </c>
      <c r="G341" s="90">
        <f t="shared" si="256"/>
        <v>5.1524360356827765</v>
      </c>
      <c r="H341" s="90">
        <f t="shared" si="257"/>
        <v>11.327999999999999</v>
      </c>
      <c r="I341" s="91" t="str">
        <f t="shared" si="260"/>
        <v>9동4라인</v>
      </c>
      <c r="J341" s="92" t="s">
        <v>210</v>
      </c>
      <c r="L341" s="89">
        <v>2</v>
      </c>
      <c r="M341" s="78">
        <f t="shared" si="261"/>
        <v>2</v>
      </c>
      <c r="N341" s="78"/>
      <c r="O341" s="78">
        <f t="shared" si="259"/>
        <v>4</v>
      </c>
    </row>
    <row r="342" spans="1:15" ht="18" customHeight="1">
      <c r="A342" s="85"/>
      <c r="B342" s="86"/>
      <c r="C342" s="87"/>
      <c r="D342" s="88">
        <v>208</v>
      </c>
      <c r="E342" s="88">
        <v>910</v>
      </c>
      <c r="F342" s="89">
        <f t="shared" si="258"/>
        <v>4</v>
      </c>
      <c r="G342" s="90">
        <f t="shared" si="256"/>
        <v>8.2466860547440888</v>
      </c>
      <c r="H342" s="90">
        <f t="shared" si="257"/>
        <v>17.888000000000002</v>
      </c>
      <c r="I342" s="91" t="str">
        <f t="shared" si="260"/>
        <v>9동4라인</v>
      </c>
      <c r="J342" s="92" t="s">
        <v>211</v>
      </c>
      <c r="L342" s="89">
        <v>2</v>
      </c>
      <c r="M342" s="78">
        <f>M341</f>
        <v>2</v>
      </c>
      <c r="N342" s="78"/>
      <c r="O342" s="78">
        <f t="shared" si="259"/>
        <v>4</v>
      </c>
    </row>
    <row r="343" spans="1:15" ht="18" customHeight="1">
      <c r="A343" s="85"/>
      <c r="B343" s="93"/>
      <c r="C343" s="87"/>
      <c r="D343" s="325" t="s">
        <v>0</v>
      </c>
      <c r="E343" s="325"/>
      <c r="F343" s="94">
        <f>SUM(F336:F342)</f>
        <v>30</v>
      </c>
      <c r="G343" s="95">
        <f>SUM(G336:G342)</f>
        <v>244.66925900510842</v>
      </c>
      <c r="H343" s="96">
        <f>SUM(H336:H342)</f>
        <v>201.24800000000002</v>
      </c>
      <c r="I343" s="97"/>
      <c r="J343" s="162"/>
    </row>
    <row r="344" spans="1:15" ht="18" customHeight="1">
      <c r="A344" s="85"/>
      <c r="B344" s="93"/>
      <c r="C344" s="87"/>
      <c r="D344" s="161"/>
      <c r="E344" s="161"/>
      <c r="F344" s="89"/>
      <c r="G344" s="100"/>
      <c r="H344" s="101"/>
      <c r="I344" s="102"/>
      <c r="J344" s="121"/>
      <c r="L344" s="78" t="s">
        <v>48</v>
      </c>
      <c r="M344" s="78" t="s">
        <v>54</v>
      </c>
      <c r="N344" s="78" t="s">
        <v>50</v>
      </c>
      <c r="O344" s="78" t="s">
        <v>55</v>
      </c>
    </row>
    <row r="345" spans="1:15" ht="18" customHeight="1">
      <c r="A345" s="85"/>
      <c r="B345" s="23" t="s">
        <v>197</v>
      </c>
      <c r="C345" s="24">
        <v>22</v>
      </c>
      <c r="D345" s="88">
        <v>761</v>
      </c>
      <c r="E345" s="88">
        <v>1810</v>
      </c>
      <c r="F345" s="89">
        <f t="shared" ref="F345:F351" si="262">O345</f>
        <v>4</v>
      </c>
      <c r="G345" s="90">
        <f t="shared" ref="G345:G351" si="263">D345*E345/91809*F345</f>
        <v>60.01198139615942</v>
      </c>
      <c r="H345" s="90">
        <f t="shared" ref="H345:H351" si="264">(D345/1000)*4*F345+(E345/1000)*4*F345</f>
        <v>41.136000000000003</v>
      </c>
      <c r="I345" s="91" t="str">
        <f t="shared" ref="I345:I351" si="265">I336</f>
        <v>9동4라인</v>
      </c>
      <c r="J345" s="92" t="s">
        <v>212</v>
      </c>
      <c r="L345" s="89">
        <v>2</v>
      </c>
      <c r="M345" s="78">
        <f>M336</f>
        <v>2</v>
      </c>
      <c r="N345" s="84"/>
      <c r="O345" s="78">
        <f>L345*M345-N345*L345</f>
        <v>4</v>
      </c>
    </row>
    <row r="346" spans="1:15" ht="18" customHeight="1">
      <c r="A346" s="85"/>
      <c r="B346" s="86"/>
      <c r="C346" s="87"/>
      <c r="D346" s="88">
        <v>1688</v>
      </c>
      <c r="E346" s="88">
        <v>1810</v>
      </c>
      <c r="F346" s="89">
        <f t="shared" si="262"/>
        <v>2</v>
      </c>
      <c r="G346" s="90">
        <f t="shared" si="263"/>
        <v>66.557309196266161</v>
      </c>
      <c r="H346" s="90">
        <f t="shared" si="264"/>
        <v>27.984000000000002</v>
      </c>
      <c r="I346" s="91" t="str">
        <f t="shared" si="265"/>
        <v>9동4라인</v>
      </c>
      <c r="J346" s="92" t="s">
        <v>213</v>
      </c>
      <c r="L346" s="89">
        <v>1</v>
      </c>
      <c r="M346" s="78">
        <f>M345</f>
        <v>2</v>
      </c>
      <c r="N346" s="84"/>
      <c r="O346" s="78">
        <f>L346*M346-N346*L346</f>
        <v>2</v>
      </c>
    </row>
    <row r="347" spans="1:15" ht="18" customHeight="1">
      <c r="A347" s="104"/>
      <c r="B347" s="93"/>
      <c r="C347" s="87"/>
      <c r="D347" s="88">
        <v>738</v>
      </c>
      <c r="E347" s="88">
        <v>1310</v>
      </c>
      <c r="F347" s="89">
        <f t="shared" si="262"/>
        <v>8</v>
      </c>
      <c r="G347" s="90">
        <f t="shared" si="263"/>
        <v>84.242721301833157</v>
      </c>
      <c r="H347" s="90">
        <f t="shared" si="264"/>
        <v>65.536000000000001</v>
      </c>
      <c r="I347" s="91" t="str">
        <f t="shared" si="265"/>
        <v>9동4라인</v>
      </c>
      <c r="J347" s="92" t="s">
        <v>214</v>
      </c>
      <c r="L347" s="89">
        <v>4</v>
      </c>
      <c r="M347" s="78">
        <f t="shared" ref="M347:M351" si="266">M346</f>
        <v>2</v>
      </c>
      <c r="N347" s="84"/>
      <c r="O347" s="78">
        <f t="shared" ref="O347:O351" si="267">L347*M347-N347*L347</f>
        <v>8</v>
      </c>
    </row>
    <row r="348" spans="1:15" ht="18" customHeight="1">
      <c r="A348" s="104"/>
      <c r="B348" s="93"/>
      <c r="C348" s="87"/>
      <c r="D348" s="88">
        <v>288</v>
      </c>
      <c r="E348" s="88">
        <v>910</v>
      </c>
      <c r="F348" s="89">
        <f t="shared" si="262"/>
        <v>4</v>
      </c>
      <c r="G348" s="90">
        <f t="shared" si="263"/>
        <v>11.418488383491814</v>
      </c>
      <c r="H348" s="90">
        <f t="shared" si="264"/>
        <v>19.167999999999999</v>
      </c>
      <c r="I348" s="91" t="str">
        <f t="shared" si="265"/>
        <v>9동4라인</v>
      </c>
      <c r="J348" s="92" t="s">
        <v>215</v>
      </c>
      <c r="L348" s="89">
        <v>2</v>
      </c>
      <c r="M348" s="78">
        <f t="shared" si="266"/>
        <v>2</v>
      </c>
      <c r="N348" s="78"/>
      <c r="O348" s="78">
        <f t="shared" si="267"/>
        <v>4</v>
      </c>
    </row>
    <row r="349" spans="1:15" ht="18" customHeight="1">
      <c r="A349" s="104"/>
      <c r="B349" s="93"/>
      <c r="C349" s="87"/>
      <c r="D349" s="88">
        <v>228</v>
      </c>
      <c r="E349" s="88">
        <v>910</v>
      </c>
      <c r="F349" s="89">
        <f t="shared" si="262"/>
        <v>4</v>
      </c>
      <c r="G349" s="90">
        <f t="shared" si="263"/>
        <v>9.0396366369310197</v>
      </c>
      <c r="H349" s="90">
        <f t="shared" si="264"/>
        <v>18.208000000000002</v>
      </c>
      <c r="I349" s="91" t="str">
        <f t="shared" si="265"/>
        <v>9동4라인</v>
      </c>
      <c r="J349" s="92" t="s">
        <v>216</v>
      </c>
      <c r="L349" s="89">
        <v>2</v>
      </c>
      <c r="M349" s="78">
        <f t="shared" si="266"/>
        <v>2</v>
      </c>
      <c r="N349" s="78"/>
      <c r="O349" s="78">
        <f t="shared" si="267"/>
        <v>4</v>
      </c>
    </row>
    <row r="350" spans="1:15" ht="18" customHeight="1">
      <c r="A350" s="104"/>
      <c r="B350" s="93"/>
      <c r="C350" s="87"/>
      <c r="D350" s="88">
        <v>438</v>
      </c>
      <c r="E350" s="88">
        <v>270</v>
      </c>
      <c r="F350" s="89">
        <f t="shared" si="262"/>
        <v>4</v>
      </c>
      <c r="G350" s="90">
        <f t="shared" si="263"/>
        <v>5.1524360356827765</v>
      </c>
      <c r="H350" s="90">
        <f t="shared" si="264"/>
        <v>11.327999999999999</v>
      </c>
      <c r="I350" s="91" t="str">
        <f t="shared" si="265"/>
        <v>9동4라인</v>
      </c>
      <c r="J350" s="92" t="s">
        <v>217</v>
      </c>
      <c r="L350" s="89">
        <v>2</v>
      </c>
      <c r="M350" s="78">
        <f t="shared" si="266"/>
        <v>2</v>
      </c>
      <c r="N350" s="78"/>
      <c r="O350" s="78">
        <f t="shared" si="267"/>
        <v>4</v>
      </c>
    </row>
    <row r="351" spans="1:15" ht="18" customHeight="1">
      <c r="A351" s="104"/>
      <c r="B351" s="93"/>
      <c r="C351" s="87"/>
      <c r="D351" s="88">
        <v>208</v>
      </c>
      <c r="E351" s="88">
        <v>910</v>
      </c>
      <c r="F351" s="89">
        <f t="shared" si="262"/>
        <v>4</v>
      </c>
      <c r="G351" s="90">
        <f t="shared" si="263"/>
        <v>8.2466860547440888</v>
      </c>
      <c r="H351" s="90">
        <f t="shared" si="264"/>
        <v>17.888000000000002</v>
      </c>
      <c r="I351" s="91" t="str">
        <f t="shared" si="265"/>
        <v>9동4라인</v>
      </c>
      <c r="J351" s="92" t="s">
        <v>218</v>
      </c>
      <c r="L351" s="89">
        <v>2</v>
      </c>
      <c r="M351" s="78">
        <f t="shared" si="266"/>
        <v>2</v>
      </c>
      <c r="N351" s="78"/>
      <c r="O351" s="78">
        <f t="shared" si="267"/>
        <v>4</v>
      </c>
    </row>
    <row r="352" spans="1:15" ht="18" customHeight="1">
      <c r="A352" s="104"/>
      <c r="B352" s="87"/>
      <c r="C352" s="87"/>
      <c r="D352" s="325" t="s">
        <v>0</v>
      </c>
      <c r="E352" s="325"/>
      <c r="F352" s="171">
        <f>SUM(F345:F351)</f>
        <v>30</v>
      </c>
      <c r="G352" s="95">
        <f>SUM(G345:G351)</f>
        <v>244.66925900510842</v>
      </c>
      <c r="H352" s="95">
        <f>SUM(H345:H351)</f>
        <v>201.24800000000002</v>
      </c>
      <c r="I352" s="97"/>
      <c r="J352" s="98"/>
    </row>
    <row r="353" spans="1:16">
      <c r="A353" s="105"/>
      <c r="B353" s="9"/>
      <c r="C353" s="9"/>
      <c r="D353" s="51"/>
      <c r="E353" s="51"/>
      <c r="F353" s="51"/>
      <c r="G353" s="106"/>
      <c r="H353" s="106"/>
      <c r="I353" s="9"/>
      <c r="J353" s="107"/>
    </row>
    <row r="354" spans="1:16" ht="18" customHeight="1">
      <c r="A354" s="85"/>
      <c r="B354" s="163" t="s">
        <v>199</v>
      </c>
      <c r="C354" s="163">
        <v>22</v>
      </c>
      <c r="D354" s="88">
        <v>738</v>
      </c>
      <c r="E354" s="88">
        <v>1810</v>
      </c>
      <c r="F354" s="89">
        <f t="shared" ref="F354:F355" si="268">O354</f>
        <v>4</v>
      </c>
      <c r="G354" s="90">
        <f t="shared" ref="G354:G355" si="269">D354*E354/91809*F354</f>
        <v>58.198215861190079</v>
      </c>
      <c r="H354" s="90">
        <f t="shared" ref="H354:H355" si="270">(D354/1000)*4*F354+(E354/1000)*4*F354</f>
        <v>40.768000000000001</v>
      </c>
      <c r="I354" s="91" t="str">
        <f>I345</f>
        <v>9동4라인</v>
      </c>
      <c r="J354" s="92" t="s">
        <v>219</v>
      </c>
      <c r="L354" s="89">
        <v>2</v>
      </c>
      <c r="M354" s="78">
        <f>M336</f>
        <v>2</v>
      </c>
      <c r="N354" s="84"/>
      <c r="O354" s="78">
        <f>L354*M354-N354*L354</f>
        <v>4</v>
      </c>
      <c r="P354" s="64"/>
    </row>
    <row r="355" spans="1:16" ht="18" customHeight="1">
      <c r="A355" s="85"/>
      <c r="B355" s="86"/>
      <c r="C355" s="87"/>
      <c r="D355" s="88">
        <v>250</v>
      </c>
      <c r="E355" s="88">
        <v>930</v>
      </c>
      <c r="F355" s="89">
        <f t="shared" si="268"/>
        <v>4</v>
      </c>
      <c r="G355" s="90">
        <f t="shared" si="269"/>
        <v>10.129725843871515</v>
      </c>
      <c r="H355" s="90">
        <f t="shared" si="270"/>
        <v>18.880000000000003</v>
      </c>
      <c r="I355" s="91" t="str">
        <f>I354</f>
        <v>9동4라인</v>
      </c>
      <c r="J355" s="92" t="s">
        <v>220</v>
      </c>
      <c r="L355" s="89">
        <v>2</v>
      </c>
      <c r="M355" s="78">
        <f>M354</f>
        <v>2</v>
      </c>
      <c r="N355" s="84"/>
      <c r="O355" s="78">
        <f t="shared" ref="O355" si="271">L355*M355-N355*L355</f>
        <v>4</v>
      </c>
    </row>
    <row r="356" spans="1:16" ht="18" customHeight="1">
      <c r="A356" s="85"/>
      <c r="B356" s="93"/>
      <c r="C356" s="87"/>
      <c r="D356" s="325" t="s">
        <v>0</v>
      </c>
      <c r="E356" s="325"/>
      <c r="F356" s="94">
        <f>SUM(F354:F355)</f>
        <v>8</v>
      </c>
      <c r="G356" s="95">
        <f>SUM(G354:G355)</f>
        <v>68.32794170506159</v>
      </c>
      <c r="H356" s="95">
        <f>SUM(H354:H355)</f>
        <v>59.648000000000003</v>
      </c>
      <c r="I356" s="97"/>
      <c r="J356" s="98"/>
    </row>
    <row r="357" spans="1:16" ht="18" customHeight="1">
      <c r="A357" s="236"/>
      <c r="B357" s="237"/>
      <c r="C357" s="238"/>
      <c r="D357" s="362"/>
      <c r="E357" s="362"/>
      <c r="F357" s="239"/>
      <c r="G357" s="240"/>
      <c r="H357" s="241"/>
      <c r="I357" s="242"/>
      <c r="J357" s="243"/>
    </row>
    <row r="358" spans="1:16" ht="18" customHeight="1">
      <c r="A358" s="244" t="s">
        <v>234</v>
      </c>
      <c r="B358" s="23" t="s">
        <v>195</v>
      </c>
      <c r="C358" s="24">
        <v>22</v>
      </c>
      <c r="D358" s="88">
        <v>761</v>
      </c>
      <c r="E358" s="88">
        <v>1810</v>
      </c>
      <c r="F358" s="89">
        <f>O358</f>
        <v>4</v>
      </c>
      <c r="G358" s="90">
        <f t="shared" ref="G358:G364" si="272">D358*E358/91809*F358</f>
        <v>60.01198139615942</v>
      </c>
      <c r="H358" s="90">
        <f t="shared" ref="H358:H364" si="273">(D358/1000)*4*F358+(E358/1000)*4*F358</f>
        <v>41.136000000000003</v>
      </c>
      <c r="I358" s="91" t="s">
        <v>258</v>
      </c>
      <c r="J358" s="163" t="s">
        <v>205</v>
      </c>
      <c r="L358" s="89">
        <v>2</v>
      </c>
      <c r="M358" s="78">
        <v>2</v>
      </c>
      <c r="N358" s="84"/>
      <c r="O358" s="78">
        <f>L358*M358-N358*L358</f>
        <v>4</v>
      </c>
      <c r="P358" s="64"/>
    </row>
    <row r="359" spans="1:16" ht="18" customHeight="1">
      <c r="A359" s="85"/>
      <c r="B359" s="86"/>
      <c r="C359" s="87"/>
      <c r="D359" s="88">
        <v>1688</v>
      </c>
      <c r="E359" s="88">
        <v>1810</v>
      </c>
      <c r="F359" s="89">
        <f t="shared" ref="F359:F364" si="274">O359</f>
        <v>2</v>
      </c>
      <c r="G359" s="90">
        <f t="shared" si="272"/>
        <v>66.557309196266161</v>
      </c>
      <c r="H359" s="90">
        <f t="shared" si="273"/>
        <v>27.984000000000002</v>
      </c>
      <c r="I359" s="91" t="str">
        <f>I358</f>
        <v>9동5라인</v>
      </c>
      <c r="J359" s="92" t="s">
        <v>206</v>
      </c>
      <c r="L359" s="89">
        <v>1</v>
      </c>
      <c r="M359" s="78">
        <f>M358</f>
        <v>2</v>
      </c>
      <c r="N359" s="84"/>
      <c r="O359" s="78">
        <f t="shared" ref="O359:O364" si="275">L359*M359-N359*L359</f>
        <v>2</v>
      </c>
    </row>
    <row r="360" spans="1:16" ht="18" customHeight="1">
      <c r="A360" s="85"/>
      <c r="B360" s="86"/>
      <c r="C360" s="87"/>
      <c r="D360" s="88">
        <v>738</v>
      </c>
      <c r="E360" s="88">
        <v>1310</v>
      </c>
      <c r="F360" s="89">
        <f t="shared" si="274"/>
        <v>8</v>
      </c>
      <c r="G360" s="90">
        <f t="shared" si="272"/>
        <v>84.242721301833157</v>
      </c>
      <c r="H360" s="90">
        <f t="shared" si="273"/>
        <v>65.536000000000001</v>
      </c>
      <c r="I360" s="91" t="str">
        <f t="shared" ref="I360:I364" si="276">I359</f>
        <v>9동5라인</v>
      </c>
      <c r="J360" s="92" t="s">
        <v>207</v>
      </c>
      <c r="L360" s="89">
        <v>4</v>
      </c>
      <c r="M360" s="78">
        <f t="shared" ref="M360:M363" si="277">M359</f>
        <v>2</v>
      </c>
      <c r="N360" s="78"/>
      <c r="O360" s="78">
        <f t="shared" si="275"/>
        <v>8</v>
      </c>
    </row>
    <row r="361" spans="1:16" ht="18" customHeight="1">
      <c r="A361" s="85"/>
      <c r="B361" s="86"/>
      <c r="C361" s="87"/>
      <c r="D361" s="88">
        <v>288</v>
      </c>
      <c r="E361" s="88">
        <v>910</v>
      </c>
      <c r="F361" s="89">
        <f t="shared" si="274"/>
        <v>4</v>
      </c>
      <c r="G361" s="90">
        <f t="shared" si="272"/>
        <v>11.418488383491814</v>
      </c>
      <c r="H361" s="90">
        <f t="shared" si="273"/>
        <v>19.167999999999999</v>
      </c>
      <c r="I361" s="91" t="str">
        <f t="shared" si="276"/>
        <v>9동5라인</v>
      </c>
      <c r="J361" s="92" t="s">
        <v>208</v>
      </c>
      <c r="L361" s="89">
        <v>2</v>
      </c>
      <c r="M361" s="78">
        <f t="shared" si="277"/>
        <v>2</v>
      </c>
      <c r="N361" s="78"/>
      <c r="O361" s="78">
        <f t="shared" si="275"/>
        <v>4</v>
      </c>
    </row>
    <row r="362" spans="1:16" ht="18" customHeight="1">
      <c r="A362" s="85"/>
      <c r="B362" s="86"/>
      <c r="C362" s="87"/>
      <c r="D362" s="88">
        <v>228</v>
      </c>
      <c r="E362" s="88">
        <v>910</v>
      </c>
      <c r="F362" s="89">
        <f t="shared" si="274"/>
        <v>4</v>
      </c>
      <c r="G362" s="90">
        <f t="shared" si="272"/>
        <v>9.0396366369310197</v>
      </c>
      <c r="H362" s="90">
        <f t="shared" si="273"/>
        <v>18.208000000000002</v>
      </c>
      <c r="I362" s="91" t="str">
        <f t="shared" si="276"/>
        <v>9동5라인</v>
      </c>
      <c r="J362" s="92" t="s">
        <v>209</v>
      </c>
      <c r="L362" s="89">
        <v>2</v>
      </c>
      <c r="M362" s="78">
        <f t="shared" si="277"/>
        <v>2</v>
      </c>
      <c r="N362" s="78"/>
      <c r="O362" s="78">
        <f t="shared" si="275"/>
        <v>4</v>
      </c>
    </row>
    <row r="363" spans="1:16" ht="18" customHeight="1">
      <c r="A363" s="85"/>
      <c r="B363" s="86"/>
      <c r="C363" s="87"/>
      <c r="D363" s="88">
        <v>438</v>
      </c>
      <c r="E363" s="88">
        <v>270</v>
      </c>
      <c r="F363" s="89">
        <f t="shared" si="274"/>
        <v>4</v>
      </c>
      <c r="G363" s="90">
        <f t="shared" si="272"/>
        <v>5.1524360356827765</v>
      </c>
      <c r="H363" s="90">
        <f t="shared" si="273"/>
        <v>11.327999999999999</v>
      </c>
      <c r="I363" s="91" t="str">
        <f t="shared" si="276"/>
        <v>9동5라인</v>
      </c>
      <c r="J363" s="92" t="s">
        <v>210</v>
      </c>
      <c r="L363" s="89">
        <v>2</v>
      </c>
      <c r="M363" s="78">
        <f t="shared" si="277"/>
        <v>2</v>
      </c>
      <c r="N363" s="78"/>
      <c r="O363" s="78">
        <f t="shared" si="275"/>
        <v>4</v>
      </c>
    </row>
    <row r="364" spans="1:16" ht="18" customHeight="1">
      <c r="A364" s="85"/>
      <c r="B364" s="86"/>
      <c r="C364" s="87"/>
      <c r="D364" s="88">
        <v>208</v>
      </c>
      <c r="E364" s="88">
        <v>910</v>
      </c>
      <c r="F364" s="89">
        <f t="shared" si="274"/>
        <v>4</v>
      </c>
      <c r="G364" s="90">
        <f t="shared" si="272"/>
        <v>8.2466860547440888</v>
      </c>
      <c r="H364" s="90">
        <f t="shared" si="273"/>
        <v>17.888000000000002</v>
      </c>
      <c r="I364" s="91" t="str">
        <f t="shared" si="276"/>
        <v>9동5라인</v>
      </c>
      <c r="J364" s="92" t="s">
        <v>211</v>
      </c>
      <c r="L364" s="89">
        <v>2</v>
      </c>
      <c r="M364" s="78">
        <f>M363</f>
        <v>2</v>
      </c>
      <c r="N364" s="78"/>
      <c r="O364" s="78">
        <f t="shared" si="275"/>
        <v>4</v>
      </c>
    </row>
    <row r="365" spans="1:16" ht="18" customHeight="1">
      <c r="A365" s="85"/>
      <c r="B365" s="93"/>
      <c r="C365" s="87"/>
      <c r="D365" s="325" t="s">
        <v>0</v>
      </c>
      <c r="E365" s="325"/>
      <c r="F365" s="94">
        <f>SUM(F358:F364)</f>
        <v>30</v>
      </c>
      <c r="G365" s="95">
        <f>SUM(G358:G364)</f>
        <v>244.66925900510842</v>
      </c>
      <c r="H365" s="96">
        <f>SUM(H358:H364)</f>
        <v>201.24800000000002</v>
      </c>
      <c r="I365" s="97"/>
      <c r="J365" s="162"/>
    </row>
    <row r="366" spans="1:16" ht="18" customHeight="1">
      <c r="A366" s="85"/>
      <c r="B366" s="93"/>
      <c r="C366" s="87"/>
      <c r="D366" s="161"/>
      <c r="E366" s="161"/>
      <c r="F366" s="89"/>
      <c r="G366" s="100"/>
      <c r="H366" s="101"/>
      <c r="I366" s="102"/>
      <c r="J366" s="121"/>
      <c r="L366" s="78" t="s">
        <v>48</v>
      </c>
      <c r="M366" s="78" t="s">
        <v>54</v>
      </c>
      <c r="N366" s="78" t="s">
        <v>50</v>
      </c>
      <c r="O366" s="78" t="s">
        <v>55</v>
      </c>
    </row>
    <row r="367" spans="1:16" ht="18" customHeight="1">
      <c r="A367" s="85"/>
      <c r="B367" s="23" t="s">
        <v>197</v>
      </c>
      <c r="C367" s="24">
        <v>22</v>
      </c>
      <c r="D367" s="88">
        <v>761</v>
      </c>
      <c r="E367" s="88">
        <v>1810</v>
      </c>
      <c r="F367" s="89">
        <f t="shared" ref="F367:F373" si="278">O367</f>
        <v>4</v>
      </c>
      <c r="G367" s="90">
        <f t="shared" ref="G367:G373" si="279">D367*E367/91809*F367</f>
        <v>60.01198139615942</v>
      </c>
      <c r="H367" s="90">
        <f t="shared" ref="H367:H373" si="280">(D367/1000)*4*F367+(E367/1000)*4*F367</f>
        <v>41.136000000000003</v>
      </c>
      <c r="I367" s="91" t="str">
        <f t="shared" ref="I367:I373" si="281">I358</f>
        <v>9동5라인</v>
      </c>
      <c r="J367" s="92" t="s">
        <v>212</v>
      </c>
      <c r="L367" s="89">
        <v>2</v>
      </c>
      <c r="M367" s="78">
        <f>M358</f>
        <v>2</v>
      </c>
      <c r="N367" s="84"/>
      <c r="O367" s="78">
        <f>L367*M367-N367*L367</f>
        <v>4</v>
      </c>
    </row>
    <row r="368" spans="1:16" ht="18" customHeight="1">
      <c r="A368" s="85"/>
      <c r="B368" s="86"/>
      <c r="C368" s="87"/>
      <c r="D368" s="88">
        <v>1688</v>
      </c>
      <c r="E368" s="88">
        <v>1810</v>
      </c>
      <c r="F368" s="89">
        <f t="shared" si="278"/>
        <v>2</v>
      </c>
      <c r="G368" s="90">
        <f t="shared" si="279"/>
        <v>66.557309196266161</v>
      </c>
      <c r="H368" s="90">
        <f t="shared" si="280"/>
        <v>27.984000000000002</v>
      </c>
      <c r="I368" s="91" t="str">
        <f t="shared" si="281"/>
        <v>9동5라인</v>
      </c>
      <c r="J368" s="92" t="s">
        <v>213</v>
      </c>
      <c r="L368" s="89">
        <v>1</v>
      </c>
      <c r="M368" s="78">
        <f>M367</f>
        <v>2</v>
      </c>
      <c r="N368" s="84"/>
      <c r="O368" s="78">
        <f>L368*M368-N368*L368</f>
        <v>2</v>
      </c>
    </row>
    <row r="369" spans="1:16" ht="18" customHeight="1">
      <c r="A369" s="104"/>
      <c r="B369" s="93"/>
      <c r="C369" s="87"/>
      <c r="D369" s="88">
        <v>738</v>
      </c>
      <c r="E369" s="88">
        <v>1310</v>
      </c>
      <c r="F369" s="89">
        <f t="shared" si="278"/>
        <v>8</v>
      </c>
      <c r="G369" s="90">
        <f t="shared" si="279"/>
        <v>84.242721301833157</v>
      </c>
      <c r="H369" s="90">
        <f t="shared" si="280"/>
        <v>65.536000000000001</v>
      </c>
      <c r="I369" s="91" t="str">
        <f t="shared" si="281"/>
        <v>9동5라인</v>
      </c>
      <c r="J369" s="92" t="s">
        <v>214</v>
      </c>
      <c r="L369" s="89">
        <v>4</v>
      </c>
      <c r="M369" s="78">
        <f t="shared" ref="M369:M373" si="282">M368</f>
        <v>2</v>
      </c>
      <c r="N369" s="84"/>
      <c r="O369" s="78">
        <f t="shared" ref="O369:O373" si="283">L369*M369-N369*L369</f>
        <v>8</v>
      </c>
    </row>
    <row r="370" spans="1:16" ht="18" customHeight="1">
      <c r="A370" s="104"/>
      <c r="B370" s="93"/>
      <c r="C370" s="87"/>
      <c r="D370" s="88">
        <v>288</v>
      </c>
      <c r="E370" s="88">
        <v>910</v>
      </c>
      <c r="F370" s="89">
        <f t="shared" si="278"/>
        <v>4</v>
      </c>
      <c r="G370" s="90">
        <f t="shared" si="279"/>
        <v>11.418488383491814</v>
      </c>
      <c r="H370" s="90">
        <f t="shared" si="280"/>
        <v>19.167999999999999</v>
      </c>
      <c r="I370" s="91" t="str">
        <f t="shared" si="281"/>
        <v>9동5라인</v>
      </c>
      <c r="J370" s="92" t="s">
        <v>215</v>
      </c>
      <c r="L370" s="89">
        <v>2</v>
      </c>
      <c r="M370" s="78">
        <f t="shared" si="282"/>
        <v>2</v>
      </c>
      <c r="N370" s="78"/>
      <c r="O370" s="78">
        <f t="shared" si="283"/>
        <v>4</v>
      </c>
    </row>
    <row r="371" spans="1:16" ht="18" customHeight="1">
      <c r="A371" s="104"/>
      <c r="B371" s="93"/>
      <c r="C371" s="87"/>
      <c r="D371" s="88">
        <v>228</v>
      </c>
      <c r="E371" s="88">
        <v>910</v>
      </c>
      <c r="F371" s="89">
        <f t="shared" si="278"/>
        <v>4</v>
      </c>
      <c r="G371" s="90">
        <f t="shared" si="279"/>
        <v>9.0396366369310197</v>
      </c>
      <c r="H371" s="90">
        <f t="shared" si="280"/>
        <v>18.208000000000002</v>
      </c>
      <c r="I371" s="91" t="str">
        <f t="shared" si="281"/>
        <v>9동5라인</v>
      </c>
      <c r="J371" s="92" t="s">
        <v>216</v>
      </c>
      <c r="L371" s="89">
        <v>2</v>
      </c>
      <c r="M371" s="78">
        <f t="shared" si="282"/>
        <v>2</v>
      </c>
      <c r="N371" s="78"/>
      <c r="O371" s="78">
        <f t="shared" si="283"/>
        <v>4</v>
      </c>
    </row>
    <row r="372" spans="1:16" ht="18" customHeight="1">
      <c r="A372" s="104"/>
      <c r="B372" s="93"/>
      <c r="C372" s="87"/>
      <c r="D372" s="88">
        <v>438</v>
      </c>
      <c r="E372" s="88">
        <v>270</v>
      </c>
      <c r="F372" s="89">
        <f t="shared" si="278"/>
        <v>4</v>
      </c>
      <c r="G372" s="90">
        <f t="shared" si="279"/>
        <v>5.1524360356827765</v>
      </c>
      <c r="H372" s="90">
        <f t="shared" si="280"/>
        <v>11.327999999999999</v>
      </c>
      <c r="I372" s="91" t="str">
        <f t="shared" si="281"/>
        <v>9동5라인</v>
      </c>
      <c r="J372" s="92" t="s">
        <v>217</v>
      </c>
      <c r="L372" s="89">
        <v>2</v>
      </c>
      <c r="M372" s="78">
        <f t="shared" si="282"/>
        <v>2</v>
      </c>
      <c r="N372" s="78"/>
      <c r="O372" s="78">
        <f t="shared" si="283"/>
        <v>4</v>
      </c>
    </row>
    <row r="373" spans="1:16" ht="18" customHeight="1">
      <c r="A373" s="104"/>
      <c r="B373" s="93"/>
      <c r="C373" s="87"/>
      <c r="D373" s="88">
        <v>208</v>
      </c>
      <c r="E373" s="88">
        <v>910</v>
      </c>
      <c r="F373" s="89">
        <f t="shared" si="278"/>
        <v>4</v>
      </c>
      <c r="G373" s="90">
        <f t="shared" si="279"/>
        <v>8.2466860547440888</v>
      </c>
      <c r="H373" s="90">
        <f t="shared" si="280"/>
        <v>17.888000000000002</v>
      </c>
      <c r="I373" s="91" t="str">
        <f t="shared" si="281"/>
        <v>9동5라인</v>
      </c>
      <c r="J373" s="92" t="s">
        <v>218</v>
      </c>
      <c r="L373" s="89">
        <v>2</v>
      </c>
      <c r="M373" s="78">
        <f t="shared" si="282"/>
        <v>2</v>
      </c>
      <c r="N373" s="78"/>
      <c r="O373" s="78">
        <f t="shared" si="283"/>
        <v>4</v>
      </c>
    </row>
    <row r="374" spans="1:16" ht="18" customHeight="1">
      <c r="A374" s="104"/>
      <c r="B374" s="87"/>
      <c r="C374" s="87"/>
      <c r="D374" s="325" t="s">
        <v>0</v>
      </c>
      <c r="E374" s="325"/>
      <c r="F374" s="171">
        <f>SUM(F367:F373)</f>
        <v>30</v>
      </c>
      <c r="G374" s="95">
        <f>SUM(G367:G373)</f>
        <v>244.66925900510842</v>
      </c>
      <c r="H374" s="95">
        <f>SUM(H367:H373)</f>
        <v>201.24800000000002</v>
      </c>
      <c r="I374" s="97"/>
      <c r="J374" s="98"/>
    </row>
    <row r="375" spans="1:16">
      <c r="A375" s="105"/>
      <c r="B375" s="9"/>
      <c r="C375" s="9"/>
      <c r="D375" s="51"/>
      <c r="E375" s="51"/>
      <c r="F375" s="51"/>
      <c r="G375" s="106"/>
      <c r="H375" s="106"/>
      <c r="I375" s="9"/>
      <c r="J375" s="107"/>
    </row>
    <row r="376" spans="1:16" ht="18" customHeight="1">
      <c r="A376" s="85"/>
      <c r="B376" s="163" t="s">
        <v>199</v>
      </c>
      <c r="C376" s="163">
        <v>22</v>
      </c>
      <c r="D376" s="88">
        <v>738</v>
      </c>
      <c r="E376" s="88">
        <v>1810</v>
      </c>
      <c r="F376" s="89">
        <f t="shared" ref="F376:F377" si="284">O376</f>
        <v>4</v>
      </c>
      <c r="G376" s="90">
        <f t="shared" ref="G376:G377" si="285">D376*E376/91809*F376</f>
        <v>58.198215861190079</v>
      </c>
      <c r="H376" s="90">
        <f t="shared" ref="H376:H377" si="286">(D376/1000)*4*F376+(E376/1000)*4*F376</f>
        <v>40.768000000000001</v>
      </c>
      <c r="I376" s="91" t="str">
        <f>I367</f>
        <v>9동5라인</v>
      </c>
      <c r="J376" s="92" t="s">
        <v>219</v>
      </c>
      <c r="L376" s="89">
        <v>2</v>
      </c>
      <c r="M376" s="78">
        <f>M358</f>
        <v>2</v>
      </c>
      <c r="N376" s="84"/>
      <c r="O376" s="78">
        <f>L376*M376-N376*L376</f>
        <v>4</v>
      </c>
      <c r="P376" s="64"/>
    </row>
    <row r="377" spans="1:16" ht="18" customHeight="1">
      <c r="A377" s="85"/>
      <c r="B377" s="86"/>
      <c r="C377" s="87"/>
      <c r="D377" s="88">
        <v>250</v>
      </c>
      <c r="E377" s="88">
        <v>930</v>
      </c>
      <c r="F377" s="89">
        <f t="shared" si="284"/>
        <v>4</v>
      </c>
      <c r="G377" s="90">
        <f t="shared" si="285"/>
        <v>10.129725843871515</v>
      </c>
      <c r="H377" s="90">
        <f t="shared" si="286"/>
        <v>18.880000000000003</v>
      </c>
      <c r="I377" s="91" t="str">
        <f>I376</f>
        <v>9동5라인</v>
      </c>
      <c r="J377" s="92" t="s">
        <v>220</v>
      </c>
      <c r="L377" s="89">
        <v>2</v>
      </c>
      <c r="M377" s="78">
        <f>M376</f>
        <v>2</v>
      </c>
      <c r="N377" s="84"/>
      <c r="O377" s="78">
        <f t="shared" ref="O377" si="287">L377*M377-N377*L377</f>
        <v>4</v>
      </c>
    </row>
    <row r="378" spans="1:16" ht="18" customHeight="1">
      <c r="A378" s="85"/>
      <c r="B378" s="93"/>
      <c r="C378" s="87"/>
      <c r="D378" s="325" t="s">
        <v>0</v>
      </c>
      <c r="E378" s="325"/>
      <c r="F378" s="94">
        <f>SUM(F376:F377)</f>
        <v>8</v>
      </c>
      <c r="G378" s="95">
        <f>SUM(G376:G377)</f>
        <v>68.32794170506159</v>
      </c>
      <c r="H378" s="95">
        <f>SUM(H376:H377)</f>
        <v>59.648000000000003</v>
      </c>
      <c r="I378" s="97"/>
      <c r="J378" s="98"/>
    </row>
    <row r="379" spans="1:16" ht="18" customHeight="1" thickBot="1">
      <c r="A379" s="222"/>
      <c r="B379" s="245"/>
      <c r="C379" s="224"/>
      <c r="D379" s="246"/>
      <c r="E379" s="246"/>
      <c r="F379" s="226"/>
      <c r="G379" s="247"/>
      <c r="H379" s="247"/>
      <c r="I379" s="248"/>
      <c r="J379" s="249"/>
      <c r="L379" s="250"/>
      <c r="M379" s="250"/>
      <c r="N379" s="250"/>
      <c r="O379" s="250"/>
    </row>
    <row r="380" spans="1:16" ht="18" customHeight="1">
      <c r="A380" s="79" t="s">
        <v>242</v>
      </c>
      <c r="B380" s="231" t="s">
        <v>195</v>
      </c>
      <c r="C380" s="232">
        <v>22</v>
      </c>
      <c r="D380" s="80">
        <v>761</v>
      </c>
      <c r="E380" s="80">
        <v>1810</v>
      </c>
      <c r="F380" s="233">
        <f t="shared" ref="F380:F385" si="288">O380</f>
        <v>4</v>
      </c>
      <c r="G380" s="81">
        <f t="shared" ref="G380:G385" si="289">D380*E380/91809*F380</f>
        <v>60.01198139615942</v>
      </c>
      <c r="H380" s="81">
        <f t="shared" ref="H380:H385" si="290">(D380/1000)*4*F380+(E380/1000)*4*F380</f>
        <v>41.136000000000003</v>
      </c>
      <c r="I380" s="82" t="s">
        <v>259</v>
      </c>
      <c r="J380" s="83" t="s">
        <v>205</v>
      </c>
      <c r="L380" s="89">
        <v>2</v>
      </c>
      <c r="M380" s="78">
        <v>2</v>
      </c>
      <c r="N380" s="78"/>
      <c r="O380" s="78">
        <f t="shared" ref="O380:O385" si="291">L380*M380-N380*L380</f>
        <v>4</v>
      </c>
    </row>
    <row r="381" spans="1:16" ht="18" customHeight="1">
      <c r="A381" s="85"/>
      <c r="B381" s="86"/>
      <c r="C381" s="87"/>
      <c r="D381" s="88">
        <v>1688</v>
      </c>
      <c r="E381" s="88">
        <v>1810</v>
      </c>
      <c r="F381" s="89">
        <f t="shared" si="288"/>
        <v>2</v>
      </c>
      <c r="G381" s="90">
        <f t="shared" si="289"/>
        <v>66.557309196266161</v>
      </c>
      <c r="H381" s="90">
        <f t="shared" si="290"/>
        <v>27.984000000000002</v>
      </c>
      <c r="I381" s="91" t="str">
        <f>I380</f>
        <v>9동6라인</v>
      </c>
      <c r="J381" s="92" t="s">
        <v>206</v>
      </c>
      <c r="L381" s="89">
        <v>1</v>
      </c>
      <c r="M381" s="78">
        <f t="shared" ref="M381:M397" si="292">M380</f>
        <v>2</v>
      </c>
      <c r="N381" s="78"/>
      <c r="O381" s="78">
        <f t="shared" si="291"/>
        <v>2</v>
      </c>
    </row>
    <row r="382" spans="1:16" ht="18" customHeight="1">
      <c r="A382" s="85"/>
      <c r="B382" s="86"/>
      <c r="C382" s="87"/>
      <c r="D382" s="88">
        <v>738</v>
      </c>
      <c r="E382" s="88">
        <v>1310</v>
      </c>
      <c r="F382" s="89">
        <f t="shared" si="288"/>
        <v>8</v>
      </c>
      <c r="G382" s="90">
        <f t="shared" si="289"/>
        <v>84.242721301833157</v>
      </c>
      <c r="H382" s="90">
        <f t="shared" si="290"/>
        <v>65.536000000000001</v>
      </c>
      <c r="I382" s="91" t="str">
        <f t="shared" ref="I382:I385" si="293">I381</f>
        <v>9동6라인</v>
      </c>
      <c r="J382" s="92" t="s">
        <v>207</v>
      </c>
      <c r="L382" s="89">
        <v>4</v>
      </c>
      <c r="M382" s="78">
        <f t="shared" si="292"/>
        <v>2</v>
      </c>
      <c r="N382" s="78"/>
      <c r="O382" s="78">
        <f t="shared" si="291"/>
        <v>8</v>
      </c>
    </row>
    <row r="383" spans="1:16" ht="18" customHeight="1">
      <c r="A383" s="85"/>
      <c r="B383" s="86"/>
      <c r="C383" s="87"/>
      <c r="D383" s="88">
        <v>438</v>
      </c>
      <c r="E383" s="88">
        <v>910</v>
      </c>
      <c r="F383" s="89">
        <f t="shared" si="288"/>
        <v>4</v>
      </c>
      <c r="G383" s="90">
        <f t="shared" si="289"/>
        <v>17.365617749893801</v>
      </c>
      <c r="H383" s="90">
        <f t="shared" si="290"/>
        <v>21.568000000000001</v>
      </c>
      <c r="I383" s="91" t="str">
        <f t="shared" si="293"/>
        <v>9동6라인</v>
      </c>
      <c r="J383" s="92" t="s">
        <v>223</v>
      </c>
      <c r="L383" s="89">
        <v>2</v>
      </c>
      <c r="M383" s="78">
        <f t="shared" si="292"/>
        <v>2</v>
      </c>
      <c r="N383" s="78"/>
      <c r="O383" s="78">
        <f t="shared" si="291"/>
        <v>4</v>
      </c>
    </row>
    <row r="384" spans="1:16" ht="18" customHeight="1">
      <c r="A384" s="85"/>
      <c r="B384" s="86"/>
      <c r="C384" s="87"/>
      <c r="D384" s="88">
        <v>228</v>
      </c>
      <c r="E384" s="88">
        <v>910</v>
      </c>
      <c r="F384" s="89">
        <f t="shared" si="288"/>
        <v>4</v>
      </c>
      <c r="G384" s="90">
        <f t="shared" si="289"/>
        <v>9.0396366369310197</v>
      </c>
      <c r="H384" s="90">
        <f t="shared" si="290"/>
        <v>18.208000000000002</v>
      </c>
      <c r="I384" s="91" t="str">
        <f t="shared" si="293"/>
        <v>9동6라인</v>
      </c>
      <c r="J384" s="92" t="s">
        <v>209</v>
      </c>
      <c r="L384" s="89">
        <v>2</v>
      </c>
      <c r="M384" s="78">
        <f t="shared" si="292"/>
        <v>2</v>
      </c>
      <c r="N384" s="78"/>
      <c r="O384" s="78">
        <f t="shared" si="291"/>
        <v>4</v>
      </c>
    </row>
    <row r="385" spans="1:16" ht="18" customHeight="1">
      <c r="A385" s="85"/>
      <c r="B385" s="86"/>
      <c r="C385" s="87"/>
      <c r="D385" s="88">
        <v>438</v>
      </c>
      <c r="E385" s="88">
        <v>270</v>
      </c>
      <c r="F385" s="89">
        <f t="shared" si="288"/>
        <v>4</v>
      </c>
      <c r="G385" s="90">
        <f t="shared" si="289"/>
        <v>5.1524360356827765</v>
      </c>
      <c r="H385" s="90">
        <f t="shared" si="290"/>
        <v>11.327999999999999</v>
      </c>
      <c r="I385" s="91" t="str">
        <f t="shared" si="293"/>
        <v>9동6라인</v>
      </c>
      <c r="J385" s="92" t="s">
        <v>210</v>
      </c>
      <c r="L385" s="89">
        <v>2</v>
      </c>
      <c r="M385" s="78">
        <f t="shared" si="292"/>
        <v>2</v>
      </c>
      <c r="N385" s="78"/>
      <c r="O385" s="78">
        <f t="shared" si="291"/>
        <v>4</v>
      </c>
    </row>
    <row r="386" spans="1:16" ht="18" customHeight="1">
      <c r="A386" s="85"/>
      <c r="B386" s="93"/>
      <c r="C386" s="87"/>
      <c r="D386" s="325" t="s">
        <v>0</v>
      </c>
      <c r="E386" s="325"/>
      <c r="F386" s="94">
        <f>SUM(F380:F385)</f>
        <v>26</v>
      </c>
      <c r="G386" s="95">
        <f>SUM(G380:G385)</f>
        <v>242.36970231676631</v>
      </c>
      <c r="H386" s="96">
        <f>SUM(H380:H385)</f>
        <v>185.76000000000002</v>
      </c>
      <c r="I386" s="97"/>
      <c r="J386" s="162"/>
      <c r="L386" s="250"/>
      <c r="M386" s="250"/>
      <c r="N386" s="250"/>
      <c r="O386" s="250"/>
    </row>
    <row r="387" spans="1:16" ht="18" customHeight="1">
      <c r="A387" s="85"/>
      <c r="B387" s="93"/>
      <c r="C387" s="87"/>
      <c r="D387" s="161"/>
      <c r="E387" s="161"/>
      <c r="F387" s="89"/>
      <c r="G387" s="100"/>
      <c r="H387" s="101"/>
      <c r="I387" s="102"/>
      <c r="J387" s="121"/>
      <c r="L387" s="250"/>
      <c r="M387" s="250"/>
      <c r="N387" s="250"/>
      <c r="O387" s="250"/>
    </row>
    <row r="388" spans="1:16" ht="18" customHeight="1">
      <c r="A388" s="85"/>
      <c r="B388" s="23" t="s">
        <v>197</v>
      </c>
      <c r="C388" s="24">
        <v>22</v>
      </c>
      <c r="D388" s="88">
        <v>761</v>
      </c>
      <c r="E388" s="88">
        <v>1810</v>
      </c>
      <c r="F388" s="89">
        <f t="shared" ref="F388:F393" si="294">O388</f>
        <v>4</v>
      </c>
      <c r="G388" s="90">
        <f t="shared" ref="G388:G393" si="295">D388*E388/91809*F388</f>
        <v>60.01198139615942</v>
      </c>
      <c r="H388" s="90">
        <f t="shared" ref="H388:H393" si="296">(D388/1000)*4*F388+(E388/1000)*4*F388</f>
        <v>41.136000000000003</v>
      </c>
      <c r="I388" s="91" t="str">
        <f>I380</f>
        <v>9동6라인</v>
      </c>
      <c r="J388" s="92" t="s">
        <v>212</v>
      </c>
      <c r="L388" s="89">
        <v>2</v>
      </c>
      <c r="M388" s="78">
        <f>M385</f>
        <v>2</v>
      </c>
      <c r="N388" s="78"/>
      <c r="O388" s="78">
        <f t="shared" ref="O388:O393" si="297">L388*M388-N388*L388</f>
        <v>4</v>
      </c>
    </row>
    <row r="389" spans="1:16" ht="18" customHeight="1">
      <c r="A389" s="85"/>
      <c r="B389" s="86"/>
      <c r="C389" s="87"/>
      <c r="D389" s="88">
        <v>1688</v>
      </c>
      <c r="E389" s="88">
        <v>1810</v>
      </c>
      <c r="F389" s="89">
        <f t="shared" si="294"/>
        <v>2</v>
      </c>
      <c r="G389" s="90">
        <f t="shared" si="295"/>
        <v>66.557309196266161</v>
      </c>
      <c r="H389" s="90">
        <f t="shared" si="296"/>
        <v>27.984000000000002</v>
      </c>
      <c r="I389" s="91" t="str">
        <f>I380</f>
        <v>9동6라인</v>
      </c>
      <c r="J389" s="92" t="s">
        <v>213</v>
      </c>
      <c r="L389" s="89">
        <v>1</v>
      </c>
      <c r="M389" s="78">
        <f t="shared" si="292"/>
        <v>2</v>
      </c>
      <c r="N389" s="78"/>
      <c r="O389" s="78">
        <f t="shared" si="297"/>
        <v>2</v>
      </c>
    </row>
    <row r="390" spans="1:16">
      <c r="A390" s="104"/>
      <c r="B390" s="93"/>
      <c r="C390" s="87"/>
      <c r="D390" s="88">
        <v>738</v>
      </c>
      <c r="E390" s="88">
        <v>1310</v>
      </c>
      <c r="F390" s="89">
        <f t="shared" si="294"/>
        <v>8</v>
      </c>
      <c r="G390" s="90">
        <f t="shared" si="295"/>
        <v>84.242721301833157</v>
      </c>
      <c r="H390" s="90">
        <f t="shared" si="296"/>
        <v>65.536000000000001</v>
      </c>
      <c r="I390" s="91" t="str">
        <f>I389</f>
        <v>9동6라인</v>
      </c>
      <c r="J390" s="92" t="s">
        <v>214</v>
      </c>
      <c r="L390" s="89">
        <v>4</v>
      </c>
      <c r="M390" s="78">
        <f t="shared" si="292"/>
        <v>2</v>
      </c>
      <c r="N390" s="78"/>
      <c r="O390" s="78">
        <f t="shared" si="297"/>
        <v>8</v>
      </c>
    </row>
    <row r="391" spans="1:16" ht="18" customHeight="1">
      <c r="A391" s="104"/>
      <c r="B391" s="93"/>
      <c r="C391" s="87"/>
      <c r="D391" s="88">
        <v>438</v>
      </c>
      <c r="E391" s="88">
        <v>910</v>
      </c>
      <c r="F391" s="89">
        <f t="shared" si="294"/>
        <v>4</v>
      </c>
      <c r="G391" s="90">
        <f t="shared" si="295"/>
        <v>17.365617749893801</v>
      </c>
      <c r="H391" s="90">
        <f t="shared" si="296"/>
        <v>21.568000000000001</v>
      </c>
      <c r="I391" s="91" t="str">
        <f t="shared" ref="I391:I393" si="298">I390</f>
        <v>9동6라인</v>
      </c>
      <c r="J391" s="92" t="s">
        <v>225</v>
      </c>
      <c r="L391" s="89">
        <v>2</v>
      </c>
      <c r="M391" s="78">
        <f t="shared" si="292"/>
        <v>2</v>
      </c>
      <c r="N391" s="78"/>
      <c r="O391" s="78">
        <f t="shared" si="297"/>
        <v>4</v>
      </c>
      <c r="P391" s="64"/>
    </row>
    <row r="392" spans="1:16" ht="18" customHeight="1">
      <c r="A392" s="104"/>
      <c r="B392" s="93"/>
      <c r="C392" s="87"/>
      <c r="D392" s="88">
        <v>228</v>
      </c>
      <c r="E392" s="88">
        <v>910</v>
      </c>
      <c r="F392" s="89">
        <f t="shared" si="294"/>
        <v>4</v>
      </c>
      <c r="G392" s="90">
        <f t="shared" si="295"/>
        <v>9.0396366369310197</v>
      </c>
      <c r="H392" s="90">
        <f t="shared" si="296"/>
        <v>18.208000000000002</v>
      </c>
      <c r="I392" s="91" t="str">
        <f t="shared" si="298"/>
        <v>9동6라인</v>
      </c>
      <c r="J392" s="92" t="s">
        <v>216</v>
      </c>
      <c r="L392" s="89">
        <v>2</v>
      </c>
      <c r="M392" s="78">
        <f t="shared" si="292"/>
        <v>2</v>
      </c>
      <c r="N392" s="78"/>
      <c r="O392" s="78">
        <f t="shared" si="297"/>
        <v>4</v>
      </c>
    </row>
    <row r="393" spans="1:16" ht="18" customHeight="1">
      <c r="A393" s="104"/>
      <c r="B393" s="93"/>
      <c r="C393" s="87"/>
      <c r="D393" s="88">
        <v>438</v>
      </c>
      <c r="E393" s="88">
        <v>270</v>
      </c>
      <c r="F393" s="89">
        <f t="shared" si="294"/>
        <v>4</v>
      </c>
      <c r="G393" s="90">
        <f t="shared" si="295"/>
        <v>5.1524360356827765</v>
      </c>
      <c r="H393" s="90">
        <f t="shared" si="296"/>
        <v>11.327999999999999</v>
      </c>
      <c r="I393" s="91" t="str">
        <f t="shared" si="298"/>
        <v>9동6라인</v>
      </c>
      <c r="J393" s="92" t="s">
        <v>217</v>
      </c>
      <c r="L393" s="89">
        <v>2</v>
      </c>
      <c r="M393" s="78">
        <f t="shared" si="292"/>
        <v>2</v>
      </c>
      <c r="N393" s="78"/>
      <c r="O393" s="78">
        <f t="shared" si="297"/>
        <v>4</v>
      </c>
    </row>
    <row r="394" spans="1:16">
      <c r="A394" s="104"/>
      <c r="B394" s="87"/>
      <c r="C394" s="87"/>
      <c r="D394" s="325" t="s">
        <v>0</v>
      </c>
      <c r="E394" s="325"/>
      <c r="F394" s="171">
        <f>SUM(F388:F393)</f>
        <v>26</v>
      </c>
      <c r="G394" s="95">
        <f>SUM(G388:G393)</f>
        <v>242.36970231676631</v>
      </c>
      <c r="H394" s="95">
        <f>SUM(H388:H393)</f>
        <v>185.76000000000002</v>
      </c>
      <c r="I394" s="97"/>
      <c r="J394" s="98"/>
      <c r="L394" s="250"/>
      <c r="M394" s="250"/>
      <c r="N394" s="250"/>
      <c r="O394" s="250"/>
    </row>
    <row r="395" spans="1:16">
      <c r="A395" s="105"/>
      <c r="B395" s="9"/>
      <c r="C395" s="9"/>
      <c r="D395" s="51"/>
      <c r="E395" s="51"/>
      <c r="F395" s="51"/>
      <c r="G395" s="106"/>
      <c r="H395" s="106"/>
      <c r="I395" s="9"/>
      <c r="J395" s="107"/>
      <c r="L395" s="250"/>
      <c r="M395" s="250"/>
      <c r="N395" s="250"/>
      <c r="O395" s="250"/>
    </row>
    <row r="396" spans="1:16" ht="18" customHeight="1">
      <c r="A396" s="85"/>
      <c r="B396" s="163" t="s">
        <v>199</v>
      </c>
      <c r="C396" s="163">
        <v>22</v>
      </c>
      <c r="D396" s="88">
        <v>738</v>
      </c>
      <c r="E396" s="88">
        <v>1810</v>
      </c>
      <c r="F396" s="89">
        <f t="shared" ref="F396:F397" si="299">O396</f>
        <v>4</v>
      </c>
      <c r="G396" s="90">
        <f t="shared" ref="G396:G398" si="300">D396*E396/91809*F396</f>
        <v>58.198215861190079</v>
      </c>
      <c r="H396" s="90">
        <f t="shared" ref="H396:H398" si="301">(D396/1000)*4*F396+(E396/1000)*4*F396</f>
        <v>40.768000000000001</v>
      </c>
      <c r="I396" s="91" t="str">
        <f>I388</f>
        <v>9동6라인</v>
      </c>
      <c r="J396" s="92" t="s">
        <v>219</v>
      </c>
      <c r="L396" s="89">
        <v>2</v>
      </c>
      <c r="M396" s="78">
        <f>M393</f>
        <v>2</v>
      </c>
      <c r="N396" s="78"/>
      <c r="O396" s="78">
        <f t="shared" ref="O396:O397" si="302">L396*M396-N396*L396</f>
        <v>4</v>
      </c>
      <c r="P396" s="64"/>
    </row>
    <row r="397" spans="1:16" ht="18" customHeight="1">
      <c r="A397" s="85"/>
      <c r="B397" s="86"/>
      <c r="C397" s="87"/>
      <c r="D397" s="88">
        <v>250</v>
      </c>
      <c r="E397" s="88">
        <v>930</v>
      </c>
      <c r="F397" s="89">
        <f t="shared" si="299"/>
        <v>4</v>
      </c>
      <c r="G397" s="90">
        <f t="shared" si="300"/>
        <v>10.129725843871515</v>
      </c>
      <c r="H397" s="90">
        <f t="shared" si="301"/>
        <v>18.880000000000003</v>
      </c>
      <c r="I397" s="91" t="str">
        <f>I396</f>
        <v>9동6라인</v>
      </c>
      <c r="J397" s="92" t="s">
        <v>220</v>
      </c>
      <c r="L397" s="89">
        <v>2</v>
      </c>
      <c r="M397" s="78">
        <f t="shared" si="292"/>
        <v>2</v>
      </c>
      <c r="N397" s="78"/>
      <c r="O397" s="78">
        <f t="shared" si="302"/>
        <v>4</v>
      </c>
    </row>
    <row r="398" spans="1:16" ht="18" customHeight="1">
      <c r="A398" s="85"/>
      <c r="B398" s="86"/>
      <c r="C398" s="87"/>
      <c r="D398" s="88"/>
      <c r="E398" s="88"/>
      <c r="F398" s="89"/>
      <c r="G398" s="90">
        <f t="shared" si="300"/>
        <v>0</v>
      </c>
      <c r="H398" s="90">
        <f t="shared" si="301"/>
        <v>0</v>
      </c>
      <c r="I398" s="91"/>
      <c r="J398" s="92"/>
      <c r="L398" s="250"/>
      <c r="M398" s="250"/>
      <c r="N398" s="250"/>
      <c r="O398" s="250"/>
    </row>
    <row r="399" spans="1:16" ht="18" customHeight="1">
      <c r="A399" s="85"/>
      <c r="B399" s="93"/>
      <c r="C399" s="87"/>
      <c r="D399" s="325" t="s">
        <v>0</v>
      </c>
      <c r="E399" s="325"/>
      <c r="F399" s="94">
        <f>SUM(F396:F398)</f>
        <v>8</v>
      </c>
      <c r="G399" s="95">
        <f>SUM(G396:G398)</f>
        <v>68.32794170506159</v>
      </c>
      <c r="H399" s="95">
        <f>SUM(H396:H398)</f>
        <v>59.648000000000003</v>
      </c>
      <c r="I399" s="97"/>
      <c r="J399" s="98"/>
      <c r="L399" s="250"/>
      <c r="M399" s="250"/>
      <c r="N399" s="250"/>
      <c r="O399" s="250"/>
    </row>
    <row r="400" spans="1:16" ht="18" customHeight="1" thickBot="1">
      <c r="A400" s="253"/>
      <c r="B400" s="254"/>
      <c r="C400" s="255"/>
      <c r="D400" s="361"/>
      <c r="E400" s="361"/>
      <c r="F400" s="256"/>
      <c r="G400" s="257"/>
      <c r="H400" s="258"/>
      <c r="I400" s="259"/>
      <c r="J400" s="260"/>
      <c r="L400" s="250"/>
      <c r="M400" s="250"/>
      <c r="N400" s="250"/>
      <c r="O400" s="250"/>
    </row>
    <row r="401" spans="1:16" ht="18" customHeight="1">
      <c r="A401" s="79" t="s">
        <v>242</v>
      </c>
      <c r="B401" s="231" t="s">
        <v>195</v>
      </c>
      <c r="C401" s="232">
        <v>22</v>
      </c>
      <c r="D401" s="80">
        <v>761</v>
      </c>
      <c r="E401" s="80">
        <v>1810</v>
      </c>
      <c r="F401" s="233">
        <f t="shared" ref="F401:F406" si="303">O401</f>
        <v>6</v>
      </c>
      <c r="G401" s="81">
        <f t="shared" ref="G401:G406" si="304">D401*E401/91809*F401</f>
        <v>90.017972094239127</v>
      </c>
      <c r="H401" s="81">
        <f t="shared" ref="H401:H406" si="305">(D401/1000)*4*F401+(E401/1000)*4*F401</f>
        <v>61.703999999999994</v>
      </c>
      <c r="I401" s="82" t="s">
        <v>260</v>
      </c>
      <c r="J401" s="83" t="s">
        <v>205</v>
      </c>
      <c r="L401" s="89">
        <v>2</v>
      </c>
      <c r="M401" s="78">
        <v>3</v>
      </c>
      <c r="N401" s="78"/>
      <c r="O401" s="78">
        <f t="shared" ref="O401:O406" si="306">L401*M401-N401*L401</f>
        <v>6</v>
      </c>
    </row>
    <row r="402" spans="1:16" ht="18" customHeight="1">
      <c r="A402" s="85"/>
      <c r="B402" s="86"/>
      <c r="C402" s="87"/>
      <c r="D402" s="88">
        <v>1688</v>
      </c>
      <c r="E402" s="88">
        <v>1810</v>
      </c>
      <c r="F402" s="89">
        <f t="shared" si="303"/>
        <v>3</v>
      </c>
      <c r="G402" s="90">
        <f t="shared" si="304"/>
        <v>99.835963794399248</v>
      </c>
      <c r="H402" s="90">
        <f t="shared" si="305"/>
        <v>41.975999999999999</v>
      </c>
      <c r="I402" s="91" t="str">
        <f>I401</f>
        <v>10동1라인</v>
      </c>
      <c r="J402" s="92" t="s">
        <v>206</v>
      </c>
      <c r="L402" s="89">
        <v>1</v>
      </c>
      <c r="M402" s="78">
        <f t="shared" ref="M402:M418" si="307">M401</f>
        <v>3</v>
      </c>
      <c r="N402" s="78"/>
      <c r="O402" s="78">
        <f t="shared" si="306"/>
        <v>3</v>
      </c>
    </row>
    <row r="403" spans="1:16" ht="18" customHeight="1">
      <c r="A403" s="85"/>
      <c r="B403" s="86"/>
      <c r="C403" s="87"/>
      <c r="D403" s="88">
        <v>738</v>
      </c>
      <c r="E403" s="88">
        <v>1310</v>
      </c>
      <c r="F403" s="89">
        <f t="shared" si="303"/>
        <v>12</v>
      </c>
      <c r="G403" s="90">
        <f t="shared" si="304"/>
        <v>126.36408195274973</v>
      </c>
      <c r="H403" s="90">
        <f t="shared" si="305"/>
        <v>98.304000000000002</v>
      </c>
      <c r="I403" s="91" t="str">
        <f t="shared" ref="I403:I406" si="308">I402</f>
        <v>10동1라인</v>
      </c>
      <c r="J403" s="92" t="s">
        <v>207</v>
      </c>
      <c r="L403" s="89">
        <v>4</v>
      </c>
      <c r="M403" s="78">
        <f t="shared" si="307"/>
        <v>3</v>
      </c>
      <c r="N403" s="78"/>
      <c r="O403" s="78">
        <f t="shared" si="306"/>
        <v>12</v>
      </c>
    </row>
    <row r="404" spans="1:16" ht="18" customHeight="1">
      <c r="A404" s="85"/>
      <c r="B404" s="86"/>
      <c r="C404" s="87"/>
      <c r="D404" s="88">
        <v>438</v>
      </c>
      <c r="E404" s="88">
        <v>910</v>
      </c>
      <c r="F404" s="89">
        <f t="shared" si="303"/>
        <v>6</v>
      </c>
      <c r="G404" s="90">
        <f t="shared" si="304"/>
        <v>26.048426624840701</v>
      </c>
      <c r="H404" s="90">
        <f t="shared" si="305"/>
        <v>32.352000000000004</v>
      </c>
      <c r="I404" s="91" t="str">
        <f t="shared" si="308"/>
        <v>10동1라인</v>
      </c>
      <c r="J404" s="92" t="s">
        <v>223</v>
      </c>
      <c r="L404" s="89">
        <v>2</v>
      </c>
      <c r="M404" s="78">
        <f t="shared" si="307"/>
        <v>3</v>
      </c>
      <c r="N404" s="78"/>
      <c r="O404" s="78">
        <f t="shared" si="306"/>
        <v>6</v>
      </c>
    </row>
    <row r="405" spans="1:16" ht="18" customHeight="1">
      <c r="A405" s="85"/>
      <c r="B405" s="86"/>
      <c r="C405" s="87"/>
      <c r="D405" s="88">
        <v>228</v>
      </c>
      <c r="E405" s="88">
        <v>910</v>
      </c>
      <c r="F405" s="89">
        <f t="shared" si="303"/>
        <v>6</v>
      </c>
      <c r="G405" s="90">
        <f t="shared" si="304"/>
        <v>13.559454955396529</v>
      </c>
      <c r="H405" s="90">
        <f t="shared" si="305"/>
        <v>27.312000000000001</v>
      </c>
      <c r="I405" s="91" t="str">
        <f t="shared" si="308"/>
        <v>10동1라인</v>
      </c>
      <c r="J405" s="92" t="s">
        <v>209</v>
      </c>
      <c r="L405" s="89">
        <v>2</v>
      </c>
      <c r="M405" s="78">
        <f t="shared" si="307"/>
        <v>3</v>
      </c>
      <c r="N405" s="78"/>
      <c r="O405" s="78">
        <f t="shared" si="306"/>
        <v>6</v>
      </c>
    </row>
    <row r="406" spans="1:16" ht="18" customHeight="1">
      <c r="A406" s="85"/>
      <c r="B406" s="86"/>
      <c r="C406" s="87"/>
      <c r="D406" s="88">
        <v>438</v>
      </c>
      <c r="E406" s="88">
        <v>270</v>
      </c>
      <c r="F406" s="89">
        <f t="shared" si="303"/>
        <v>6</v>
      </c>
      <c r="G406" s="90">
        <f t="shared" si="304"/>
        <v>7.7286540535241652</v>
      </c>
      <c r="H406" s="90">
        <f t="shared" si="305"/>
        <v>16.992000000000001</v>
      </c>
      <c r="I406" s="91" t="str">
        <f t="shared" si="308"/>
        <v>10동1라인</v>
      </c>
      <c r="J406" s="92" t="s">
        <v>210</v>
      </c>
      <c r="L406" s="89">
        <v>2</v>
      </c>
      <c r="M406" s="78">
        <f t="shared" si="307"/>
        <v>3</v>
      </c>
      <c r="N406" s="78"/>
      <c r="O406" s="78">
        <f t="shared" si="306"/>
        <v>6</v>
      </c>
    </row>
    <row r="407" spans="1:16" ht="18" customHeight="1">
      <c r="A407" s="85"/>
      <c r="B407" s="93"/>
      <c r="C407" s="87"/>
      <c r="D407" s="325" t="s">
        <v>0</v>
      </c>
      <c r="E407" s="325"/>
      <c r="F407" s="94">
        <f>SUM(F401:F406)</f>
        <v>39</v>
      </c>
      <c r="G407" s="95">
        <f>SUM(G401:G406)</f>
        <v>363.55455347514953</v>
      </c>
      <c r="H407" s="96">
        <f>SUM(H401:H406)</f>
        <v>278.64</v>
      </c>
      <c r="I407" s="97"/>
      <c r="J407" s="162"/>
      <c r="L407" s="250"/>
      <c r="M407" s="250"/>
      <c r="N407" s="250"/>
      <c r="O407" s="250"/>
    </row>
    <row r="408" spans="1:16" ht="18" customHeight="1">
      <c r="A408" s="85"/>
      <c r="B408" s="93"/>
      <c r="C408" s="87"/>
      <c r="D408" s="161"/>
      <c r="E408" s="161"/>
      <c r="F408" s="89"/>
      <c r="G408" s="100"/>
      <c r="H408" s="101"/>
      <c r="I408" s="102"/>
      <c r="J408" s="121"/>
      <c r="L408" s="250"/>
      <c r="M408" s="250"/>
      <c r="N408" s="250"/>
      <c r="O408" s="250"/>
    </row>
    <row r="409" spans="1:16" ht="18" customHeight="1">
      <c r="A409" s="85"/>
      <c r="B409" s="23" t="s">
        <v>197</v>
      </c>
      <c r="C409" s="24">
        <v>22</v>
      </c>
      <c r="D409" s="88">
        <v>761</v>
      </c>
      <c r="E409" s="88">
        <v>1810</v>
      </c>
      <c r="F409" s="89">
        <f t="shared" ref="F409:F414" si="309">O409</f>
        <v>6</v>
      </c>
      <c r="G409" s="90">
        <f t="shared" ref="G409:G414" si="310">D409*E409/91809*F409</f>
        <v>90.017972094239127</v>
      </c>
      <c r="H409" s="90">
        <f t="shared" ref="H409:H414" si="311">(D409/1000)*4*F409+(E409/1000)*4*F409</f>
        <v>61.703999999999994</v>
      </c>
      <c r="I409" s="91" t="str">
        <f>I401</f>
        <v>10동1라인</v>
      </c>
      <c r="J409" s="92" t="s">
        <v>212</v>
      </c>
      <c r="L409" s="89">
        <v>2</v>
      </c>
      <c r="M409" s="78">
        <f>M406</f>
        <v>3</v>
      </c>
      <c r="N409" s="78"/>
      <c r="O409" s="78">
        <f t="shared" ref="O409:O414" si="312">L409*M409-N409*L409</f>
        <v>6</v>
      </c>
    </row>
    <row r="410" spans="1:16" ht="18" customHeight="1">
      <c r="A410" s="85"/>
      <c r="B410" s="86"/>
      <c r="C410" s="87"/>
      <c r="D410" s="88">
        <v>1688</v>
      </c>
      <c r="E410" s="88">
        <v>1810</v>
      </c>
      <c r="F410" s="89">
        <f t="shared" si="309"/>
        <v>3</v>
      </c>
      <c r="G410" s="90">
        <f t="shared" si="310"/>
        <v>99.835963794399248</v>
      </c>
      <c r="H410" s="90">
        <f t="shared" si="311"/>
        <v>41.975999999999999</v>
      </c>
      <c r="I410" s="91" t="str">
        <f>I401</f>
        <v>10동1라인</v>
      </c>
      <c r="J410" s="92" t="s">
        <v>213</v>
      </c>
      <c r="L410" s="89">
        <v>1</v>
      </c>
      <c r="M410" s="78">
        <f t="shared" si="307"/>
        <v>3</v>
      </c>
      <c r="N410" s="78"/>
      <c r="O410" s="78">
        <f t="shared" si="312"/>
        <v>3</v>
      </c>
    </row>
    <row r="411" spans="1:16">
      <c r="A411" s="104"/>
      <c r="B411" s="93"/>
      <c r="C411" s="87"/>
      <c r="D411" s="88">
        <v>738</v>
      </c>
      <c r="E411" s="88">
        <v>1310</v>
      </c>
      <c r="F411" s="89">
        <f t="shared" si="309"/>
        <v>12</v>
      </c>
      <c r="G411" s="90">
        <f t="shared" si="310"/>
        <v>126.36408195274973</v>
      </c>
      <c r="H411" s="90">
        <f t="shared" si="311"/>
        <v>98.304000000000002</v>
      </c>
      <c r="I411" s="91" t="str">
        <f>I410</f>
        <v>10동1라인</v>
      </c>
      <c r="J411" s="92" t="s">
        <v>214</v>
      </c>
      <c r="L411" s="89">
        <v>4</v>
      </c>
      <c r="M411" s="78">
        <f t="shared" si="307"/>
        <v>3</v>
      </c>
      <c r="N411" s="78"/>
      <c r="O411" s="78">
        <f t="shared" si="312"/>
        <v>12</v>
      </c>
    </row>
    <row r="412" spans="1:16" ht="18" customHeight="1">
      <c r="A412" s="104"/>
      <c r="B412" s="93"/>
      <c r="C412" s="87"/>
      <c r="D412" s="88">
        <v>438</v>
      </c>
      <c r="E412" s="88">
        <v>910</v>
      </c>
      <c r="F412" s="89">
        <f t="shared" si="309"/>
        <v>6</v>
      </c>
      <c r="G412" s="90">
        <f t="shared" si="310"/>
        <v>26.048426624840701</v>
      </c>
      <c r="H412" s="90">
        <f t="shared" si="311"/>
        <v>32.352000000000004</v>
      </c>
      <c r="I412" s="91" t="str">
        <f t="shared" ref="I412:I414" si="313">I411</f>
        <v>10동1라인</v>
      </c>
      <c r="J412" s="92" t="s">
        <v>225</v>
      </c>
      <c r="L412" s="89">
        <v>2</v>
      </c>
      <c r="M412" s="78">
        <f t="shared" si="307"/>
        <v>3</v>
      </c>
      <c r="N412" s="78"/>
      <c r="O412" s="78">
        <f t="shared" si="312"/>
        <v>6</v>
      </c>
      <c r="P412" s="64"/>
    </row>
    <row r="413" spans="1:16" ht="18" customHeight="1">
      <c r="A413" s="104"/>
      <c r="B413" s="93"/>
      <c r="C413" s="87"/>
      <c r="D413" s="88">
        <v>228</v>
      </c>
      <c r="E413" s="88">
        <v>910</v>
      </c>
      <c r="F413" s="89">
        <f t="shared" si="309"/>
        <v>6</v>
      </c>
      <c r="G413" s="90">
        <f t="shared" si="310"/>
        <v>13.559454955396529</v>
      </c>
      <c r="H413" s="90">
        <f t="shared" si="311"/>
        <v>27.312000000000001</v>
      </c>
      <c r="I413" s="91" t="str">
        <f t="shared" si="313"/>
        <v>10동1라인</v>
      </c>
      <c r="J413" s="92" t="s">
        <v>216</v>
      </c>
      <c r="L413" s="89">
        <v>2</v>
      </c>
      <c r="M413" s="78">
        <f t="shared" si="307"/>
        <v>3</v>
      </c>
      <c r="N413" s="78"/>
      <c r="O413" s="78">
        <f t="shared" si="312"/>
        <v>6</v>
      </c>
    </row>
    <row r="414" spans="1:16" ht="18" customHeight="1">
      <c r="A414" s="104"/>
      <c r="B414" s="93"/>
      <c r="C414" s="87"/>
      <c r="D414" s="88">
        <v>438</v>
      </c>
      <c r="E414" s="88">
        <v>270</v>
      </c>
      <c r="F414" s="89">
        <f t="shared" si="309"/>
        <v>6</v>
      </c>
      <c r="G414" s="90">
        <f t="shared" si="310"/>
        <v>7.7286540535241652</v>
      </c>
      <c r="H414" s="90">
        <f t="shared" si="311"/>
        <v>16.992000000000001</v>
      </c>
      <c r="I414" s="91" t="str">
        <f t="shared" si="313"/>
        <v>10동1라인</v>
      </c>
      <c r="J414" s="92" t="s">
        <v>217</v>
      </c>
      <c r="L414" s="89">
        <v>2</v>
      </c>
      <c r="M414" s="78">
        <f t="shared" si="307"/>
        <v>3</v>
      </c>
      <c r="N414" s="78"/>
      <c r="O414" s="78">
        <f t="shared" si="312"/>
        <v>6</v>
      </c>
    </row>
    <row r="415" spans="1:16">
      <c r="A415" s="104"/>
      <c r="B415" s="87"/>
      <c r="C415" s="87"/>
      <c r="D415" s="325" t="s">
        <v>0</v>
      </c>
      <c r="E415" s="325"/>
      <c r="F415" s="171">
        <f>SUM(F409:F414)</f>
        <v>39</v>
      </c>
      <c r="G415" s="95">
        <f>SUM(G409:G414)</f>
        <v>363.55455347514953</v>
      </c>
      <c r="H415" s="95">
        <f>SUM(H409:H414)</f>
        <v>278.64</v>
      </c>
      <c r="I415" s="97"/>
      <c r="J415" s="98"/>
      <c r="L415" s="250"/>
      <c r="M415" s="250"/>
      <c r="N415" s="250"/>
      <c r="O415" s="250"/>
    </row>
    <row r="416" spans="1:16">
      <c r="A416" s="105"/>
      <c r="B416" s="9"/>
      <c r="C416" s="9"/>
      <c r="D416" s="51"/>
      <c r="E416" s="51"/>
      <c r="F416" s="51"/>
      <c r="G416" s="106"/>
      <c r="H416" s="106"/>
      <c r="I416" s="9"/>
      <c r="J416" s="107"/>
      <c r="L416" s="250"/>
      <c r="M416" s="250"/>
      <c r="N416" s="250"/>
      <c r="O416" s="250"/>
    </row>
    <row r="417" spans="1:16" ht="18" customHeight="1">
      <c r="A417" s="85"/>
      <c r="B417" s="163" t="s">
        <v>199</v>
      </c>
      <c r="C417" s="163">
        <v>22</v>
      </c>
      <c r="D417" s="88">
        <v>738</v>
      </c>
      <c r="E417" s="88">
        <v>1810</v>
      </c>
      <c r="F417" s="89">
        <f t="shared" ref="F417:F418" si="314">O417</f>
        <v>6</v>
      </c>
      <c r="G417" s="90">
        <f t="shared" ref="G417:G419" si="315">D417*E417/91809*F417</f>
        <v>87.297323791785118</v>
      </c>
      <c r="H417" s="90">
        <f t="shared" ref="H417:H419" si="316">(D417/1000)*4*F417+(E417/1000)*4*F417</f>
        <v>61.152000000000001</v>
      </c>
      <c r="I417" s="91" t="str">
        <f>I409</f>
        <v>10동1라인</v>
      </c>
      <c r="J417" s="92" t="s">
        <v>219</v>
      </c>
      <c r="L417" s="89">
        <v>2</v>
      </c>
      <c r="M417" s="78">
        <f>M414</f>
        <v>3</v>
      </c>
      <c r="N417" s="78"/>
      <c r="O417" s="78">
        <f t="shared" ref="O417:O418" si="317">L417*M417-N417*L417</f>
        <v>6</v>
      </c>
      <c r="P417" s="64"/>
    </row>
    <row r="418" spans="1:16" ht="18" customHeight="1">
      <c r="A418" s="85"/>
      <c r="B418" s="86"/>
      <c r="C418" s="87"/>
      <c r="D418" s="88">
        <v>250</v>
      </c>
      <c r="E418" s="88">
        <v>930</v>
      </c>
      <c r="F418" s="89">
        <f t="shared" si="314"/>
        <v>6</v>
      </c>
      <c r="G418" s="90">
        <f t="shared" si="315"/>
        <v>15.194588765807273</v>
      </c>
      <c r="H418" s="90">
        <f t="shared" si="316"/>
        <v>28.32</v>
      </c>
      <c r="I418" s="91" t="str">
        <f>I417</f>
        <v>10동1라인</v>
      </c>
      <c r="J418" s="92" t="s">
        <v>220</v>
      </c>
      <c r="L418" s="89">
        <v>2</v>
      </c>
      <c r="M418" s="78">
        <f t="shared" si="307"/>
        <v>3</v>
      </c>
      <c r="N418" s="78"/>
      <c r="O418" s="78">
        <f t="shared" si="317"/>
        <v>6</v>
      </c>
    </row>
    <row r="419" spans="1:16" ht="18" customHeight="1">
      <c r="A419" s="85"/>
      <c r="B419" s="86"/>
      <c r="C419" s="87"/>
      <c r="D419" s="88"/>
      <c r="E419" s="88"/>
      <c r="F419" s="89"/>
      <c r="G419" s="90">
        <f t="shared" si="315"/>
        <v>0</v>
      </c>
      <c r="H419" s="90">
        <f t="shared" si="316"/>
        <v>0</v>
      </c>
      <c r="I419" s="91"/>
      <c r="J419" s="92"/>
      <c r="L419" s="250"/>
      <c r="M419" s="250"/>
      <c r="N419" s="250"/>
      <c r="O419" s="250"/>
    </row>
    <row r="420" spans="1:16" ht="18" customHeight="1" thickBot="1">
      <c r="A420" s="222"/>
      <c r="B420" s="223"/>
      <c r="C420" s="224"/>
      <c r="D420" s="364" t="s">
        <v>0</v>
      </c>
      <c r="E420" s="364"/>
      <c r="F420" s="269">
        <f>SUM(F417:F419)</f>
        <v>12</v>
      </c>
      <c r="G420" s="270">
        <f>SUM(G417:G419)</f>
        <v>102.49191255759239</v>
      </c>
      <c r="H420" s="270">
        <f>SUM(H417:H419)</f>
        <v>89.472000000000008</v>
      </c>
      <c r="I420" s="271"/>
      <c r="J420" s="272"/>
      <c r="L420" s="250"/>
      <c r="M420" s="250"/>
      <c r="N420" s="250"/>
      <c r="O420" s="250"/>
    </row>
    <row r="421" spans="1:16" ht="18" customHeight="1">
      <c r="A421" s="273" t="s">
        <v>234</v>
      </c>
      <c r="B421" s="231" t="s">
        <v>195</v>
      </c>
      <c r="C421" s="232">
        <v>22</v>
      </c>
      <c r="D421" s="80">
        <v>761</v>
      </c>
      <c r="E421" s="80">
        <v>1810</v>
      </c>
      <c r="F421" s="233">
        <f>O421</f>
        <v>10</v>
      </c>
      <c r="G421" s="81">
        <f t="shared" ref="G421:G427" si="318">D421*E421/91809*F421</f>
        <v>150.02995349039855</v>
      </c>
      <c r="H421" s="81">
        <f t="shared" ref="H421:H427" si="319">(D421/1000)*4*F421+(E421/1000)*4*F421</f>
        <v>102.84</v>
      </c>
      <c r="I421" s="82" t="s">
        <v>261</v>
      </c>
      <c r="J421" s="83" t="s">
        <v>205</v>
      </c>
      <c r="L421" s="89">
        <v>2</v>
      </c>
      <c r="M421" s="78">
        <v>5</v>
      </c>
      <c r="N421" s="84"/>
      <c r="O421" s="78">
        <f>L421*M421-N421*L421</f>
        <v>10</v>
      </c>
      <c r="P421" s="64"/>
    </row>
    <row r="422" spans="1:16" ht="18" customHeight="1">
      <c r="A422" s="85"/>
      <c r="B422" s="86"/>
      <c r="C422" s="87"/>
      <c r="D422" s="88">
        <v>1688</v>
      </c>
      <c r="E422" s="88">
        <v>1810</v>
      </c>
      <c r="F422" s="89">
        <f t="shared" ref="F422:F427" si="320">O422</f>
        <v>5</v>
      </c>
      <c r="G422" s="90">
        <f t="shared" si="318"/>
        <v>166.39327299066539</v>
      </c>
      <c r="H422" s="90">
        <f t="shared" si="319"/>
        <v>69.960000000000008</v>
      </c>
      <c r="I422" s="91" t="str">
        <f>I421</f>
        <v>10동2라인</v>
      </c>
      <c r="J422" s="92" t="s">
        <v>206</v>
      </c>
      <c r="L422" s="89">
        <v>1</v>
      </c>
      <c r="M422" s="78">
        <f>M421</f>
        <v>5</v>
      </c>
      <c r="N422" s="84"/>
      <c r="O422" s="78">
        <f t="shared" ref="O422:O427" si="321">L422*M422-N422*L422</f>
        <v>5</v>
      </c>
    </row>
    <row r="423" spans="1:16" ht="18" customHeight="1">
      <c r="A423" s="85"/>
      <c r="B423" s="86"/>
      <c r="C423" s="87"/>
      <c r="D423" s="88">
        <v>738</v>
      </c>
      <c r="E423" s="88">
        <v>1310</v>
      </c>
      <c r="F423" s="89">
        <f t="shared" si="320"/>
        <v>20</v>
      </c>
      <c r="G423" s="90">
        <f t="shared" si="318"/>
        <v>210.6068032545829</v>
      </c>
      <c r="H423" s="90">
        <f t="shared" si="319"/>
        <v>163.84</v>
      </c>
      <c r="I423" s="91" t="str">
        <f t="shared" ref="I423:I427" si="322">I422</f>
        <v>10동2라인</v>
      </c>
      <c r="J423" s="92" t="s">
        <v>207</v>
      </c>
      <c r="L423" s="89">
        <v>4</v>
      </c>
      <c r="M423" s="78">
        <f t="shared" ref="M423:M426" si="323">M422</f>
        <v>5</v>
      </c>
      <c r="N423" s="78"/>
      <c r="O423" s="78">
        <f t="shared" si="321"/>
        <v>20</v>
      </c>
    </row>
    <row r="424" spans="1:16" ht="18" customHeight="1">
      <c r="A424" s="85"/>
      <c r="B424" s="86"/>
      <c r="C424" s="87"/>
      <c r="D424" s="88">
        <v>288</v>
      </c>
      <c r="E424" s="88">
        <v>910</v>
      </c>
      <c r="F424" s="89">
        <f t="shared" si="320"/>
        <v>10</v>
      </c>
      <c r="G424" s="90">
        <f t="shared" si="318"/>
        <v>28.546220958729535</v>
      </c>
      <c r="H424" s="90">
        <f t="shared" si="319"/>
        <v>47.92</v>
      </c>
      <c r="I424" s="91" t="str">
        <f t="shared" si="322"/>
        <v>10동2라인</v>
      </c>
      <c r="J424" s="92" t="s">
        <v>208</v>
      </c>
      <c r="L424" s="89">
        <v>2</v>
      </c>
      <c r="M424" s="78">
        <f t="shared" si="323"/>
        <v>5</v>
      </c>
      <c r="N424" s="78"/>
      <c r="O424" s="78">
        <f t="shared" si="321"/>
        <v>10</v>
      </c>
    </row>
    <row r="425" spans="1:16" ht="18" customHeight="1">
      <c r="A425" s="85"/>
      <c r="B425" s="86"/>
      <c r="C425" s="87"/>
      <c r="D425" s="88">
        <v>228</v>
      </c>
      <c r="E425" s="88">
        <v>910</v>
      </c>
      <c r="F425" s="89">
        <f t="shared" si="320"/>
        <v>10</v>
      </c>
      <c r="G425" s="90">
        <f t="shared" si="318"/>
        <v>22.59909159232755</v>
      </c>
      <c r="H425" s="90">
        <f t="shared" si="319"/>
        <v>45.519999999999996</v>
      </c>
      <c r="I425" s="91" t="str">
        <f t="shared" si="322"/>
        <v>10동2라인</v>
      </c>
      <c r="J425" s="92" t="s">
        <v>209</v>
      </c>
      <c r="L425" s="89">
        <v>2</v>
      </c>
      <c r="M425" s="78">
        <f t="shared" si="323"/>
        <v>5</v>
      </c>
      <c r="N425" s="78"/>
      <c r="O425" s="78">
        <f t="shared" si="321"/>
        <v>10</v>
      </c>
    </row>
    <row r="426" spans="1:16" ht="18" customHeight="1">
      <c r="A426" s="85"/>
      <c r="B426" s="86"/>
      <c r="C426" s="87"/>
      <c r="D426" s="88">
        <v>438</v>
      </c>
      <c r="E426" s="88">
        <v>270</v>
      </c>
      <c r="F426" s="89">
        <f t="shared" si="320"/>
        <v>10</v>
      </c>
      <c r="G426" s="90">
        <f t="shared" si="318"/>
        <v>12.881090089206941</v>
      </c>
      <c r="H426" s="90">
        <f t="shared" si="319"/>
        <v>28.32</v>
      </c>
      <c r="I426" s="91" t="str">
        <f t="shared" si="322"/>
        <v>10동2라인</v>
      </c>
      <c r="J426" s="92" t="s">
        <v>210</v>
      </c>
      <c r="L426" s="89">
        <v>2</v>
      </c>
      <c r="M426" s="78">
        <f t="shared" si="323"/>
        <v>5</v>
      </c>
      <c r="N426" s="78"/>
      <c r="O426" s="78">
        <f t="shared" si="321"/>
        <v>10</v>
      </c>
    </row>
    <row r="427" spans="1:16" ht="18" customHeight="1">
      <c r="A427" s="85"/>
      <c r="B427" s="86"/>
      <c r="C427" s="87"/>
      <c r="D427" s="88">
        <v>208</v>
      </c>
      <c r="E427" s="88">
        <v>910</v>
      </c>
      <c r="F427" s="89">
        <f t="shared" si="320"/>
        <v>10</v>
      </c>
      <c r="G427" s="90">
        <f t="shared" si="318"/>
        <v>20.616715136860222</v>
      </c>
      <c r="H427" s="90">
        <f t="shared" si="319"/>
        <v>44.72</v>
      </c>
      <c r="I427" s="91" t="str">
        <f t="shared" si="322"/>
        <v>10동2라인</v>
      </c>
      <c r="J427" s="92" t="s">
        <v>211</v>
      </c>
      <c r="L427" s="89">
        <v>2</v>
      </c>
      <c r="M427" s="78">
        <f>M426</f>
        <v>5</v>
      </c>
      <c r="N427" s="78"/>
      <c r="O427" s="78">
        <f t="shared" si="321"/>
        <v>10</v>
      </c>
    </row>
    <row r="428" spans="1:16" ht="18" customHeight="1">
      <c r="A428" s="85"/>
      <c r="B428" s="93"/>
      <c r="C428" s="87"/>
      <c r="D428" s="325" t="s">
        <v>0</v>
      </c>
      <c r="E428" s="325"/>
      <c r="F428" s="94">
        <f>SUM(F421:F427)</f>
        <v>75</v>
      </c>
      <c r="G428" s="95">
        <f>SUM(G421:G427)</f>
        <v>611.67314751277115</v>
      </c>
      <c r="H428" s="96">
        <f>SUM(H421:H427)</f>
        <v>503.12</v>
      </c>
      <c r="I428" s="97"/>
      <c r="J428" s="162"/>
    </row>
    <row r="429" spans="1:16" ht="18" customHeight="1">
      <c r="A429" s="85"/>
      <c r="B429" s="93"/>
      <c r="C429" s="87"/>
      <c r="D429" s="161"/>
      <c r="E429" s="161"/>
      <c r="F429" s="89"/>
      <c r="G429" s="100"/>
      <c r="H429" s="101"/>
      <c r="I429" s="102"/>
      <c r="J429" s="121"/>
      <c r="L429" s="78" t="s">
        <v>48</v>
      </c>
      <c r="M429" s="78" t="s">
        <v>54</v>
      </c>
      <c r="N429" s="78" t="s">
        <v>50</v>
      </c>
      <c r="O429" s="78" t="s">
        <v>55</v>
      </c>
    </row>
    <row r="430" spans="1:16" ht="18" customHeight="1">
      <c r="A430" s="85"/>
      <c r="B430" s="23" t="s">
        <v>197</v>
      </c>
      <c r="C430" s="24">
        <v>22</v>
      </c>
      <c r="D430" s="88">
        <v>761</v>
      </c>
      <c r="E430" s="88">
        <v>1810</v>
      </c>
      <c r="F430" s="89">
        <f t="shared" ref="F430:F436" si="324">O430</f>
        <v>10</v>
      </c>
      <c r="G430" s="90">
        <f t="shared" ref="G430:G436" si="325">D430*E430/91809*F430</f>
        <v>150.02995349039855</v>
      </c>
      <c r="H430" s="90">
        <f t="shared" ref="H430:H436" si="326">(D430/1000)*4*F430+(E430/1000)*4*F430</f>
        <v>102.84</v>
      </c>
      <c r="I430" s="91" t="str">
        <f t="shared" ref="I430:I436" si="327">I421</f>
        <v>10동2라인</v>
      </c>
      <c r="J430" s="92" t="s">
        <v>212</v>
      </c>
      <c r="L430" s="89">
        <v>2</v>
      </c>
      <c r="M430" s="78">
        <f>M421</f>
        <v>5</v>
      </c>
      <c r="N430" s="84"/>
      <c r="O430" s="78">
        <f>L430*M430-N430*L430</f>
        <v>10</v>
      </c>
    </row>
    <row r="431" spans="1:16" ht="18" customHeight="1">
      <c r="A431" s="85"/>
      <c r="B431" s="86"/>
      <c r="C431" s="87"/>
      <c r="D431" s="88">
        <v>1688</v>
      </c>
      <c r="E431" s="88">
        <v>1810</v>
      </c>
      <c r="F431" s="89">
        <f t="shared" si="324"/>
        <v>5</v>
      </c>
      <c r="G431" s="90">
        <f t="shared" si="325"/>
        <v>166.39327299066539</v>
      </c>
      <c r="H431" s="90">
        <f t="shared" si="326"/>
        <v>69.960000000000008</v>
      </c>
      <c r="I431" s="91" t="str">
        <f t="shared" si="327"/>
        <v>10동2라인</v>
      </c>
      <c r="J431" s="92" t="s">
        <v>213</v>
      </c>
      <c r="L431" s="89">
        <v>1</v>
      </c>
      <c r="M431" s="78">
        <f>M430</f>
        <v>5</v>
      </c>
      <c r="N431" s="84"/>
      <c r="O431" s="78">
        <f>L431*M431-N431*L431</f>
        <v>5</v>
      </c>
    </row>
    <row r="432" spans="1:16" ht="18" customHeight="1">
      <c r="A432" s="104"/>
      <c r="B432" s="93"/>
      <c r="C432" s="87"/>
      <c r="D432" s="88">
        <v>738</v>
      </c>
      <c r="E432" s="88">
        <v>1310</v>
      </c>
      <c r="F432" s="89">
        <f t="shared" si="324"/>
        <v>20</v>
      </c>
      <c r="G432" s="90">
        <f t="shared" si="325"/>
        <v>210.6068032545829</v>
      </c>
      <c r="H432" s="90">
        <f t="shared" si="326"/>
        <v>163.84</v>
      </c>
      <c r="I432" s="91" t="str">
        <f t="shared" si="327"/>
        <v>10동2라인</v>
      </c>
      <c r="J432" s="92" t="s">
        <v>214</v>
      </c>
      <c r="L432" s="89">
        <v>4</v>
      </c>
      <c r="M432" s="78">
        <f t="shared" ref="M432:M436" si="328">M431</f>
        <v>5</v>
      </c>
      <c r="N432" s="84"/>
      <c r="O432" s="78">
        <f t="shared" ref="O432:O436" si="329">L432*M432-N432*L432</f>
        <v>20</v>
      </c>
    </row>
    <row r="433" spans="1:16" ht="18" customHeight="1">
      <c r="A433" s="104"/>
      <c r="B433" s="93"/>
      <c r="C433" s="87"/>
      <c r="D433" s="88">
        <v>288</v>
      </c>
      <c r="E433" s="88">
        <v>910</v>
      </c>
      <c r="F433" s="89">
        <f t="shared" si="324"/>
        <v>10</v>
      </c>
      <c r="G433" s="90">
        <f t="shared" si="325"/>
        <v>28.546220958729535</v>
      </c>
      <c r="H433" s="90">
        <f t="shared" si="326"/>
        <v>47.92</v>
      </c>
      <c r="I433" s="91" t="str">
        <f t="shared" si="327"/>
        <v>10동2라인</v>
      </c>
      <c r="J433" s="92" t="s">
        <v>215</v>
      </c>
      <c r="L433" s="89">
        <v>2</v>
      </c>
      <c r="M433" s="78">
        <f t="shared" si="328"/>
        <v>5</v>
      </c>
      <c r="N433" s="78"/>
      <c r="O433" s="78">
        <f t="shared" si="329"/>
        <v>10</v>
      </c>
    </row>
    <row r="434" spans="1:16" ht="18" customHeight="1">
      <c r="A434" s="104"/>
      <c r="B434" s="93"/>
      <c r="C434" s="87"/>
      <c r="D434" s="88">
        <v>228</v>
      </c>
      <c r="E434" s="88">
        <v>910</v>
      </c>
      <c r="F434" s="89">
        <f t="shared" si="324"/>
        <v>10</v>
      </c>
      <c r="G434" s="90">
        <f t="shared" si="325"/>
        <v>22.59909159232755</v>
      </c>
      <c r="H434" s="90">
        <f t="shared" si="326"/>
        <v>45.519999999999996</v>
      </c>
      <c r="I434" s="91" t="str">
        <f t="shared" si="327"/>
        <v>10동2라인</v>
      </c>
      <c r="J434" s="92" t="s">
        <v>216</v>
      </c>
      <c r="L434" s="89">
        <v>2</v>
      </c>
      <c r="M434" s="78">
        <f t="shared" si="328"/>
        <v>5</v>
      </c>
      <c r="N434" s="78"/>
      <c r="O434" s="78">
        <f t="shared" si="329"/>
        <v>10</v>
      </c>
    </row>
    <row r="435" spans="1:16" ht="18" customHeight="1">
      <c r="A435" s="104"/>
      <c r="B435" s="93"/>
      <c r="C435" s="87"/>
      <c r="D435" s="88">
        <v>438</v>
      </c>
      <c r="E435" s="88">
        <v>270</v>
      </c>
      <c r="F435" s="89">
        <f t="shared" si="324"/>
        <v>10</v>
      </c>
      <c r="G435" s="90">
        <f t="shared" si="325"/>
        <v>12.881090089206941</v>
      </c>
      <c r="H435" s="90">
        <f t="shared" si="326"/>
        <v>28.32</v>
      </c>
      <c r="I435" s="91" t="str">
        <f t="shared" si="327"/>
        <v>10동2라인</v>
      </c>
      <c r="J435" s="92" t="s">
        <v>217</v>
      </c>
      <c r="L435" s="89">
        <v>2</v>
      </c>
      <c r="M435" s="78">
        <f t="shared" si="328"/>
        <v>5</v>
      </c>
      <c r="N435" s="78"/>
      <c r="O435" s="78">
        <f t="shared" si="329"/>
        <v>10</v>
      </c>
    </row>
    <row r="436" spans="1:16" ht="18" customHeight="1">
      <c r="A436" s="104"/>
      <c r="B436" s="93"/>
      <c r="C436" s="87"/>
      <c r="D436" s="88">
        <v>208</v>
      </c>
      <c r="E436" s="88">
        <v>910</v>
      </c>
      <c r="F436" s="89">
        <f t="shared" si="324"/>
        <v>10</v>
      </c>
      <c r="G436" s="90">
        <f t="shared" si="325"/>
        <v>20.616715136860222</v>
      </c>
      <c r="H436" s="90">
        <f t="shared" si="326"/>
        <v>44.72</v>
      </c>
      <c r="I436" s="91" t="str">
        <f t="shared" si="327"/>
        <v>10동2라인</v>
      </c>
      <c r="J436" s="92" t="s">
        <v>218</v>
      </c>
      <c r="L436" s="89">
        <v>2</v>
      </c>
      <c r="M436" s="78">
        <f t="shared" si="328"/>
        <v>5</v>
      </c>
      <c r="N436" s="78"/>
      <c r="O436" s="78">
        <f t="shared" si="329"/>
        <v>10</v>
      </c>
    </row>
    <row r="437" spans="1:16" ht="18" customHeight="1">
      <c r="A437" s="104"/>
      <c r="B437" s="87"/>
      <c r="C437" s="87"/>
      <c r="D437" s="325" t="s">
        <v>0</v>
      </c>
      <c r="E437" s="325"/>
      <c r="F437" s="171">
        <f>SUM(F430:F436)</f>
        <v>75</v>
      </c>
      <c r="G437" s="95">
        <f>SUM(G430:G436)</f>
        <v>611.67314751277115</v>
      </c>
      <c r="H437" s="95">
        <f>SUM(H430:H436)</f>
        <v>503.12</v>
      </c>
      <c r="I437" s="97"/>
      <c r="J437" s="98"/>
    </row>
    <row r="438" spans="1:16">
      <c r="A438" s="105"/>
      <c r="B438" s="9"/>
      <c r="C438" s="9"/>
      <c r="D438" s="51"/>
      <c r="E438" s="51"/>
      <c r="F438" s="51"/>
      <c r="G438" s="106"/>
      <c r="H438" s="106"/>
      <c r="I438" s="9"/>
      <c r="J438" s="107"/>
    </row>
    <row r="439" spans="1:16" ht="18" customHeight="1">
      <c r="A439" s="85"/>
      <c r="B439" s="163" t="s">
        <v>199</v>
      </c>
      <c r="C439" s="163">
        <v>22</v>
      </c>
      <c r="D439" s="88">
        <v>738</v>
      </c>
      <c r="E439" s="88">
        <v>1810</v>
      </c>
      <c r="F439" s="89">
        <f t="shared" ref="F439:F440" si="330">O439</f>
        <v>0</v>
      </c>
      <c r="G439" s="90">
        <f t="shared" ref="G439:G440" si="331">D439*E439/91809*F439</f>
        <v>0</v>
      </c>
      <c r="H439" s="90">
        <f t="shared" ref="H439:H440" si="332">(D439/1000)*4*F439+(E439/1000)*4*F439</f>
        <v>0</v>
      </c>
      <c r="I439" s="91" t="str">
        <f>I430</f>
        <v>10동2라인</v>
      </c>
      <c r="J439" s="92" t="s">
        <v>219</v>
      </c>
      <c r="L439" s="89">
        <v>2</v>
      </c>
      <c r="M439" s="78">
        <f>M421</f>
        <v>5</v>
      </c>
      <c r="N439" s="84">
        <f>M439</f>
        <v>5</v>
      </c>
      <c r="O439" s="78">
        <f>L439*M439-N439*L439</f>
        <v>0</v>
      </c>
      <c r="P439" s="64" t="s">
        <v>247</v>
      </c>
    </row>
    <row r="440" spans="1:16" ht="18" customHeight="1">
      <c r="A440" s="85"/>
      <c r="B440" s="86"/>
      <c r="C440" s="87"/>
      <c r="D440" s="88">
        <v>250</v>
      </c>
      <c r="E440" s="88">
        <v>930</v>
      </c>
      <c r="F440" s="89">
        <f t="shared" si="330"/>
        <v>10</v>
      </c>
      <c r="G440" s="90">
        <f t="shared" si="331"/>
        <v>25.324314609678787</v>
      </c>
      <c r="H440" s="90">
        <f t="shared" si="332"/>
        <v>47.2</v>
      </c>
      <c r="I440" s="91" t="str">
        <f>I439</f>
        <v>10동2라인</v>
      </c>
      <c r="J440" s="92" t="s">
        <v>220</v>
      </c>
      <c r="L440" s="89">
        <v>2</v>
      </c>
      <c r="M440" s="78">
        <f>M439</f>
        <v>5</v>
      </c>
      <c r="N440" s="84"/>
      <c r="O440" s="78">
        <f t="shared" ref="O440" si="333">L440*M440-N440*L440</f>
        <v>10</v>
      </c>
    </row>
    <row r="441" spans="1:16" ht="18" customHeight="1">
      <c r="A441" s="85"/>
      <c r="B441" s="93"/>
      <c r="C441" s="87"/>
      <c r="D441" s="325" t="s">
        <v>0</v>
      </c>
      <c r="E441" s="325"/>
      <c r="F441" s="94">
        <f>SUM(F439:F440)</f>
        <v>10</v>
      </c>
      <c r="G441" s="95">
        <f>SUM(G439:G440)</f>
        <v>25.324314609678787</v>
      </c>
      <c r="H441" s="95">
        <f>SUM(H439:H440)</f>
        <v>47.2</v>
      </c>
      <c r="I441" s="97"/>
      <c r="J441" s="98"/>
    </row>
    <row r="442" spans="1:16">
      <c r="A442" s="236"/>
      <c r="B442" s="237"/>
      <c r="C442" s="238"/>
      <c r="D442" s="362"/>
      <c r="E442" s="362"/>
      <c r="F442" s="239"/>
      <c r="G442" s="240"/>
      <c r="H442" s="241"/>
      <c r="I442" s="242"/>
      <c r="J442" s="243"/>
    </row>
    <row r="443" spans="1:16" ht="18" customHeight="1">
      <c r="A443" s="244" t="s">
        <v>234</v>
      </c>
      <c r="B443" s="23" t="s">
        <v>195</v>
      </c>
      <c r="C443" s="24">
        <v>22</v>
      </c>
      <c r="D443" s="88">
        <v>761</v>
      </c>
      <c r="E443" s="88">
        <v>1810</v>
      </c>
      <c r="F443" s="89">
        <f>O443</f>
        <v>10</v>
      </c>
      <c r="G443" s="90">
        <f t="shared" ref="G443:G449" si="334">D443*E443/91809*F443</f>
        <v>150.02995349039855</v>
      </c>
      <c r="H443" s="90">
        <f t="shared" ref="H443:H449" si="335">(D443/1000)*4*F443+(E443/1000)*4*F443</f>
        <v>102.84</v>
      </c>
      <c r="I443" s="91" t="s">
        <v>262</v>
      </c>
      <c r="J443" s="92" t="s">
        <v>205</v>
      </c>
      <c r="L443" s="89">
        <v>2</v>
      </c>
      <c r="M443" s="78">
        <v>5</v>
      </c>
      <c r="N443" s="84"/>
      <c r="O443" s="78">
        <f>L443*M443-N443*L443</f>
        <v>10</v>
      </c>
      <c r="P443" s="64"/>
    </row>
    <row r="444" spans="1:16" ht="18" customHeight="1">
      <c r="A444" s="85"/>
      <c r="B444" s="86"/>
      <c r="C444" s="87"/>
      <c r="D444" s="88">
        <v>1688</v>
      </c>
      <c r="E444" s="88">
        <v>1810</v>
      </c>
      <c r="F444" s="89">
        <f t="shared" ref="F444:F449" si="336">O444</f>
        <v>5</v>
      </c>
      <c r="G444" s="90">
        <f t="shared" si="334"/>
        <v>166.39327299066539</v>
      </c>
      <c r="H444" s="90">
        <f t="shared" si="335"/>
        <v>69.960000000000008</v>
      </c>
      <c r="I444" s="91" t="str">
        <f>I443</f>
        <v>10동3라인</v>
      </c>
      <c r="J444" s="92" t="s">
        <v>206</v>
      </c>
      <c r="L444" s="89">
        <v>1</v>
      </c>
      <c r="M444" s="78">
        <f>M443</f>
        <v>5</v>
      </c>
      <c r="N444" s="84"/>
      <c r="O444" s="78">
        <f t="shared" ref="O444:O449" si="337">L444*M444-N444*L444</f>
        <v>5</v>
      </c>
    </row>
    <row r="445" spans="1:16" ht="18" customHeight="1">
      <c r="A445" s="85"/>
      <c r="B445" s="86"/>
      <c r="C445" s="87"/>
      <c r="D445" s="88">
        <v>738</v>
      </c>
      <c r="E445" s="88">
        <v>1310</v>
      </c>
      <c r="F445" s="89">
        <f t="shared" si="336"/>
        <v>20</v>
      </c>
      <c r="G445" s="90">
        <f t="shared" si="334"/>
        <v>210.6068032545829</v>
      </c>
      <c r="H445" s="90">
        <f t="shared" si="335"/>
        <v>163.84</v>
      </c>
      <c r="I445" s="91" t="str">
        <f t="shared" ref="I445:I449" si="338">I444</f>
        <v>10동3라인</v>
      </c>
      <c r="J445" s="92" t="s">
        <v>207</v>
      </c>
      <c r="L445" s="89">
        <v>4</v>
      </c>
      <c r="M445" s="78">
        <f t="shared" ref="M445:M448" si="339">M444</f>
        <v>5</v>
      </c>
      <c r="N445" s="78"/>
      <c r="O445" s="78">
        <f t="shared" si="337"/>
        <v>20</v>
      </c>
    </row>
    <row r="446" spans="1:16" ht="18" customHeight="1">
      <c r="A446" s="85"/>
      <c r="B446" s="86"/>
      <c r="C446" s="87"/>
      <c r="D446" s="88">
        <v>288</v>
      </c>
      <c r="E446" s="88">
        <v>910</v>
      </c>
      <c r="F446" s="89">
        <f t="shared" si="336"/>
        <v>10</v>
      </c>
      <c r="G446" s="90">
        <f t="shared" si="334"/>
        <v>28.546220958729535</v>
      </c>
      <c r="H446" s="90">
        <f t="shared" si="335"/>
        <v>47.92</v>
      </c>
      <c r="I446" s="91" t="str">
        <f t="shared" si="338"/>
        <v>10동3라인</v>
      </c>
      <c r="J446" s="92" t="s">
        <v>208</v>
      </c>
      <c r="L446" s="89">
        <v>2</v>
      </c>
      <c r="M446" s="78">
        <f t="shared" si="339"/>
        <v>5</v>
      </c>
      <c r="N446" s="78"/>
      <c r="O446" s="78">
        <f t="shared" si="337"/>
        <v>10</v>
      </c>
    </row>
    <row r="447" spans="1:16" ht="18" customHeight="1">
      <c r="A447" s="85"/>
      <c r="B447" s="86"/>
      <c r="C447" s="87"/>
      <c r="D447" s="88">
        <v>228</v>
      </c>
      <c r="E447" s="88">
        <v>910</v>
      </c>
      <c r="F447" s="89">
        <f t="shared" si="336"/>
        <v>10</v>
      </c>
      <c r="G447" s="90">
        <f t="shared" si="334"/>
        <v>22.59909159232755</v>
      </c>
      <c r="H447" s="90">
        <f t="shared" si="335"/>
        <v>45.519999999999996</v>
      </c>
      <c r="I447" s="91" t="str">
        <f t="shared" si="338"/>
        <v>10동3라인</v>
      </c>
      <c r="J447" s="92" t="s">
        <v>209</v>
      </c>
      <c r="L447" s="89">
        <v>2</v>
      </c>
      <c r="M447" s="78">
        <f t="shared" si="339"/>
        <v>5</v>
      </c>
      <c r="N447" s="78"/>
      <c r="O447" s="78">
        <f t="shared" si="337"/>
        <v>10</v>
      </c>
    </row>
    <row r="448" spans="1:16" ht="18" customHeight="1">
      <c r="A448" s="85"/>
      <c r="B448" s="86"/>
      <c r="C448" s="87"/>
      <c r="D448" s="88">
        <v>438</v>
      </c>
      <c r="E448" s="88">
        <v>270</v>
      </c>
      <c r="F448" s="89">
        <f t="shared" si="336"/>
        <v>10</v>
      </c>
      <c r="G448" s="90">
        <f t="shared" si="334"/>
        <v>12.881090089206941</v>
      </c>
      <c r="H448" s="90">
        <f t="shared" si="335"/>
        <v>28.32</v>
      </c>
      <c r="I448" s="91" t="str">
        <f t="shared" si="338"/>
        <v>10동3라인</v>
      </c>
      <c r="J448" s="92" t="s">
        <v>210</v>
      </c>
      <c r="L448" s="89">
        <v>2</v>
      </c>
      <c r="M448" s="78">
        <f t="shared" si="339"/>
        <v>5</v>
      </c>
      <c r="N448" s="78"/>
      <c r="O448" s="78">
        <f t="shared" si="337"/>
        <v>10</v>
      </c>
    </row>
    <row r="449" spans="1:16" ht="18" customHeight="1">
      <c r="A449" s="85"/>
      <c r="B449" s="86"/>
      <c r="C449" s="87"/>
      <c r="D449" s="88">
        <v>208</v>
      </c>
      <c r="E449" s="88">
        <v>910</v>
      </c>
      <c r="F449" s="89">
        <f t="shared" si="336"/>
        <v>10</v>
      </c>
      <c r="G449" s="90">
        <f t="shared" si="334"/>
        <v>20.616715136860222</v>
      </c>
      <c r="H449" s="90">
        <f t="shared" si="335"/>
        <v>44.72</v>
      </c>
      <c r="I449" s="91" t="str">
        <f t="shared" si="338"/>
        <v>10동3라인</v>
      </c>
      <c r="J449" s="92" t="s">
        <v>211</v>
      </c>
      <c r="L449" s="89">
        <v>2</v>
      </c>
      <c r="M449" s="78">
        <f>M448</f>
        <v>5</v>
      </c>
      <c r="N449" s="78"/>
      <c r="O449" s="78">
        <f t="shared" si="337"/>
        <v>10</v>
      </c>
    </row>
    <row r="450" spans="1:16" ht="18" customHeight="1">
      <c r="A450" s="85"/>
      <c r="B450" s="93"/>
      <c r="C450" s="87"/>
      <c r="D450" s="325" t="s">
        <v>0</v>
      </c>
      <c r="E450" s="325"/>
      <c r="F450" s="94">
        <f>SUM(F443:F449)</f>
        <v>75</v>
      </c>
      <c r="G450" s="95">
        <f>SUM(G443:G449)</f>
        <v>611.67314751277115</v>
      </c>
      <c r="H450" s="96">
        <f>SUM(H443:H449)</f>
        <v>503.12</v>
      </c>
      <c r="I450" s="97"/>
      <c r="J450" s="162"/>
    </row>
    <row r="451" spans="1:16" ht="18" customHeight="1">
      <c r="A451" s="85"/>
      <c r="B451" s="93"/>
      <c r="C451" s="87"/>
      <c r="D451" s="161"/>
      <c r="E451" s="161"/>
      <c r="F451" s="89"/>
      <c r="G451" s="100"/>
      <c r="H451" s="101"/>
      <c r="I451" s="102"/>
      <c r="J451" s="121"/>
      <c r="L451" s="78" t="s">
        <v>48</v>
      </c>
      <c r="M451" s="78" t="s">
        <v>54</v>
      </c>
      <c r="N451" s="78" t="s">
        <v>50</v>
      </c>
      <c r="O451" s="78" t="s">
        <v>55</v>
      </c>
    </row>
    <row r="452" spans="1:16" ht="18" customHeight="1">
      <c r="A452" s="85"/>
      <c r="B452" s="23" t="s">
        <v>197</v>
      </c>
      <c r="C452" s="24">
        <v>22</v>
      </c>
      <c r="D452" s="88">
        <v>761</v>
      </c>
      <c r="E452" s="88">
        <v>1810</v>
      </c>
      <c r="F452" s="89">
        <f t="shared" ref="F452:F458" si="340">O452</f>
        <v>10</v>
      </c>
      <c r="G452" s="90">
        <f t="shared" ref="G452:G458" si="341">D452*E452/91809*F452</f>
        <v>150.02995349039855</v>
      </c>
      <c r="H452" s="90">
        <f t="shared" ref="H452:H458" si="342">(D452/1000)*4*F452+(E452/1000)*4*F452</f>
        <v>102.84</v>
      </c>
      <c r="I452" s="91" t="str">
        <f t="shared" ref="I452:I458" si="343">I443</f>
        <v>10동3라인</v>
      </c>
      <c r="J452" s="92" t="s">
        <v>212</v>
      </c>
      <c r="L452" s="89">
        <v>2</v>
      </c>
      <c r="M452" s="78">
        <f>M443</f>
        <v>5</v>
      </c>
      <c r="N452" s="84"/>
      <c r="O452" s="78">
        <f>L452*M452-N452*L452</f>
        <v>10</v>
      </c>
    </row>
    <row r="453" spans="1:16" ht="18" customHeight="1">
      <c r="A453" s="85"/>
      <c r="B453" s="86"/>
      <c r="C453" s="87"/>
      <c r="D453" s="88">
        <v>1688</v>
      </c>
      <c r="E453" s="88">
        <v>1810</v>
      </c>
      <c r="F453" s="89">
        <f t="shared" si="340"/>
        <v>5</v>
      </c>
      <c r="G453" s="90">
        <f t="shared" si="341"/>
        <v>166.39327299066539</v>
      </c>
      <c r="H453" s="90">
        <f t="shared" si="342"/>
        <v>69.960000000000008</v>
      </c>
      <c r="I453" s="91" t="str">
        <f t="shared" si="343"/>
        <v>10동3라인</v>
      </c>
      <c r="J453" s="92" t="s">
        <v>213</v>
      </c>
      <c r="L453" s="89">
        <v>1</v>
      </c>
      <c r="M453" s="78">
        <f>M452</f>
        <v>5</v>
      </c>
      <c r="N453" s="84"/>
      <c r="O453" s="78">
        <f>L453*M453-N453*L453</f>
        <v>5</v>
      </c>
    </row>
    <row r="454" spans="1:16" ht="18" customHeight="1">
      <c r="A454" s="104"/>
      <c r="B454" s="93"/>
      <c r="C454" s="87"/>
      <c r="D454" s="88">
        <v>738</v>
      </c>
      <c r="E454" s="88">
        <v>1310</v>
      </c>
      <c r="F454" s="89">
        <f t="shared" si="340"/>
        <v>20</v>
      </c>
      <c r="G454" s="90">
        <f t="shared" si="341"/>
        <v>210.6068032545829</v>
      </c>
      <c r="H454" s="90">
        <f t="shared" si="342"/>
        <v>163.84</v>
      </c>
      <c r="I454" s="91" t="str">
        <f t="shared" si="343"/>
        <v>10동3라인</v>
      </c>
      <c r="J454" s="92" t="s">
        <v>214</v>
      </c>
      <c r="L454" s="89">
        <v>4</v>
      </c>
      <c r="M454" s="78">
        <f t="shared" ref="M454:M458" si="344">M453</f>
        <v>5</v>
      </c>
      <c r="N454" s="84"/>
      <c r="O454" s="78">
        <f t="shared" ref="O454:O458" si="345">L454*M454-N454*L454</f>
        <v>20</v>
      </c>
    </row>
    <row r="455" spans="1:16" ht="18" customHeight="1">
      <c r="A455" s="104"/>
      <c r="B455" s="93"/>
      <c r="C455" s="87"/>
      <c r="D455" s="88">
        <v>288</v>
      </c>
      <c r="E455" s="88">
        <v>910</v>
      </c>
      <c r="F455" s="89">
        <f t="shared" si="340"/>
        <v>10</v>
      </c>
      <c r="G455" s="90">
        <f t="shared" si="341"/>
        <v>28.546220958729535</v>
      </c>
      <c r="H455" s="90">
        <f t="shared" si="342"/>
        <v>47.92</v>
      </c>
      <c r="I455" s="91" t="str">
        <f t="shared" si="343"/>
        <v>10동3라인</v>
      </c>
      <c r="J455" s="92" t="s">
        <v>215</v>
      </c>
      <c r="L455" s="89">
        <v>2</v>
      </c>
      <c r="M455" s="78">
        <f t="shared" si="344"/>
        <v>5</v>
      </c>
      <c r="N455" s="78"/>
      <c r="O455" s="78">
        <f t="shared" si="345"/>
        <v>10</v>
      </c>
    </row>
    <row r="456" spans="1:16" ht="18" customHeight="1">
      <c r="A456" s="104"/>
      <c r="B456" s="93"/>
      <c r="C456" s="87"/>
      <c r="D456" s="88">
        <v>228</v>
      </c>
      <c r="E456" s="88">
        <v>910</v>
      </c>
      <c r="F456" s="89">
        <f t="shared" si="340"/>
        <v>10</v>
      </c>
      <c r="G456" s="90">
        <f t="shared" si="341"/>
        <v>22.59909159232755</v>
      </c>
      <c r="H456" s="90">
        <f t="shared" si="342"/>
        <v>45.519999999999996</v>
      </c>
      <c r="I456" s="91" t="str">
        <f t="shared" si="343"/>
        <v>10동3라인</v>
      </c>
      <c r="J456" s="92" t="s">
        <v>216</v>
      </c>
      <c r="L456" s="89">
        <v>2</v>
      </c>
      <c r="M456" s="78">
        <f t="shared" si="344"/>
        <v>5</v>
      </c>
      <c r="N456" s="78"/>
      <c r="O456" s="78">
        <f t="shared" si="345"/>
        <v>10</v>
      </c>
    </row>
    <row r="457" spans="1:16" ht="18" customHeight="1">
      <c r="A457" s="104"/>
      <c r="B457" s="93"/>
      <c r="C457" s="87"/>
      <c r="D457" s="88">
        <v>438</v>
      </c>
      <c r="E457" s="88">
        <v>270</v>
      </c>
      <c r="F457" s="89">
        <f t="shared" si="340"/>
        <v>10</v>
      </c>
      <c r="G457" s="90">
        <f t="shared" si="341"/>
        <v>12.881090089206941</v>
      </c>
      <c r="H457" s="90">
        <f t="shared" si="342"/>
        <v>28.32</v>
      </c>
      <c r="I457" s="91" t="str">
        <f t="shared" si="343"/>
        <v>10동3라인</v>
      </c>
      <c r="J457" s="92" t="s">
        <v>217</v>
      </c>
      <c r="L457" s="89">
        <v>2</v>
      </c>
      <c r="M457" s="78">
        <f t="shared" si="344"/>
        <v>5</v>
      </c>
      <c r="N457" s="78"/>
      <c r="O457" s="78">
        <f t="shared" si="345"/>
        <v>10</v>
      </c>
    </row>
    <row r="458" spans="1:16" ht="18" customHeight="1">
      <c r="A458" s="104"/>
      <c r="B458" s="93"/>
      <c r="C458" s="87"/>
      <c r="D458" s="88">
        <v>208</v>
      </c>
      <c r="E458" s="88">
        <v>910</v>
      </c>
      <c r="F458" s="89">
        <f t="shared" si="340"/>
        <v>10</v>
      </c>
      <c r="G458" s="90">
        <f t="shared" si="341"/>
        <v>20.616715136860222</v>
      </c>
      <c r="H458" s="90">
        <f t="shared" si="342"/>
        <v>44.72</v>
      </c>
      <c r="I458" s="91" t="str">
        <f t="shared" si="343"/>
        <v>10동3라인</v>
      </c>
      <c r="J458" s="92" t="s">
        <v>218</v>
      </c>
      <c r="L458" s="89">
        <v>2</v>
      </c>
      <c r="M458" s="78">
        <f t="shared" si="344"/>
        <v>5</v>
      </c>
      <c r="N458" s="78"/>
      <c r="O458" s="78">
        <f t="shared" si="345"/>
        <v>10</v>
      </c>
    </row>
    <row r="459" spans="1:16" ht="18" customHeight="1">
      <c r="A459" s="104"/>
      <c r="B459" s="87"/>
      <c r="C459" s="87"/>
      <c r="D459" s="325" t="s">
        <v>0</v>
      </c>
      <c r="E459" s="325"/>
      <c r="F459" s="171">
        <f>SUM(F452:F458)</f>
        <v>75</v>
      </c>
      <c r="G459" s="95">
        <f>SUM(G452:G458)</f>
        <v>611.67314751277115</v>
      </c>
      <c r="H459" s="95">
        <f>SUM(H452:H458)</f>
        <v>503.12</v>
      </c>
      <c r="I459" s="97"/>
      <c r="J459" s="98"/>
    </row>
    <row r="460" spans="1:16">
      <c r="A460" s="105"/>
      <c r="B460" s="9"/>
      <c r="C460" s="9"/>
      <c r="D460" s="51"/>
      <c r="E460" s="51"/>
      <c r="F460" s="51"/>
      <c r="G460" s="106"/>
      <c r="H460" s="106"/>
      <c r="I460" s="9"/>
      <c r="J460" s="107"/>
    </row>
    <row r="461" spans="1:16" ht="18" customHeight="1">
      <c r="A461" s="85"/>
      <c r="B461" s="163" t="s">
        <v>199</v>
      </c>
      <c r="C461" s="163">
        <v>22</v>
      </c>
      <c r="D461" s="88">
        <v>738</v>
      </c>
      <c r="E461" s="88">
        <v>1810</v>
      </c>
      <c r="F461" s="89">
        <f t="shared" ref="F461:F462" si="346">O461</f>
        <v>10</v>
      </c>
      <c r="G461" s="90">
        <f t="shared" ref="G461:G462" si="347">D461*E461/91809*F461</f>
        <v>145.4955396529752</v>
      </c>
      <c r="H461" s="90">
        <f t="shared" ref="H461:H462" si="348">(D461/1000)*4*F461+(E461/1000)*4*F461</f>
        <v>101.92</v>
      </c>
      <c r="I461" s="91" t="str">
        <f>I452</f>
        <v>10동3라인</v>
      </c>
      <c r="J461" s="92" t="s">
        <v>219</v>
      </c>
      <c r="L461" s="89">
        <v>2</v>
      </c>
      <c r="M461" s="78">
        <f>M443</f>
        <v>5</v>
      </c>
      <c r="N461" s="84"/>
      <c r="O461" s="78">
        <f>L461*M461-N461*L461</f>
        <v>10</v>
      </c>
      <c r="P461" s="64"/>
    </row>
    <row r="462" spans="1:16" ht="18" customHeight="1">
      <c r="A462" s="85"/>
      <c r="B462" s="86"/>
      <c r="C462" s="87"/>
      <c r="D462" s="88">
        <v>250</v>
      </c>
      <c r="E462" s="88">
        <v>930</v>
      </c>
      <c r="F462" s="89">
        <f t="shared" si="346"/>
        <v>10</v>
      </c>
      <c r="G462" s="90">
        <f t="shared" si="347"/>
        <v>25.324314609678787</v>
      </c>
      <c r="H462" s="90">
        <f t="shared" si="348"/>
        <v>47.2</v>
      </c>
      <c r="I462" s="91" t="str">
        <f>I461</f>
        <v>10동3라인</v>
      </c>
      <c r="J462" s="92" t="s">
        <v>220</v>
      </c>
      <c r="L462" s="89">
        <v>2</v>
      </c>
      <c r="M462" s="78">
        <f>M461</f>
        <v>5</v>
      </c>
      <c r="N462" s="84"/>
      <c r="O462" s="78">
        <f t="shared" ref="O462" si="349">L462*M462-N462*L462</f>
        <v>10</v>
      </c>
    </row>
    <row r="463" spans="1:16" ht="18" customHeight="1" thickBot="1">
      <c r="A463" s="222"/>
      <c r="B463" s="223"/>
      <c r="C463" s="224"/>
      <c r="D463" s="364" t="s">
        <v>0</v>
      </c>
      <c r="E463" s="364"/>
      <c r="F463" s="269">
        <f>SUM(F461:F462)</f>
        <v>20</v>
      </c>
      <c r="G463" s="270">
        <f>SUM(G461:G462)</f>
        <v>170.81985426265399</v>
      </c>
      <c r="H463" s="270">
        <f>SUM(H461:H462)</f>
        <v>149.12</v>
      </c>
      <c r="I463" s="271"/>
      <c r="J463" s="272"/>
    </row>
    <row r="464" spans="1:16" ht="18" customHeight="1">
      <c r="A464" s="79" t="s">
        <v>235</v>
      </c>
      <c r="B464" s="231" t="s">
        <v>196</v>
      </c>
      <c r="C464" s="232">
        <v>22</v>
      </c>
      <c r="D464" s="80">
        <v>861</v>
      </c>
      <c r="E464" s="80">
        <v>1810</v>
      </c>
      <c r="F464" s="233">
        <f t="shared" ref="F464:F467" si="350">O464</f>
        <v>5</v>
      </c>
      <c r="G464" s="81">
        <f t="shared" ref="G464:G467" si="351">D464*E464/91809*F464</f>
        <v>84.872398130902198</v>
      </c>
      <c r="H464" s="81">
        <f t="shared" ref="H464:H467" si="352">(D464/1000)*4*F464+(E464/1000)*4*F464</f>
        <v>53.42</v>
      </c>
      <c r="I464" s="82" t="s">
        <v>263</v>
      </c>
      <c r="J464" s="83" t="s">
        <v>205</v>
      </c>
      <c r="L464" s="89">
        <v>1</v>
      </c>
      <c r="M464" s="78">
        <v>5</v>
      </c>
      <c r="N464" s="84"/>
      <c r="O464" s="78">
        <f>L464*M464-N464*L464</f>
        <v>5</v>
      </c>
      <c r="P464" s="64"/>
    </row>
    <row r="465" spans="1:16" ht="18" customHeight="1">
      <c r="A465" s="85"/>
      <c r="B465" s="86"/>
      <c r="C465" s="87"/>
      <c r="D465" s="88">
        <v>738</v>
      </c>
      <c r="E465" s="88">
        <v>1310</v>
      </c>
      <c r="F465" s="89">
        <f t="shared" si="350"/>
        <v>20</v>
      </c>
      <c r="G465" s="90">
        <f t="shared" si="351"/>
        <v>210.6068032545829</v>
      </c>
      <c r="H465" s="90">
        <f t="shared" si="352"/>
        <v>163.84</v>
      </c>
      <c r="I465" s="91" t="str">
        <f>I464</f>
        <v>10동4라인</v>
      </c>
      <c r="J465" s="92" t="s">
        <v>207</v>
      </c>
      <c r="L465" s="89">
        <v>4</v>
      </c>
      <c r="M465" s="78">
        <f>M464</f>
        <v>5</v>
      </c>
      <c r="N465" s="84"/>
      <c r="O465" s="78">
        <f t="shared" ref="O465:O467" si="353">L465*M465-N465*L465</f>
        <v>20</v>
      </c>
    </row>
    <row r="466" spans="1:16" ht="18" customHeight="1">
      <c r="A466" s="85"/>
      <c r="B466" s="86"/>
      <c r="C466" s="87"/>
      <c r="D466" s="88">
        <v>228</v>
      </c>
      <c r="E466" s="88">
        <v>910</v>
      </c>
      <c r="F466" s="89">
        <f t="shared" si="350"/>
        <v>10</v>
      </c>
      <c r="G466" s="90">
        <f t="shared" si="351"/>
        <v>22.59909159232755</v>
      </c>
      <c r="H466" s="90">
        <f t="shared" si="352"/>
        <v>45.519999999999996</v>
      </c>
      <c r="I466" s="91" t="str">
        <f t="shared" ref="I466:I467" si="354">I465</f>
        <v>10동4라인</v>
      </c>
      <c r="J466" s="92" t="s">
        <v>209</v>
      </c>
      <c r="L466" s="89">
        <v>2</v>
      </c>
      <c r="M466" s="78">
        <f t="shared" ref="M466:M467" si="355">M465</f>
        <v>5</v>
      </c>
      <c r="N466" s="78"/>
      <c r="O466" s="78">
        <f t="shared" si="353"/>
        <v>10</v>
      </c>
    </row>
    <row r="467" spans="1:16" ht="18" customHeight="1">
      <c r="A467" s="85"/>
      <c r="B467" s="86"/>
      <c r="C467" s="87"/>
      <c r="D467" s="88">
        <v>438</v>
      </c>
      <c r="E467" s="88">
        <v>270</v>
      </c>
      <c r="F467" s="89">
        <f t="shared" si="350"/>
        <v>10</v>
      </c>
      <c r="G467" s="90">
        <f t="shared" si="351"/>
        <v>12.881090089206941</v>
      </c>
      <c r="H467" s="90">
        <f t="shared" si="352"/>
        <v>28.32</v>
      </c>
      <c r="I467" s="91" t="str">
        <f t="shared" si="354"/>
        <v>10동4라인</v>
      </c>
      <c r="J467" s="92" t="s">
        <v>210</v>
      </c>
      <c r="L467" s="89">
        <v>2</v>
      </c>
      <c r="M467" s="78">
        <f t="shared" si="355"/>
        <v>5</v>
      </c>
      <c r="N467" s="78"/>
      <c r="O467" s="78">
        <f t="shared" si="353"/>
        <v>10</v>
      </c>
    </row>
    <row r="468" spans="1:16" ht="18" customHeight="1">
      <c r="A468" s="85"/>
      <c r="B468" s="93"/>
      <c r="C468" s="87"/>
      <c r="D468" s="325" t="s">
        <v>0</v>
      </c>
      <c r="E468" s="325"/>
      <c r="F468" s="94">
        <f>SUM(F464:F467)</f>
        <v>45</v>
      </c>
      <c r="G468" s="95">
        <f>SUM(G464:G467)</f>
        <v>330.95938306701964</v>
      </c>
      <c r="H468" s="96">
        <f>SUM(H464:H467)</f>
        <v>291.09999999999997</v>
      </c>
      <c r="I468" s="97"/>
      <c r="J468" s="162"/>
    </row>
    <row r="469" spans="1:16" ht="18" customHeight="1">
      <c r="A469" s="85"/>
      <c r="B469" s="93"/>
      <c r="C469" s="87"/>
      <c r="D469" s="161"/>
      <c r="E469" s="161"/>
      <c r="F469" s="89"/>
      <c r="G469" s="100"/>
      <c r="H469" s="101"/>
      <c r="I469" s="102"/>
      <c r="J469" s="121"/>
      <c r="L469" s="252"/>
      <c r="M469" s="252"/>
      <c r="N469" s="252"/>
      <c r="O469" s="252"/>
    </row>
    <row r="470" spans="1:16" ht="18" customHeight="1">
      <c r="A470" s="85"/>
      <c r="B470" s="23" t="s">
        <v>198</v>
      </c>
      <c r="C470" s="24">
        <v>22</v>
      </c>
      <c r="D470" s="88">
        <v>861</v>
      </c>
      <c r="E470" s="88">
        <v>1810</v>
      </c>
      <c r="F470" s="89">
        <f t="shared" ref="F470:F474" si="356">O470</f>
        <v>5</v>
      </c>
      <c r="G470" s="90">
        <f t="shared" ref="G470:G474" si="357">D470*E470/91809*F470</f>
        <v>84.872398130902198</v>
      </c>
      <c r="H470" s="90">
        <f t="shared" ref="H470:H474" si="358">(D470/1000)*4*F470+(E470/1000)*4*F470</f>
        <v>53.42</v>
      </c>
      <c r="I470" s="103" t="str">
        <f>I464</f>
        <v>10동4라인</v>
      </c>
      <c r="J470" s="92" t="s">
        <v>212</v>
      </c>
      <c r="L470" s="89">
        <v>1</v>
      </c>
      <c r="M470" s="78">
        <f>M464</f>
        <v>5</v>
      </c>
      <c r="N470" s="84"/>
      <c r="O470" s="78">
        <f>L470*M470-N470*L470</f>
        <v>5</v>
      </c>
    </row>
    <row r="471" spans="1:16" ht="18" customHeight="1">
      <c r="A471" s="85"/>
      <c r="B471" s="86"/>
      <c r="C471" s="87"/>
      <c r="D471" s="88">
        <v>2114</v>
      </c>
      <c r="E471" s="88">
        <v>1810</v>
      </c>
      <c r="F471" s="89">
        <f t="shared" si="356"/>
        <v>5</v>
      </c>
      <c r="G471" s="90">
        <f t="shared" si="357"/>
        <v>208.38588809375989</v>
      </c>
      <c r="H471" s="90">
        <f t="shared" si="358"/>
        <v>78.48</v>
      </c>
      <c r="I471" s="91" t="str">
        <f>I464</f>
        <v>10동4라인</v>
      </c>
      <c r="J471" s="92" t="s">
        <v>213</v>
      </c>
      <c r="L471" s="89">
        <v>1</v>
      </c>
      <c r="M471" s="78">
        <f>M470</f>
        <v>5</v>
      </c>
      <c r="N471" s="84"/>
      <c r="O471" s="78">
        <f>L471*M471-N471*L471</f>
        <v>5</v>
      </c>
    </row>
    <row r="472" spans="1:16" ht="18" customHeight="1">
      <c r="A472" s="104"/>
      <c r="B472" s="93"/>
      <c r="C472" s="87"/>
      <c r="D472" s="88">
        <v>738</v>
      </c>
      <c r="E472" s="88">
        <v>1310</v>
      </c>
      <c r="F472" s="89">
        <f t="shared" si="356"/>
        <v>20</v>
      </c>
      <c r="G472" s="90">
        <f t="shared" si="357"/>
        <v>210.6068032545829</v>
      </c>
      <c r="H472" s="90">
        <f t="shared" si="358"/>
        <v>163.84</v>
      </c>
      <c r="I472" s="91" t="str">
        <f>I471</f>
        <v>10동4라인</v>
      </c>
      <c r="J472" s="92" t="s">
        <v>214</v>
      </c>
      <c r="L472" s="89">
        <v>4</v>
      </c>
      <c r="M472" s="78">
        <f t="shared" ref="M472:M474" si="359">M471</f>
        <v>5</v>
      </c>
      <c r="N472" s="84"/>
      <c r="O472" s="78">
        <f t="shared" ref="O472:O474" si="360">L472*M472-N472*L472</f>
        <v>20</v>
      </c>
    </row>
    <row r="473" spans="1:16" ht="18" customHeight="1">
      <c r="A473" s="104"/>
      <c r="B473" s="93"/>
      <c r="C473" s="87"/>
      <c r="D473" s="88">
        <v>228</v>
      </c>
      <c r="E473" s="88">
        <v>910</v>
      </c>
      <c r="F473" s="89">
        <f t="shared" si="356"/>
        <v>10</v>
      </c>
      <c r="G473" s="90">
        <f t="shared" si="357"/>
        <v>22.59909159232755</v>
      </c>
      <c r="H473" s="90">
        <f t="shared" si="358"/>
        <v>45.519999999999996</v>
      </c>
      <c r="I473" s="91" t="str">
        <f t="shared" ref="I473:I474" si="361">I472</f>
        <v>10동4라인</v>
      </c>
      <c r="J473" s="92" t="s">
        <v>216</v>
      </c>
      <c r="L473" s="89">
        <v>2</v>
      </c>
      <c r="M473" s="78">
        <f t="shared" si="359"/>
        <v>5</v>
      </c>
      <c r="N473" s="78"/>
      <c r="O473" s="78">
        <f t="shared" si="360"/>
        <v>10</v>
      </c>
    </row>
    <row r="474" spans="1:16" ht="18" customHeight="1">
      <c r="A474" s="104"/>
      <c r="B474" s="93"/>
      <c r="C474" s="87"/>
      <c r="D474" s="88">
        <v>438</v>
      </c>
      <c r="E474" s="88">
        <v>270</v>
      </c>
      <c r="F474" s="89">
        <f t="shared" si="356"/>
        <v>10</v>
      </c>
      <c r="G474" s="90">
        <f t="shared" si="357"/>
        <v>12.881090089206941</v>
      </c>
      <c r="H474" s="90">
        <f t="shared" si="358"/>
        <v>28.32</v>
      </c>
      <c r="I474" s="91" t="str">
        <f t="shared" si="361"/>
        <v>10동4라인</v>
      </c>
      <c r="J474" s="92" t="s">
        <v>217</v>
      </c>
      <c r="L474" s="89">
        <v>2</v>
      </c>
      <c r="M474" s="78">
        <f t="shared" si="359"/>
        <v>5</v>
      </c>
      <c r="N474" s="78"/>
      <c r="O474" s="78">
        <f t="shared" si="360"/>
        <v>10</v>
      </c>
    </row>
    <row r="475" spans="1:16" ht="18" customHeight="1">
      <c r="A475" s="104"/>
      <c r="B475" s="87"/>
      <c r="C475" s="87"/>
      <c r="D475" s="325" t="s">
        <v>0</v>
      </c>
      <c r="E475" s="325"/>
      <c r="F475" s="171">
        <f>SUM(F470:F474)</f>
        <v>50</v>
      </c>
      <c r="G475" s="95">
        <f>SUM(G470:G474)</f>
        <v>539.34527116077948</v>
      </c>
      <c r="H475" s="95">
        <f>SUM(H470:H474)</f>
        <v>369.58</v>
      </c>
      <c r="I475" s="97"/>
      <c r="J475" s="98"/>
    </row>
    <row r="476" spans="1:16">
      <c r="A476" s="105"/>
      <c r="B476" s="9"/>
      <c r="C476" s="9"/>
      <c r="D476" s="51"/>
      <c r="E476" s="51"/>
      <c r="F476" s="51"/>
      <c r="G476" s="106"/>
      <c r="H476" s="106"/>
      <c r="I476" s="9"/>
      <c r="J476" s="107"/>
    </row>
    <row r="477" spans="1:16" ht="18" customHeight="1">
      <c r="A477" s="85"/>
      <c r="B477" s="23" t="s">
        <v>237</v>
      </c>
      <c r="C477" s="24">
        <v>22</v>
      </c>
      <c r="D477" s="88">
        <v>2114</v>
      </c>
      <c r="E477" s="88">
        <v>1810</v>
      </c>
      <c r="F477" s="89">
        <f t="shared" ref="F477" si="362">O477</f>
        <v>5</v>
      </c>
      <c r="G477" s="90">
        <f t="shared" ref="G477" si="363">D477*E477/91809*F477</f>
        <v>208.38588809375989</v>
      </c>
      <c r="H477" s="90">
        <f t="shared" ref="H477" si="364">(D477/1000)*4*F477+(E477/1000)*4*F477</f>
        <v>78.48</v>
      </c>
      <c r="I477" s="91" t="str">
        <f>I470</f>
        <v>10동4라인</v>
      </c>
      <c r="J477" s="92" t="s">
        <v>206</v>
      </c>
      <c r="L477" s="89">
        <v>1</v>
      </c>
      <c r="M477" s="78">
        <f>M464</f>
        <v>5</v>
      </c>
      <c r="N477" s="84"/>
      <c r="O477" s="78">
        <f>L477*M477-N477*L477</f>
        <v>5</v>
      </c>
    </row>
    <row r="478" spans="1:16" ht="18" customHeight="1">
      <c r="A478" s="85"/>
      <c r="B478" s="93"/>
      <c r="C478" s="87"/>
      <c r="D478" s="325" t="s">
        <v>0</v>
      </c>
      <c r="E478" s="325"/>
      <c r="F478" s="94">
        <f>SUM(F477:F477)</f>
        <v>5</v>
      </c>
      <c r="G478" s="95">
        <f>SUM(G477:G477)</f>
        <v>208.38588809375989</v>
      </c>
      <c r="H478" s="95">
        <f>SUM(H477:H477)</f>
        <v>78.48</v>
      </c>
      <c r="I478" s="97"/>
      <c r="J478" s="98"/>
    </row>
    <row r="479" spans="1:16" ht="18" customHeight="1">
      <c r="A479" s="218"/>
      <c r="B479" s="219"/>
      <c r="C479" s="220"/>
      <c r="D479" s="161"/>
      <c r="E479" s="161"/>
      <c r="F479" s="89"/>
      <c r="G479" s="100"/>
      <c r="H479" s="100"/>
      <c r="I479" s="102"/>
      <c r="J479" s="221"/>
    </row>
    <row r="480" spans="1:16" ht="18" customHeight="1">
      <c r="A480" s="85"/>
      <c r="B480" s="23" t="s">
        <v>200</v>
      </c>
      <c r="C480" s="24">
        <v>22</v>
      </c>
      <c r="D480" s="88">
        <v>738</v>
      </c>
      <c r="E480" s="88">
        <v>1810</v>
      </c>
      <c r="F480" s="89">
        <f t="shared" ref="F480:F481" si="365">O480</f>
        <v>0</v>
      </c>
      <c r="G480" s="90">
        <f t="shared" ref="G480:G481" si="366">D480*E480/91809*F480</f>
        <v>0</v>
      </c>
      <c r="H480" s="90">
        <f t="shared" ref="H480:H481" si="367">(D480/1000)*4*F480+(E480/1000)*4*F480</f>
        <v>0</v>
      </c>
      <c r="I480" s="91" t="str">
        <f>I477</f>
        <v>10동4라인</v>
      </c>
      <c r="J480" s="92" t="s">
        <v>219</v>
      </c>
      <c r="L480" s="89">
        <v>2</v>
      </c>
      <c r="M480" s="78">
        <f>M477</f>
        <v>5</v>
      </c>
      <c r="N480" s="84">
        <f>M480</f>
        <v>5</v>
      </c>
      <c r="O480" s="78">
        <f>L480*M480-N480*L480</f>
        <v>0</v>
      </c>
      <c r="P480" s="64" t="s">
        <v>284</v>
      </c>
    </row>
    <row r="481" spans="1:16" ht="18" customHeight="1">
      <c r="A481" s="85"/>
      <c r="B481" s="86"/>
      <c r="C481" s="87"/>
      <c r="D481" s="88">
        <v>250</v>
      </c>
      <c r="E481" s="88">
        <v>930</v>
      </c>
      <c r="F481" s="89">
        <f t="shared" si="365"/>
        <v>10</v>
      </c>
      <c r="G481" s="90">
        <f t="shared" si="366"/>
        <v>25.324314609678787</v>
      </c>
      <c r="H481" s="90">
        <f t="shared" si="367"/>
        <v>47.2</v>
      </c>
      <c r="I481" s="91" t="str">
        <f>I480</f>
        <v>10동4라인</v>
      </c>
      <c r="J481" s="92" t="s">
        <v>220</v>
      </c>
      <c r="L481" s="89">
        <v>2</v>
      </c>
      <c r="M481" s="78">
        <f>M480</f>
        <v>5</v>
      </c>
      <c r="N481" s="84"/>
      <c r="O481" s="78">
        <f t="shared" ref="O481" si="368">L481*M481-N481*L481</f>
        <v>10</v>
      </c>
    </row>
    <row r="482" spans="1:16" ht="18" customHeight="1">
      <c r="A482" s="85"/>
      <c r="B482" s="93"/>
      <c r="C482" s="87"/>
      <c r="D482" s="325" t="s">
        <v>0</v>
      </c>
      <c r="E482" s="325"/>
      <c r="F482" s="94">
        <f>SUM(F480:F481)</f>
        <v>10</v>
      </c>
      <c r="G482" s="95">
        <f>SUM(G480:G481)</f>
        <v>25.324314609678787</v>
      </c>
      <c r="H482" s="96">
        <f>SUM(H480:H481)</f>
        <v>47.2</v>
      </c>
      <c r="I482" s="97"/>
      <c r="J482" s="162"/>
    </row>
    <row r="483" spans="1:16">
      <c r="A483" s="236"/>
      <c r="B483" s="237"/>
      <c r="C483" s="238"/>
      <c r="D483" s="362"/>
      <c r="E483" s="362"/>
      <c r="F483" s="239"/>
      <c r="G483" s="240"/>
      <c r="H483" s="241"/>
      <c r="I483" s="242"/>
      <c r="J483" s="243"/>
    </row>
    <row r="484" spans="1:16" ht="18" customHeight="1">
      <c r="A484" s="262" t="s">
        <v>234</v>
      </c>
      <c r="B484" s="263" t="s">
        <v>195</v>
      </c>
      <c r="C484" s="264">
        <v>22</v>
      </c>
      <c r="D484" s="265">
        <v>761</v>
      </c>
      <c r="E484" s="265">
        <v>1810</v>
      </c>
      <c r="F484" s="251">
        <f>O484</f>
        <v>18</v>
      </c>
      <c r="G484" s="266">
        <f t="shared" ref="G484:G490" si="369">D484*E484/91809*F484</f>
        <v>270.05391628271741</v>
      </c>
      <c r="H484" s="266">
        <f t="shared" ref="H484:H490" si="370">(D484/1000)*4*F484+(E484/1000)*4*F484</f>
        <v>185.11199999999999</v>
      </c>
      <c r="I484" s="267" t="s">
        <v>265</v>
      </c>
      <c r="J484" s="268" t="s">
        <v>205</v>
      </c>
      <c r="L484" s="89">
        <v>2</v>
      </c>
      <c r="M484" s="78">
        <f>4+5</f>
        <v>9</v>
      </c>
      <c r="N484" s="84"/>
      <c r="O484" s="78">
        <f>L484*M484-N484*L484</f>
        <v>18</v>
      </c>
      <c r="P484" s="64"/>
    </row>
    <row r="485" spans="1:16" ht="18" customHeight="1">
      <c r="A485" s="85"/>
      <c r="B485" s="86"/>
      <c r="C485" s="87"/>
      <c r="D485" s="88">
        <v>1688</v>
      </c>
      <c r="E485" s="88">
        <v>1810</v>
      </c>
      <c r="F485" s="89">
        <f t="shared" ref="F485:F490" si="371">O485</f>
        <v>9</v>
      </c>
      <c r="G485" s="90">
        <f t="shared" si="369"/>
        <v>299.50789138319772</v>
      </c>
      <c r="H485" s="90">
        <f t="shared" si="370"/>
        <v>125.928</v>
      </c>
      <c r="I485" s="91" t="str">
        <f>I484</f>
        <v>10동5,6라인</v>
      </c>
      <c r="J485" s="92" t="s">
        <v>206</v>
      </c>
      <c r="L485" s="89">
        <v>1</v>
      </c>
      <c r="M485" s="78">
        <f>M484</f>
        <v>9</v>
      </c>
      <c r="N485" s="84"/>
      <c r="O485" s="78">
        <f t="shared" ref="O485:O490" si="372">L485*M485-N485*L485</f>
        <v>9</v>
      </c>
    </row>
    <row r="486" spans="1:16" ht="18" customHeight="1">
      <c r="A486" s="85"/>
      <c r="B486" s="86"/>
      <c r="C486" s="87"/>
      <c r="D486" s="88">
        <v>738</v>
      </c>
      <c r="E486" s="88">
        <v>1310</v>
      </c>
      <c r="F486" s="89">
        <f t="shared" si="371"/>
        <v>36</v>
      </c>
      <c r="G486" s="90">
        <f t="shared" si="369"/>
        <v>379.09224585824921</v>
      </c>
      <c r="H486" s="90">
        <f t="shared" si="370"/>
        <v>294.91200000000003</v>
      </c>
      <c r="I486" s="91" t="str">
        <f t="shared" ref="I486:I490" si="373">I485</f>
        <v>10동5,6라인</v>
      </c>
      <c r="J486" s="92" t="s">
        <v>207</v>
      </c>
      <c r="L486" s="89">
        <v>4</v>
      </c>
      <c r="M486" s="78">
        <f t="shared" ref="M486:M489" si="374">M485</f>
        <v>9</v>
      </c>
      <c r="N486" s="78"/>
      <c r="O486" s="78">
        <f t="shared" si="372"/>
        <v>36</v>
      </c>
    </row>
    <row r="487" spans="1:16" ht="18" customHeight="1">
      <c r="A487" s="85"/>
      <c r="B487" s="86"/>
      <c r="C487" s="87"/>
      <c r="D487" s="88">
        <v>288</v>
      </c>
      <c r="E487" s="88">
        <v>910</v>
      </c>
      <c r="F487" s="89">
        <f t="shared" si="371"/>
        <v>18</v>
      </c>
      <c r="G487" s="90">
        <f t="shared" si="369"/>
        <v>51.383197725713167</v>
      </c>
      <c r="H487" s="90">
        <f t="shared" si="370"/>
        <v>86.256</v>
      </c>
      <c r="I487" s="91" t="str">
        <f t="shared" si="373"/>
        <v>10동5,6라인</v>
      </c>
      <c r="J487" s="92" t="s">
        <v>208</v>
      </c>
      <c r="L487" s="89">
        <v>2</v>
      </c>
      <c r="M487" s="78">
        <f t="shared" si="374"/>
        <v>9</v>
      </c>
      <c r="N487" s="78"/>
      <c r="O487" s="78">
        <f t="shared" si="372"/>
        <v>18</v>
      </c>
    </row>
    <row r="488" spans="1:16" ht="18" customHeight="1">
      <c r="A488" s="85"/>
      <c r="B488" s="86"/>
      <c r="C488" s="87"/>
      <c r="D488" s="88">
        <v>228</v>
      </c>
      <c r="E488" s="88">
        <v>910</v>
      </c>
      <c r="F488" s="89">
        <f t="shared" si="371"/>
        <v>18</v>
      </c>
      <c r="G488" s="90">
        <f t="shared" si="369"/>
        <v>40.67836486618959</v>
      </c>
      <c r="H488" s="90">
        <f t="shared" si="370"/>
        <v>81.935999999999993</v>
      </c>
      <c r="I488" s="91" t="str">
        <f t="shared" si="373"/>
        <v>10동5,6라인</v>
      </c>
      <c r="J488" s="92" t="s">
        <v>209</v>
      </c>
      <c r="L488" s="89">
        <v>2</v>
      </c>
      <c r="M488" s="78">
        <f t="shared" si="374"/>
        <v>9</v>
      </c>
      <c r="N488" s="78"/>
      <c r="O488" s="78">
        <f t="shared" si="372"/>
        <v>18</v>
      </c>
    </row>
    <row r="489" spans="1:16" ht="18" customHeight="1">
      <c r="A489" s="85"/>
      <c r="B489" s="86"/>
      <c r="C489" s="87"/>
      <c r="D489" s="88">
        <v>438</v>
      </c>
      <c r="E489" s="88">
        <v>270</v>
      </c>
      <c r="F489" s="89">
        <f t="shared" si="371"/>
        <v>18</v>
      </c>
      <c r="G489" s="90">
        <f t="shared" si="369"/>
        <v>23.185962160572494</v>
      </c>
      <c r="H489" s="90">
        <f t="shared" si="370"/>
        <v>50.975999999999999</v>
      </c>
      <c r="I489" s="91" t="str">
        <f t="shared" si="373"/>
        <v>10동5,6라인</v>
      </c>
      <c r="J489" s="92" t="s">
        <v>210</v>
      </c>
      <c r="L489" s="89">
        <v>2</v>
      </c>
      <c r="M489" s="78">
        <f t="shared" si="374"/>
        <v>9</v>
      </c>
      <c r="N489" s="78"/>
      <c r="O489" s="78">
        <f t="shared" si="372"/>
        <v>18</v>
      </c>
    </row>
    <row r="490" spans="1:16" ht="18" customHeight="1">
      <c r="A490" s="85"/>
      <c r="B490" s="86"/>
      <c r="C490" s="87"/>
      <c r="D490" s="88">
        <v>208</v>
      </c>
      <c r="E490" s="88">
        <v>910</v>
      </c>
      <c r="F490" s="89">
        <f t="shared" si="371"/>
        <v>18</v>
      </c>
      <c r="G490" s="90">
        <f t="shared" si="369"/>
        <v>37.1100872463484</v>
      </c>
      <c r="H490" s="90">
        <f t="shared" si="370"/>
        <v>80.495999999999995</v>
      </c>
      <c r="I490" s="91" t="str">
        <f t="shared" si="373"/>
        <v>10동5,6라인</v>
      </c>
      <c r="J490" s="92" t="s">
        <v>211</v>
      </c>
      <c r="L490" s="89">
        <v>2</v>
      </c>
      <c r="M490" s="78">
        <f>M489</f>
        <v>9</v>
      </c>
      <c r="N490" s="78"/>
      <c r="O490" s="78">
        <f t="shared" si="372"/>
        <v>18</v>
      </c>
    </row>
    <row r="491" spans="1:16" ht="18" customHeight="1">
      <c r="A491" s="85"/>
      <c r="B491" s="93"/>
      <c r="C491" s="87"/>
      <c r="D491" s="325" t="s">
        <v>0</v>
      </c>
      <c r="E491" s="325"/>
      <c r="F491" s="94">
        <f>SUM(F484:F490)</f>
        <v>135</v>
      </c>
      <c r="G491" s="95">
        <f>SUM(G484:G490)</f>
        <v>1101.0116655229881</v>
      </c>
      <c r="H491" s="96">
        <f>SUM(H484:H490)</f>
        <v>905.61599999999999</v>
      </c>
      <c r="I491" s="97"/>
      <c r="J491" s="162"/>
    </row>
    <row r="492" spans="1:16" ht="18" customHeight="1">
      <c r="A492" s="85"/>
      <c r="B492" s="93"/>
      <c r="C492" s="87"/>
      <c r="D492" s="161"/>
      <c r="E492" s="161"/>
      <c r="F492" s="89"/>
      <c r="G492" s="100"/>
      <c r="H492" s="101"/>
      <c r="I492" s="102"/>
      <c r="J492" s="121"/>
      <c r="L492" s="78" t="s">
        <v>48</v>
      </c>
      <c r="M492" s="78" t="s">
        <v>54</v>
      </c>
      <c r="N492" s="78" t="s">
        <v>50</v>
      </c>
      <c r="O492" s="78" t="s">
        <v>55</v>
      </c>
    </row>
    <row r="493" spans="1:16" ht="18" customHeight="1">
      <c r="A493" s="85"/>
      <c r="B493" s="23" t="s">
        <v>197</v>
      </c>
      <c r="C493" s="24">
        <v>22</v>
      </c>
      <c r="D493" s="88">
        <v>761</v>
      </c>
      <c r="E493" s="88">
        <v>1810</v>
      </c>
      <c r="F493" s="89">
        <f t="shared" ref="F493:F499" si="375">O493</f>
        <v>18</v>
      </c>
      <c r="G493" s="90">
        <f t="shared" ref="G493:G499" si="376">D493*E493/91809*F493</f>
        <v>270.05391628271741</v>
      </c>
      <c r="H493" s="90">
        <f t="shared" ref="H493:H499" si="377">(D493/1000)*4*F493+(E493/1000)*4*F493</f>
        <v>185.11199999999999</v>
      </c>
      <c r="I493" s="91" t="str">
        <f t="shared" ref="I493:I499" si="378">I484</f>
        <v>10동5,6라인</v>
      </c>
      <c r="J493" s="92" t="s">
        <v>212</v>
      </c>
      <c r="L493" s="89">
        <v>2</v>
      </c>
      <c r="M493" s="78">
        <f>M484</f>
        <v>9</v>
      </c>
      <c r="N493" s="84"/>
      <c r="O493" s="78">
        <f>L493*M493-N493*L493</f>
        <v>18</v>
      </c>
    </row>
    <row r="494" spans="1:16" ht="18" customHeight="1">
      <c r="A494" s="85"/>
      <c r="B494" s="86"/>
      <c r="C494" s="87"/>
      <c r="D494" s="88">
        <v>1688</v>
      </c>
      <c r="E494" s="88">
        <v>1810</v>
      </c>
      <c r="F494" s="89">
        <f t="shared" si="375"/>
        <v>9</v>
      </c>
      <c r="G494" s="90">
        <f t="shared" si="376"/>
        <v>299.50789138319772</v>
      </c>
      <c r="H494" s="90">
        <f t="shared" si="377"/>
        <v>125.928</v>
      </c>
      <c r="I494" s="91" t="str">
        <f t="shared" si="378"/>
        <v>10동5,6라인</v>
      </c>
      <c r="J494" s="92" t="s">
        <v>213</v>
      </c>
      <c r="L494" s="89">
        <v>1</v>
      </c>
      <c r="M494" s="78">
        <f>M493</f>
        <v>9</v>
      </c>
      <c r="N494" s="84"/>
      <c r="O494" s="78">
        <f>L494*M494-N494*L494</f>
        <v>9</v>
      </c>
    </row>
    <row r="495" spans="1:16" ht="18" customHeight="1">
      <c r="A495" s="104"/>
      <c r="B495" s="93"/>
      <c r="C495" s="87"/>
      <c r="D495" s="88">
        <v>738</v>
      </c>
      <c r="E495" s="88">
        <v>1310</v>
      </c>
      <c r="F495" s="89">
        <f t="shared" si="375"/>
        <v>36</v>
      </c>
      <c r="G495" s="90">
        <f t="shared" si="376"/>
        <v>379.09224585824921</v>
      </c>
      <c r="H495" s="90">
        <f t="shared" si="377"/>
        <v>294.91200000000003</v>
      </c>
      <c r="I495" s="91" t="str">
        <f t="shared" si="378"/>
        <v>10동5,6라인</v>
      </c>
      <c r="J495" s="92" t="s">
        <v>214</v>
      </c>
      <c r="L495" s="89">
        <v>4</v>
      </c>
      <c r="M495" s="78">
        <f t="shared" ref="M495:M499" si="379">M494</f>
        <v>9</v>
      </c>
      <c r="N495" s="84"/>
      <c r="O495" s="78">
        <f t="shared" ref="O495:O499" si="380">L495*M495-N495*L495</f>
        <v>36</v>
      </c>
    </row>
    <row r="496" spans="1:16" ht="18" customHeight="1">
      <c r="A496" s="104"/>
      <c r="B496" s="93"/>
      <c r="C496" s="87"/>
      <c r="D496" s="88">
        <v>288</v>
      </c>
      <c r="E496" s="88">
        <v>910</v>
      </c>
      <c r="F496" s="89">
        <f t="shared" si="375"/>
        <v>18</v>
      </c>
      <c r="G496" s="90">
        <f t="shared" si="376"/>
        <v>51.383197725713167</v>
      </c>
      <c r="H496" s="90">
        <f t="shared" si="377"/>
        <v>86.256</v>
      </c>
      <c r="I496" s="91" t="str">
        <f t="shared" si="378"/>
        <v>10동5,6라인</v>
      </c>
      <c r="J496" s="92" t="s">
        <v>215</v>
      </c>
      <c r="L496" s="89">
        <v>2</v>
      </c>
      <c r="M496" s="78">
        <f t="shared" si="379"/>
        <v>9</v>
      </c>
      <c r="N496" s="78"/>
      <c r="O496" s="78">
        <f t="shared" si="380"/>
        <v>18</v>
      </c>
    </row>
    <row r="497" spans="1:16" ht="18" customHeight="1">
      <c r="A497" s="104"/>
      <c r="B497" s="93"/>
      <c r="C497" s="87"/>
      <c r="D497" s="88">
        <v>228</v>
      </c>
      <c r="E497" s="88">
        <v>910</v>
      </c>
      <c r="F497" s="89">
        <f t="shared" si="375"/>
        <v>18</v>
      </c>
      <c r="G497" s="90">
        <f t="shared" si="376"/>
        <v>40.67836486618959</v>
      </c>
      <c r="H497" s="90">
        <f t="shared" si="377"/>
        <v>81.935999999999993</v>
      </c>
      <c r="I497" s="91" t="str">
        <f t="shared" si="378"/>
        <v>10동5,6라인</v>
      </c>
      <c r="J497" s="92" t="s">
        <v>216</v>
      </c>
      <c r="L497" s="89">
        <v>2</v>
      </c>
      <c r="M497" s="78">
        <f t="shared" si="379"/>
        <v>9</v>
      </c>
      <c r="N497" s="78"/>
      <c r="O497" s="78">
        <f t="shared" si="380"/>
        <v>18</v>
      </c>
    </row>
    <row r="498" spans="1:16" ht="18" customHeight="1">
      <c r="A498" s="104"/>
      <c r="B498" s="93"/>
      <c r="C498" s="87"/>
      <c r="D498" s="88">
        <v>438</v>
      </c>
      <c r="E498" s="88">
        <v>270</v>
      </c>
      <c r="F498" s="89">
        <f t="shared" si="375"/>
        <v>18</v>
      </c>
      <c r="G498" s="90">
        <f t="shared" si="376"/>
        <v>23.185962160572494</v>
      </c>
      <c r="H498" s="90">
        <f t="shared" si="377"/>
        <v>50.975999999999999</v>
      </c>
      <c r="I498" s="91" t="str">
        <f t="shared" si="378"/>
        <v>10동5,6라인</v>
      </c>
      <c r="J498" s="92" t="s">
        <v>217</v>
      </c>
      <c r="L498" s="89">
        <v>2</v>
      </c>
      <c r="M498" s="78">
        <f t="shared" si="379"/>
        <v>9</v>
      </c>
      <c r="N498" s="78"/>
      <c r="O498" s="78">
        <f t="shared" si="380"/>
        <v>18</v>
      </c>
    </row>
    <row r="499" spans="1:16" ht="18" customHeight="1">
      <c r="A499" s="104"/>
      <c r="B499" s="93"/>
      <c r="C499" s="87"/>
      <c r="D499" s="88">
        <v>208</v>
      </c>
      <c r="E499" s="88">
        <v>910</v>
      </c>
      <c r="F499" s="89">
        <f t="shared" si="375"/>
        <v>18</v>
      </c>
      <c r="G499" s="90">
        <f t="shared" si="376"/>
        <v>37.1100872463484</v>
      </c>
      <c r="H499" s="90">
        <f t="shared" si="377"/>
        <v>80.495999999999995</v>
      </c>
      <c r="I499" s="91" t="str">
        <f t="shared" si="378"/>
        <v>10동5,6라인</v>
      </c>
      <c r="J499" s="92" t="s">
        <v>218</v>
      </c>
      <c r="L499" s="89">
        <v>2</v>
      </c>
      <c r="M499" s="78">
        <f t="shared" si="379"/>
        <v>9</v>
      </c>
      <c r="N499" s="78"/>
      <c r="O499" s="78">
        <f t="shared" si="380"/>
        <v>18</v>
      </c>
    </row>
    <row r="500" spans="1:16" ht="18" customHeight="1">
      <c r="A500" s="104"/>
      <c r="B500" s="87"/>
      <c r="C500" s="87"/>
      <c r="D500" s="325" t="s">
        <v>0</v>
      </c>
      <c r="E500" s="325"/>
      <c r="F500" s="171">
        <f>SUM(F493:F499)</f>
        <v>135</v>
      </c>
      <c r="G500" s="95">
        <f>SUM(G493:G499)</f>
        <v>1101.0116655229881</v>
      </c>
      <c r="H500" s="95">
        <f>SUM(H493:H499)</f>
        <v>905.61599999999999</v>
      </c>
      <c r="I500" s="97"/>
      <c r="J500" s="98"/>
    </row>
    <row r="501" spans="1:16">
      <c r="A501" s="105"/>
      <c r="B501" s="9"/>
      <c r="C501" s="9"/>
      <c r="D501" s="51"/>
      <c r="E501" s="51"/>
      <c r="F501" s="51"/>
      <c r="G501" s="106"/>
      <c r="H501" s="106"/>
      <c r="I501" s="9"/>
      <c r="J501" s="107"/>
    </row>
    <row r="502" spans="1:16" ht="18" customHeight="1">
      <c r="A502" s="85"/>
      <c r="B502" s="163" t="s">
        <v>199</v>
      </c>
      <c r="C502" s="163">
        <v>22</v>
      </c>
      <c r="D502" s="88">
        <v>738</v>
      </c>
      <c r="E502" s="88">
        <v>1810</v>
      </c>
      <c r="F502" s="89">
        <f t="shared" ref="F502:F503" si="381">O502</f>
        <v>18</v>
      </c>
      <c r="G502" s="90">
        <f t="shared" ref="G502:G503" si="382">D502*E502/91809*F502</f>
        <v>261.89197137535535</v>
      </c>
      <c r="H502" s="90">
        <f t="shared" ref="H502:H503" si="383">(D502/1000)*4*F502+(E502/1000)*4*F502</f>
        <v>183.45599999999999</v>
      </c>
      <c r="I502" s="91" t="str">
        <f>I493</f>
        <v>10동5,6라인</v>
      </c>
      <c r="J502" s="92" t="s">
        <v>219</v>
      </c>
      <c r="L502" s="89">
        <v>2</v>
      </c>
      <c r="M502" s="78">
        <f>M484</f>
        <v>9</v>
      </c>
      <c r="N502" s="84"/>
      <c r="O502" s="78">
        <f>L502*M502-N502*L502</f>
        <v>18</v>
      </c>
      <c r="P502" s="64"/>
    </row>
    <row r="503" spans="1:16" ht="18" customHeight="1">
      <c r="A503" s="85"/>
      <c r="B503" s="86"/>
      <c r="C503" s="87"/>
      <c r="D503" s="88">
        <v>250</v>
      </c>
      <c r="E503" s="88">
        <v>930</v>
      </c>
      <c r="F503" s="89">
        <f t="shared" si="381"/>
        <v>18</v>
      </c>
      <c r="G503" s="90">
        <f t="shared" si="382"/>
        <v>45.583766297421818</v>
      </c>
      <c r="H503" s="90">
        <f t="shared" si="383"/>
        <v>84.960000000000008</v>
      </c>
      <c r="I503" s="91" t="str">
        <f>I502</f>
        <v>10동5,6라인</v>
      </c>
      <c r="J503" s="92" t="s">
        <v>220</v>
      </c>
      <c r="L503" s="89">
        <v>2</v>
      </c>
      <c r="M503" s="78">
        <f>M502</f>
        <v>9</v>
      </c>
      <c r="N503" s="84"/>
      <c r="O503" s="78">
        <f t="shared" ref="O503" si="384">L503*M503-N503*L503</f>
        <v>18</v>
      </c>
    </row>
    <row r="504" spans="1:16" ht="18" customHeight="1">
      <c r="A504" s="85"/>
      <c r="B504" s="93"/>
      <c r="C504" s="87"/>
      <c r="D504" s="325" t="s">
        <v>0</v>
      </c>
      <c r="E504" s="325"/>
      <c r="F504" s="94">
        <f>SUM(F502:F503)</f>
        <v>36</v>
      </c>
      <c r="G504" s="95">
        <f>SUM(G502:G503)</f>
        <v>307.4757376727772</v>
      </c>
      <c r="H504" s="95">
        <f>SUM(H502:H503)</f>
        <v>268.416</v>
      </c>
      <c r="I504" s="97"/>
      <c r="J504" s="98"/>
    </row>
    <row r="505" spans="1:16">
      <c r="A505" s="166"/>
      <c r="B505" s="166"/>
      <c r="C505" s="166"/>
      <c r="D505" s="167"/>
      <c r="E505" s="167"/>
      <c r="F505" s="167"/>
      <c r="G505" s="168"/>
      <c r="H505" s="168"/>
      <c r="I505" s="166"/>
      <c r="J505" s="166"/>
    </row>
    <row r="506" spans="1:16" ht="18" customHeight="1">
      <c r="A506" s="85" t="s">
        <v>235</v>
      </c>
      <c r="B506" s="23" t="s">
        <v>196</v>
      </c>
      <c r="C506" s="24">
        <v>22</v>
      </c>
      <c r="D506" s="88">
        <v>861</v>
      </c>
      <c r="E506" s="88">
        <v>1810</v>
      </c>
      <c r="F506" s="89">
        <f t="shared" ref="F506:F509" si="385">O506</f>
        <v>5</v>
      </c>
      <c r="G506" s="90">
        <f t="shared" ref="G506:G509" si="386">D506*E506/91809*F506</f>
        <v>84.872398130902198</v>
      </c>
      <c r="H506" s="90">
        <f t="shared" ref="H506:H509" si="387">(D506/1000)*4*F506+(E506/1000)*4*F506</f>
        <v>53.42</v>
      </c>
      <c r="I506" s="91" t="s">
        <v>266</v>
      </c>
      <c r="J506" s="92" t="s">
        <v>205</v>
      </c>
      <c r="L506" s="89">
        <v>1</v>
      </c>
      <c r="M506" s="78">
        <v>5</v>
      </c>
      <c r="N506" s="84"/>
      <c r="O506" s="78">
        <f>L506*M506-N506*L506</f>
        <v>5</v>
      </c>
      <c r="P506" s="64"/>
    </row>
    <row r="507" spans="1:16" ht="18" customHeight="1">
      <c r="A507" s="85"/>
      <c r="B507" s="86"/>
      <c r="C507" s="87"/>
      <c r="D507" s="88">
        <v>738</v>
      </c>
      <c r="E507" s="88">
        <v>1310</v>
      </c>
      <c r="F507" s="89">
        <f t="shared" si="385"/>
        <v>20</v>
      </c>
      <c r="G507" s="90">
        <f t="shared" si="386"/>
        <v>210.6068032545829</v>
      </c>
      <c r="H507" s="90">
        <f t="shared" si="387"/>
        <v>163.84</v>
      </c>
      <c r="I507" s="91" t="str">
        <f>I506</f>
        <v>11동1라인</v>
      </c>
      <c r="J507" s="92" t="s">
        <v>207</v>
      </c>
      <c r="L507" s="89">
        <v>4</v>
      </c>
      <c r="M507" s="78">
        <f>M506</f>
        <v>5</v>
      </c>
      <c r="N507" s="84"/>
      <c r="O507" s="78">
        <f t="shared" ref="O507:O509" si="388">L507*M507-N507*L507</f>
        <v>20</v>
      </c>
    </row>
    <row r="508" spans="1:16" ht="18" customHeight="1">
      <c r="A508" s="85"/>
      <c r="B508" s="86"/>
      <c r="C508" s="87"/>
      <c r="D508" s="88">
        <v>228</v>
      </c>
      <c r="E508" s="88">
        <v>910</v>
      </c>
      <c r="F508" s="89">
        <f t="shared" si="385"/>
        <v>10</v>
      </c>
      <c r="G508" s="90">
        <f t="shared" si="386"/>
        <v>22.59909159232755</v>
      </c>
      <c r="H508" s="90">
        <f t="shared" si="387"/>
        <v>45.519999999999996</v>
      </c>
      <c r="I508" s="91" t="str">
        <f t="shared" ref="I508:I509" si="389">I507</f>
        <v>11동1라인</v>
      </c>
      <c r="J508" s="92" t="s">
        <v>209</v>
      </c>
      <c r="L508" s="89">
        <v>2</v>
      </c>
      <c r="M508" s="78">
        <f t="shared" ref="M508:M509" si="390">M507</f>
        <v>5</v>
      </c>
      <c r="N508" s="78"/>
      <c r="O508" s="78">
        <f t="shared" si="388"/>
        <v>10</v>
      </c>
    </row>
    <row r="509" spans="1:16" ht="18" customHeight="1">
      <c r="A509" s="85"/>
      <c r="B509" s="86"/>
      <c r="C509" s="87"/>
      <c r="D509" s="88">
        <v>438</v>
      </c>
      <c r="E509" s="88">
        <v>270</v>
      </c>
      <c r="F509" s="89">
        <f t="shared" si="385"/>
        <v>10</v>
      </c>
      <c r="G509" s="90">
        <f t="shared" si="386"/>
        <v>12.881090089206941</v>
      </c>
      <c r="H509" s="90">
        <f t="shared" si="387"/>
        <v>28.32</v>
      </c>
      <c r="I509" s="91" t="str">
        <f t="shared" si="389"/>
        <v>11동1라인</v>
      </c>
      <c r="J509" s="92" t="s">
        <v>210</v>
      </c>
      <c r="L509" s="89">
        <v>2</v>
      </c>
      <c r="M509" s="78">
        <f t="shared" si="390"/>
        <v>5</v>
      </c>
      <c r="N509" s="78"/>
      <c r="O509" s="78">
        <f t="shared" si="388"/>
        <v>10</v>
      </c>
    </row>
    <row r="510" spans="1:16" ht="18" customHeight="1">
      <c r="A510" s="85"/>
      <c r="B510" s="93"/>
      <c r="C510" s="87"/>
      <c r="D510" s="325" t="s">
        <v>0</v>
      </c>
      <c r="E510" s="325"/>
      <c r="F510" s="94">
        <f>SUM(F506:F509)</f>
        <v>45</v>
      </c>
      <c r="G510" s="95">
        <f>SUM(G506:G509)</f>
        <v>330.95938306701964</v>
      </c>
      <c r="H510" s="96">
        <f>SUM(H506:H509)</f>
        <v>291.09999999999997</v>
      </c>
      <c r="I510" s="97"/>
      <c r="J510" s="162"/>
    </row>
    <row r="511" spans="1:16" ht="18" customHeight="1">
      <c r="A511" s="85"/>
      <c r="B511" s="93"/>
      <c r="C511" s="87"/>
      <c r="D511" s="161"/>
      <c r="E511" s="161"/>
      <c r="F511" s="89"/>
      <c r="G511" s="100"/>
      <c r="H511" s="101"/>
      <c r="I511" s="102"/>
      <c r="J511" s="121"/>
      <c r="L511" s="252"/>
      <c r="M511" s="252"/>
      <c r="N511" s="252"/>
      <c r="O511" s="252"/>
    </row>
    <row r="512" spans="1:16" ht="18" customHeight="1">
      <c r="A512" s="85"/>
      <c r="B512" s="23" t="s">
        <v>198</v>
      </c>
      <c r="C512" s="24">
        <v>22</v>
      </c>
      <c r="D512" s="88">
        <v>861</v>
      </c>
      <c r="E512" s="88">
        <v>1810</v>
      </c>
      <c r="F512" s="89">
        <f t="shared" ref="F512:F516" si="391">O512</f>
        <v>5</v>
      </c>
      <c r="G512" s="90">
        <f t="shared" ref="G512:G516" si="392">D512*E512/91809*F512</f>
        <v>84.872398130902198</v>
      </c>
      <c r="H512" s="90">
        <f t="shared" ref="H512:H516" si="393">(D512/1000)*4*F512+(E512/1000)*4*F512</f>
        <v>53.42</v>
      </c>
      <c r="I512" s="103" t="str">
        <f>I506</f>
        <v>11동1라인</v>
      </c>
      <c r="J512" s="92" t="s">
        <v>212</v>
      </c>
      <c r="L512" s="89">
        <v>1</v>
      </c>
      <c r="M512" s="78">
        <f>M506</f>
        <v>5</v>
      </c>
      <c r="N512" s="84"/>
      <c r="O512" s="78">
        <f>L512*M512-N512*L512</f>
        <v>5</v>
      </c>
    </row>
    <row r="513" spans="1:16" ht="18" customHeight="1">
      <c r="A513" s="85"/>
      <c r="B513" s="86"/>
      <c r="C513" s="87"/>
      <c r="D513" s="88">
        <v>2114</v>
      </c>
      <c r="E513" s="88">
        <v>1810</v>
      </c>
      <c r="F513" s="89">
        <f t="shared" si="391"/>
        <v>5</v>
      </c>
      <c r="G513" s="90">
        <f t="shared" si="392"/>
        <v>208.38588809375989</v>
      </c>
      <c r="H513" s="90">
        <f t="shared" si="393"/>
        <v>78.48</v>
      </c>
      <c r="I513" s="91" t="str">
        <f>I506</f>
        <v>11동1라인</v>
      </c>
      <c r="J513" s="92" t="s">
        <v>213</v>
      </c>
      <c r="L513" s="89">
        <v>1</v>
      </c>
      <c r="M513" s="78">
        <f>M512</f>
        <v>5</v>
      </c>
      <c r="N513" s="84"/>
      <c r="O513" s="78">
        <f>L513*M513-N513*L513</f>
        <v>5</v>
      </c>
    </row>
    <row r="514" spans="1:16" ht="18" customHeight="1">
      <c r="A514" s="104"/>
      <c r="B514" s="93"/>
      <c r="C514" s="87"/>
      <c r="D514" s="88">
        <v>738</v>
      </c>
      <c r="E514" s="88">
        <v>1310</v>
      </c>
      <c r="F514" s="89">
        <f t="shared" si="391"/>
        <v>20</v>
      </c>
      <c r="G514" s="90">
        <f t="shared" si="392"/>
        <v>210.6068032545829</v>
      </c>
      <c r="H514" s="90">
        <f t="shared" si="393"/>
        <v>163.84</v>
      </c>
      <c r="I514" s="91" t="str">
        <f>I513</f>
        <v>11동1라인</v>
      </c>
      <c r="J514" s="92" t="s">
        <v>214</v>
      </c>
      <c r="L514" s="89">
        <v>4</v>
      </c>
      <c r="M514" s="78">
        <f t="shared" ref="M514:M516" si="394">M513</f>
        <v>5</v>
      </c>
      <c r="N514" s="84"/>
      <c r="O514" s="78">
        <f t="shared" ref="O514:O516" si="395">L514*M514-N514*L514</f>
        <v>20</v>
      </c>
    </row>
    <row r="515" spans="1:16" ht="18" customHeight="1">
      <c r="A515" s="104"/>
      <c r="B515" s="93"/>
      <c r="C515" s="87"/>
      <c r="D515" s="88">
        <v>228</v>
      </c>
      <c r="E515" s="88">
        <v>910</v>
      </c>
      <c r="F515" s="89">
        <f t="shared" si="391"/>
        <v>10</v>
      </c>
      <c r="G515" s="90">
        <f t="shared" si="392"/>
        <v>22.59909159232755</v>
      </c>
      <c r="H515" s="90">
        <f t="shared" si="393"/>
        <v>45.519999999999996</v>
      </c>
      <c r="I515" s="91" t="str">
        <f t="shared" ref="I515:I516" si="396">I514</f>
        <v>11동1라인</v>
      </c>
      <c r="J515" s="92" t="s">
        <v>216</v>
      </c>
      <c r="L515" s="89">
        <v>2</v>
      </c>
      <c r="M515" s="78">
        <f t="shared" si="394"/>
        <v>5</v>
      </c>
      <c r="N515" s="78"/>
      <c r="O515" s="78">
        <f t="shared" si="395"/>
        <v>10</v>
      </c>
    </row>
    <row r="516" spans="1:16" ht="18" customHeight="1">
      <c r="A516" s="104"/>
      <c r="B516" s="93"/>
      <c r="C516" s="87"/>
      <c r="D516" s="88">
        <v>438</v>
      </c>
      <c r="E516" s="88">
        <v>270</v>
      </c>
      <c r="F516" s="89">
        <f t="shared" si="391"/>
        <v>10</v>
      </c>
      <c r="G516" s="90">
        <f t="shared" si="392"/>
        <v>12.881090089206941</v>
      </c>
      <c r="H516" s="90">
        <f t="shared" si="393"/>
        <v>28.32</v>
      </c>
      <c r="I516" s="91" t="str">
        <f t="shared" si="396"/>
        <v>11동1라인</v>
      </c>
      <c r="J516" s="92" t="s">
        <v>217</v>
      </c>
      <c r="L516" s="89">
        <v>2</v>
      </c>
      <c r="M516" s="78">
        <f t="shared" si="394"/>
        <v>5</v>
      </c>
      <c r="N516" s="78"/>
      <c r="O516" s="78">
        <f t="shared" si="395"/>
        <v>10</v>
      </c>
    </row>
    <row r="517" spans="1:16" ht="18" customHeight="1">
      <c r="A517" s="104"/>
      <c r="B517" s="87"/>
      <c r="C517" s="87"/>
      <c r="D517" s="325" t="s">
        <v>0</v>
      </c>
      <c r="E517" s="325"/>
      <c r="F517" s="171">
        <f>SUM(F512:F516)</f>
        <v>50</v>
      </c>
      <c r="G517" s="95">
        <f>SUM(G512:G516)</f>
        <v>539.34527116077948</v>
      </c>
      <c r="H517" s="95">
        <f>SUM(H512:H516)</f>
        <v>369.58</v>
      </c>
      <c r="I517" s="97"/>
      <c r="J517" s="98"/>
    </row>
    <row r="518" spans="1:16">
      <c r="A518" s="105"/>
      <c r="B518" s="9"/>
      <c r="C518" s="9"/>
      <c r="D518" s="51"/>
      <c r="E518" s="51"/>
      <c r="F518" s="51"/>
      <c r="G518" s="106"/>
      <c r="H518" s="106"/>
      <c r="I518" s="9"/>
      <c r="J518" s="107"/>
    </row>
    <row r="519" spans="1:16" ht="18" customHeight="1">
      <c r="A519" s="85"/>
      <c r="B519" s="23" t="s">
        <v>237</v>
      </c>
      <c r="C519" s="24">
        <v>22</v>
      </c>
      <c r="D519" s="88">
        <v>2114</v>
      </c>
      <c r="E519" s="88">
        <v>1810</v>
      </c>
      <c r="F519" s="89">
        <f t="shared" ref="F519" si="397">O519</f>
        <v>5</v>
      </c>
      <c r="G519" s="90">
        <f t="shared" ref="G519" si="398">D519*E519/91809*F519</f>
        <v>208.38588809375989</v>
      </c>
      <c r="H519" s="90">
        <f t="shared" ref="H519" si="399">(D519/1000)*4*F519+(E519/1000)*4*F519</f>
        <v>78.48</v>
      </c>
      <c r="I519" s="91" t="str">
        <f>I512</f>
        <v>11동1라인</v>
      </c>
      <c r="J519" s="92" t="s">
        <v>206</v>
      </c>
      <c r="L519" s="89">
        <v>1</v>
      </c>
      <c r="M519" s="78">
        <f>M506</f>
        <v>5</v>
      </c>
      <c r="N519" s="84"/>
      <c r="O519" s="78">
        <f>L519*M519-N519*L519</f>
        <v>5</v>
      </c>
    </row>
    <row r="520" spans="1:16" ht="18" customHeight="1">
      <c r="A520" s="85"/>
      <c r="B520" s="93"/>
      <c r="C520" s="87"/>
      <c r="D520" s="325" t="s">
        <v>0</v>
      </c>
      <c r="E520" s="325"/>
      <c r="F520" s="94">
        <f>SUM(F519:F519)</f>
        <v>5</v>
      </c>
      <c r="G520" s="95">
        <f>SUM(G519:G519)</f>
        <v>208.38588809375989</v>
      </c>
      <c r="H520" s="95">
        <f>SUM(H519:H519)</f>
        <v>78.48</v>
      </c>
      <c r="I520" s="97"/>
      <c r="J520" s="98"/>
    </row>
    <row r="521" spans="1:16" ht="18" customHeight="1">
      <c r="A521" s="218"/>
      <c r="B521" s="219"/>
      <c r="C521" s="220"/>
      <c r="D521" s="161"/>
      <c r="E521" s="161"/>
      <c r="F521" s="89"/>
      <c r="G521" s="100"/>
      <c r="H521" s="100"/>
      <c r="I521" s="102"/>
      <c r="J521" s="221"/>
    </row>
    <row r="522" spans="1:16" ht="18" customHeight="1">
      <c r="A522" s="85"/>
      <c r="B522" s="23" t="s">
        <v>200</v>
      </c>
      <c r="C522" s="24">
        <v>22</v>
      </c>
      <c r="D522" s="88">
        <v>738</v>
      </c>
      <c r="E522" s="88">
        <v>1810</v>
      </c>
      <c r="F522" s="89">
        <f t="shared" ref="F522:F523" si="400">O522</f>
        <v>0</v>
      </c>
      <c r="G522" s="90">
        <f t="shared" ref="G522:G523" si="401">D522*E522/91809*F522</f>
        <v>0</v>
      </c>
      <c r="H522" s="90">
        <f t="shared" ref="H522:H523" si="402">(D522/1000)*4*F522+(E522/1000)*4*F522</f>
        <v>0</v>
      </c>
      <c r="I522" s="91" t="str">
        <f>I519</f>
        <v>11동1라인</v>
      </c>
      <c r="J522" s="92" t="s">
        <v>219</v>
      </c>
      <c r="L522" s="89">
        <v>2</v>
      </c>
      <c r="M522" s="78">
        <f>M519</f>
        <v>5</v>
      </c>
      <c r="N522" s="84">
        <f>M522</f>
        <v>5</v>
      </c>
      <c r="O522" s="78">
        <f>L522*M522-N522*L522</f>
        <v>0</v>
      </c>
      <c r="P522" s="64" t="s">
        <v>244</v>
      </c>
    </row>
    <row r="523" spans="1:16" ht="18" customHeight="1">
      <c r="A523" s="85"/>
      <c r="B523" s="86"/>
      <c r="C523" s="87"/>
      <c r="D523" s="88">
        <v>250</v>
      </c>
      <c r="E523" s="88">
        <v>930</v>
      </c>
      <c r="F523" s="89">
        <f t="shared" si="400"/>
        <v>10</v>
      </c>
      <c r="G523" s="90">
        <f t="shared" si="401"/>
        <v>25.324314609678787</v>
      </c>
      <c r="H523" s="90">
        <f t="shared" si="402"/>
        <v>47.2</v>
      </c>
      <c r="I523" s="91" t="str">
        <f>I522</f>
        <v>11동1라인</v>
      </c>
      <c r="J523" s="92" t="s">
        <v>220</v>
      </c>
      <c r="L523" s="89">
        <v>2</v>
      </c>
      <c r="M523" s="78">
        <f>M522</f>
        <v>5</v>
      </c>
      <c r="N523" s="84"/>
      <c r="O523" s="78">
        <f t="shared" ref="O523" si="403">L523*M523-N523*L523</f>
        <v>10</v>
      </c>
    </row>
    <row r="524" spans="1:16" ht="18" customHeight="1">
      <c r="A524" s="85"/>
      <c r="B524" s="93"/>
      <c r="C524" s="87"/>
      <c r="D524" s="325" t="s">
        <v>0</v>
      </c>
      <c r="E524" s="325"/>
      <c r="F524" s="94">
        <f>SUM(F522:F523)</f>
        <v>10</v>
      </c>
      <c r="G524" s="95">
        <f>SUM(G522:G523)</f>
        <v>25.324314609678787</v>
      </c>
      <c r="H524" s="96">
        <f>SUM(H522:H523)</f>
        <v>47.2</v>
      </c>
      <c r="I524" s="97"/>
      <c r="J524" s="162"/>
    </row>
    <row r="525" spans="1:16" ht="18" customHeight="1" thickBot="1">
      <c r="A525" s="222"/>
      <c r="B525" s="223"/>
      <c r="C525" s="224"/>
      <c r="D525" s="225"/>
      <c r="E525" s="225"/>
      <c r="F525" s="226"/>
      <c r="G525" s="227"/>
      <c r="H525" s="228"/>
      <c r="I525" s="229"/>
      <c r="J525" s="230"/>
      <c r="L525" s="78" t="s">
        <v>48</v>
      </c>
      <c r="M525" s="78" t="s">
        <v>49</v>
      </c>
      <c r="N525" s="78" t="s">
        <v>50</v>
      </c>
      <c r="O525" s="78" t="s">
        <v>55</v>
      </c>
    </row>
    <row r="526" spans="1:16" ht="18" customHeight="1">
      <c r="A526" s="79" t="s">
        <v>234</v>
      </c>
      <c r="B526" s="231" t="s">
        <v>195</v>
      </c>
      <c r="C526" s="232">
        <v>22</v>
      </c>
      <c r="D526" s="80">
        <v>761</v>
      </c>
      <c r="E526" s="80">
        <v>1810</v>
      </c>
      <c r="F526" s="233">
        <f>O526</f>
        <v>10</v>
      </c>
      <c r="G526" s="81">
        <f t="shared" ref="G526:G532" si="404">D526*E526/91809*F526</f>
        <v>150.02995349039855</v>
      </c>
      <c r="H526" s="81">
        <f t="shared" ref="H526:H532" si="405">(D526/1000)*4*F526+(E526/1000)*4*F526</f>
        <v>102.84</v>
      </c>
      <c r="I526" s="82" t="s">
        <v>267</v>
      </c>
      <c r="J526" s="83" t="s">
        <v>205</v>
      </c>
      <c r="L526" s="89">
        <v>2</v>
      </c>
      <c r="M526" s="78">
        <v>5</v>
      </c>
      <c r="N526" s="84"/>
      <c r="O526" s="78">
        <f>L526*M526-N526*L526</f>
        <v>10</v>
      </c>
      <c r="P526" s="64"/>
    </row>
    <row r="527" spans="1:16" ht="18" customHeight="1">
      <c r="A527" s="85"/>
      <c r="B527" s="86"/>
      <c r="C527" s="87"/>
      <c r="D527" s="88">
        <v>1688</v>
      </c>
      <c r="E527" s="88">
        <v>1810</v>
      </c>
      <c r="F527" s="89">
        <f t="shared" ref="F527:F532" si="406">O527</f>
        <v>5</v>
      </c>
      <c r="G527" s="90">
        <f t="shared" si="404"/>
        <v>166.39327299066539</v>
      </c>
      <c r="H527" s="90">
        <f t="shared" si="405"/>
        <v>69.960000000000008</v>
      </c>
      <c r="I527" s="91" t="str">
        <f>I526</f>
        <v>11동2라인</v>
      </c>
      <c r="J527" s="92" t="s">
        <v>206</v>
      </c>
      <c r="L527" s="89">
        <v>1</v>
      </c>
      <c r="M527" s="78">
        <f>M526</f>
        <v>5</v>
      </c>
      <c r="N527" s="84"/>
      <c r="O527" s="78">
        <f t="shared" ref="O527:O532" si="407">L527*M527-N527*L527</f>
        <v>5</v>
      </c>
    </row>
    <row r="528" spans="1:16" ht="18" customHeight="1">
      <c r="A528" s="85"/>
      <c r="B528" s="86"/>
      <c r="C528" s="87"/>
      <c r="D528" s="88">
        <v>738</v>
      </c>
      <c r="E528" s="88">
        <v>1310</v>
      </c>
      <c r="F528" s="89">
        <f t="shared" si="406"/>
        <v>20</v>
      </c>
      <c r="G528" s="90">
        <f t="shared" si="404"/>
        <v>210.6068032545829</v>
      </c>
      <c r="H528" s="90">
        <f t="shared" si="405"/>
        <v>163.84</v>
      </c>
      <c r="I528" s="91" t="str">
        <f t="shared" ref="I528:I532" si="408">I527</f>
        <v>11동2라인</v>
      </c>
      <c r="J528" s="92" t="s">
        <v>207</v>
      </c>
      <c r="L528" s="89">
        <v>4</v>
      </c>
      <c r="M528" s="78">
        <f t="shared" ref="M528:M531" si="409">M527</f>
        <v>5</v>
      </c>
      <c r="N528" s="78"/>
      <c r="O528" s="78">
        <f t="shared" si="407"/>
        <v>20</v>
      </c>
    </row>
    <row r="529" spans="1:16" ht="18" customHeight="1">
      <c r="A529" s="85"/>
      <c r="B529" s="86"/>
      <c r="C529" s="87"/>
      <c r="D529" s="88">
        <v>288</v>
      </c>
      <c r="E529" s="88">
        <v>910</v>
      </c>
      <c r="F529" s="89">
        <f t="shared" si="406"/>
        <v>10</v>
      </c>
      <c r="G529" s="90">
        <f t="shared" si="404"/>
        <v>28.546220958729535</v>
      </c>
      <c r="H529" s="90">
        <f t="shared" si="405"/>
        <v>47.92</v>
      </c>
      <c r="I529" s="91" t="str">
        <f t="shared" si="408"/>
        <v>11동2라인</v>
      </c>
      <c r="J529" s="92" t="s">
        <v>208</v>
      </c>
      <c r="L529" s="89">
        <v>2</v>
      </c>
      <c r="M529" s="78">
        <f t="shared" si="409"/>
        <v>5</v>
      </c>
      <c r="N529" s="78"/>
      <c r="O529" s="78">
        <f t="shared" si="407"/>
        <v>10</v>
      </c>
    </row>
    <row r="530" spans="1:16" ht="18" customHeight="1">
      <c r="A530" s="85"/>
      <c r="B530" s="86"/>
      <c r="C530" s="87"/>
      <c r="D530" s="88">
        <v>228</v>
      </c>
      <c r="E530" s="88">
        <v>910</v>
      </c>
      <c r="F530" s="89">
        <f t="shared" si="406"/>
        <v>10</v>
      </c>
      <c r="G530" s="90">
        <f t="shared" si="404"/>
        <v>22.59909159232755</v>
      </c>
      <c r="H530" s="90">
        <f t="shared" si="405"/>
        <v>45.519999999999996</v>
      </c>
      <c r="I530" s="91" t="str">
        <f t="shared" si="408"/>
        <v>11동2라인</v>
      </c>
      <c r="J530" s="92" t="s">
        <v>209</v>
      </c>
      <c r="L530" s="89">
        <v>2</v>
      </c>
      <c r="M530" s="78">
        <f t="shared" si="409"/>
        <v>5</v>
      </c>
      <c r="N530" s="78"/>
      <c r="O530" s="78">
        <f t="shared" si="407"/>
        <v>10</v>
      </c>
    </row>
    <row r="531" spans="1:16" ht="18" customHeight="1">
      <c r="A531" s="85"/>
      <c r="B531" s="86"/>
      <c r="C531" s="87"/>
      <c r="D531" s="88">
        <v>438</v>
      </c>
      <c r="E531" s="88">
        <v>270</v>
      </c>
      <c r="F531" s="89">
        <f t="shared" si="406"/>
        <v>10</v>
      </c>
      <c r="G531" s="90">
        <f t="shared" si="404"/>
        <v>12.881090089206941</v>
      </c>
      <c r="H531" s="90">
        <f t="shared" si="405"/>
        <v>28.32</v>
      </c>
      <c r="I531" s="91" t="str">
        <f t="shared" si="408"/>
        <v>11동2라인</v>
      </c>
      <c r="J531" s="92" t="s">
        <v>210</v>
      </c>
      <c r="L531" s="89">
        <v>2</v>
      </c>
      <c r="M531" s="78">
        <f t="shared" si="409"/>
        <v>5</v>
      </c>
      <c r="N531" s="78"/>
      <c r="O531" s="78">
        <f t="shared" si="407"/>
        <v>10</v>
      </c>
    </row>
    <row r="532" spans="1:16" ht="18" customHeight="1">
      <c r="A532" s="85"/>
      <c r="B532" s="86"/>
      <c r="C532" s="87"/>
      <c r="D532" s="88">
        <v>208</v>
      </c>
      <c r="E532" s="88">
        <v>910</v>
      </c>
      <c r="F532" s="89">
        <f t="shared" si="406"/>
        <v>10</v>
      </c>
      <c r="G532" s="90">
        <f t="shared" si="404"/>
        <v>20.616715136860222</v>
      </c>
      <c r="H532" s="90">
        <f t="shared" si="405"/>
        <v>44.72</v>
      </c>
      <c r="I532" s="91" t="str">
        <f t="shared" si="408"/>
        <v>11동2라인</v>
      </c>
      <c r="J532" s="92" t="s">
        <v>211</v>
      </c>
      <c r="L532" s="89">
        <v>2</v>
      </c>
      <c r="M532" s="78">
        <f>M531</f>
        <v>5</v>
      </c>
      <c r="N532" s="78"/>
      <c r="O532" s="78">
        <f t="shared" si="407"/>
        <v>10</v>
      </c>
    </row>
    <row r="533" spans="1:16" ht="18" customHeight="1">
      <c r="A533" s="85"/>
      <c r="B533" s="93"/>
      <c r="C533" s="87"/>
      <c r="D533" s="325" t="s">
        <v>0</v>
      </c>
      <c r="E533" s="325"/>
      <c r="F533" s="94">
        <f>SUM(F526:F532)</f>
        <v>75</v>
      </c>
      <c r="G533" s="95">
        <f>SUM(G526:G532)</f>
        <v>611.67314751277115</v>
      </c>
      <c r="H533" s="96">
        <f>SUM(H526:H532)</f>
        <v>503.12</v>
      </c>
      <c r="I533" s="97"/>
      <c r="J533" s="162"/>
    </row>
    <row r="534" spans="1:16" ht="18" customHeight="1">
      <c r="A534" s="85"/>
      <c r="B534" s="93"/>
      <c r="C534" s="87"/>
      <c r="D534" s="161"/>
      <c r="E534" s="161"/>
      <c r="F534" s="89"/>
      <c r="G534" s="100"/>
      <c r="H534" s="101"/>
      <c r="I534" s="102"/>
      <c r="J534" s="121"/>
      <c r="L534" s="78" t="s">
        <v>48</v>
      </c>
      <c r="M534" s="78" t="s">
        <v>54</v>
      </c>
      <c r="N534" s="78" t="s">
        <v>50</v>
      </c>
      <c r="O534" s="78" t="s">
        <v>55</v>
      </c>
    </row>
    <row r="535" spans="1:16" ht="18" customHeight="1">
      <c r="A535" s="85"/>
      <c r="B535" s="23" t="s">
        <v>197</v>
      </c>
      <c r="C535" s="24">
        <v>22</v>
      </c>
      <c r="D535" s="88">
        <v>761</v>
      </c>
      <c r="E535" s="88">
        <v>1810</v>
      </c>
      <c r="F535" s="89">
        <f t="shared" ref="F535:F541" si="410">O535</f>
        <v>10</v>
      </c>
      <c r="G535" s="90">
        <f t="shared" ref="G535:G541" si="411">D535*E535/91809*F535</f>
        <v>150.02995349039855</v>
      </c>
      <c r="H535" s="90">
        <f t="shared" ref="H535:H541" si="412">(D535/1000)*4*F535+(E535/1000)*4*F535</f>
        <v>102.84</v>
      </c>
      <c r="I535" s="91" t="str">
        <f t="shared" ref="I535:I541" si="413">I526</f>
        <v>11동2라인</v>
      </c>
      <c r="J535" s="92" t="s">
        <v>212</v>
      </c>
      <c r="L535" s="89">
        <v>2</v>
      </c>
      <c r="M535" s="78">
        <f>M526</f>
        <v>5</v>
      </c>
      <c r="N535" s="84"/>
      <c r="O535" s="78">
        <f>L535*M535-N535*L535</f>
        <v>10</v>
      </c>
    </row>
    <row r="536" spans="1:16" ht="18" customHeight="1">
      <c r="A536" s="85"/>
      <c r="B536" s="86"/>
      <c r="C536" s="87"/>
      <c r="D536" s="88">
        <v>1688</v>
      </c>
      <c r="E536" s="88">
        <v>1810</v>
      </c>
      <c r="F536" s="89">
        <f t="shared" si="410"/>
        <v>5</v>
      </c>
      <c r="G536" s="90">
        <f t="shared" si="411"/>
        <v>166.39327299066539</v>
      </c>
      <c r="H536" s="90">
        <f t="shared" si="412"/>
        <v>69.960000000000008</v>
      </c>
      <c r="I536" s="91" t="str">
        <f t="shared" si="413"/>
        <v>11동2라인</v>
      </c>
      <c r="J536" s="92" t="s">
        <v>213</v>
      </c>
      <c r="L536" s="89">
        <v>1</v>
      </c>
      <c r="M536" s="78">
        <f>M535</f>
        <v>5</v>
      </c>
      <c r="N536" s="84"/>
      <c r="O536" s="78">
        <f>L536*M536-N536*L536</f>
        <v>5</v>
      </c>
    </row>
    <row r="537" spans="1:16" ht="18" customHeight="1">
      <c r="A537" s="104"/>
      <c r="B537" s="93"/>
      <c r="C537" s="87"/>
      <c r="D537" s="88">
        <v>738</v>
      </c>
      <c r="E537" s="88">
        <v>1310</v>
      </c>
      <c r="F537" s="89">
        <f t="shared" si="410"/>
        <v>20</v>
      </c>
      <c r="G537" s="90">
        <f t="shared" si="411"/>
        <v>210.6068032545829</v>
      </c>
      <c r="H537" s="90">
        <f t="shared" si="412"/>
        <v>163.84</v>
      </c>
      <c r="I537" s="91" t="str">
        <f t="shared" si="413"/>
        <v>11동2라인</v>
      </c>
      <c r="J537" s="92" t="s">
        <v>214</v>
      </c>
      <c r="L537" s="89">
        <v>4</v>
      </c>
      <c r="M537" s="78">
        <f t="shared" ref="M537:M541" si="414">M536</f>
        <v>5</v>
      </c>
      <c r="N537" s="84"/>
      <c r="O537" s="78">
        <f t="shared" ref="O537:O541" si="415">L537*M537-N537*L537</f>
        <v>20</v>
      </c>
    </row>
    <row r="538" spans="1:16" ht="18" customHeight="1">
      <c r="A538" s="104"/>
      <c r="B538" s="93"/>
      <c r="C538" s="87"/>
      <c r="D538" s="88">
        <v>288</v>
      </c>
      <c r="E538" s="88">
        <v>910</v>
      </c>
      <c r="F538" s="89">
        <f t="shared" si="410"/>
        <v>10</v>
      </c>
      <c r="G538" s="90">
        <f t="shared" si="411"/>
        <v>28.546220958729535</v>
      </c>
      <c r="H538" s="90">
        <f t="shared" si="412"/>
        <v>47.92</v>
      </c>
      <c r="I538" s="91" t="str">
        <f t="shared" si="413"/>
        <v>11동2라인</v>
      </c>
      <c r="J538" s="92" t="s">
        <v>215</v>
      </c>
      <c r="L538" s="89">
        <v>2</v>
      </c>
      <c r="M538" s="78">
        <f t="shared" si="414"/>
        <v>5</v>
      </c>
      <c r="N538" s="78"/>
      <c r="O538" s="78">
        <f t="shared" si="415"/>
        <v>10</v>
      </c>
    </row>
    <row r="539" spans="1:16" ht="18" customHeight="1">
      <c r="A539" s="104"/>
      <c r="B539" s="93"/>
      <c r="C539" s="87"/>
      <c r="D539" s="88">
        <v>228</v>
      </c>
      <c r="E539" s="88">
        <v>910</v>
      </c>
      <c r="F539" s="89">
        <f t="shared" si="410"/>
        <v>10</v>
      </c>
      <c r="G539" s="90">
        <f t="shared" si="411"/>
        <v>22.59909159232755</v>
      </c>
      <c r="H539" s="90">
        <f t="shared" si="412"/>
        <v>45.519999999999996</v>
      </c>
      <c r="I539" s="91" t="str">
        <f t="shared" si="413"/>
        <v>11동2라인</v>
      </c>
      <c r="J539" s="92" t="s">
        <v>216</v>
      </c>
      <c r="L539" s="89">
        <v>2</v>
      </c>
      <c r="M539" s="78">
        <f t="shared" si="414"/>
        <v>5</v>
      </c>
      <c r="N539" s="78"/>
      <c r="O539" s="78">
        <f t="shared" si="415"/>
        <v>10</v>
      </c>
    </row>
    <row r="540" spans="1:16" ht="18" customHeight="1">
      <c r="A540" s="104"/>
      <c r="B540" s="93"/>
      <c r="C540" s="87"/>
      <c r="D540" s="88">
        <v>438</v>
      </c>
      <c r="E540" s="88">
        <v>270</v>
      </c>
      <c r="F540" s="89">
        <f t="shared" si="410"/>
        <v>10</v>
      </c>
      <c r="G540" s="90">
        <f t="shared" si="411"/>
        <v>12.881090089206941</v>
      </c>
      <c r="H540" s="90">
        <f t="shared" si="412"/>
        <v>28.32</v>
      </c>
      <c r="I540" s="91" t="str">
        <f t="shared" si="413"/>
        <v>11동2라인</v>
      </c>
      <c r="J540" s="92" t="s">
        <v>217</v>
      </c>
      <c r="L540" s="89">
        <v>2</v>
      </c>
      <c r="M540" s="78">
        <f t="shared" si="414"/>
        <v>5</v>
      </c>
      <c r="N540" s="78"/>
      <c r="O540" s="78">
        <f t="shared" si="415"/>
        <v>10</v>
      </c>
    </row>
    <row r="541" spans="1:16" ht="18" customHeight="1">
      <c r="A541" s="104"/>
      <c r="B541" s="93"/>
      <c r="C541" s="87"/>
      <c r="D541" s="88">
        <v>208</v>
      </c>
      <c r="E541" s="88">
        <v>910</v>
      </c>
      <c r="F541" s="89">
        <f t="shared" si="410"/>
        <v>10</v>
      </c>
      <c r="G541" s="90">
        <f t="shared" si="411"/>
        <v>20.616715136860222</v>
      </c>
      <c r="H541" s="90">
        <f t="shared" si="412"/>
        <v>44.72</v>
      </c>
      <c r="I541" s="91" t="str">
        <f t="shared" si="413"/>
        <v>11동2라인</v>
      </c>
      <c r="J541" s="92" t="s">
        <v>218</v>
      </c>
      <c r="L541" s="89">
        <v>2</v>
      </c>
      <c r="M541" s="78">
        <f t="shared" si="414"/>
        <v>5</v>
      </c>
      <c r="N541" s="78"/>
      <c r="O541" s="78">
        <f t="shared" si="415"/>
        <v>10</v>
      </c>
    </row>
    <row r="542" spans="1:16" ht="18" customHeight="1">
      <c r="A542" s="104"/>
      <c r="B542" s="87"/>
      <c r="C542" s="87"/>
      <c r="D542" s="325" t="s">
        <v>0</v>
      </c>
      <c r="E542" s="325"/>
      <c r="F542" s="171">
        <f>SUM(F535:F541)</f>
        <v>75</v>
      </c>
      <c r="G542" s="95">
        <f>SUM(G535:G541)</f>
        <v>611.67314751277115</v>
      </c>
      <c r="H542" s="95">
        <f>SUM(H535:H541)</f>
        <v>503.12</v>
      </c>
      <c r="I542" s="97"/>
      <c r="J542" s="98"/>
    </row>
    <row r="543" spans="1:16">
      <c r="A543" s="105"/>
      <c r="B543" s="9"/>
      <c r="C543" s="9"/>
      <c r="D543" s="51"/>
      <c r="E543" s="51"/>
      <c r="F543" s="51"/>
      <c r="G543" s="106"/>
      <c r="H543" s="106"/>
      <c r="I543" s="9"/>
      <c r="J543" s="107"/>
    </row>
    <row r="544" spans="1:16" ht="18" customHeight="1">
      <c r="A544" s="85"/>
      <c r="B544" s="163" t="s">
        <v>199</v>
      </c>
      <c r="C544" s="163">
        <v>22</v>
      </c>
      <c r="D544" s="88">
        <v>738</v>
      </c>
      <c r="E544" s="88">
        <v>1810</v>
      </c>
      <c r="F544" s="89">
        <f t="shared" ref="F544:F545" si="416">O544</f>
        <v>10</v>
      </c>
      <c r="G544" s="90">
        <f t="shared" ref="G544:G545" si="417">D544*E544/91809*F544</f>
        <v>145.4955396529752</v>
      </c>
      <c r="H544" s="90">
        <f t="shared" ref="H544:H545" si="418">(D544/1000)*4*F544+(E544/1000)*4*F544</f>
        <v>101.92</v>
      </c>
      <c r="I544" s="91" t="str">
        <f>I535</f>
        <v>11동2라인</v>
      </c>
      <c r="J544" s="92" t="s">
        <v>219</v>
      </c>
      <c r="L544" s="89">
        <v>2</v>
      </c>
      <c r="M544" s="78">
        <f>M526</f>
        <v>5</v>
      </c>
      <c r="N544" s="84"/>
      <c r="O544" s="78">
        <f>L544*M544-N544*L544</f>
        <v>10</v>
      </c>
      <c r="P544" s="64"/>
    </row>
    <row r="545" spans="1:16" ht="18" customHeight="1">
      <c r="A545" s="85"/>
      <c r="B545" s="86"/>
      <c r="C545" s="87"/>
      <c r="D545" s="88">
        <v>250</v>
      </c>
      <c r="E545" s="88">
        <v>930</v>
      </c>
      <c r="F545" s="89">
        <f t="shared" si="416"/>
        <v>10</v>
      </c>
      <c r="G545" s="90">
        <f t="shared" si="417"/>
        <v>25.324314609678787</v>
      </c>
      <c r="H545" s="90">
        <f t="shared" si="418"/>
        <v>47.2</v>
      </c>
      <c r="I545" s="91" t="str">
        <f>I544</f>
        <v>11동2라인</v>
      </c>
      <c r="J545" s="92" t="s">
        <v>220</v>
      </c>
      <c r="L545" s="89">
        <v>2</v>
      </c>
      <c r="M545" s="78">
        <f>M544</f>
        <v>5</v>
      </c>
      <c r="N545" s="84"/>
      <c r="O545" s="78">
        <f t="shared" ref="O545" si="419">L545*M545-N545*L545</f>
        <v>10</v>
      </c>
    </row>
    <row r="546" spans="1:16" ht="18" customHeight="1">
      <c r="A546" s="85"/>
      <c r="B546" s="93"/>
      <c r="C546" s="87"/>
      <c r="D546" s="325" t="s">
        <v>0</v>
      </c>
      <c r="E546" s="325"/>
      <c r="F546" s="94">
        <f>SUM(F544:F545)</f>
        <v>20</v>
      </c>
      <c r="G546" s="95">
        <f>SUM(G544:G545)</f>
        <v>170.81985426265399</v>
      </c>
      <c r="H546" s="95">
        <f>SUM(H544:H545)</f>
        <v>149.12</v>
      </c>
      <c r="I546" s="97"/>
      <c r="J546" s="98"/>
    </row>
    <row r="547" spans="1:16">
      <c r="A547" s="236"/>
      <c r="B547" s="237"/>
      <c r="C547" s="238"/>
      <c r="D547" s="362"/>
      <c r="E547" s="362"/>
      <c r="F547" s="239"/>
      <c r="G547" s="240"/>
      <c r="H547" s="241"/>
      <c r="I547" s="242"/>
      <c r="J547" s="243"/>
    </row>
    <row r="548" spans="1:16" ht="18" customHeight="1">
      <c r="A548" s="244" t="s">
        <v>234</v>
      </c>
      <c r="B548" s="23" t="s">
        <v>195</v>
      </c>
      <c r="C548" s="24">
        <v>22</v>
      </c>
      <c r="D548" s="88">
        <v>761</v>
      </c>
      <c r="E548" s="88">
        <v>1810</v>
      </c>
      <c r="F548" s="89">
        <f>O548</f>
        <v>20</v>
      </c>
      <c r="G548" s="90">
        <f t="shared" ref="G548:G554" si="420">D548*E548/91809*F548</f>
        <v>300.05990698079711</v>
      </c>
      <c r="H548" s="90">
        <f t="shared" ref="H548:H554" si="421">(D548/1000)*4*F548+(E548/1000)*4*F548</f>
        <v>205.68</v>
      </c>
      <c r="I548" s="91" t="s">
        <v>268</v>
      </c>
      <c r="J548" s="92" t="s">
        <v>205</v>
      </c>
      <c r="L548" s="89">
        <v>2</v>
      </c>
      <c r="M548" s="78">
        <v>10</v>
      </c>
      <c r="N548" s="84"/>
      <c r="O548" s="78">
        <f>L548*M548-N548*L548</f>
        <v>20</v>
      </c>
      <c r="P548" s="64"/>
    </row>
    <row r="549" spans="1:16" ht="18" customHeight="1">
      <c r="A549" s="85"/>
      <c r="B549" s="86"/>
      <c r="C549" s="87"/>
      <c r="D549" s="88">
        <v>1688</v>
      </c>
      <c r="E549" s="88">
        <v>1810</v>
      </c>
      <c r="F549" s="89">
        <f t="shared" ref="F549:F554" si="422">O549</f>
        <v>10</v>
      </c>
      <c r="G549" s="90">
        <f t="shared" si="420"/>
        <v>332.78654598133079</v>
      </c>
      <c r="H549" s="90">
        <f t="shared" si="421"/>
        <v>139.92000000000002</v>
      </c>
      <c r="I549" s="91" t="str">
        <f>I548</f>
        <v>11동3,5라인</v>
      </c>
      <c r="J549" s="92" t="s">
        <v>206</v>
      </c>
      <c r="L549" s="89">
        <v>1</v>
      </c>
      <c r="M549" s="78">
        <f>M548</f>
        <v>10</v>
      </c>
      <c r="N549" s="84"/>
      <c r="O549" s="78">
        <f t="shared" ref="O549:O554" si="423">L549*M549-N549*L549</f>
        <v>10</v>
      </c>
    </row>
    <row r="550" spans="1:16" ht="18" customHeight="1">
      <c r="A550" s="85"/>
      <c r="B550" s="86"/>
      <c r="C550" s="87"/>
      <c r="D550" s="88">
        <v>738</v>
      </c>
      <c r="E550" s="88">
        <v>1310</v>
      </c>
      <c r="F550" s="89">
        <f t="shared" si="422"/>
        <v>40</v>
      </c>
      <c r="G550" s="90">
        <f t="shared" si="420"/>
        <v>421.2136065091658</v>
      </c>
      <c r="H550" s="90">
        <f t="shared" si="421"/>
        <v>327.68</v>
      </c>
      <c r="I550" s="91" t="str">
        <f t="shared" ref="I550:I554" si="424">I549</f>
        <v>11동3,5라인</v>
      </c>
      <c r="J550" s="92" t="s">
        <v>207</v>
      </c>
      <c r="L550" s="89">
        <v>4</v>
      </c>
      <c r="M550" s="78">
        <f t="shared" ref="M550:M553" si="425">M549</f>
        <v>10</v>
      </c>
      <c r="N550" s="78"/>
      <c r="O550" s="78">
        <f t="shared" si="423"/>
        <v>40</v>
      </c>
    </row>
    <row r="551" spans="1:16" ht="18" customHeight="1">
      <c r="A551" s="85"/>
      <c r="B551" s="86"/>
      <c r="C551" s="87"/>
      <c r="D551" s="88">
        <v>288</v>
      </c>
      <c r="E551" s="88">
        <v>910</v>
      </c>
      <c r="F551" s="89">
        <f t="shared" si="422"/>
        <v>20</v>
      </c>
      <c r="G551" s="90">
        <f t="shared" si="420"/>
        <v>57.09244191745907</v>
      </c>
      <c r="H551" s="90">
        <f t="shared" si="421"/>
        <v>95.84</v>
      </c>
      <c r="I551" s="91" t="str">
        <f t="shared" si="424"/>
        <v>11동3,5라인</v>
      </c>
      <c r="J551" s="92" t="s">
        <v>208</v>
      </c>
      <c r="L551" s="89">
        <v>2</v>
      </c>
      <c r="M551" s="78">
        <f t="shared" si="425"/>
        <v>10</v>
      </c>
      <c r="N551" s="78"/>
      <c r="O551" s="78">
        <f t="shared" si="423"/>
        <v>20</v>
      </c>
    </row>
    <row r="552" spans="1:16" ht="18" customHeight="1">
      <c r="A552" s="85"/>
      <c r="B552" s="86"/>
      <c r="C552" s="87"/>
      <c r="D552" s="88">
        <v>228</v>
      </c>
      <c r="E552" s="88">
        <v>910</v>
      </c>
      <c r="F552" s="89">
        <f t="shared" si="422"/>
        <v>20</v>
      </c>
      <c r="G552" s="90">
        <f t="shared" si="420"/>
        <v>45.1981831846551</v>
      </c>
      <c r="H552" s="90">
        <f t="shared" si="421"/>
        <v>91.039999999999992</v>
      </c>
      <c r="I552" s="91" t="str">
        <f t="shared" si="424"/>
        <v>11동3,5라인</v>
      </c>
      <c r="J552" s="92" t="s">
        <v>209</v>
      </c>
      <c r="L552" s="89">
        <v>2</v>
      </c>
      <c r="M552" s="78">
        <f t="shared" si="425"/>
        <v>10</v>
      </c>
      <c r="N552" s="78"/>
      <c r="O552" s="78">
        <f t="shared" si="423"/>
        <v>20</v>
      </c>
    </row>
    <row r="553" spans="1:16" ht="18" customHeight="1">
      <c r="A553" s="85"/>
      <c r="B553" s="86"/>
      <c r="C553" s="87"/>
      <c r="D553" s="88">
        <v>438</v>
      </c>
      <c r="E553" s="88">
        <v>270</v>
      </c>
      <c r="F553" s="89">
        <f t="shared" si="422"/>
        <v>20</v>
      </c>
      <c r="G553" s="90">
        <f t="shared" si="420"/>
        <v>25.762180178413882</v>
      </c>
      <c r="H553" s="90">
        <f t="shared" si="421"/>
        <v>56.64</v>
      </c>
      <c r="I553" s="91" t="str">
        <f t="shared" si="424"/>
        <v>11동3,5라인</v>
      </c>
      <c r="J553" s="92" t="s">
        <v>210</v>
      </c>
      <c r="L553" s="89">
        <v>2</v>
      </c>
      <c r="M553" s="78">
        <f t="shared" si="425"/>
        <v>10</v>
      </c>
      <c r="N553" s="78"/>
      <c r="O553" s="78">
        <f t="shared" si="423"/>
        <v>20</v>
      </c>
    </row>
    <row r="554" spans="1:16" ht="18" customHeight="1">
      <c r="A554" s="85"/>
      <c r="B554" s="86"/>
      <c r="C554" s="87"/>
      <c r="D554" s="88">
        <v>208</v>
      </c>
      <c r="E554" s="88">
        <v>910</v>
      </c>
      <c r="F554" s="89">
        <f t="shared" si="422"/>
        <v>20</v>
      </c>
      <c r="G554" s="90">
        <f t="shared" si="420"/>
        <v>41.233430273720444</v>
      </c>
      <c r="H554" s="90">
        <f t="shared" si="421"/>
        <v>89.44</v>
      </c>
      <c r="I554" s="91" t="str">
        <f t="shared" si="424"/>
        <v>11동3,5라인</v>
      </c>
      <c r="J554" s="92" t="s">
        <v>211</v>
      </c>
      <c r="L554" s="89">
        <v>2</v>
      </c>
      <c r="M554" s="78">
        <f>M553</f>
        <v>10</v>
      </c>
      <c r="N554" s="78"/>
      <c r="O554" s="78">
        <f t="shared" si="423"/>
        <v>20</v>
      </c>
    </row>
    <row r="555" spans="1:16" ht="18" customHeight="1">
      <c r="A555" s="85"/>
      <c r="B555" s="93"/>
      <c r="C555" s="87"/>
      <c r="D555" s="325" t="s">
        <v>0</v>
      </c>
      <c r="E555" s="325"/>
      <c r="F555" s="94">
        <f>SUM(F548:F554)</f>
        <v>150</v>
      </c>
      <c r="G555" s="95">
        <f>SUM(G548:G554)</f>
        <v>1223.3462950255423</v>
      </c>
      <c r="H555" s="96">
        <f>SUM(H548:H554)</f>
        <v>1006.24</v>
      </c>
      <c r="I555" s="97"/>
      <c r="J555" s="162"/>
    </row>
    <row r="556" spans="1:16" ht="18" customHeight="1">
      <c r="A556" s="85"/>
      <c r="B556" s="93"/>
      <c r="C556" s="87"/>
      <c r="D556" s="161"/>
      <c r="E556" s="161"/>
      <c r="F556" s="89"/>
      <c r="G556" s="100"/>
      <c r="H556" s="101"/>
      <c r="I556" s="102"/>
      <c r="J556" s="121"/>
      <c r="L556" s="78" t="s">
        <v>48</v>
      </c>
      <c r="M556" s="78" t="s">
        <v>54</v>
      </c>
      <c r="N556" s="78" t="s">
        <v>50</v>
      </c>
      <c r="O556" s="78" t="s">
        <v>55</v>
      </c>
    </row>
    <row r="557" spans="1:16" ht="18" customHeight="1">
      <c r="A557" s="85"/>
      <c r="B557" s="23" t="s">
        <v>197</v>
      </c>
      <c r="C557" s="24">
        <v>22</v>
      </c>
      <c r="D557" s="88">
        <v>761</v>
      </c>
      <c r="E557" s="88">
        <v>1810</v>
      </c>
      <c r="F557" s="89">
        <f t="shared" ref="F557:F563" si="426">O557</f>
        <v>20</v>
      </c>
      <c r="G557" s="90">
        <f t="shared" ref="G557:G563" si="427">D557*E557/91809*F557</f>
        <v>300.05990698079711</v>
      </c>
      <c r="H557" s="90">
        <f t="shared" ref="H557:H563" si="428">(D557/1000)*4*F557+(E557/1000)*4*F557</f>
        <v>205.68</v>
      </c>
      <c r="I557" s="91" t="str">
        <f t="shared" ref="I557:I563" si="429">I548</f>
        <v>11동3,5라인</v>
      </c>
      <c r="J557" s="92" t="s">
        <v>212</v>
      </c>
      <c r="L557" s="89">
        <v>2</v>
      </c>
      <c r="M557" s="78">
        <f>M548</f>
        <v>10</v>
      </c>
      <c r="N557" s="84"/>
      <c r="O557" s="78">
        <f>L557*M557-N557*L557</f>
        <v>20</v>
      </c>
    </row>
    <row r="558" spans="1:16" ht="18" customHeight="1">
      <c r="A558" s="85"/>
      <c r="B558" s="86"/>
      <c r="C558" s="87"/>
      <c r="D558" s="88">
        <v>1688</v>
      </c>
      <c r="E558" s="88">
        <v>1810</v>
      </c>
      <c r="F558" s="89">
        <f t="shared" si="426"/>
        <v>10</v>
      </c>
      <c r="G558" s="90">
        <f t="shared" si="427"/>
        <v>332.78654598133079</v>
      </c>
      <c r="H558" s="90">
        <f t="shared" si="428"/>
        <v>139.92000000000002</v>
      </c>
      <c r="I558" s="91" t="str">
        <f t="shared" si="429"/>
        <v>11동3,5라인</v>
      </c>
      <c r="J558" s="92" t="s">
        <v>213</v>
      </c>
      <c r="L558" s="89">
        <v>1</v>
      </c>
      <c r="M558" s="78">
        <f>M557</f>
        <v>10</v>
      </c>
      <c r="N558" s="84"/>
      <c r="O558" s="78">
        <f>L558*M558-N558*L558</f>
        <v>10</v>
      </c>
    </row>
    <row r="559" spans="1:16" ht="18" customHeight="1">
      <c r="A559" s="104"/>
      <c r="B559" s="93"/>
      <c r="C559" s="87"/>
      <c r="D559" s="88">
        <v>738</v>
      </c>
      <c r="E559" s="88">
        <v>1310</v>
      </c>
      <c r="F559" s="89">
        <f t="shared" si="426"/>
        <v>40</v>
      </c>
      <c r="G559" s="90">
        <f t="shared" si="427"/>
        <v>421.2136065091658</v>
      </c>
      <c r="H559" s="90">
        <f t="shared" si="428"/>
        <v>327.68</v>
      </c>
      <c r="I559" s="91" t="str">
        <f t="shared" si="429"/>
        <v>11동3,5라인</v>
      </c>
      <c r="J559" s="92" t="s">
        <v>214</v>
      </c>
      <c r="L559" s="89">
        <v>4</v>
      </c>
      <c r="M559" s="78">
        <f t="shared" ref="M559:M563" si="430">M558</f>
        <v>10</v>
      </c>
      <c r="N559" s="84"/>
      <c r="O559" s="78">
        <f t="shared" ref="O559:O563" si="431">L559*M559-N559*L559</f>
        <v>40</v>
      </c>
    </row>
    <row r="560" spans="1:16" ht="18" customHeight="1">
      <c r="A560" s="104"/>
      <c r="B560" s="93"/>
      <c r="C560" s="87"/>
      <c r="D560" s="88">
        <v>288</v>
      </c>
      <c r="E560" s="88">
        <v>910</v>
      </c>
      <c r="F560" s="89">
        <f t="shared" si="426"/>
        <v>20</v>
      </c>
      <c r="G560" s="90">
        <f t="shared" si="427"/>
        <v>57.09244191745907</v>
      </c>
      <c r="H560" s="90">
        <f t="shared" si="428"/>
        <v>95.84</v>
      </c>
      <c r="I560" s="91" t="str">
        <f t="shared" si="429"/>
        <v>11동3,5라인</v>
      </c>
      <c r="J560" s="92" t="s">
        <v>215</v>
      </c>
      <c r="L560" s="89">
        <v>2</v>
      </c>
      <c r="M560" s="78">
        <f t="shared" si="430"/>
        <v>10</v>
      </c>
      <c r="N560" s="78"/>
      <c r="O560" s="78">
        <f t="shared" si="431"/>
        <v>20</v>
      </c>
    </row>
    <row r="561" spans="1:16" ht="18" customHeight="1">
      <c r="A561" s="104"/>
      <c r="B561" s="93"/>
      <c r="C561" s="87"/>
      <c r="D561" s="88">
        <v>228</v>
      </c>
      <c r="E561" s="88">
        <v>910</v>
      </c>
      <c r="F561" s="89">
        <f t="shared" si="426"/>
        <v>20</v>
      </c>
      <c r="G561" s="90">
        <f t="shared" si="427"/>
        <v>45.1981831846551</v>
      </c>
      <c r="H561" s="90">
        <f t="shared" si="428"/>
        <v>91.039999999999992</v>
      </c>
      <c r="I561" s="91" t="str">
        <f t="shared" si="429"/>
        <v>11동3,5라인</v>
      </c>
      <c r="J561" s="92" t="s">
        <v>216</v>
      </c>
      <c r="L561" s="89">
        <v>2</v>
      </c>
      <c r="M561" s="78">
        <f t="shared" si="430"/>
        <v>10</v>
      </c>
      <c r="N561" s="78"/>
      <c r="O561" s="78">
        <f t="shared" si="431"/>
        <v>20</v>
      </c>
    </row>
    <row r="562" spans="1:16" ht="18" customHeight="1">
      <c r="A562" s="104"/>
      <c r="B562" s="93"/>
      <c r="C562" s="87"/>
      <c r="D562" s="88">
        <v>438</v>
      </c>
      <c r="E562" s="88">
        <v>270</v>
      </c>
      <c r="F562" s="89">
        <f t="shared" si="426"/>
        <v>20</v>
      </c>
      <c r="G562" s="90">
        <f t="shared" si="427"/>
        <v>25.762180178413882</v>
      </c>
      <c r="H562" s="90">
        <f t="shared" si="428"/>
        <v>56.64</v>
      </c>
      <c r="I562" s="91" t="str">
        <f t="shared" si="429"/>
        <v>11동3,5라인</v>
      </c>
      <c r="J562" s="92" t="s">
        <v>217</v>
      </c>
      <c r="L562" s="89">
        <v>2</v>
      </c>
      <c r="M562" s="78">
        <f t="shared" si="430"/>
        <v>10</v>
      </c>
      <c r="N562" s="78"/>
      <c r="O562" s="78">
        <f t="shared" si="431"/>
        <v>20</v>
      </c>
    </row>
    <row r="563" spans="1:16" ht="18" customHeight="1">
      <c r="A563" s="104"/>
      <c r="B563" s="93"/>
      <c r="C563" s="87"/>
      <c r="D563" s="88">
        <v>208</v>
      </c>
      <c r="E563" s="88">
        <v>910</v>
      </c>
      <c r="F563" s="89">
        <f t="shared" si="426"/>
        <v>20</v>
      </c>
      <c r="G563" s="90">
        <f t="shared" si="427"/>
        <v>41.233430273720444</v>
      </c>
      <c r="H563" s="90">
        <f t="shared" si="428"/>
        <v>89.44</v>
      </c>
      <c r="I563" s="91" t="str">
        <f t="shared" si="429"/>
        <v>11동3,5라인</v>
      </c>
      <c r="J563" s="92" t="s">
        <v>218</v>
      </c>
      <c r="L563" s="89">
        <v>2</v>
      </c>
      <c r="M563" s="78">
        <f t="shared" si="430"/>
        <v>10</v>
      </c>
      <c r="N563" s="78"/>
      <c r="O563" s="78">
        <f t="shared" si="431"/>
        <v>20</v>
      </c>
    </row>
    <row r="564" spans="1:16" ht="18" customHeight="1">
      <c r="A564" s="104"/>
      <c r="B564" s="87"/>
      <c r="C564" s="87"/>
      <c r="D564" s="325" t="s">
        <v>0</v>
      </c>
      <c r="E564" s="325"/>
      <c r="F564" s="171">
        <f>SUM(F557:F563)</f>
        <v>150</v>
      </c>
      <c r="G564" s="95">
        <f>SUM(G557:G563)</f>
        <v>1223.3462950255423</v>
      </c>
      <c r="H564" s="95">
        <f>SUM(H557:H563)</f>
        <v>1006.24</v>
      </c>
      <c r="I564" s="97"/>
      <c r="J564" s="98"/>
    </row>
    <row r="565" spans="1:16">
      <c r="A565" s="105"/>
      <c r="B565" s="9"/>
      <c r="C565" s="9"/>
      <c r="D565" s="51"/>
      <c r="E565" s="51"/>
      <c r="F565" s="51"/>
      <c r="G565" s="106"/>
      <c r="H565" s="106"/>
      <c r="I565" s="9"/>
      <c r="J565" s="107"/>
    </row>
    <row r="566" spans="1:16" ht="18" customHeight="1">
      <c r="A566" s="85"/>
      <c r="B566" s="163" t="s">
        <v>199</v>
      </c>
      <c r="C566" s="163">
        <v>22</v>
      </c>
      <c r="D566" s="88">
        <v>738</v>
      </c>
      <c r="E566" s="88">
        <v>1810</v>
      </c>
      <c r="F566" s="89">
        <f t="shared" ref="F566:F567" si="432">O566</f>
        <v>20</v>
      </c>
      <c r="G566" s="90">
        <f t="shared" ref="G566:G567" si="433">D566*E566/91809*F566</f>
        <v>290.99107930595039</v>
      </c>
      <c r="H566" s="90">
        <f t="shared" ref="H566:H567" si="434">(D566/1000)*4*F566+(E566/1000)*4*F566</f>
        <v>203.84</v>
      </c>
      <c r="I566" s="91" t="str">
        <f>I557</f>
        <v>11동3,5라인</v>
      </c>
      <c r="J566" s="92" t="s">
        <v>219</v>
      </c>
      <c r="L566" s="89">
        <v>2</v>
      </c>
      <c r="M566" s="78">
        <f>M548</f>
        <v>10</v>
      </c>
      <c r="N566" s="84"/>
      <c r="O566" s="78">
        <f>L566*M566-N566*L566</f>
        <v>20</v>
      </c>
      <c r="P566" s="64"/>
    </row>
    <row r="567" spans="1:16" ht="18" customHeight="1">
      <c r="A567" s="85"/>
      <c r="B567" s="86"/>
      <c r="C567" s="87"/>
      <c r="D567" s="88">
        <v>250</v>
      </c>
      <c r="E567" s="88">
        <v>930</v>
      </c>
      <c r="F567" s="89">
        <f t="shared" si="432"/>
        <v>20</v>
      </c>
      <c r="G567" s="90">
        <f t="shared" si="433"/>
        <v>50.648629219357574</v>
      </c>
      <c r="H567" s="90">
        <f t="shared" si="434"/>
        <v>94.4</v>
      </c>
      <c r="I567" s="91" t="str">
        <f>I566</f>
        <v>11동3,5라인</v>
      </c>
      <c r="J567" s="92" t="s">
        <v>220</v>
      </c>
      <c r="L567" s="89">
        <v>2</v>
      </c>
      <c r="M567" s="78">
        <f>M566</f>
        <v>10</v>
      </c>
      <c r="N567" s="84"/>
      <c r="O567" s="78">
        <f t="shared" ref="O567" si="435">L567*M567-N567*L567</f>
        <v>20</v>
      </c>
    </row>
    <row r="568" spans="1:16" ht="18" customHeight="1" thickBot="1">
      <c r="A568" s="222"/>
      <c r="B568" s="223"/>
      <c r="C568" s="224"/>
      <c r="D568" s="364" t="s">
        <v>0</v>
      </c>
      <c r="E568" s="364"/>
      <c r="F568" s="269">
        <f>SUM(F566:F567)</f>
        <v>40</v>
      </c>
      <c r="G568" s="270">
        <f>SUM(G566:G567)</f>
        <v>341.63970852530798</v>
      </c>
      <c r="H568" s="270">
        <f>SUM(H566:H567)</f>
        <v>298.24</v>
      </c>
      <c r="I568" s="271"/>
      <c r="J568" s="272"/>
    </row>
    <row r="569" spans="1:16" ht="18" customHeight="1">
      <c r="A569" s="79" t="s">
        <v>235</v>
      </c>
      <c r="B569" s="231" t="s">
        <v>196</v>
      </c>
      <c r="C569" s="232">
        <v>22</v>
      </c>
      <c r="D569" s="80">
        <v>861</v>
      </c>
      <c r="E569" s="80">
        <v>1810</v>
      </c>
      <c r="F569" s="233">
        <f t="shared" ref="F569:F572" si="436">O569</f>
        <v>5</v>
      </c>
      <c r="G569" s="81">
        <f t="shared" ref="G569:G572" si="437">D569*E569/91809*F569</f>
        <v>84.872398130902198</v>
      </c>
      <c r="H569" s="81">
        <f t="shared" ref="H569:H572" si="438">(D569/1000)*4*F569+(E569/1000)*4*F569</f>
        <v>53.42</v>
      </c>
      <c r="I569" s="82" t="s">
        <v>269</v>
      </c>
      <c r="J569" s="83" t="s">
        <v>205</v>
      </c>
      <c r="L569" s="89">
        <v>1</v>
      </c>
      <c r="M569" s="78">
        <v>5</v>
      </c>
      <c r="N569" s="84"/>
      <c r="O569" s="78">
        <f>L569*M569-N569*L569</f>
        <v>5</v>
      </c>
      <c r="P569" s="64"/>
    </row>
    <row r="570" spans="1:16" ht="18" customHeight="1">
      <c r="A570" s="85"/>
      <c r="B570" s="86"/>
      <c r="C570" s="87"/>
      <c r="D570" s="88">
        <v>738</v>
      </c>
      <c r="E570" s="88">
        <v>1310</v>
      </c>
      <c r="F570" s="89">
        <f t="shared" si="436"/>
        <v>20</v>
      </c>
      <c r="G570" s="90">
        <f t="shared" si="437"/>
        <v>210.6068032545829</v>
      </c>
      <c r="H570" s="90">
        <f t="shared" si="438"/>
        <v>163.84</v>
      </c>
      <c r="I570" s="91" t="str">
        <f>I569</f>
        <v>11동4라인</v>
      </c>
      <c r="J570" s="92" t="s">
        <v>207</v>
      </c>
      <c r="L570" s="89">
        <v>4</v>
      </c>
      <c r="M570" s="78">
        <f>M569</f>
        <v>5</v>
      </c>
      <c r="N570" s="84"/>
      <c r="O570" s="78">
        <f t="shared" ref="O570:O572" si="439">L570*M570-N570*L570</f>
        <v>20</v>
      </c>
    </row>
    <row r="571" spans="1:16" ht="18" customHeight="1">
      <c r="A571" s="85"/>
      <c r="B571" s="86"/>
      <c r="C571" s="87"/>
      <c r="D571" s="88">
        <v>228</v>
      </c>
      <c r="E571" s="88">
        <v>910</v>
      </c>
      <c r="F571" s="89">
        <f t="shared" si="436"/>
        <v>10</v>
      </c>
      <c r="G571" s="90">
        <f t="shared" si="437"/>
        <v>22.59909159232755</v>
      </c>
      <c r="H571" s="90">
        <f t="shared" si="438"/>
        <v>45.519999999999996</v>
      </c>
      <c r="I571" s="91" t="str">
        <f t="shared" ref="I571:I572" si="440">I570</f>
        <v>11동4라인</v>
      </c>
      <c r="J571" s="92" t="s">
        <v>209</v>
      </c>
      <c r="L571" s="89">
        <v>2</v>
      </c>
      <c r="M571" s="78">
        <f t="shared" ref="M571:M572" si="441">M570</f>
        <v>5</v>
      </c>
      <c r="N571" s="78"/>
      <c r="O571" s="78">
        <f t="shared" si="439"/>
        <v>10</v>
      </c>
    </row>
    <row r="572" spans="1:16" ht="18" customHeight="1">
      <c r="A572" s="85"/>
      <c r="B572" s="86"/>
      <c r="C572" s="87"/>
      <c r="D572" s="88">
        <v>438</v>
      </c>
      <c r="E572" s="88">
        <v>270</v>
      </c>
      <c r="F572" s="89">
        <f t="shared" si="436"/>
        <v>10</v>
      </c>
      <c r="G572" s="90">
        <f t="shared" si="437"/>
        <v>12.881090089206941</v>
      </c>
      <c r="H572" s="90">
        <f t="shared" si="438"/>
        <v>28.32</v>
      </c>
      <c r="I572" s="91" t="str">
        <f t="shared" si="440"/>
        <v>11동4라인</v>
      </c>
      <c r="J572" s="92" t="s">
        <v>210</v>
      </c>
      <c r="L572" s="89">
        <v>2</v>
      </c>
      <c r="M572" s="78">
        <f t="shared" si="441"/>
        <v>5</v>
      </c>
      <c r="N572" s="78"/>
      <c r="O572" s="78">
        <f t="shared" si="439"/>
        <v>10</v>
      </c>
    </row>
    <row r="573" spans="1:16" ht="18" customHeight="1">
      <c r="A573" s="85"/>
      <c r="B573" s="93"/>
      <c r="C573" s="87"/>
      <c r="D573" s="325" t="s">
        <v>0</v>
      </c>
      <c r="E573" s="325"/>
      <c r="F573" s="94">
        <f>SUM(F569:F572)</f>
        <v>45</v>
      </c>
      <c r="G573" s="95">
        <f>SUM(G569:G572)</f>
        <v>330.95938306701964</v>
      </c>
      <c r="H573" s="96">
        <f>SUM(H569:H572)</f>
        <v>291.09999999999997</v>
      </c>
      <c r="I573" s="97"/>
      <c r="J573" s="162"/>
    </row>
    <row r="574" spans="1:16" ht="18" customHeight="1">
      <c r="A574" s="85"/>
      <c r="B574" s="93"/>
      <c r="C574" s="87"/>
      <c r="D574" s="161"/>
      <c r="E574" s="161"/>
      <c r="F574" s="89"/>
      <c r="G574" s="100"/>
      <c r="H574" s="101"/>
      <c r="I574" s="102"/>
      <c r="J574" s="121"/>
      <c r="L574" s="252"/>
      <c r="M574" s="252"/>
      <c r="N574" s="252"/>
      <c r="O574" s="252"/>
    </row>
    <row r="575" spans="1:16" ht="18" customHeight="1">
      <c r="A575" s="85"/>
      <c r="B575" s="23" t="s">
        <v>198</v>
      </c>
      <c r="C575" s="24">
        <v>22</v>
      </c>
      <c r="D575" s="88">
        <v>861</v>
      </c>
      <c r="E575" s="88">
        <v>1810</v>
      </c>
      <c r="F575" s="89">
        <f t="shared" ref="F575:F579" si="442">O575</f>
        <v>5</v>
      </c>
      <c r="G575" s="90">
        <f t="shared" ref="G575:G579" si="443">D575*E575/91809*F575</f>
        <v>84.872398130902198</v>
      </c>
      <c r="H575" s="90">
        <f t="shared" ref="H575:H579" si="444">(D575/1000)*4*F575+(E575/1000)*4*F575</f>
        <v>53.42</v>
      </c>
      <c r="I575" s="91" t="str">
        <f>I569</f>
        <v>11동4라인</v>
      </c>
      <c r="J575" s="92" t="s">
        <v>212</v>
      </c>
      <c r="L575" s="89">
        <v>1</v>
      </c>
      <c r="M575" s="78">
        <f>M569</f>
        <v>5</v>
      </c>
      <c r="N575" s="84"/>
      <c r="O575" s="78">
        <f>L575*M575-N575*L575</f>
        <v>5</v>
      </c>
    </row>
    <row r="576" spans="1:16" ht="18" customHeight="1">
      <c r="A576" s="85"/>
      <c r="B576" s="86"/>
      <c r="C576" s="87"/>
      <c r="D576" s="88">
        <v>2114</v>
      </c>
      <c r="E576" s="88">
        <v>1810</v>
      </c>
      <c r="F576" s="89">
        <f t="shared" si="442"/>
        <v>5</v>
      </c>
      <c r="G576" s="90">
        <f t="shared" si="443"/>
        <v>208.38588809375989</v>
      </c>
      <c r="H576" s="90">
        <f t="shared" si="444"/>
        <v>78.48</v>
      </c>
      <c r="I576" s="91" t="str">
        <f>I569</f>
        <v>11동4라인</v>
      </c>
      <c r="J576" s="92" t="s">
        <v>213</v>
      </c>
      <c r="L576" s="89">
        <v>1</v>
      </c>
      <c r="M576" s="78">
        <f>M575</f>
        <v>5</v>
      </c>
      <c r="N576" s="84"/>
      <c r="O576" s="78">
        <f>L576*M576-N576*L576</f>
        <v>5</v>
      </c>
    </row>
    <row r="577" spans="1:24" ht="18" customHeight="1">
      <c r="A577" s="104"/>
      <c r="B577" s="93"/>
      <c r="C577" s="87"/>
      <c r="D577" s="88">
        <v>738</v>
      </c>
      <c r="E577" s="88">
        <v>1310</v>
      </c>
      <c r="F577" s="89">
        <f t="shared" si="442"/>
        <v>20</v>
      </c>
      <c r="G577" s="90">
        <f t="shared" si="443"/>
        <v>210.6068032545829</v>
      </c>
      <c r="H577" s="90">
        <f t="shared" si="444"/>
        <v>163.84</v>
      </c>
      <c r="I577" s="91" t="str">
        <f>I576</f>
        <v>11동4라인</v>
      </c>
      <c r="J577" s="92" t="s">
        <v>214</v>
      </c>
      <c r="L577" s="89">
        <v>4</v>
      </c>
      <c r="M577" s="78">
        <f t="shared" ref="M577:M579" si="445">M576</f>
        <v>5</v>
      </c>
      <c r="N577" s="84"/>
      <c r="O577" s="78">
        <f t="shared" ref="O577:O579" si="446">L577*M577-N577*L577</f>
        <v>20</v>
      </c>
    </row>
    <row r="578" spans="1:24" ht="18" customHeight="1">
      <c r="A578" s="104"/>
      <c r="B578" s="93"/>
      <c r="C578" s="87"/>
      <c r="D578" s="88">
        <v>228</v>
      </c>
      <c r="E578" s="88">
        <v>910</v>
      </c>
      <c r="F578" s="89">
        <f t="shared" si="442"/>
        <v>10</v>
      </c>
      <c r="G578" s="90">
        <f t="shared" si="443"/>
        <v>22.59909159232755</v>
      </c>
      <c r="H578" s="90">
        <f t="shared" si="444"/>
        <v>45.519999999999996</v>
      </c>
      <c r="I578" s="91" t="str">
        <f t="shared" ref="I578:I579" si="447">I577</f>
        <v>11동4라인</v>
      </c>
      <c r="J578" s="92" t="s">
        <v>216</v>
      </c>
      <c r="L578" s="89">
        <v>2</v>
      </c>
      <c r="M578" s="78">
        <f t="shared" si="445"/>
        <v>5</v>
      </c>
      <c r="N578" s="78"/>
      <c r="O578" s="78">
        <f t="shared" si="446"/>
        <v>10</v>
      </c>
    </row>
    <row r="579" spans="1:24" ht="18" customHeight="1">
      <c r="A579" s="104"/>
      <c r="B579" s="93"/>
      <c r="C579" s="87"/>
      <c r="D579" s="88">
        <v>438</v>
      </c>
      <c r="E579" s="88">
        <v>270</v>
      </c>
      <c r="F579" s="89">
        <f t="shared" si="442"/>
        <v>10</v>
      </c>
      <c r="G579" s="90">
        <f t="shared" si="443"/>
        <v>12.881090089206941</v>
      </c>
      <c r="H579" s="90">
        <f t="shared" si="444"/>
        <v>28.32</v>
      </c>
      <c r="I579" s="91" t="str">
        <f t="shared" si="447"/>
        <v>11동4라인</v>
      </c>
      <c r="J579" s="92" t="s">
        <v>217</v>
      </c>
      <c r="L579" s="89">
        <v>2</v>
      </c>
      <c r="M579" s="78">
        <f t="shared" si="445"/>
        <v>5</v>
      </c>
      <c r="N579" s="78"/>
      <c r="O579" s="78">
        <f t="shared" si="446"/>
        <v>10</v>
      </c>
    </row>
    <row r="580" spans="1:24" ht="18" customHeight="1">
      <c r="A580" s="104"/>
      <c r="B580" s="87"/>
      <c r="C580" s="87"/>
      <c r="D580" s="325" t="s">
        <v>0</v>
      </c>
      <c r="E580" s="325"/>
      <c r="F580" s="171">
        <f>SUM(F575:F579)</f>
        <v>50</v>
      </c>
      <c r="G580" s="95">
        <f>SUM(G575:G579)</f>
        <v>539.34527116077948</v>
      </c>
      <c r="H580" s="95">
        <f>SUM(H575:H579)</f>
        <v>369.58</v>
      </c>
      <c r="I580" s="97"/>
      <c r="J580" s="98"/>
    </row>
    <row r="581" spans="1:24">
      <c r="A581" s="105"/>
      <c r="B581" s="9"/>
      <c r="C581" s="9"/>
      <c r="D581" s="51"/>
      <c r="E581" s="51"/>
      <c r="F581" s="51"/>
      <c r="G581" s="106"/>
      <c r="H581" s="106"/>
      <c r="I581" s="9"/>
      <c r="J581" s="107"/>
    </row>
    <row r="582" spans="1:24" ht="18" customHeight="1">
      <c r="A582" s="85"/>
      <c r="B582" s="23" t="s">
        <v>237</v>
      </c>
      <c r="C582" s="24">
        <v>22</v>
      </c>
      <c r="D582" s="88">
        <v>2114</v>
      </c>
      <c r="E582" s="88">
        <v>1810</v>
      </c>
      <c r="F582" s="89">
        <f t="shared" ref="F582" si="448">O582</f>
        <v>5</v>
      </c>
      <c r="G582" s="90">
        <f t="shared" ref="G582" si="449">D582*E582/91809*F582</f>
        <v>208.38588809375989</v>
      </c>
      <c r="H582" s="90">
        <f t="shared" ref="H582" si="450">(D582/1000)*4*F582+(E582/1000)*4*F582</f>
        <v>78.48</v>
      </c>
      <c r="I582" s="91" t="str">
        <f>I575</f>
        <v>11동4라인</v>
      </c>
      <c r="J582" s="92" t="s">
        <v>206</v>
      </c>
      <c r="L582" s="89">
        <v>1</v>
      </c>
      <c r="M582" s="78">
        <f>M569</f>
        <v>5</v>
      </c>
      <c r="N582" s="84"/>
      <c r="O582" s="78">
        <f>L582*M582-N582*L582</f>
        <v>5</v>
      </c>
    </row>
    <row r="583" spans="1:24" ht="18" customHeight="1">
      <c r="A583" s="85"/>
      <c r="B583" s="93"/>
      <c r="C583" s="87"/>
      <c r="D583" s="325" t="s">
        <v>0</v>
      </c>
      <c r="E583" s="325"/>
      <c r="F583" s="94">
        <f>SUM(F582:F582)</f>
        <v>5</v>
      </c>
      <c r="G583" s="95">
        <f>SUM(G582:G582)</f>
        <v>208.38588809375989</v>
      </c>
      <c r="H583" s="95">
        <f>SUM(H582:H582)</f>
        <v>78.48</v>
      </c>
      <c r="I583" s="97"/>
      <c r="J583" s="98"/>
    </row>
    <row r="584" spans="1:24" ht="18" customHeight="1">
      <c r="A584" s="218"/>
      <c r="B584" s="219"/>
      <c r="C584" s="220"/>
      <c r="D584" s="161"/>
      <c r="E584" s="161"/>
      <c r="F584" s="89"/>
      <c r="G584" s="100"/>
      <c r="H584" s="100"/>
      <c r="I584" s="102"/>
      <c r="J584" s="221"/>
    </row>
    <row r="585" spans="1:24" ht="18" customHeight="1">
      <c r="A585" s="85"/>
      <c r="B585" s="23" t="s">
        <v>200</v>
      </c>
      <c r="C585" s="24">
        <v>22</v>
      </c>
      <c r="D585" s="88">
        <v>738</v>
      </c>
      <c r="E585" s="88">
        <v>1810</v>
      </c>
      <c r="F585" s="89">
        <f t="shared" ref="F585:F586" si="451">O585</f>
        <v>0</v>
      </c>
      <c r="G585" s="90">
        <f t="shared" ref="G585:G586" si="452">D585*E585/91809*F585</f>
        <v>0</v>
      </c>
      <c r="H585" s="90">
        <f t="shared" ref="H585:H586" si="453">(D585/1000)*4*F585+(E585/1000)*4*F585</f>
        <v>0</v>
      </c>
      <c r="I585" s="91" t="str">
        <f>I582</f>
        <v>11동4라인</v>
      </c>
      <c r="J585" s="92" t="s">
        <v>219</v>
      </c>
      <c r="L585" s="89">
        <v>2</v>
      </c>
      <c r="M585" s="78">
        <f>M582</f>
        <v>5</v>
      </c>
      <c r="N585" s="84">
        <f>M585</f>
        <v>5</v>
      </c>
      <c r="O585" s="78">
        <f>L585*M585-N585*L585</f>
        <v>0</v>
      </c>
      <c r="P585" s="64" t="s">
        <v>284</v>
      </c>
    </row>
    <row r="586" spans="1:24" ht="18" customHeight="1">
      <c r="A586" s="85"/>
      <c r="B586" s="86"/>
      <c r="C586" s="87"/>
      <c r="D586" s="88">
        <v>250</v>
      </c>
      <c r="E586" s="88">
        <v>930</v>
      </c>
      <c r="F586" s="89">
        <f t="shared" si="451"/>
        <v>10</v>
      </c>
      <c r="G586" s="90">
        <f t="shared" si="452"/>
        <v>25.324314609678787</v>
      </c>
      <c r="H586" s="90">
        <f t="shared" si="453"/>
        <v>47.2</v>
      </c>
      <c r="I586" s="91" t="str">
        <f>I585</f>
        <v>11동4라인</v>
      </c>
      <c r="J586" s="92" t="s">
        <v>220</v>
      </c>
      <c r="L586" s="89">
        <v>2</v>
      </c>
      <c r="M586" s="78">
        <f>M585</f>
        <v>5</v>
      </c>
      <c r="N586" s="84"/>
      <c r="O586" s="78">
        <f t="shared" ref="O586" si="454">L586*M586-N586*L586</f>
        <v>10</v>
      </c>
    </row>
    <row r="587" spans="1:24" ht="18" customHeight="1">
      <c r="A587" s="85"/>
      <c r="B587" s="93"/>
      <c r="C587" s="87"/>
      <c r="D587" s="325" t="s">
        <v>0</v>
      </c>
      <c r="E587" s="325"/>
      <c r="F587" s="94">
        <f>SUM(F585:F586)</f>
        <v>10</v>
      </c>
      <c r="G587" s="95">
        <f>SUM(G585:G586)</f>
        <v>25.324314609678787</v>
      </c>
      <c r="H587" s="96">
        <f>SUM(H585:H586)</f>
        <v>47.2</v>
      </c>
      <c r="I587" s="97"/>
      <c r="J587" s="162"/>
    </row>
    <row r="588" spans="1:24">
      <c r="A588" s="253"/>
      <c r="B588" s="254"/>
      <c r="C588" s="255"/>
      <c r="D588" s="361"/>
      <c r="E588" s="361"/>
      <c r="F588" s="256"/>
      <c r="G588" s="257"/>
      <c r="H588" s="258"/>
      <c r="I588" s="259"/>
      <c r="J588" s="260"/>
    </row>
    <row r="589" spans="1:24">
      <c r="A589" s="9"/>
      <c r="B589" s="9"/>
      <c r="C589" s="9"/>
      <c r="D589" s="51"/>
      <c r="E589" s="51"/>
      <c r="F589" s="51"/>
      <c r="G589" s="106"/>
      <c r="H589" s="106"/>
      <c r="I589" s="9"/>
      <c r="J589" s="9"/>
      <c r="S589" t="s">
        <v>355</v>
      </c>
    </row>
    <row r="590" spans="1:24">
      <c r="A590" s="9"/>
      <c r="B590" s="9"/>
      <c r="C590" s="9"/>
      <c r="D590" s="51"/>
      <c r="E590" s="51"/>
      <c r="F590" s="51"/>
      <c r="G590" s="106"/>
      <c r="H590" s="106"/>
      <c r="I590" s="9"/>
      <c r="J590" s="9"/>
      <c r="L590" s="78" t="s">
        <v>349</v>
      </c>
      <c r="M590" s="78" t="s">
        <v>337</v>
      </c>
      <c r="N590" s="78" t="s">
        <v>338</v>
      </c>
      <c r="O590" s="78" t="s">
        <v>345</v>
      </c>
      <c r="S590" s="300" t="s">
        <v>349</v>
      </c>
      <c r="T590" s="300" t="s">
        <v>337</v>
      </c>
      <c r="U590" s="300" t="s">
        <v>338</v>
      </c>
      <c r="V590" s="300" t="s">
        <v>345</v>
      </c>
    </row>
    <row r="591" spans="1:24">
      <c r="A591" s="9"/>
      <c r="B591" s="9"/>
      <c r="C591" s="9"/>
      <c r="D591" s="51"/>
      <c r="E591" s="51"/>
      <c r="F591" s="51"/>
      <c r="G591" s="106"/>
      <c r="H591" s="106"/>
      <c r="I591" s="9"/>
      <c r="J591" s="9"/>
      <c r="L591" s="78" t="s">
        <v>332</v>
      </c>
      <c r="M591" s="78">
        <v>896</v>
      </c>
      <c r="N591" s="292">
        <v>46217</v>
      </c>
      <c r="O591" s="78" t="s">
        <v>339</v>
      </c>
      <c r="S591" s="78" t="s">
        <v>332</v>
      </c>
      <c r="T591" s="78">
        <v>896</v>
      </c>
      <c r="U591" s="292">
        <v>46217</v>
      </c>
      <c r="V591" s="78" t="s">
        <v>339</v>
      </c>
      <c r="X591" s="301" t="s">
        <v>358</v>
      </c>
    </row>
    <row r="592" spans="1:24">
      <c r="A592" s="9"/>
      <c r="B592" s="9"/>
      <c r="C592" s="9"/>
      <c r="D592" s="51"/>
      <c r="E592" s="51"/>
      <c r="F592" s="51"/>
      <c r="G592" s="106"/>
      <c r="H592" s="106"/>
      <c r="I592" s="9"/>
      <c r="J592" s="9"/>
      <c r="L592" s="78" t="s">
        <v>334</v>
      </c>
      <c r="M592" s="78">
        <v>788</v>
      </c>
      <c r="N592" s="292">
        <v>46218</v>
      </c>
      <c r="O592" s="78" t="s">
        <v>340</v>
      </c>
      <c r="S592" s="78" t="s">
        <v>334</v>
      </c>
      <c r="T592" s="78">
        <v>788</v>
      </c>
      <c r="U592" s="292">
        <v>46218</v>
      </c>
      <c r="V592" s="78" t="s">
        <v>340</v>
      </c>
      <c r="X592" s="301" t="s">
        <v>363</v>
      </c>
    </row>
    <row r="593" spans="1:24">
      <c r="A593" s="9"/>
      <c r="B593" s="9"/>
      <c r="C593" s="9"/>
      <c r="D593" s="51"/>
      <c r="E593" s="51"/>
      <c r="F593" s="51"/>
      <c r="G593" s="106"/>
      <c r="H593" s="106"/>
      <c r="I593" s="9"/>
      <c r="J593" s="9"/>
      <c r="L593" s="78" t="s">
        <v>333</v>
      </c>
      <c r="M593" s="78">
        <v>730</v>
      </c>
      <c r="N593" s="292">
        <v>46220</v>
      </c>
      <c r="O593" s="78" t="s">
        <v>341</v>
      </c>
      <c r="S593" s="78" t="s">
        <v>333</v>
      </c>
      <c r="T593" s="78">
        <v>730</v>
      </c>
      <c r="U593" s="292">
        <v>46220</v>
      </c>
      <c r="V593" s="299" t="s">
        <v>341</v>
      </c>
      <c r="X593" t="s">
        <v>362</v>
      </c>
    </row>
    <row r="594" spans="1:24">
      <c r="A594" s="44" t="s">
        <v>59</v>
      </c>
      <c r="B594" s="23" t="s">
        <v>196</v>
      </c>
      <c r="C594" s="24">
        <v>22</v>
      </c>
      <c r="D594" s="51"/>
      <c r="E594" s="51"/>
      <c r="F594" s="51">
        <f t="shared" ref="F594:G594" si="455">F573+F555+F533+F510+F491+F468+F450+F428+F407+F386+F365+F343+F320+F301+F279+F257+F234+F213+F193+F171+F148+F127+F107+F86+F64+F41+F22</f>
        <v>1985</v>
      </c>
      <c r="G594" s="51">
        <f t="shared" si="455"/>
        <v>15732.034005380738</v>
      </c>
      <c r="H594" s="51">
        <f t="shared" ref="H594" si="456">H573+H555+H533+H510+H491+H468+H450+H428+H407+H386+H365+H343+H320+H301+H279+H257+H234+H213+H193+H171+H148+H127+H107+H86+H64+H41+H22</f>
        <v>13177.491999999998</v>
      </c>
      <c r="I594" s="9"/>
      <c r="J594" s="9"/>
      <c r="L594" s="78" t="s">
        <v>335</v>
      </c>
      <c r="M594" s="78">
        <v>836</v>
      </c>
      <c r="N594" s="292">
        <v>46223</v>
      </c>
      <c r="O594" s="78" t="s">
        <v>342</v>
      </c>
      <c r="S594" s="78" t="s">
        <v>336</v>
      </c>
      <c r="T594" s="78">
        <v>696</v>
      </c>
      <c r="U594" s="292">
        <v>46223</v>
      </c>
      <c r="V594" s="78" t="s">
        <v>343</v>
      </c>
      <c r="X594" t="s">
        <v>359</v>
      </c>
    </row>
    <row r="595" spans="1:24">
      <c r="A595" s="44" t="s">
        <v>60</v>
      </c>
      <c r="B595" s="23" t="s">
        <v>198</v>
      </c>
      <c r="C595" s="24">
        <v>22</v>
      </c>
      <c r="D595" s="51"/>
      <c r="E595" s="51"/>
      <c r="F595" s="51">
        <f t="shared" ref="F595:G595" si="457">F580+F564+F542+F517+F500+F475++F459+F437+F415+F394+F374+F352+F327+F310+F288+F266++F241+F221+F202+F180+F155+F135+F115+F95+F73+F48+F31</f>
        <v>2040</v>
      </c>
      <c r="G595" s="51">
        <f t="shared" si="457"/>
        <v>18024.278774412091</v>
      </c>
      <c r="H595" s="51">
        <f t="shared" ref="H595" si="458">H580+H564+H542+H517+H500+H475++H459+H437+H415+H394+H374+H352+H327+H310+H288+H266++H241+H221+H202+H180+H155+H135+H115+H95+H73+H48+H31</f>
        <v>14040.771999999997</v>
      </c>
      <c r="I595" s="9"/>
      <c r="J595" s="9"/>
      <c r="L595" s="78" t="s">
        <v>336</v>
      </c>
      <c r="M595" s="78">
        <v>696</v>
      </c>
      <c r="N595" s="292">
        <v>46225</v>
      </c>
      <c r="O595" s="78" t="s">
        <v>343</v>
      </c>
      <c r="S595" s="78" t="s">
        <v>350</v>
      </c>
      <c r="T595" s="78">
        <v>646</v>
      </c>
      <c r="U595" s="292">
        <v>46225</v>
      </c>
      <c r="V595" s="78" t="s">
        <v>344</v>
      </c>
      <c r="X595" t="s">
        <v>360</v>
      </c>
    </row>
    <row r="596" spans="1:24">
      <c r="A596" s="44" t="s">
        <v>92</v>
      </c>
      <c r="B596" s="23" t="s">
        <v>237</v>
      </c>
      <c r="C596" s="24">
        <v>22</v>
      </c>
      <c r="D596" s="51"/>
      <c r="E596" s="51"/>
      <c r="F596" s="51">
        <f t="shared" ref="F596:G596" si="459">F583+F520+F478+F330+F244++F158+F51+F224++F138</f>
        <v>55</v>
      </c>
      <c r="G596" s="51">
        <f t="shared" si="459"/>
        <v>2292.2447690313584</v>
      </c>
      <c r="H596" s="51">
        <f t="shared" ref="H596" si="460">H583+H520+H478+H330+H244++H158+H51+H224++H138</f>
        <v>863.28000000000009</v>
      </c>
      <c r="I596" s="9"/>
      <c r="J596" s="9"/>
      <c r="L596" s="78" t="s">
        <v>350</v>
      </c>
      <c r="M596" s="78">
        <v>646</v>
      </c>
      <c r="N596" s="292">
        <v>46226</v>
      </c>
      <c r="O596" s="78" t="s">
        <v>344</v>
      </c>
      <c r="Q596" t="s">
        <v>352</v>
      </c>
      <c r="S596" s="78" t="s">
        <v>335</v>
      </c>
      <c r="T596" s="78">
        <v>836</v>
      </c>
      <c r="U596" s="292">
        <v>46226</v>
      </c>
      <c r="V596" s="78" t="s">
        <v>342</v>
      </c>
      <c r="X596" t="s">
        <v>361</v>
      </c>
    </row>
    <row r="597" spans="1:24">
      <c r="A597" s="44" t="s">
        <v>110</v>
      </c>
      <c r="B597" s="23" t="s">
        <v>200</v>
      </c>
      <c r="C597" s="24">
        <v>22</v>
      </c>
      <c r="D597" s="51"/>
      <c r="E597" s="51"/>
      <c r="F597" s="51">
        <f t="shared" ref="F597:G597" si="461">F587+F568+F546+F524+F504+F482+F463+F441+F420+F399+F378+F356+F334+F314+F292+F270+F248+F228+F206+F184+F162+F142+F120+F99+F77+F55+F35</f>
        <v>512</v>
      </c>
      <c r="G597" s="51">
        <f t="shared" si="461"/>
        <v>3732.7024583646498</v>
      </c>
      <c r="H597" s="51">
        <f t="shared" ref="H597" si="462">H587+H568+H546+H524+H504+H482+H463+H441+H420+H399+H378+H356+H334+H314+H292+H270+H248+H228+H206+H184+H162+H142+H120+H99+H77+H55+H35</f>
        <v>3535.8719999999989</v>
      </c>
      <c r="I597" s="9"/>
      <c r="J597" s="9"/>
      <c r="L597" s="293" t="s">
        <v>347</v>
      </c>
      <c r="M597" s="294"/>
      <c r="N597" s="294"/>
      <c r="O597" s="294"/>
      <c r="S597" s="298" t="s">
        <v>353</v>
      </c>
      <c r="T597" s="298">
        <v>1190</v>
      </c>
      <c r="U597" s="291">
        <v>46232</v>
      </c>
      <c r="V597" s="298" t="s">
        <v>354</v>
      </c>
    </row>
    <row r="598" spans="1:24">
      <c r="A598" s="44" t="s">
        <v>111</v>
      </c>
      <c r="B598" s="23" t="s">
        <v>90</v>
      </c>
      <c r="C598" s="24">
        <v>22</v>
      </c>
      <c r="D598" s="51"/>
      <c r="E598" s="51"/>
      <c r="F598" s="106"/>
      <c r="G598" s="106"/>
      <c r="H598" s="106"/>
      <c r="I598" s="9"/>
      <c r="J598" s="9"/>
      <c r="L598" s="295" t="s">
        <v>346</v>
      </c>
      <c r="M598" s="296"/>
      <c r="N598" s="296"/>
      <c r="O598" s="296"/>
      <c r="S598" s="298" t="s">
        <v>353</v>
      </c>
      <c r="T598" s="298">
        <v>1014</v>
      </c>
      <c r="U598" s="291">
        <v>46238</v>
      </c>
      <c r="V598" s="298" t="s">
        <v>354</v>
      </c>
    </row>
    <row r="599" spans="1:24">
      <c r="A599" s="9"/>
      <c r="B599" s="9"/>
      <c r="C599" s="9"/>
      <c r="D599" s="51"/>
      <c r="E599" s="51"/>
      <c r="F599" s="10">
        <f t="shared" ref="F599:G599" si="463">SUM(F594:F598)</f>
        <v>4592</v>
      </c>
      <c r="G599" s="10">
        <f t="shared" si="463"/>
        <v>39781.260007188837</v>
      </c>
      <c r="H599" s="10">
        <f t="shared" ref="H599" si="464">SUM(H594:H598)</f>
        <v>31617.415999999994</v>
      </c>
      <c r="I599" s="9"/>
      <c r="J599" s="9"/>
      <c r="L599" s="295" t="s">
        <v>348</v>
      </c>
      <c r="S599" s="293" t="s">
        <v>347</v>
      </c>
    </row>
    <row r="600" spans="1:24">
      <c r="A600" s="9"/>
      <c r="B600" s="9"/>
      <c r="C600" s="9"/>
      <c r="D600" s="51"/>
      <c r="E600" s="51"/>
      <c r="F600" s="51"/>
      <c r="G600" s="106"/>
      <c r="H600" s="106"/>
      <c r="I600" s="9"/>
      <c r="J600" s="9"/>
      <c r="S600" s="295" t="s">
        <v>346</v>
      </c>
    </row>
    <row r="601" spans="1:24">
      <c r="A601" s="9"/>
      <c r="B601" s="9"/>
      <c r="C601" s="9"/>
      <c r="D601" s="51"/>
      <c r="E601" s="51"/>
      <c r="F601" s="51"/>
      <c r="G601" s="106"/>
      <c r="H601" s="106"/>
      <c r="I601" s="9"/>
      <c r="J601" s="9"/>
      <c r="L601" s="297" t="s">
        <v>351</v>
      </c>
      <c r="S601" s="295" t="s">
        <v>348</v>
      </c>
    </row>
  </sheetData>
  <mergeCells count="118">
    <mergeCell ref="D573:E573"/>
    <mergeCell ref="D580:E580"/>
    <mergeCell ref="D583:E583"/>
    <mergeCell ref="D587:E587"/>
    <mergeCell ref="D588:E588"/>
    <mergeCell ref="D542:E542"/>
    <mergeCell ref="D546:E546"/>
    <mergeCell ref="D547:E547"/>
    <mergeCell ref="D555:E555"/>
    <mergeCell ref="D564:E564"/>
    <mergeCell ref="D568:E568"/>
    <mergeCell ref="D504:E504"/>
    <mergeCell ref="D510:E510"/>
    <mergeCell ref="D517:E517"/>
    <mergeCell ref="D520:E520"/>
    <mergeCell ref="D524:E524"/>
    <mergeCell ref="D533:E533"/>
    <mergeCell ref="D475:E475"/>
    <mergeCell ref="D478:E478"/>
    <mergeCell ref="D482:E482"/>
    <mergeCell ref="D483:E483"/>
    <mergeCell ref="D491:E491"/>
    <mergeCell ref="D500:E500"/>
    <mergeCell ref="D441:E441"/>
    <mergeCell ref="D442:E442"/>
    <mergeCell ref="D450:E450"/>
    <mergeCell ref="D459:E459"/>
    <mergeCell ref="D463:E463"/>
    <mergeCell ref="D468:E468"/>
    <mergeCell ref="D400:E400"/>
    <mergeCell ref="D407:E407"/>
    <mergeCell ref="D415:E415"/>
    <mergeCell ref="D420:E420"/>
    <mergeCell ref="D428:E428"/>
    <mergeCell ref="D437:E437"/>
    <mergeCell ref="D365:E365"/>
    <mergeCell ref="D374:E374"/>
    <mergeCell ref="D378:E378"/>
    <mergeCell ref="D386:E386"/>
    <mergeCell ref="D394:E394"/>
    <mergeCell ref="D399:E399"/>
    <mergeCell ref="D330:E330"/>
    <mergeCell ref="D334:E334"/>
    <mergeCell ref="D343:E343"/>
    <mergeCell ref="D352:E352"/>
    <mergeCell ref="D356:E356"/>
    <mergeCell ref="D357:E357"/>
    <mergeCell ref="D292:E292"/>
    <mergeCell ref="D301:E301"/>
    <mergeCell ref="D310:E310"/>
    <mergeCell ref="D314:E314"/>
    <mergeCell ref="D320:E320"/>
    <mergeCell ref="D327:E327"/>
    <mergeCell ref="D257:E257"/>
    <mergeCell ref="D266:E266"/>
    <mergeCell ref="D270:E270"/>
    <mergeCell ref="D271:E271"/>
    <mergeCell ref="D279:E279"/>
    <mergeCell ref="D288:E288"/>
    <mergeCell ref="D224:E224"/>
    <mergeCell ref="D228:E228"/>
    <mergeCell ref="D234:E234"/>
    <mergeCell ref="D241:E241"/>
    <mergeCell ref="D244:E244"/>
    <mergeCell ref="D248:E248"/>
    <mergeCell ref="D193:E193"/>
    <mergeCell ref="D202:E202"/>
    <mergeCell ref="D206:E206"/>
    <mergeCell ref="D207:E207"/>
    <mergeCell ref="D213:E213"/>
    <mergeCell ref="D221:E221"/>
    <mergeCell ref="D158:E158"/>
    <mergeCell ref="D162:E162"/>
    <mergeCell ref="D171:E171"/>
    <mergeCell ref="D180:E180"/>
    <mergeCell ref="D184:E184"/>
    <mergeCell ref="D185:E185"/>
    <mergeCell ref="D127:E127"/>
    <mergeCell ref="D135:E135"/>
    <mergeCell ref="D138:E138"/>
    <mergeCell ref="D142:E142"/>
    <mergeCell ref="D148:E148"/>
    <mergeCell ref="D155:E155"/>
    <mergeCell ref="D95:E95"/>
    <mergeCell ref="D99:E99"/>
    <mergeCell ref="D107:E107"/>
    <mergeCell ref="D115:E115"/>
    <mergeCell ref="D120:E120"/>
    <mergeCell ref="D121:E121"/>
    <mergeCell ref="D55:E55"/>
    <mergeCell ref="D64:E64"/>
    <mergeCell ref="D73:E73"/>
    <mergeCell ref="D77:E77"/>
    <mergeCell ref="D78:E78"/>
    <mergeCell ref="D86:E86"/>
    <mergeCell ref="D35:E35"/>
    <mergeCell ref="D41:E41"/>
    <mergeCell ref="D48:E48"/>
    <mergeCell ref="D51:E51"/>
    <mergeCell ref="B7:E7"/>
    <mergeCell ref="G7:J7"/>
    <mergeCell ref="A10:J10"/>
    <mergeCell ref="A13:A14"/>
    <mergeCell ref="B13:B14"/>
    <mergeCell ref="C13:E13"/>
    <mergeCell ref="F13:F14"/>
    <mergeCell ref="G13:G14"/>
    <mergeCell ref="H13:H14"/>
    <mergeCell ref="I13:J14"/>
    <mergeCell ref="A1:G3"/>
    <mergeCell ref="B4:F4"/>
    <mergeCell ref="H4:J4"/>
    <mergeCell ref="B5:E5"/>
    <mergeCell ref="G5:J5"/>
    <mergeCell ref="B6:E6"/>
    <mergeCell ref="G6:J6"/>
    <mergeCell ref="D22:E22"/>
    <mergeCell ref="D31:E31"/>
  </mergeCells>
  <phoneticPr fontId="4" type="noConversion"/>
  <pageMargins left="0.17" right="0.17" top="0.75" bottom="0.75" header="0.3" footer="0.3"/>
  <pageSetup paperSize="9" scale="87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W601"/>
  <sheetViews>
    <sheetView topLeftCell="A580" workbookViewId="0">
      <selection activeCell="P593" sqref="P593:W600"/>
    </sheetView>
  </sheetViews>
  <sheetFormatPr defaultRowHeight="16.5"/>
  <cols>
    <col min="1" max="1" width="11" customWidth="1"/>
    <col min="2" max="2" width="18.625" customWidth="1"/>
    <col min="3" max="3" width="8.125" customWidth="1"/>
    <col min="4" max="4" width="11" style="122" customWidth="1"/>
    <col min="5" max="5" width="11.5" style="122" customWidth="1"/>
    <col min="6" max="6" width="6.875" style="122" customWidth="1"/>
    <col min="7" max="8" width="10.375" style="13" customWidth="1"/>
    <col min="9" max="10" width="9.375" customWidth="1"/>
    <col min="17" max="17" width="9.875" bestFit="1" customWidth="1"/>
    <col min="20" max="20" width="9.875" bestFit="1" customWidth="1"/>
    <col min="23" max="23" width="9.875" bestFit="1" customWidth="1"/>
  </cols>
  <sheetData>
    <row r="1" spans="1:16" ht="15" customHeight="1">
      <c r="A1" s="350" t="s">
        <v>28</v>
      </c>
      <c r="B1" s="350"/>
      <c r="C1" s="350"/>
      <c r="D1" s="350"/>
      <c r="E1" s="350"/>
      <c r="F1" s="350"/>
      <c r="G1" s="350"/>
      <c r="H1" s="55" t="s">
        <v>29</v>
      </c>
      <c r="I1" s="56"/>
      <c r="J1" s="57"/>
    </row>
    <row r="2" spans="1:16" ht="15" customHeight="1">
      <c r="A2" s="350"/>
      <c r="B2" s="350"/>
      <c r="C2" s="350"/>
      <c r="D2" s="350"/>
      <c r="E2" s="350"/>
      <c r="F2" s="350"/>
      <c r="G2" s="350"/>
      <c r="H2" s="58" t="s">
        <v>116</v>
      </c>
      <c r="I2" s="59"/>
      <c r="J2" s="57"/>
    </row>
    <row r="3" spans="1:16" ht="15" customHeight="1" thickBot="1">
      <c r="A3" s="351"/>
      <c r="B3" s="351"/>
      <c r="C3" s="351"/>
      <c r="D3" s="351"/>
      <c r="E3" s="351"/>
      <c r="F3" s="351"/>
      <c r="G3" s="351"/>
      <c r="H3" s="60"/>
      <c r="I3" s="61"/>
      <c r="J3" s="61"/>
    </row>
    <row r="4" spans="1:16" ht="23.1" customHeight="1">
      <c r="A4" s="62" t="s">
        <v>30</v>
      </c>
      <c r="B4" s="352" t="s">
        <v>113</v>
      </c>
      <c r="C4" s="353"/>
      <c r="D4" s="353"/>
      <c r="E4" s="353"/>
      <c r="F4" s="354"/>
      <c r="G4" s="63" t="s">
        <v>31</v>
      </c>
      <c r="H4" s="355" t="s">
        <v>230</v>
      </c>
      <c r="I4" s="356"/>
      <c r="J4" s="357"/>
      <c r="K4" s="64"/>
    </row>
    <row r="5" spans="1:16" ht="23.1" customHeight="1">
      <c r="A5" s="65" t="s">
        <v>32</v>
      </c>
      <c r="B5" s="358"/>
      <c r="C5" s="359"/>
      <c r="D5" s="359"/>
      <c r="E5" s="360"/>
      <c r="F5" s="66" t="s">
        <v>33</v>
      </c>
      <c r="G5" s="347"/>
      <c r="H5" s="348"/>
      <c r="I5" s="348"/>
      <c r="J5" s="349"/>
    </row>
    <row r="6" spans="1:16" ht="23.1" customHeight="1">
      <c r="A6" s="65" t="s">
        <v>34</v>
      </c>
      <c r="B6" s="346" t="s">
        <v>117</v>
      </c>
      <c r="C6" s="346"/>
      <c r="D6" s="346"/>
      <c r="E6" s="346"/>
      <c r="F6" s="67" t="s">
        <v>35</v>
      </c>
      <c r="G6" s="347"/>
      <c r="H6" s="348"/>
      <c r="I6" s="348"/>
      <c r="J6" s="349"/>
    </row>
    <row r="7" spans="1:16" ht="23.1" customHeight="1" thickBot="1">
      <c r="A7" s="68" t="s">
        <v>36</v>
      </c>
      <c r="B7" s="326" t="s">
        <v>356</v>
      </c>
      <c r="C7" s="326"/>
      <c r="D7" s="326"/>
      <c r="E7" s="326"/>
      <c r="F7" s="69" t="s">
        <v>37</v>
      </c>
      <c r="G7" s="327" t="s">
        <v>231</v>
      </c>
      <c r="H7" s="328"/>
      <c r="I7" s="328"/>
      <c r="J7" s="329"/>
    </row>
    <row r="8" spans="1:16" ht="3" customHeight="1">
      <c r="A8" s="70"/>
      <c r="B8" s="70"/>
      <c r="C8" s="70"/>
      <c r="D8" s="71"/>
      <c r="E8" s="71"/>
      <c r="F8" s="71"/>
      <c r="G8" s="72"/>
      <c r="H8" s="72"/>
      <c r="I8" s="70"/>
      <c r="J8" s="70"/>
    </row>
    <row r="9" spans="1:16" ht="0.75" customHeight="1" thickBot="1">
      <c r="A9" s="70"/>
      <c r="B9" s="70"/>
      <c r="C9" s="70"/>
      <c r="D9" s="71"/>
      <c r="E9" s="71"/>
      <c r="F9" s="71"/>
      <c r="G9" s="72"/>
      <c r="H9" s="72"/>
      <c r="I9" s="70"/>
      <c r="J9" s="70"/>
    </row>
    <row r="10" spans="1:16" ht="30.75" customHeight="1">
      <c r="A10" s="330" t="s">
        <v>38</v>
      </c>
      <c r="B10" s="331"/>
      <c r="C10" s="331"/>
      <c r="D10" s="331"/>
      <c r="E10" s="331"/>
      <c r="F10" s="331"/>
      <c r="G10" s="331"/>
      <c r="H10" s="331"/>
      <c r="I10" s="331"/>
      <c r="J10" s="332"/>
    </row>
    <row r="11" spans="1:16" ht="30.75" customHeight="1">
      <c r="A11" s="274" t="s">
        <v>306</v>
      </c>
      <c r="B11" s="275"/>
      <c r="C11" s="275"/>
      <c r="D11" s="275"/>
      <c r="E11" s="275"/>
      <c r="F11" s="275"/>
      <c r="G11" s="275"/>
      <c r="H11" s="275"/>
      <c r="I11" s="275"/>
      <c r="J11" s="289" t="s">
        <v>309</v>
      </c>
    </row>
    <row r="12" spans="1:16" ht="30.75" customHeight="1" thickBot="1">
      <c r="A12" s="73" t="s">
        <v>232</v>
      </c>
      <c r="B12" s="74"/>
      <c r="C12" s="74"/>
      <c r="D12" s="74"/>
      <c r="E12" s="74"/>
      <c r="F12" s="74"/>
      <c r="G12" s="75"/>
      <c r="H12" s="75"/>
      <c r="I12" s="74"/>
      <c r="J12" s="179" t="s">
        <v>115</v>
      </c>
      <c r="L12" t="s">
        <v>326</v>
      </c>
    </row>
    <row r="13" spans="1:16" ht="18" customHeight="1">
      <c r="A13" s="333" t="s">
        <v>39</v>
      </c>
      <c r="B13" s="335" t="s">
        <v>40</v>
      </c>
      <c r="C13" s="337" t="s">
        <v>7</v>
      </c>
      <c r="D13" s="337"/>
      <c r="E13" s="337"/>
      <c r="F13" s="338" t="s">
        <v>41</v>
      </c>
      <c r="G13" s="340" t="s">
        <v>42</v>
      </c>
      <c r="H13" s="340" t="s">
        <v>43</v>
      </c>
      <c r="I13" s="342" t="s">
        <v>44</v>
      </c>
      <c r="J13" s="343"/>
    </row>
    <row r="14" spans="1:16" ht="18" customHeight="1" thickBot="1">
      <c r="A14" s="334"/>
      <c r="B14" s="336"/>
      <c r="C14" s="76" t="s">
        <v>45</v>
      </c>
      <c r="D14" s="173" t="s">
        <v>46</v>
      </c>
      <c r="E14" s="173" t="s">
        <v>47</v>
      </c>
      <c r="F14" s="339"/>
      <c r="G14" s="341"/>
      <c r="H14" s="341"/>
      <c r="I14" s="344"/>
      <c r="J14" s="345"/>
      <c r="L14" s="78" t="s">
        <v>48</v>
      </c>
      <c r="M14" s="78" t="s">
        <v>49</v>
      </c>
      <c r="N14" s="78" t="s">
        <v>50</v>
      </c>
      <c r="O14" s="78" t="s">
        <v>51</v>
      </c>
    </row>
    <row r="15" spans="1:16" ht="18" customHeight="1">
      <c r="A15" s="79" t="s">
        <v>234</v>
      </c>
      <c r="B15" s="23" t="s">
        <v>195</v>
      </c>
      <c r="C15" s="24">
        <v>22</v>
      </c>
      <c r="D15" s="80">
        <v>761</v>
      </c>
      <c r="E15" s="80">
        <v>1810</v>
      </c>
      <c r="F15" s="89">
        <f>O15</f>
        <v>20</v>
      </c>
      <c r="G15" s="81">
        <f t="shared" ref="G15:G21" si="0">D15*E15/91809*F15</f>
        <v>300.05990698079711</v>
      </c>
      <c r="H15" s="81">
        <f t="shared" ref="H15:H21" si="1">(D15/1000)*4*F15+(E15/1000)*4*F15</f>
        <v>205.68</v>
      </c>
      <c r="I15" s="91" t="s">
        <v>233</v>
      </c>
      <c r="J15" s="92" t="s">
        <v>205</v>
      </c>
      <c r="L15" s="89">
        <v>2</v>
      </c>
      <c r="M15" s="78">
        <v>10</v>
      </c>
      <c r="N15" s="84"/>
      <c r="O15" s="78">
        <f>L15*M15-N15*L15</f>
        <v>20</v>
      </c>
      <c r="P15" s="64"/>
    </row>
    <row r="16" spans="1:16" ht="18" customHeight="1">
      <c r="A16" s="85"/>
      <c r="B16" s="86"/>
      <c r="C16" s="87"/>
      <c r="D16" s="88">
        <v>1688</v>
      </c>
      <c r="E16" s="88">
        <v>1810</v>
      </c>
      <c r="F16" s="89">
        <f t="shared" ref="F16:F21" si="2">O16</f>
        <v>10</v>
      </c>
      <c r="G16" s="90">
        <f t="shared" si="0"/>
        <v>332.78654598133079</v>
      </c>
      <c r="H16" s="90">
        <f t="shared" si="1"/>
        <v>139.92000000000002</v>
      </c>
      <c r="I16" s="91" t="str">
        <f>I15</f>
        <v>1동1,2라인</v>
      </c>
      <c r="J16" s="92" t="s">
        <v>206</v>
      </c>
      <c r="L16" s="89">
        <v>1</v>
      </c>
      <c r="M16" s="78">
        <f>M15</f>
        <v>10</v>
      </c>
      <c r="N16" s="84"/>
      <c r="O16" s="78">
        <f t="shared" ref="O16:O21" si="3">L16*M16-N16*L16</f>
        <v>10</v>
      </c>
    </row>
    <row r="17" spans="1:15" ht="18" customHeight="1">
      <c r="A17" s="85"/>
      <c r="B17" s="86"/>
      <c r="C17" s="87"/>
      <c r="D17" s="88">
        <v>738</v>
      </c>
      <c r="E17" s="88">
        <v>1310</v>
      </c>
      <c r="F17" s="89">
        <f t="shared" si="2"/>
        <v>40</v>
      </c>
      <c r="G17" s="90">
        <f t="shared" si="0"/>
        <v>421.2136065091658</v>
      </c>
      <c r="H17" s="90">
        <f t="shared" si="1"/>
        <v>327.68</v>
      </c>
      <c r="I17" s="91" t="str">
        <f t="shared" ref="I17:I21" si="4">I16</f>
        <v>1동1,2라인</v>
      </c>
      <c r="J17" s="92" t="s">
        <v>207</v>
      </c>
      <c r="L17" s="89">
        <v>4</v>
      </c>
      <c r="M17" s="78">
        <f t="shared" ref="M17:M20" si="5">M16</f>
        <v>10</v>
      </c>
      <c r="N17" s="78"/>
      <c r="O17" s="78">
        <f t="shared" si="3"/>
        <v>40</v>
      </c>
    </row>
    <row r="18" spans="1:15" ht="18" customHeight="1">
      <c r="A18" s="85"/>
      <c r="B18" s="86"/>
      <c r="C18" s="87"/>
      <c r="D18" s="88">
        <v>288</v>
      </c>
      <c r="E18" s="88">
        <v>910</v>
      </c>
      <c r="F18" s="89">
        <f t="shared" si="2"/>
        <v>20</v>
      </c>
      <c r="G18" s="90">
        <f t="shared" si="0"/>
        <v>57.09244191745907</v>
      </c>
      <c r="H18" s="90">
        <f t="shared" si="1"/>
        <v>95.84</v>
      </c>
      <c r="I18" s="91" t="str">
        <f t="shared" si="4"/>
        <v>1동1,2라인</v>
      </c>
      <c r="J18" s="92" t="s">
        <v>208</v>
      </c>
      <c r="L18" s="89">
        <v>2</v>
      </c>
      <c r="M18" s="78">
        <f t="shared" si="5"/>
        <v>10</v>
      </c>
      <c r="N18" s="78"/>
      <c r="O18" s="78">
        <f t="shared" si="3"/>
        <v>20</v>
      </c>
    </row>
    <row r="19" spans="1:15" ht="18" customHeight="1">
      <c r="A19" s="85"/>
      <c r="B19" s="86"/>
      <c r="C19" s="87"/>
      <c r="D19" s="88">
        <v>228</v>
      </c>
      <c r="E19" s="88">
        <v>910</v>
      </c>
      <c r="F19" s="89">
        <f t="shared" si="2"/>
        <v>20</v>
      </c>
      <c r="G19" s="90">
        <f t="shared" si="0"/>
        <v>45.1981831846551</v>
      </c>
      <c r="H19" s="90">
        <f t="shared" si="1"/>
        <v>91.039999999999992</v>
      </c>
      <c r="I19" s="91" t="str">
        <f t="shared" si="4"/>
        <v>1동1,2라인</v>
      </c>
      <c r="J19" s="92" t="s">
        <v>209</v>
      </c>
      <c r="L19" s="89">
        <v>2</v>
      </c>
      <c r="M19" s="78">
        <f t="shared" si="5"/>
        <v>10</v>
      </c>
      <c r="N19" s="78"/>
      <c r="O19" s="78">
        <f t="shared" si="3"/>
        <v>20</v>
      </c>
    </row>
    <row r="20" spans="1:15" ht="18" customHeight="1">
      <c r="A20" s="85"/>
      <c r="B20" s="86"/>
      <c r="C20" s="87"/>
      <c r="D20" s="88">
        <v>438</v>
      </c>
      <c r="E20" s="88">
        <v>270</v>
      </c>
      <c r="F20" s="89">
        <f t="shared" si="2"/>
        <v>20</v>
      </c>
      <c r="G20" s="90">
        <f t="shared" si="0"/>
        <v>25.762180178413882</v>
      </c>
      <c r="H20" s="90">
        <f t="shared" si="1"/>
        <v>56.64</v>
      </c>
      <c r="I20" s="91" t="str">
        <f t="shared" si="4"/>
        <v>1동1,2라인</v>
      </c>
      <c r="J20" s="92" t="s">
        <v>210</v>
      </c>
      <c r="L20" s="89">
        <v>2</v>
      </c>
      <c r="M20" s="78">
        <f t="shared" si="5"/>
        <v>10</v>
      </c>
      <c r="N20" s="78"/>
      <c r="O20" s="78">
        <f t="shared" si="3"/>
        <v>20</v>
      </c>
    </row>
    <row r="21" spans="1:15" ht="18" customHeight="1">
      <c r="A21" s="85"/>
      <c r="B21" s="86"/>
      <c r="C21" s="87"/>
      <c r="D21" s="88">
        <v>208</v>
      </c>
      <c r="E21" s="88">
        <v>910</v>
      </c>
      <c r="F21" s="89">
        <f t="shared" si="2"/>
        <v>20</v>
      </c>
      <c r="G21" s="90">
        <f t="shared" si="0"/>
        <v>41.233430273720444</v>
      </c>
      <c r="H21" s="90">
        <f t="shared" si="1"/>
        <v>89.44</v>
      </c>
      <c r="I21" s="91" t="str">
        <f t="shared" si="4"/>
        <v>1동1,2라인</v>
      </c>
      <c r="J21" s="92" t="s">
        <v>211</v>
      </c>
      <c r="L21" s="89">
        <v>2</v>
      </c>
      <c r="M21" s="78">
        <f>M20</f>
        <v>10</v>
      </c>
      <c r="N21" s="78"/>
      <c r="O21" s="78">
        <f t="shared" si="3"/>
        <v>20</v>
      </c>
    </row>
    <row r="22" spans="1:15" ht="18" customHeight="1">
      <c r="A22" s="85"/>
      <c r="B22" s="93"/>
      <c r="C22" s="87"/>
      <c r="D22" s="325" t="s">
        <v>0</v>
      </c>
      <c r="E22" s="325"/>
      <c r="F22" s="94">
        <f>SUM(F15:F21)</f>
        <v>150</v>
      </c>
      <c r="G22" s="95">
        <f>SUM(G15:G21)</f>
        <v>1223.3462950255423</v>
      </c>
      <c r="H22" s="96">
        <f>SUM(H15:H21)</f>
        <v>1006.24</v>
      </c>
      <c r="I22" s="97"/>
      <c r="J22" s="162"/>
    </row>
    <row r="23" spans="1:15" ht="18" customHeight="1">
      <c r="A23" s="85"/>
      <c r="B23" s="93"/>
      <c r="C23" s="87"/>
      <c r="D23" s="161"/>
      <c r="E23" s="161"/>
      <c r="F23" s="89"/>
      <c r="G23" s="100"/>
      <c r="H23" s="101"/>
      <c r="I23" s="102"/>
      <c r="J23" s="121"/>
      <c r="L23" s="78" t="s">
        <v>48</v>
      </c>
      <c r="M23" s="78" t="s">
        <v>54</v>
      </c>
      <c r="N23" s="78" t="s">
        <v>50</v>
      </c>
      <c r="O23" s="78" t="s">
        <v>55</v>
      </c>
    </row>
    <row r="24" spans="1:15" ht="18" customHeight="1">
      <c r="A24" s="85"/>
      <c r="B24" s="23" t="s">
        <v>197</v>
      </c>
      <c r="C24" s="24">
        <v>22</v>
      </c>
      <c r="D24" s="88">
        <v>761</v>
      </c>
      <c r="E24" s="88">
        <v>1810</v>
      </c>
      <c r="F24" s="89">
        <f t="shared" ref="F24:F30" si="6">O24</f>
        <v>20</v>
      </c>
      <c r="G24" s="90">
        <f t="shared" ref="G24:G30" si="7">D24*E24/91809*F24</f>
        <v>300.05990698079711</v>
      </c>
      <c r="H24" s="90">
        <f t="shared" ref="H24:H30" si="8">(D24/1000)*4*F24+(E24/1000)*4*F24</f>
        <v>205.68</v>
      </c>
      <c r="I24" s="91" t="str">
        <f t="shared" ref="I24:I30" si="9">I15</f>
        <v>1동1,2라인</v>
      </c>
      <c r="J24" s="92" t="s">
        <v>212</v>
      </c>
      <c r="L24" s="89">
        <v>2</v>
      </c>
      <c r="M24" s="78">
        <f>M15</f>
        <v>10</v>
      </c>
      <c r="N24" s="84"/>
      <c r="O24" s="78">
        <f>L24*M24-N24*L24</f>
        <v>20</v>
      </c>
    </row>
    <row r="25" spans="1:15" ht="18" customHeight="1">
      <c r="A25" s="85"/>
      <c r="B25" s="86"/>
      <c r="C25" s="87"/>
      <c r="D25" s="88">
        <v>1688</v>
      </c>
      <c r="E25" s="88">
        <v>1810</v>
      </c>
      <c r="F25" s="89">
        <f t="shared" si="6"/>
        <v>10</v>
      </c>
      <c r="G25" s="90">
        <f t="shared" si="7"/>
        <v>332.78654598133079</v>
      </c>
      <c r="H25" s="90">
        <f t="shared" si="8"/>
        <v>139.92000000000002</v>
      </c>
      <c r="I25" s="91" t="str">
        <f t="shared" si="9"/>
        <v>1동1,2라인</v>
      </c>
      <c r="J25" s="92" t="s">
        <v>213</v>
      </c>
      <c r="L25" s="89">
        <v>1</v>
      </c>
      <c r="M25" s="78">
        <f>M24</f>
        <v>10</v>
      </c>
      <c r="N25" s="84"/>
      <c r="O25" s="78">
        <f>L25*M25-N25*L25</f>
        <v>10</v>
      </c>
    </row>
    <row r="26" spans="1:15" ht="18" customHeight="1">
      <c r="A26" s="104"/>
      <c r="B26" s="93"/>
      <c r="C26" s="87"/>
      <c r="D26" s="88">
        <v>738</v>
      </c>
      <c r="E26" s="88">
        <v>1310</v>
      </c>
      <c r="F26" s="89">
        <f t="shared" si="6"/>
        <v>40</v>
      </c>
      <c r="G26" s="90">
        <f t="shared" si="7"/>
        <v>421.2136065091658</v>
      </c>
      <c r="H26" s="90">
        <f t="shared" si="8"/>
        <v>327.68</v>
      </c>
      <c r="I26" s="91" t="str">
        <f t="shared" si="9"/>
        <v>1동1,2라인</v>
      </c>
      <c r="J26" s="92" t="s">
        <v>214</v>
      </c>
      <c r="L26" s="89">
        <v>4</v>
      </c>
      <c r="M26" s="78">
        <f t="shared" ref="M26:M30" si="10">M25</f>
        <v>10</v>
      </c>
      <c r="N26" s="84"/>
      <c r="O26" s="78">
        <f t="shared" ref="O26:O30" si="11">L26*M26-N26*L26</f>
        <v>40</v>
      </c>
    </row>
    <row r="27" spans="1:15" ht="18" customHeight="1">
      <c r="A27" s="104"/>
      <c r="B27" s="93"/>
      <c r="C27" s="87"/>
      <c r="D27" s="88">
        <v>288</v>
      </c>
      <c r="E27" s="88">
        <v>910</v>
      </c>
      <c r="F27" s="89">
        <f t="shared" si="6"/>
        <v>20</v>
      </c>
      <c r="G27" s="90">
        <f t="shared" si="7"/>
        <v>57.09244191745907</v>
      </c>
      <c r="H27" s="90">
        <f t="shared" si="8"/>
        <v>95.84</v>
      </c>
      <c r="I27" s="91" t="str">
        <f t="shared" si="9"/>
        <v>1동1,2라인</v>
      </c>
      <c r="J27" s="92" t="s">
        <v>215</v>
      </c>
      <c r="L27" s="89">
        <v>2</v>
      </c>
      <c r="M27" s="78">
        <f t="shared" si="10"/>
        <v>10</v>
      </c>
      <c r="N27" s="78"/>
      <c r="O27" s="78">
        <f t="shared" si="11"/>
        <v>20</v>
      </c>
    </row>
    <row r="28" spans="1:15" ht="18" customHeight="1">
      <c r="A28" s="104"/>
      <c r="B28" s="93"/>
      <c r="C28" s="87"/>
      <c r="D28" s="88">
        <v>228</v>
      </c>
      <c r="E28" s="88">
        <v>910</v>
      </c>
      <c r="F28" s="89">
        <f t="shared" si="6"/>
        <v>20</v>
      </c>
      <c r="G28" s="90">
        <f t="shared" si="7"/>
        <v>45.1981831846551</v>
      </c>
      <c r="H28" s="90">
        <f t="shared" si="8"/>
        <v>91.039999999999992</v>
      </c>
      <c r="I28" s="91" t="str">
        <f t="shared" si="9"/>
        <v>1동1,2라인</v>
      </c>
      <c r="J28" s="92" t="s">
        <v>216</v>
      </c>
      <c r="L28" s="89">
        <v>2</v>
      </c>
      <c r="M28" s="78">
        <f t="shared" si="10"/>
        <v>10</v>
      </c>
      <c r="N28" s="78"/>
      <c r="O28" s="78">
        <f t="shared" si="11"/>
        <v>20</v>
      </c>
    </row>
    <row r="29" spans="1:15" ht="18" customHeight="1">
      <c r="A29" s="104"/>
      <c r="B29" s="93"/>
      <c r="C29" s="87"/>
      <c r="D29" s="88">
        <v>438</v>
      </c>
      <c r="E29" s="88">
        <v>270</v>
      </c>
      <c r="F29" s="89">
        <f t="shared" si="6"/>
        <v>20</v>
      </c>
      <c r="G29" s="90">
        <f t="shared" si="7"/>
        <v>25.762180178413882</v>
      </c>
      <c r="H29" s="90">
        <f t="shared" si="8"/>
        <v>56.64</v>
      </c>
      <c r="I29" s="91" t="str">
        <f t="shared" si="9"/>
        <v>1동1,2라인</v>
      </c>
      <c r="J29" s="92" t="s">
        <v>217</v>
      </c>
      <c r="L29" s="89">
        <v>2</v>
      </c>
      <c r="M29" s="78">
        <f t="shared" si="10"/>
        <v>10</v>
      </c>
      <c r="N29" s="78"/>
      <c r="O29" s="78">
        <f t="shared" si="11"/>
        <v>20</v>
      </c>
    </row>
    <row r="30" spans="1:15" ht="18" customHeight="1">
      <c r="A30" s="104"/>
      <c r="B30" s="93"/>
      <c r="C30" s="87"/>
      <c r="D30" s="88">
        <v>208</v>
      </c>
      <c r="E30" s="88">
        <v>910</v>
      </c>
      <c r="F30" s="89">
        <f t="shared" si="6"/>
        <v>20</v>
      </c>
      <c r="G30" s="90">
        <f t="shared" si="7"/>
        <v>41.233430273720444</v>
      </c>
      <c r="H30" s="90">
        <f t="shared" si="8"/>
        <v>89.44</v>
      </c>
      <c r="I30" s="91" t="str">
        <f t="shared" si="9"/>
        <v>1동1,2라인</v>
      </c>
      <c r="J30" s="92" t="s">
        <v>218</v>
      </c>
      <c r="L30" s="89">
        <v>2</v>
      </c>
      <c r="M30" s="78">
        <f t="shared" si="10"/>
        <v>10</v>
      </c>
      <c r="N30" s="78"/>
      <c r="O30" s="78">
        <f t="shared" si="11"/>
        <v>20</v>
      </c>
    </row>
    <row r="31" spans="1:15" ht="18" customHeight="1">
      <c r="A31" s="104"/>
      <c r="B31" s="87"/>
      <c r="C31" s="87"/>
      <c r="D31" s="325" t="s">
        <v>0</v>
      </c>
      <c r="E31" s="325"/>
      <c r="F31" s="171">
        <f>SUM(F24:F30)</f>
        <v>150</v>
      </c>
      <c r="G31" s="95">
        <f>SUM(G24:G30)</f>
        <v>1223.3462950255423</v>
      </c>
      <c r="H31" s="95">
        <f>SUM(H24:H30)</f>
        <v>1006.24</v>
      </c>
      <c r="I31" s="97"/>
      <c r="J31" s="98"/>
    </row>
    <row r="32" spans="1:15">
      <c r="A32" s="105"/>
      <c r="B32" s="9"/>
      <c r="C32" s="9"/>
      <c r="D32" s="51"/>
      <c r="E32" s="51"/>
      <c r="F32" s="51"/>
      <c r="G32" s="106"/>
      <c r="H32" s="106"/>
      <c r="I32" s="9"/>
      <c r="J32" s="107"/>
    </row>
    <row r="33" spans="1:16" ht="18" customHeight="1">
      <c r="A33" s="85"/>
      <c r="B33" s="163" t="s">
        <v>199</v>
      </c>
      <c r="C33" s="163">
        <v>22</v>
      </c>
      <c r="D33" s="88">
        <v>738</v>
      </c>
      <c r="E33" s="88">
        <v>1810</v>
      </c>
      <c r="F33" s="89">
        <f t="shared" ref="F33:F34" si="12">O33</f>
        <v>10</v>
      </c>
      <c r="G33" s="90">
        <f t="shared" ref="G33:G34" si="13">D33*E33/91809*F33</f>
        <v>145.4955396529752</v>
      </c>
      <c r="H33" s="90">
        <f t="shared" ref="H33:H34" si="14">(D33/1000)*4*F33+(E33/1000)*4*F33</f>
        <v>101.92</v>
      </c>
      <c r="I33" s="91" t="str">
        <f>I24</f>
        <v>1동1,2라인</v>
      </c>
      <c r="J33" s="92" t="s">
        <v>219</v>
      </c>
      <c r="L33" s="89">
        <v>2</v>
      </c>
      <c r="M33" s="78">
        <f>M15</f>
        <v>10</v>
      </c>
      <c r="N33" s="84">
        <v>5</v>
      </c>
      <c r="O33" s="78">
        <f>L33*M33-N33*L33</f>
        <v>10</v>
      </c>
      <c r="P33" s="64" t="s">
        <v>244</v>
      </c>
    </row>
    <row r="34" spans="1:16" ht="18" customHeight="1">
      <c r="A34" s="85"/>
      <c r="B34" s="86"/>
      <c r="C34" s="87"/>
      <c r="D34" s="88">
        <v>250</v>
      </c>
      <c r="E34" s="88">
        <v>930</v>
      </c>
      <c r="F34" s="89">
        <f t="shared" si="12"/>
        <v>20</v>
      </c>
      <c r="G34" s="90">
        <f t="shared" si="13"/>
        <v>50.648629219357574</v>
      </c>
      <c r="H34" s="90">
        <f t="shared" si="14"/>
        <v>94.4</v>
      </c>
      <c r="I34" s="91" t="str">
        <f>I33</f>
        <v>1동1,2라인</v>
      </c>
      <c r="J34" s="92" t="s">
        <v>220</v>
      </c>
      <c r="L34" s="89">
        <v>2</v>
      </c>
      <c r="M34" s="78">
        <f>M33</f>
        <v>10</v>
      </c>
      <c r="N34" s="84"/>
      <c r="O34" s="78">
        <f t="shared" ref="O34" si="15">L34*M34-N34*L34</f>
        <v>20</v>
      </c>
    </row>
    <row r="35" spans="1:16" ht="18" customHeight="1">
      <c r="A35" s="85"/>
      <c r="B35" s="93"/>
      <c r="C35" s="87"/>
      <c r="D35" s="325" t="s">
        <v>0</v>
      </c>
      <c r="E35" s="325"/>
      <c r="F35" s="94">
        <f>SUM(F33:F34)</f>
        <v>30</v>
      </c>
      <c r="G35" s="95">
        <f>SUM(G33:G34)</f>
        <v>196.14416887233278</v>
      </c>
      <c r="H35" s="95">
        <f>SUM(H33:H34)</f>
        <v>196.32</v>
      </c>
      <c r="I35" s="97"/>
      <c r="J35" s="98"/>
    </row>
    <row r="36" spans="1:16" ht="18" customHeight="1">
      <c r="A36" s="108"/>
      <c r="B36" s="164"/>
      <c r="C36" s="109"/>
      <c r="D36" s="165"/>
      <c r="E36" s="165"/>
      <c r="F36" s="110"/>
      <c r="G36" s="111"/>
      <c r="H36" s="111"/>
      <c r="I36" s="112"/>
      <c r="J36" s="113"/>
    </row>
    <row r="37" spans="1:16" ht="18" customHeight="1">
      <c r="A37" s="85" t="s">
        <v>235</v>
      </c>
      <c r="B37" s="23" t="s">
        <v>201</v>
      </c>
      <c r="C37" s="24">
        <v>22</v>
      </c>
      <c r="D37" s="88">
        <v>861</v>
      </c>
      <c r="E37" s="88">
        <v>1810</v>
      </c>
      <c r="F37" s="89">
        <f t="shared" ref="F37:F40" si="16">O37</f>
        <v>5</v>
      </c>
      <c r="G37" s="90">
        <f t="shared" ref="G37:G40" si="17">D37*E37/91809*F37</f>
        <v>84.872398130902198</v>
      </c>
      <c r="H37" s="90">
        <f t="shared" ref="H37:H40" si="18">(D37/1000)*4*F37+(E37/1000)*4*F37</f>
        <v>53.42</v>
      </c>
      <c r="I37" s="91" t="s">
        <v>239</v>
      </c>
      <c r="J37" s="92" t="s">
        <v>205</v>
      </c>
      <c r="L37" s="89">
        <v>1</v>
      </c>
      <c r="M37" s="78">
        <v>5</v>
      </c>
      <c r="N37" s="84"/>
      <c r="O37" s="78">
        <f>L37*M37-N37*L37</f>
        <v>5</v>
      </c>
      <c r="P37" s="64"/>
    </row>
    <row r="38" spans="1:16" ht="18" customHeight="1">
      <c r="A38" s="85"/>
      <c r="B38" s="86"/>
      <c r="C38" s="87"/>
      <c r="D38" s="88">
        <v>738</v>
      </c>
      <c r="E38" s="88">
        <v>1310</v>
      </c>
      <c r="F38" s="89">
        <f t="shared" si="16"/>
        <v>20</v>
      </c>
      <c r="G38" s="90">
        <f t="shared" si="17"/>
        <v>210.6068032545829</v>
      </c>
      <c r="H38" s="90">
        <f t="shared" si="18"/>
        <v>163.84</v>
      </c>
      <c r="I38" s="91" t="str">
        <f>I37</f>
        <v>1동3라인</v>
      </c>
      <c r="J38" s="92" t="s">
        <v>207</v>
      </c>
      <c r="L38" s="89">
        <v>4</v>
      </c>
      <c r="M38" s="78">
        <f>M37</f>
        <v>5</v>
      </c>
      <c r="N38" s="84"/>
      <c r="O38" s="78">
        <f t="shared" ref="O38:O40" si="19">L38*M38-N38*L38</f>
        <v>20</v>
      </c>
    </row>
    <row r="39" spans="1:16" ht="18" customHeight="1">
      <c r="A39" s="85"/>
      <c r="B39" s="86"/>
      <c r="C39" s="87"/>
      <c r="D39" s="88">
        <v>228</v>
      </c>
      <c r="E39" s="88">
        <v>910</v>
      </c>
      <c r="F39" s="89">
        <f t="shared" si="16"/>
        <v>10</v>
      </c>
      <c r="G39" s="90">
        <f t="shared" si="17"/>
        <v>22.59909159232755</v>
      </c>
      <c r="H39" s="90">
        <f t="shared" si="18"/>
        <v>45.519999999999996</v>
      </c>
      <c r="I39" s="91" t="str">
        <f t="shared" ref="I39:I40" si="20">I38</f>
        <v>1동3라인</v>
      </c>
      <c r="J39" s="92" t="s">
        <v>209</v>
      </c>
      <c r="L39" s="89">
        <v>2</v>
      </c>
      <c r="M39" s="78">
        <f t="shared" ref="M39:M40" si="21">M38</f>
        <v>5</v>
      </c>
      <c r="N39" s="78"/>
      <c r="O39" s="78">
        <f t="shared" si="19"/>
        <v>10</v>
      </c>
    </row>
    <row r="40" spans="1:16" ht="18" customHeight="1">
      <c r="A40" s="85"/>
      <c r="B40" s="86"/>
      <c r="C40" s="87"/>
      <c r="D40" s="88">
        <v>438</v>
      </c>
      <c r="E40" s="88">
        <v>270</v>
      </c>
      <c r="F40" s="89">
        <f t="shared" si="16"/>
        <v>10</v>
      </c>
      <c r="G40" s="90">
        <f t="shared" si="17"/>
        <v>12.881090089206941</v>
      </c>
      <c r="H40" s="90">
        <f t="shared" si="18"/>
        <v>28.32</v>
      </c>
      <c r="I40" s="91" t="str">
        <f t="shared" si="20"/>
        <v>1동3라인</v>
      </c>
      <c r="J40" s="92" t="s">
        <v>210</v>
      </c>
      <c r="L40" s="89">
        <v>2</v>
      </c>
      <c r="M40" s="78">
        <f t="shared" si="21"/>
        <v>5</v>
      </c>
      <c r="N40" s="78"/>
      <c r="O40" s="78">
        <f t="shared" si="19"/>
        <v>10</v>
      </c>
    </row>
    <row r="41" spans="1:16" ht="18" customHeight="1">
      <c r="A41" s="85"/>
      <c r="B41" s="93"/>
      <c r="C41" s="87"/>
      <c r="D41" s="325" t="s">
        <v>0</v>
      </c>
      <c r="E41" s="325"/>
      <c r="F41" s="94">
        <f>SUM(F37:F40)</f>
        <v>45</v>
      </c>
      <c r="G41" s="95">
        <f>SUM(G37:G40)</f>
        <v>330.95938306701964</v>
      </c>
      <c r="H41" s="96">
        <f>SUM(H37:H40)</f>
        <v>291.09999999999997</v>
      </c>
      <c r="I41" s="97"/>
      <c r="J41" s="162"/>
    </row>
    <row r="42" spans="1:16" ht="18" customHeight="1">
      <c r="A42" s="85"/>
      <c r="B42" s="93"/>
      <c r="C42" s="87"/>
      <c r="D42" s="161"/>
      <c r="E42" s="161"/>
      <c r="F42" s="89"/>
      <c r="G42" s="100"/>
      <c r="H42" s="101"/>
      <c r="I42" s="102"/>
      <c r="J42" s="121"/>
      <c r="L42" s="252"/>
      <c r="M42" s="252"/>
      <c r="N42" s="252"/>
      <c r="O42" s="252"/>
    </row>
    <row r="43" spans="1:16" ht="18" customHeight="1">
      <c r="A43" s="85"/>
      <c r="B43" s="23" t="s">
        <v>198</v>
      </c>
      <c r="C43" s="24">
        <v>22</v>
      </c>
      <c r="D43" s="88">
        <v>861</v>
      </c>
      <c r="E43" s="88">
        <v>1810</v>
      </c>
      <c r="F43" s="89">
        <f t="shared" ref="F43:F47" si="22">O43</f>
        <v>5</v>
      </c>
      <c r="G43" s="90">
        <f t="shared" ref="G43:G47" si="23">D43*E43/91809*F43</f>
        <v>84.872398130902198</v>
      </c>
      <c r="H43" s="90">
        <f t="shared" ref="H43:H47" si="24">(D43/1000)*4*F43+(E43/1000)*4*F43</f>
        <v>53.42</v>
      </c>
      <c r="I43" s="103" t="str">
        <f>I37</f>
        <v>1동3라인</v>
      </c>
      <c r="J43" s="92" t="s">
        <v>212</v>
      </c>
      <c r="L43" s="89">
        <v>1</v>
      </c>
      <c r="M43" s="78">
        <f>M37</f>
        <v>5</v>
      </c>
      <c r="N43" s="84"/>
      <c r="O43" s="78">
        <f>L43*M43-N43*L43</f>
        <v>5</v>
      </c>
    </row>
    <row r="44" spans="1:16" ht="18" customHeight="1">
      <c r="A44" s="85"/>
      <c r="B44" s="86"/>
      <c r="C44" s="87"/>
      <c r="D44" s="88">
        <v>2114</v>
      </c>
      <c r="E44" s="88">
        <v>1810</v>
      </c>
      <c r="F44" s="89">
        <f t="shared" si="22"/>
        <v>5</v>
      </c>
      <c r="G44" s="90">
        <f t="shared" si="23"/>
        <v>208.38588809375989</v>
      </c>
      <c r="H44" s="90">
        <f t="shared" si="24"/>
        <v>78.48</v>
      </c>
      <c r="I44" s="91" t="str">
        <f>I37</f>
        <v>1동3라인</v>
      </c>
      <c r="J44" s="92" t="s">
        <v>213</v>
      </c>
      <c r="L44" s="89">
        <v>1</v>
      </c>
      <c r="M44" s="78">
        <f>M43</f>
        <v>5</v>
      </c>
      <c r="N44" s="84"/>
      <c r="O44" s="78">
        <f>L44*M44-N44*L44</f>
        <v>5</v>
      </c>
    </row>
    <row r="45" spans="1:16" ht="18" customHeight="1">
      <c r="A45" s="104"/>
      <c r="B45" s="93"/>
      <c r="C45" s="87"/>
      <c r="D45" s="88">
        <v>738</v>
      </c>
      <c r="E45" s="88">
        <v>1310</v>
      </c>
      <c r="F45" s="89">
        <f t="shared" si="22"/>
        <v>20</v>
      </c>
      <c r="G45" s="90">
        <f t="shared" si="23"/>
        <v>210.6068032545829</v>
      </c>
      <c r="H45" s="90">
        <f t="shared" si="24"/>
        <v>163.84</v>
      </c>
      <c r="I45" s="91" t="str">
        <f>I44</f>
        <v>1동3라인</v>
      </c>
      <c r="J45" s="92" t="s">
        <v>214</v>
      </c>
      <c r="L45" s="89">
        <v>4</v>
      </c>
      <c r="M45" s="78">
        <f t="shared" ref="M45:M47" si="25">M44</f>
        <v>5</v>
      </c>
      <c r="N45" s="84"/>
      <c r="O45" s="78">
        <f t="shared" ref="O45:O47" si="26">L45*M45-N45*L45</f>
        <v>20</v>
      </c>
    </row>
    <row r="46" spans="1:16" ht="18" customHeight="1">
      <c r="A46" s="104"/>
      <c r="B46" s="93"/>
      <c r="C46" s="87"/>
      <c r="D46" s="88">
        <v>228</v>
      </c>
      <c r="E46" s="88">
        <v>910</v>
      </c>
      <c r="F46" s="89">
        <f t="shared" si="22"/>
        <v>10</v>
      </c>
      <c r="G46" s="90">
        <f t="shared" si="23"/>
        <v>22.59909159232755</v>
      </c>
      <c r="H46" s="90">
        <f t="shared" si="24"/>
        <v>45.519999999999996</v>
      </c>
      <c r="I46" s="91" t="str">
        <f t="shared" ref="I46:I47" si="27">I45</f>
        <v>1동3라인</v>
      </c>
      <c r="J46" s="92" t="s">
        <v>216</v>
      </c>
      <c r="L46" s="89">
        <v>2</v>
      </c>
      <c r="M46" s="78">
        <f t="shared" si="25"/>
        <v>5</v>
      </c>
      <c r="N46" s="78"/>
      <c r="O46" s="78">
        <f t="shared" si="26"/>
        <v>10</v>
      </c>
    </row>
    <row r="47" spans="1:16" ht="18" customHeight="1">
      <c r="A47" s="104"/>
      <c r="B47" s="93"/>
      <c r="C47" s="87"/>
      <c r="D47" s="88">
        <v>438</v>
      </c>
      <c r="E47" s="88">
        <v>270</v>
      </c>
      <c r="F47" s="89">
        <f t="shared" si="22"/>
        <v>10</v>
      </c>
      <c r="G47" s="90">
        <f t="shared" si="23"/>
        <v>12.881090089206941</v>
      </c>
      <c r="H47" s="90">
        <f t="shared" si="24"/>
        <v>28.32</v>
      </c>
      <c r="I47" s="91" t="str">
        <f t="shared" si="27"/>
        <v>1동3라인</v>
      </c>
      <c r="J47" s="92" t="s">
        <v>217</v>
      </c>
      <c r="L47" s="89">
        <v>2</v>
      </c>
      <c r="M47" s="78">
        <f t="shared" si="25"/>
        <v>5</v>
      </c>
      <c r="N47" s="78"/>
      <c r="O47" s="78">
        <f t="shared" si="26"/>
        <v>10</v>
      </c>
    </row>
    <row r="48" spans="1:16" ht="18" customHeight="1">
      <c r="A48" s="104"/>
      <c r="B48" s="87"/>
      <c r="C48" s="87"/>
      <c r="D48" s="325" t="s">
        <v>0</v>
      </c>
      <c r="E48" s="325"/>
      <c r="F48" s="171">
        <f>SUM(F43:F47)</f>
        <v>50</v>
      </c>
      <c r="G48" s="95">
        <f>SUM(G43:G47)</f>
        <v>539.34527116077948</v>
      </c>
      <c r="H48" s="95">
        <f>SUM(H43:H47)</f>
        <v>369.58</v>
      </c>
      <c r="I48" s="97"/>
      <c r="J48" s="98"/>
    </row>
    <row r="49" spans="1:16">
      <c r="A49" s="105"/>
      <c r="B49" s="9"/>
      <c r="C49" s="9"/>
      <c r="D49" s="51"/>
      <c r="E49" s="51"/>
      <c r="F49" s="51"/>
      <c r="G49" s="106"/>
      <c r="H49" s="106"/>
      <c r="I49" s="9"/>
      <c r="J49" s="107"/>
    </row>
    <row r="50" spans="1:16" ht="18" customHeight="1">
      <c r="A50" s="85"/>
      <c r="B50" s="23" t="s">
        <v>237</v>
      </c>
      <c r="C50" s="24">
        <v>22</v>
      </c>
      <c r="D50" s="88">
        <v>2114</v>
      </c>
      <c r="E50" s="88">
        <v>1810</v>
      </c>
      <c r="F50" s="89">
        <f t="shared" ref="F50" si="28">O50</f>
        <v>5</v>
      </c>
      <c r="G50" s="90">
        <f t="shared" ref="G50" si="29">D50*E50/91809*F50</f>
        <v>208.38588809375989</v>
      </c>
      <c r="H50" s="90">
        <f t="shared" ref="H50" si="30">(D50/1000)*4*F50+(E50/1000)*4*F50</f>
        <v>78.48</v>
      </c>
      <c r="I50" s="91" t="str">
        <f>I43</f>
        <v>1동3라인</v>
      </c>
      <c r="J50" s="92" t="s">
        <v>206</v>
      </c>
      <c r="L50" s="89">
        <v>1</v>
      </c>
      <c r="M50" s="78">
        <f>M37</f>
        <v>5</v>
      </c>
      <c r="N50" s="84"/>
      <c r="O50" s="78">
        <f>L50*M50-N50*L50</f>
        <v>5</v>
      </c>
    </row>
    <row r="51" spans="1:16" ht="18" customHeight="1">
      <c r="A51" s="85"/>
      <c r="B51" s="93"/>
      <c r="C51" s="87"/>
      <c r="D51" s="325" t="s">
        <v>0</v>
      </c>
      <c r="E51" s="325"/>
      <c r="F51" s="94">
        <f>SUM(F50:F50)</f>
        <v>5</v>
      </c>
      <c r="G51" s="95">
        <f>SUM(G50:G50)</f>
        <v>208.38588809375989</v>
      </c>
      <c r="H51" s="95">
        <f>SUM(H50:H50)</f>
        <v>78.48</v>
      </c>
      <c r="I51" s="97"/>
      <c r="J51" s="98"/>
    </row>
    <row r="52" spans="1:16" ht="18" customHeight="1">
      <c r="A52" s="218"/>
      <c r="B52" s="219"/>
      <c r="C52" s="220"/>
      <c r="D52" s="161"/>
      <c r="E52" s="161"/>
      <c r="F52" s="89"/>
      <c r="G52" s="100"/>
      <c r="H52" s="100"/>
      <c r="I52" s="102"/>
      <c r="J52" s="221"/>
    </row>
    <row r="53" spans="1:16" ht="18" customHeight="1">
      <c r="A53" s="85"/>
      <c r="B53" s="23" t="s">
        <v>203</v>
      </c>
      <c r="C53" s="24">
        <v>22</v>
      </c>
      <c r="D53" s="88">
        <v>738</v>
      </c>
      <c r="E53" s="88">
        <v>1810</v>
      </c>
      <c r="F53" s="89">
        <f t="shared" ref="F53:F54" si="31">O53</f>
        <v>10</v>
      </c>
      <c r="G53" s="90">
        <f t="shared" ref="G53:G54" si="32">D53*E53/91809*F53</f>
        <v>145.4955396529752</v>
      </c>
      <c r="H53" s="90">
        <f t="shared" ref="H53:H54" si="33">(D53/1000)*4*F53+(E53/1000)*4*F53</f>
        <v>101.92</v>
      </c>
      <c r="I53" s="91" t="str">
        <f>I50</f>
        <v>1동3라인</v>
      </c>
      <c r="J53" s="92" t="s">
        <v>219</v>
      </c>
      <c r="L53" s="89">
        <v>2</v>
      </c>
      <c r="M53" s="78">
        <f>M50</f>
        <v>5</v>
      </c>
      <c r="N53" s="84"/>
      <c r="O53" s="78">
        <f>L53*M53-N53*L53</f>
        <v>10</v>
      </c>
      <c r="P53" s="64"/>
    </row>
    <row r="54" spans="1:16" ht="18" customHeight="1">
      <c r="A54" s="85"/>
      <c r="B54" s="86"/>
      <c r="C54" s="87"/>
      <c r="D54" s="88">
        <v>250</v>
      </c>
      <c r="E54" s="88">
        <v>930</v>
      </c>
      <c r="F54" s="89">
        <f t="shared" si="31"/>
        <v>10</v>
      </c>
      <c r="G54" s="90">
        <f t="shared" si="32"/>
        <v>25.324314609678787</v>
      </c>
      <c r="H54" s="90">
        <f t="shared" si="33"/>
        <v>47.2</v>
      </c>
      <c r="I54" s="91" t="str">
        <f>I53</f>
        <v>1동3라인</v>
      </c>
      <c r="J54" s="92" t="s">
        <v>220</v>
      </c>
      <c r="L54" s="89">
        <v>2</v>
      </c>
      <c r="M54" s="78">
        <f>M53</f>
        <v>5</v>
      </c>
      <c r="N54" s="84"/>
      <c r="O54" s="78">
        <f t="shared" ref="O54" si="34">L54*M54-N54*L54</f>
        <v>10</v>
      </c>
    </row>
    <row r="55" spans="1:16" ht="18" customHeight="1">
      <c r="A55" s="85"/>
      <c r="B55" s="93"/>
      <c r="C55" s="87"/>
      <c r="D55" s="325" t="s">
        <v>0</v>
      </c>
      <c r="E55" s="325"/>
      <c r="F55" s="94">
        <f>SUM(F53:F54)</f>
        <v>20</v>
      </c>
      <c r="G55" s="95">
        <f>SUM(G53:G54)</f>
        <v>170.81985426265399</v>
      </c>
      <c r="H55" s="96">
        <f>SUM(H53:H54)</f>
        <v>149.12</v>
      </c>
      <c r="I55" s="97"/>
      <c r="J55" s="162"/>
    </row>
    <row r="56" spans="1:16" ht="18" customHeight="1" thickBot="1">
      <c r="A56" s="222"/>
      <c r="B56" s="223"/>
      <c r="C56" s="224"/>
      <c r="D56" s="225"/>
      <c r="E56" s="225"/>
      <c r="F56" s="226"/>
      <c r="G56" s="227"/>
      <c r="H56" s="228"/>
      <c r="I56" s="229"/>
      <c r="J56" s="230"/>
      <c r="L56" s="78" t="s">
        <v>48</v>
      </c>
      <c r="M56" s="78" t="s">
        <v>49</v>
      </c>
      <c r="N56" s="78" t="s">
        <v>50</v>
      </c>
      <c r="O56" s="78" t="s">
        <v>55</v>
      </c>
    </row>
    <row r="57" spans="1:16" ht="18" customHeight="1">
      <c r="A57" s="79" t="s">
        <v>234</v>
      </c>
      <c r="B57" s="231" t="s">
        <v>195</v>
      </c>
      <c r="C57" s="232">
        <v>22</v>
      </c>
      <c r="D57" s="80">
        <v>761</v>
      </c>
      <c r="E57" s="80">
        <v>1810</v>
      </c>
      <c r="F57" s="233">
        <f>O57</f>
        <v>10</v>
      </c>
      <c r="G57" s="81">
        <f t="shared" ref="G57:G63" si="35">D57*E57/91809*F57</f>
        <v>150.02995349039855</v>
      </c>
      <c r="H57" s="81">
        <f t="shared" ref="H57:H63" si="36">(D57/1000)*4*F57+(E57/1000)*4*F57</f>
        <v>102.84</v>
      </c>
      <c r="I57" s="82" t="s">
        <v>240</v>
      </c>
      <c r="J57" s="83" t="s">
        <v>205</v>
      </c>
      <c r="L57" s="89">
        <v>2</v>
      </c>
      <c r="M57" s="78">
        <v>5</v>
      </c>
      <c r="N57" s="84"/>
      <c r="O57" s="78">
        <f>L57*M57-N57*L57</f>
        <v>10</v>
      </c>
      <c r="P57" s="64"/>
    </row>
    <row r="58" spans="1:16" ht="18" customHeight="1">
      <c r="A58" s="85"/>
      <c r="B58" s="86"/>
      <c r="C58" s="87"/>
      <c r="D58" s="88">
        <v>1688</v>
      </c>
      <c r="E58" s="88">
        <v>1810</v>
      </c>
      <c r="F58" s="89">
        <f t="shared" ref="F58:F63" si="37">O58</f>
        <v>5</v>
      </c>
      <c r="G58" s="90">
        <f t="shared" si="35"/>
        <v>166.39327299066539</v>
      </c>
      <c r="H58" s="90">
        <f t="shared" si="36"/>
        <v>69.960000000000008</v>
      </c>
      <c r="I58" s="91" t="str">
        <f>I57</f>
        <v>1동4라인</v>
      </c>
      <c r="J58" s="92" t="s">
        <v>206</v>
      </c>
      <c r="L58" s="89">
        <v>1</v>
      </c>
      <c r="M58" s="78">
        <f>M57</f>
        <v>5</v>
      </c>
      <c r="N58" s="84"/>
      <c r="O58" s="78">
        <f t="shared" ref="O58:O63" si="38">L58*M58-N58*L58</f>
        <v>5</v>
      </c>
    </row>
    <row r="59" spans="1:16" ht="18" customHeight="1">
      <c r="A59" s="85"/>
      <c r="B59" s="86"/>
      <c r="C59" s="87"/>
      <c r="D59" s="88">
        <v>738</v>
      </c>
      <c r="E59" s="88">
        <v>1310</v>
      </c>
      <c r="F59" s="89">
        <f t="shared" si="37"/>
        <v>20</v>
      </c>
      <c r="G59" s="90">
        <f t="shared" si="35"/>
        <v>210.6068032545829</v>
      </c>
      <c r="H59" s="90">
        <f t="shared" si="36"/>
        <v>163.84</v>
      </c>
      <c r="I59" s="91" t="str">
        <f t="shared" ref="I59:I63" si="39">I58</f>
        <v>1동4라인</v>
      </c>
      <c r="J59" s="92" t="s">
        <v>207</v>
      </c>
      <c r="L59" s="89">
        <v>4</v>
      </c>
      <c r="M59" s="78">
        <f t="shared" ref="M59:M62" si="40">M58</f>
        <v>5</v>
      </c>
      <c r="N59" s="78"/>
      <c r="O59" s="78">
        <f t="shared" si="38"/>
        <v>20</v>
      </c>
    </row>
    <row r="60" spans="1:16" ht="18" customHeight="1">
      <c r="A60" s="85"/>
      <c r="B60" s="86"/>
      <c r="C60" s="87"/>
      <c r="D60" s="88">
        <v>288</v>
      </c>
      <c r="E60" s="88">
        <v>910</v>
      </c>
      <c r="F60" s="89">
        <f t="shared" si="37"/>
        <v>10</v>
      </c>
      <c r="G60" s="90">
        <f t="shared" si="35"/>
        <v>28.546220958729535</v>
      </c>
      <c r="H60" s="90">
        <f t="shared" si="36"/>
        <v>47.92</v>
      </c>
      <c r="I60" s="91" t="str">
        <f t="shared" si="39"/>
        <v>1동4라인</v>
      </c>
      <c r="J60" s="92" t="s">
        <v>208</v>
      </c>
      <c r="L60" s="89">
        <v>2</v>
      </c>
      <c r="M60" s="78">
        <f t="shared" si="40"/>
        <v>5</v>
      </c>
      <c r="N60" s="78"/>
      <c r="O60" s="78">
        <f t="shared" si="38"/>
        <v>10</v>
      </c>
    </row>
    <row r="61" spans="1:16" ht="18" customHeight="1">
      <c r="A61" s="85"/>
      <c r="B61" s="86"/>
      <c r="C61" s="87"/>
      <c r="D61" s="88">
        <v>228</v>
      </c>
      <c r="E61" s="88">
        <v>910</v>
      </c>
      <c r="F61" s="89">
        <f t="shared" si="37"/>
        <v>10</v>
      </c>
      <c r="G61" s="90">
        <f t="shared" si="35"/>
        <v>22.59909159232755</v>
      </c>
      <c r="H61" s="90">
        <f t="shared" si="36"/>
        <v>45.519999999999996</v>
      </c>
      <c r="I61" s="91" t="str">
        <f t="shared" si="39"/>
        <v>1동4라인</v>
      </c>
      <c r="J61" s="92" t="s">
        <v>209</v>
      </c>
      <c r="L61" s="89">
        <v>2</v>
      </c>
      <c r="M61" s="78">
        <f t="shared" si="40"/>
        <v>5</v>
      </c>
      <c r="N61" s="78"/>
      <c r="O61" s="78">
        <f t="shared" si="38"/>
        <v>10</v>
      </c>
    </row>
    <row r="62" spans="1:16" ht="18" customHeight="1">
      <c r="A62" s="85"/>
      <c r="B62" s="86"/>
      <c r="C62" s="87"/>
      <c r="D62" s="88">
        <v>438</v>
      </c>
      <c r="E62" s="88">
        <v>270</v>
      </c>
      <c r="F62" s="89">
        <f t="shared" si="37"/>
        <v>10</v>
      </c>
      <c r="G62" s="90">
        <f t="shared" si="35"/>
        <v>12.881090089206941</v>
      </c>
      <c r="H62" s="90">
        <f t="shared" si="36"/>
        <v>28.32</v>
      </c>
      <c r="I62" s="91" t="str">
        <f t="shared" si="39"/>
        <v>1동4라인</v>
      </c>
      <c r="J62" s="92" t="s">
        <v>210</v>
      </c>
      <c r="L62" s="89">
        <v>2</v>
      </c>
      <c r="M62" s="78">
        <f t="shared" si="40"/>
        <v>5</v>
      </c>
      <c r="N62" s="78"/>
      <c r="O62" s="78">
        <f t="shared" si="38"/>
        <v>10</v>
      </c>
    </row>
    <row r="63" spans="1:16" ht="18" customHeight="1">
      <c r="A63" s="85"/>
      <c r="B63" s="86"/>
      <c r="C63" s="87"/>
      <c r="D63" s="88">
        <v>208</v>
      </c>
      <c r="E63" s="88">
        <v>910</v>
      </c>
      <c r="F63" s="89">
        <f t="shared" si="37"/>
        <v>10</v>
      </c>
      <c r="G63" s="90">
        <f t="shared" si="35"/>
        <v>20.616715136860222</v>
      </c>
      <c r="H63" s="90">
        <f t="shared" si="36"/>
        <v>44.72</v>
      </c>
      <c r="I63" s="91" t="str">
        <f t="shared" si="39"/>
        <v>1동4라인</v>
      </c>
      <c r="J63" s="92" t="s">
        <v>211</v>
      </c>
      <c r="L63" s="89">
        <v>2</v>
      </c>
      <c r="M63" s="78">
        <f>M62</f>
        <v>5</v>
      </c>
      <c r="N63" s="78"/>
      <c r="O63" s="78">
        <f t="shared" si="38"/>
        <v>10</v>
      </c>
    </row>
    <row r="64" spans="1:16" ht="18" customHeight="1">
      <c r="A64" s="85"/>
      <c r="B64" s="93"/>
      <c r="C64" s="87"/>
      <c r="D64" s="325" t="s">
        <v>0</v>
      </c>
      <c r="E64" s="325"/>
      <c r="F64" s="94">
        <f>SUM(F57:F63)</f>
        <v>75</v>
      </c>
      <c r="G64" s="95">
        <f>SUM(G57:G63)</f>
        <v>611.67314751277115</v>
      </c>
      <c r="H64" s="96">
        <f>SUM(H57:H63)</f>
        <v>503.12</v>
      </c>
      <c r="I64" s="97"/>
      <c r="J64" s="162"/>
    </row>
    <row r="65" spans="1:16" ht="18" customHeight="1">
      <c r="A65" s="85"/>
      <c r="B65" s="93"/>
      <c r="C65" s="87"/>
      <c r="D65" s="161"/>
      <c r="E65" s="161"/>
      <c r="F65" s="89"/>
      <c r="G65" s="100"/>
      <c r="H65" s="101"/>
      <c r="I65" s="102"/>
      <c r="J65" s="121"/>
      <c r="L65" s="78" t="s">
        <v>48</v>
      </c>
      <c r="M65" s="78" t="s">
        <v>54</v>
      </c>
      <c r="N65" s="78" t="s">
        <v>50</v>
      </c>
      <c r="O65" s="78" t="s">
        <v>55</v>
      </c>
    </row>
    <row r="66" spans="1:16" ht="18" customHeight="1">
      <c r="A66" s="85"/>
      <c r="B66" s="23" t="s">
        <v>197</v>
      </c>
      <c r="C66" s="24">
        <v>22</v>
      </c>
      <c r="D66" s="88">
        <v>761</v>
      </c>
      <c r="E66" s="88">
        <v>1810</v>
      </c>
      <c r="F66" s="89">
        <f t="shared" ref="F66:F72" si="41">O66</f>
        <v>10</v>
      </c>
      <c r="G66" s="90">
        <f t="shared" ref="G66:G72" si="42">D66*E66/91809*F66</f>
        <v>150.02995349039855</v>
      </c>
      <c r="H66" s="90">
        <f t="shared" ref="H66:H72" si="43">(D66/1000)*4*F66+(E66/1000)*4*F66</f>
        <v>102.84</v>
      </c>
      <c r="I66" s="91" t="str">
        <f t="shared" ref="I66:I72" si="44">I57</f>
        <v>1동4라인</v>
      </c>
      <c r="J66" s="92" t="s">
        <v>212</v>
      </c>
      <c r="L66" s="89">
        <v>2</v>
      </c>
      <c r="M66" s="78">
        <f>M57</f>
        <v>5</v>
      </c>
      <c r="N66" s="84"/>
      <c r="O66" s="78">
        <f>L66*M66-N66*L66</f>
        <v>10</v>
      </c>
    </row>
    <row r="67" spans="1:16" ht="18" customHeight="1">
      <c r="A67" s="85"/>
      <c r="B67" s="86"/>
      <c r="C67" s="87"/>
      <c r="D67" s="88">
        <v>1688</v>
      </c>
      <c r="E67" s="88">
        <v>1810</v>
      </c>
      <c r="F67" s="89">
        <f t="shared" si="41"/>
        <v>5</v>
      </c>
      <c r="G67" s="90">
        <f t="shared" si="42"/>
        <v>166.39327299066539</v>
      </c>
      <c r="H67" s="90">
        <f t="shared" si="43"/>
        <v>69.960000000000008</v>
      </c>
      <c r="I67" s="91" t="str">
        <f t="shared" si="44"/>
        <v>1동4라인</v>
      </c>
      <c r="J67" s="92" t="s">
        <v>213</v>
      </c>
      <c r="L67" s="89">
        <v>1</v>
      </c>
      <c r="M67" s="78">
        <f>M66</f>
        <v>5</v>
      </c>
      <c r="N67" s="84"/>
      <c r="O67" s="78">
        <f>L67*M67-N67*L67</f>
        <v>5</v>
      </c>
    </row>
    <row r="68" spans="1:16" ht="18" customHeight="1">
      <c r="A68" s="104"/>
      <c r="B68" s="93"/>
      <c r="C68" s="87"/>
      <c r="D68" s="88">
        <v>738</v>
      </c>
      <c r="E68" s="88">
        <v>1310</v>
      </c>
      <c r="F68" s="89">
        <f t="shared" si="41"/>
        <v>20</v>
      </c>
      <c r="G68" s="90">
        <f t="shared" si="42"/>
        <v>210.6068032545829</v>
      </c>
      <c r="H68" s="90">
        <f t="shared" si="43"/>
        <v>163.84</v>
      </c>
      <c r="I68" s="91" t="str">
        <f t="shared" si="44"/>
        <v>1동4라인</v>
      </c>
      <c r="J68" s="92" t="s">
        <v>214</v>
      </c>
      <c r="L68" s="89">
        <v>4</v>
      </c>
      <c r="M68" s="78">
        <f t="shared" ref="M68:M72" si="45">M67</f>
        <v>5</v>
      </c>
      <c r="N68" s="84"/>
      <c r="O68" s="78">
        <f t="shared" ref="O68:O72" si="46">L68*M68-N68*L68</f>
        <v>20</v>
      </c>
    </row>
    <row r="69" spans="1:16" ht="18" customHeight="1">
      <c r="A69" s="104"/>
      <c r="B69" s="93"/>
      <c r="C69" s="87"/>
      <c r="D69" s="88">
        <v>288</v>
      </c>
      <c r="E69" s="88">
        <v>910</v>
      </c>
      <c r="F69" s="89">
        <f t="shared" si="41"/>
        <v>10</v>
      </c>
      <c r="G69" s="90">
        <f t="shared" si="42"/>
        <v>28.546220958729535</v>
      </c>
      <c r="H69" s="90">
        <f t="shared" si="43"/>
        <v>47.92</v>
      </c>
      <c r="I69" s="91" t="str">
        <f t="shared" si="44"/>
        <v>1동4라인</v>
      </c>
      <c r="J69" s="92" t="s">
        <v>215</v>
      </c>
      <c r="L69" s="89">
        <v>2</v>
      </c>
      <c r="M69" s="78">
        <f t="shared" si="45"/>
        <v>5</v>
      </c>
      <c r="N69" s="78"/>
      <c r="O69" s="78">
        <f t="shared" si="46"/>
        <v>10</v>
      </c>
    </row>
    <row r="70" spans="1:16" ht="18" customHeight="1">
      <c r="A70" s="104"/>
      <c r="B70" s="93"/>
      <c r="C70" s="87"/>
      <c r="D70" s="88">
        <v>228</v>
      </c>
      <c r="E70" s="88">
        <v>910</v>
      </c>
      <c r="F70" s="89">
        <f t="shared" si="41"/>
        <v>10</v>
      </c>
      <c r="G70" s="90">
        <f t="shared" si="42"/>
        <v>22.59909159232755</v>
      </c>
      <c r="H70" s="90">
        <f t="shared" si="43"/>
        <v>45.519999999999996</v>
      </c>
      <c r="I70" s="91" t="str">
        <f t="shared" si="44"/>
        <v>1동4라인</v>
      </c>
      <c r="J70" s="92" t="s">
        <v>216</v>
      </c>
      <c r="L70" s="89">
        <v>2</v>
      </c>
      <c r="M70" s="78">
        <f t="shared" si="45"/>
        <v>5</v>
      </c>
      <c r="N70" s="78"/>
      <c r="O70" s="78">
        <f t="shared" si="46"/>
        <v>10</v>
      </c>
    </row>
    <row r="71" spans="1:16" ht="18" customHeight="1">
      <c r="A71" s="104"/>
      <c r="B71" s="93"/>
      <c r="C71" s="87"/>
      <c r="D71" s="88">
        <v>438</v>
      </c>
      <c r="E71" s="88">
        <v>270</v>
      </c>
      <c r="F71" s="89">
        <f t="shared" si="41"/>
        <v>10</v>
      </c>
      <c r="G71" s="90">
        <f t="shared" si="42"/>
        <v>12.881090089206941</v>
      </c>
      <c r="H71" s="90">
        <f t="shared" si="43"/>
        <v>28.32</v>
      </c>
      <c r="I71" s="91" t="str">
        <f t="shared" si="44"/>
        <v>1동4라인</v>
      </c>
      <c r="J71" s="92" t="s">
        <v>217</v>
      </c>
      <c r="L71" s="89">
        <v>2</v>
      </c>
      <c r="M71" s="78">
        <f t="shared" si="45"/>
        <v>5</v>
      </c>
      <c r="N71" s="78"/>
      <c r="O71" s="78">
        <f t="shared" si="46"/>
        <v>10</v>
      </c>
    </row>
    <row r="72" spans="1:16" ht="18" customHeight="1">
      <c r="A72" s="104"/>
      <c r="B72" s="93"/>
      <c r="C72" s="87"/>
      <c r="D72" s="88">
        <v>208</v>
      </c>
      <c r="E72" s="88">
        <v>910</v>
      </c>
      <c r="F72" s="89">
        <f t="shared" si="41"/>
        <v>10</v>
      </c>
      <c r="G72" s="90">
        <f t="shared" si="42"/>
        <v>20.616715136860222</v>
      </c>
      <c r="H72" s="90">
        <f t="shared" si="43"/>
        <v>44.72</v>
      </c>
      <c r="I72" s="91" t="str">
        <f t="shared" si="44"/>
        <v>1동4라인</v>
      </c>
      <c r="J72" s="92" t="s">
        <v>218</v>
      </c>
      <c r="L72" s="89">
        <v>2</v>
      </c>
      <c r="M72" s="78">
        <f t="shared" si="45"/>
        <v>5</v>
      </c>
      <c r="N72" s="78"/>
      <c r="O72" s="78">
        <f t="shared" si="46"/>
        <v>10</v>
      </c>
    </row>
    <row r="73" spans="1:16" ht="18" customHeight="1">
      <c r="A73" s="104"/>
      <c r="B73" s="87"/>
      <c r="C73" s="87"/>
      <c r="D73" s="325" t="s">
        <v>0</v>
      </c>
      <c r="E73" s="325"/>
      <c r="F73" s="171">
        <f>SUM(F66:F72)</f>
        <v>75</v>
      </c>
      <c r="G73" s="95">
        <f>SUM(G66:G72)</f>
        <v>611.67314751277115</v>
      </c>
      <c r="H73" s="95">
        <f>SUM(H66:H72)</f>
        <v>503.12</v>
      </c>
      <c r="I73" s="97"/>
      <c r="J73" s="98"/>
    </row>
    <row r="74" spans="1:16">
      <c r="A74" s="105"/>
      <c r="B74" s="9"/>
      <c r="C74" s="9"/>
      <c r="D74" s="51"/>
      <c r="E74" s="51"/>
      <c r="F74" s="51"/>
      <c r="G74" s="106"/>
      <c r="H74" s="106"/>
      <c r="I74" s="9"/>
      <c r="J74" s="107"/>
    </row>
    <row r="75" spans="1:16" ht="18" customHeight="1">
      <c r="A75" s="85"/>
      <c r="B75" s="163" t="s">
        <v>199</v>
      </c>
      <c r="C75" s="163">
        <v>22</v>
      </c>
      <c r="D75" s="88">
        <v>738</v>
      </c>
      <c r="E75" s="88">
        <v>1810</v>
      </c>
      <c r="F75" s="89">
        <f t="shared" ref="F75:F76" si="47">O75</f>
        <v>10</v>
      </c>
      <c r="G75" s="90">
        <f t="shared" ref="G75:G76" si="48">D75*E75/91809*F75</f>
        <v>145.4955396529752</v>
      </c>
      <c r="H75" s="90">
        <f t="shared" ref="H75:H76" si="49">(D75/1000)*4*F75+(E75/1000)*4*F75</f>
        <v>101.92</v>
      </c>
      <c r="I75" s="91" t="str">
        <f>I66</f>
        <v>1동4라인</v>
      </c>
      <c r="J75" s="92" t="s">
        <v>219</v>
      </c>
      <c r="L75" s="89">
        <v>2</v>
      </c>
      <c r="M75" s="78">
        <f>M57</f>
        <v>5</v>
      </c>
      <c r="N75" s="84"/>
      <c r="O75" s="78">
        <f>L75*M75-N75*L75</f>
        <v>10</v>
      </c>
      <c r="P75" s="64"/>
    </row>
    <row r="76" spans="1:16" ht="18" customHeight="1">
      <c r="A76" s="85"/>
      <c r="B76" s="86"/>
      <c r="C76" s="87"/>
      <c r="D76" s="88">
        <v>250</v>
      </c>
      <c r="E76" s="88">
        <v>930</v>
      </c>
      <c r="F76" s="89">
        <f t="shared" si="47"/>
        <v>10</v>
      </c>
      <c r="G76" s="90">
        <f t="shared" si="48"/>
        <v>25.324314609678787</v>
      </c>
      <c r="H76" s="90">
        <f t="shared" si="49"/>
        <v>47.2</v>
      </c>
      <c r="I76" s="91" t="str">
        <f>I75</f>
        <v>1동4라인</v>
      </c>
      <c r="J76" s="92" t="s">
        <v>220</v>
      </c>
      <c r="L76" s="89">
        <v>2</v>
      </c>
      <c r="M76" s="78">
        <f>M75</f>
        <v>5</v>
      </c>
      <c r="N76" s="84"/>
      <c r="O76" s="78">
        <f t="shared" ref="O76" si="50">L76*M76-N76*L76</f>
        <v>10</v>
      </c>
    </row>
    <row r="77" spans="1:16" ht="18" customHeight="1">
      <c r="A77" s="85"/>
      <c r="B77" s="93"/>
      <c r="C77" s="87"/>
      <c r="D77" s="325" t="s">
        <v>0</v>
      </c>
      <c r="E77" s="325"/>
      <c r="F77" s="94">
        <f>SUM(F75:F76)</f>
        <v>20</v>
      </c>
      <c r="G77" s="95">
        <f>SUM(G75:G76)</f>
        <v>170.81985426265399</v>
      </c>
      <c r="H77" s="95">
        <f>SUM(H75:H76)</f>
        <v>149.12</v>
      </c>
      <c r="I77" s="97"/>
      <c r="J77" s="98"/>
    </row>
    <row r="78" spans="1:16" ht="18" customHeight="1">
      <c r="A78" s="236"/>
      <c r="B78" s="237"/>
      <c r="C78" s="238"/>
      <c r="D78" s="362"/>
      <c r="E78" s="362"/>
      <c r="F78" s="239"/>
      <c r="G78" s="240"/>
      <c r="H78" s="241"/>
      <c r="I78" s="242"/>
      <c r="J78" s="243"/>
    </row>
    <row r="79" spans="1:16" ht="18" customHeight="1">
      <c r="A79" s="244" t="s">
        <v>234</v>
      </c>
      <c r="B79" s="23" t="s">
        <v>195</v>
      </c>
      <c r="C79" s="24">
        <v>22</v>
      </c>
      <c r="D79" s="88">
        <v>761</v>
      </c>
      <c r="E79" s="88">
        <v>1810</v>
      </c>
      <c r="F79" s="89">
        <f>O79</f>
        <v>10</v>
      </c>
      <c r="G79" s="90">
        <f t="shared" ref="G79:G85" si="51">D79*E79/91809*F79</f>
        <v>150.02995349039855</v>
      </c>
      <c r="H79" s="90">
        <f t="shared" ref="H79:H85" si="52">(D79/1000)*4*F79+(E79/1000)*4*F79</f>
        <v>102.84</v>
      </c>
      <c r="I79" s="91" t="s">
        <v>241</v>
      </c>
      <c r="J79" s="163" t="s">
        <v>205</v>
      </c>
      <c r="L79" s="89">
        <v>2</v>
      </c>
      <c r="M79" s="78">
        <v>5</v>
      </c>
      <c r="N79" s="84"/>
      <c r="O79" s="78">
        <f>L79*M79-N79*L79</f>
        <v>10</v>
      </c>
      <c r="P79" s="64"/>
    </row>
    <row r="80" spans="1:16" ht="18" customHeight="1">
      <c r="A80" s="85"/>
      <c r="B80" s="86"/>
      <c r="C80" s="87"/>
      <c r="D80" s="88">
        <v>1688</v>
      </c>
      <c r="E80" s="88">
        <v>1810</v>
      </c>
      <c r="F80" s="89">
        <f t="shared" ref="F80:F85" si="53">O80</f>
        <v>5</v>
      </c>
      <c r="G80" s="90">
        <f t="shared" si="51"/>
        <v>166.39327299066539</v>
      </c>
      <c r="H80" s="90">
        <f t="shared" si="52"/>
        <v>69.960000000000008</v>
      </c>
      <c r="I80" s="91" t="str">
        <f>I79</f>
        <v>1동5라인</v>
      </c>
      <c r="J80" s="92" t="s">
        <v>206</v>
      </c>
      <c r="L80" s="89">
        <v>1</v>
      </c>
      <c r="M80" s="78">
        <f>M79</f>
        <v>5</v>
      </c>
      <c r="N80" s="84"/>
      <c r="O80" s="78">
        <f t="shared" ref="O80:O85" si="54">L80*M80-N80*L80</f>
        <v>5</v>
      </c>
    </row>
    <row r="81" spans="1:15" ht="18" customHeight="1">
      <c r="A81" s="85"/>
      <c r="B81" s="86"/>
      <c r="C81" s="87"/>
      <c r="D81" s="88">
        <v>738</v>
      </c>
      <c r="E81" s="88">
        <v>1310</v>
      </c>
      <c r="F81" s="89">
        <f t="shared" si="53"/>
        <v>20</v>
      </c>
      <c r="G81" s="90">
        <f t="shared" si="51"/>
        <v>210.6068032545829</v>
      </c>
      <c r="H81" s="90">
        <f t="shared" si="52"/>
        <v>163.84</v>
      </c>
      <c r="I81" s="91" t="str">
        <f t="shared" ref="I81:I85" si="55">I80</f>
        <v>1동5라인</v>
      </c>
      <c r="J81" s="92" t="s">
        <v>207</v>
      </c>
      <c r="L81" s="89">
        <v>4</v>
      </c>
      <c r="M81" s="78">
        <f t="shared" ref="M81:M84" si="56">M80</f>
        <v>5</v>
      </c>
      <c r="N81" s="78"/>
      <c r="O81" s="78">
        <f t="shared" si="54"/>
        <v>20</v>
      </c>
    </row>
    <row r="82" spans="1:15" ht="18" customHeight="1">
      <c r="A82" s="85"/>
      <c r="B82" s="86"/>
      <c r="C82" s="87"/>
      <c r="D82" s="88">
        <v>288</v>
      </c>
      <c r="E82" s="88">
        <v>910</v>
      </c>
      <c r="F82" s="89">
        <f t="shared" si="53"/>
        <v>10</v>
      </c>
      <c r="G82" s="90">
        <f t="shared" si="51"/>
        <v>28.546220958729535</v>
      </c>
      <c r="H82" s="90">
        <f t="shared" si="52"/>
        <v>47.92</v>
      </c>
      <c r="I82" s="91" t="str">
        <f t="shared" si="55"/>
        <v>1동5라인</v>
      </c>
      <c r="J82" s="92" t="s">
        <v>208</v>
      </c>
      <c r="L82" s="89">
        <v>2</v>
      </c>
      <c r="M82" s="78">
        <f t="shared" si="56"/>
        <v>5</v>
      </c>
      <c r="N82" s="78"/>
      <c r="O82" s="78">
        <f t="shared" si="54"/>
        <v>10</v>
      </c>
    </row>
    <row r="83" spans="1:15" ht="18" customHeight="1">
      <c r="A83" s="85"/>
      <c r="B83" s="86"/>
      <c r="C83" s="87"/>
      <c r="D83" s="88">
        <v>228</v>
      </c>
      <c r="E83" s="88">
        <v>910</v>
      </c>
      <c r="F83" s="89">
        <f t="shared" si="53"/>
        <v>10</v>
      </c>
      <c r="G83" s="90">
        <f t="shared" si="51"/>
        <v>22.59909159232755</v>
      </c>
      <c r="H83" s="90">
        <f t="shared" si="52"/>
        <v>45.519999999999996</v>
      </c>
      <c r="I83" s="91" t="str">
        <f t="shared" si="55"/>
        <v>1동5라인</v>
      </c>
      <c r="J83" s="92" t="s">
        <v>209</v>
      </c>
      <c r="L83" s="89">
        <v>2</v>
      </c>
      <c r="M83" s="78">
        <f t="shared" si="56"/>
        <v>5</v>
      </c>
      <c r="N83" s="78"/>
      <c r="O83" s="78">
        <f t="shared" si="54"/>
        <v>10</v>
      </c>
    </row>
    <row r="84" spans="1:15" ht="18" customHeight="1">
      <c r="A84" s="85"/>
      <c r="B84" s="86"/>
      <c r="C84" s="87"/>
      <c r="D84" s="88">
        <v>438</v>
      </c>
      <c r="E84" s="88">
        <v>270</v>
      </c>
      <c r="F84" s="89">
        <f t="shared" si="53"/>
        <v>10</v>
      </c>
      <c r="G84" s="90">
        <f t="shared" si="51"/>
        <v>12.881090089206941</v>
      </c>
      <c r="H84" s="90">
        <f t="shared" si="52"/>
        <v>28.32</v>
      </c>
      <c r="I84" s="91" t="str">
        <f t="shared" si="55"/>
        <v>1동5라인</v>
      </c>
      <c r="J84" s="92" t="s">
        <v>210</v>
      </c>
      <c r="L84" s="89">
        <v>2</v>
      </c>
      <c r="M84" s="78">
        <f t="shared" si="56"/>
        <v>5</v>
      </c>
      <c r="N84" s="78"/>
      <c r="O84" s="78">
        <f t="shared" si="54"/>
        <v>10</v>
      </c>
    </row>
    <row r="85" spans="1:15" ht="18" customHeight="1">
      <c r="A85" s="85"/>
      <c r="B85" s="86"/>
      <c r="C85" s="87"/>
      <c r="D85" s="88">
        <v>208</v>
      </c>
      <c r="E85" s="88">
        <v>910</v>
      </c>
      <c r="F85" s="89">
        <f t="shared" si="53"/>
        <v>10</v>
      </c>
      <c r="G85" s="90">
        <f t="shared" si="51"/>
        <v>20.616715136860222</v>
      </c>
      <c r="H85" s="90">
        <f t="shared" si="52"/>
        <v>44.72</v>
      </c>
      <c r="I85" s="91" t="str">
        <f t="shared" si="55"/>
        <v>1동5라인</v>
      </c>
      <c r="J85" s="92" t="s">
        <v>211</v>
      </c>
      <c r="L85" s="89">
        <v>2</v>
      </c>
      <c r="M85" s="78">
        <f>M84</f>
        <v>5</v>
      </c>
      <c r="N85" s="78"/>
      <c r="O85" s="78">
        <f t="shared" si="54"/>
        <v>10</v>
      </c>
    </row>
    <row r="86" spans="1:15" ht="18" customHeight="1">
      <c r="A86" s="85"/>
      <c r="B86" s="93"/>
      <c r="C86" s="87"/>
      <c r="D86" s="325" t="s">
        <v>0</v>
      </c>
      <c r="E86" s="325"/>
      <c r="F86" s="94">
        <f>SUM(F79:F85)</f>
        <v>75</v>
      </c>
      <c r="G86" s="95">
        <f>SUM(G79:G85)</f>
        <v>611.67314751277115</v>
      </c>
      <c r="H86" s="96">
        <f>SUM(H79:H85)</f>
        <v>503.12</v>
      </c>
      <c r="I86" s="97"/>
      <c r="J86" s="162"/>
    </row>
    <row r="87" spans="1:15" ht="18" customHeight="1">
      <c r="A87" s="85"/>
      <c r="B87" s="93"/>
      <c r="C87" s="87"/>
      <c r="D87" s="161"/>
      <c r="E87" s="161"/>
      <c r="F87" s="89"/>
      <c r="G87" s="100"/>
      <c r="H87" s="101"/>
      <c r="I87" s="102"/>
      <c r="J87" s="121"/>
      <c r="L87" s="78" t="s">
        <v>48</v>
      </c>
      <c r="M87" s="78" t="s">
        <v>54</v>
      </c>
      <c r="N87" s="78" t="s">
        <v>50</v>
      </c>
      <c r="O87" s="78" t="s">
        <v>55</v>
      </c>
    </row>
    <row r="88" spans="1:15" ht="18" customHeight="1">
      <c r="A88" s="85"/>
      <c r="B88" s="23" t="s">
        <v>197</v>
      </c>
      <c r="C88" s="24">
        <v>22</v>
      </c>
      <c r="D88" s="88">
        <v>761</v>
      </c>
      <c r="E88" s="88">
        <v>1810</v>
      </c>
      <c r="F88" s="89">
        <f t="shared" ref="F88:F94" si="57">O88</f>
        <v>10</v>
      </c>
      <c r="G88" s="90">
        <f t="shared" ref="G88:G94" si="58">D88*E88/91809*F88</f>
        <v>150.02995349039855</v>
      </c>
      <c r="H88" s="90">
        <f t="shared" ref="H88:H94" si="59">(D88/1000)*4*F88+(E88/1000)*4*F88</f>
        <v>102.84</v>
      </c>
      <c r="I88" s="91" t="str">
        <f t="shared" ref="I88:I94" si="60">I79</f>
        <v>1동5라인</v>
      </c>
      <c r="J88" s="92" t="s">
        <v>212</v>
      </c>
      <c r="L88" s="89">
        <v>2</v>
      </c>
      <c r="M88" s="78">
        <f>M79</f>
        <v>5</v>
      </c>
      <c r="N88" s="84"/>
      <c r="O88" s="78">
        <f>L88*M88-N88*L88</f>
        <v>10</v>
      </c>
    </row>
    <row r="89" spans="1:15" ht="18" customHeight="1">
      <c r="A89" s="85"/>
      <c r="B89" s="86"/>
      <c r="C89" s="87"/>
      <c r="D89" s="88">
        <v>1688</v>
      </c>
      <c r="E89" s="88">
        <v>1810</v>
      </c>
      <c r="F89" s="89">
        <f t="shared" si="57"/>
        <v>5</v>
      </c>
      <c r="G89" s="90">
        <f t="shared" si="58"/>
        <v>166.39327299066539</v>
      </c>
      <c r="H89" s="90">
        <f t="shared" si="59"/>
        <v>69.960000000000008</v>
      </c>
      <c r="I89" s="91" t="str">
        <f t="shared" si="60"/>
        <v>1동5라인</v>
      </c>
      <c r="J89" s="92" t="s">
        <v>213</v>
      </c>
      <c r="L89" s="89">
        <v>1</v>
      </c>
      <c r="M89" s="78">
        <f>M88</f>
        <v>5</v>
      </c>
      <c r="N89" s="84"/>
      <c r="O89" s="78">
        <f>L89*M89-N89*L89</f>
        <v>5</v>
      </c>
    </row>
    <row r="90" spans="1:15" ht="18" customHeight="1">
      <c r="A90" s="104"/>
      <c r="B90" s="93"/>
      <c r="C90" s="87"/>
      <c r="D90" s="88">
        <v>738</v>
      </c>
      <c r="E90" s="88">
        <v>1310</v>
      </c>
      <c r="F90" s="89">
        <f t="shared" si="57"/>
        <v>20</v>
      </c>
      <c r="G90" s="90">
        <f t="shared" si="58"/>
        <v>210.6068032545829</v>
      </c>
      <c r="H90" s="90">
        <f t="shared" si="59"/>
        <v>163.84</v>
      </c>
      <c r="I90" s="91" t="str">
        <f t="shared" si="60"/>
        <v>1동5라인</v>
      </c>
      <c r="J90" s="92" t="s">
        <v>214</v>
      </c>
      <c r="L90" s="89">
        <v>4</v>
      </c>
      <c r="M90" s="78">
        <f t="shared" ref="M90:M94" si="61">M89</f>
        <v>5</v>
      </c>
      <c r="N90" s="84"/>
      <c r="O90" s="78">
        <f t="shared" ref="O90:O94" si="62">L90*M90-N90*L90</f>
        <v>20</v>
      </c>
    </row>
    <row r="91" spans="1:15" ht="18" customHeight="1">
      <c r="A91" s="104"/>
      <c r="B91" s="93"/>
      <c r="C91" s="87"/>
      <c r="D91" s="88">
        <v>288</v>
      </c>
      <c r="E91" s="88">
        <v>910</v>
      </c>
      <c r="F91" s="89">
        <f t="shared" si="57"/>
        <v>10</v>
      </c>
      <c r="G91" s="90">
        <f t="shared" si="58"/>
        <v>28.546220958729535</v>
      </c>
      <c r="H91" s="90">
        <f t="shared" si="59"/>
        <v>47.92</v>
      </c>
      <c r="I91" s="91" t="str">
        <f t="shared" si="60"/>
        <v>1동5라인</v>
      </c>
      <c r="J91" s="92" t="s">
        <v>215</v>
      </c>
      <c r="L91" s="89">
        <v>2</v>
      </c>
      <c r="M91" s="78">
        <f t="shared" si="61"/>
        <v>5</v>
      </c>
      <c r="N91" s="78"/>
      <c r="O91" s="78">
        <f t="shared" si="62"/>
        <v>10</v>
      </c>
    </row>
    <row r="92" spans="1:15" ht="18" customHeight="1">
      <c r="A92" s="104"/>
      <c r="B92" s="93"/>
      <c r="C92" s="87"/>
      <c r="D92" s="88">
        <v>228</v>
      </c>
      <c r="E92" s="88">
        <v>910</v>
      </c>
      <c r="F92" s="89">
        <f t="shared" si="57"/>
        <v>10</v>
      </c>
      <c r="G92" s="90">
        <f t="shared" si="58"/>
        <v>22.59909159232755</v>
      </c>
      <c r="H92" s="90">
        <f t="shared" si="59"/>
        <v>45.519999999999996</v>
      </c>
      <c r="I92" s="91" t="str">
        <f t="shared" si="60"/>
        <v>1동5라인</v>
      </c>
      <c r="J92" s="92" t="s">
        <v>216</v>
      </c>
      <c r="L92" s="89">
        <v>2</v>
      </c>
      <c r="M92" s="78">
        <f t="shared" si="61"/>
        <v>5</v>
      </c>
      <c r="N92" s="78"/>
      <c r="O92" s="78">
        <f t="shared" si="62"/>
        <v>10</v>
      </c>
    </row>
    <row r="93" spans="1:15" ht="18" customHeight="1">
      <c r="A93" s="104"/>
      <c r="B93" s="93"/>
      <c r="C93" s="87"/>
      <c r="D93" s="88">
        <v>438</v>
      </c>
      <c r="E93" s="88">
        <v>270</v>
      </c>
      <c r="F93" s="89">
        <f t="shared" si="57"/>
        <v>10</v>
      </c>
      <c r="G93" s="90">
        <f t="shared" si="58"/>
        <v>12.881090089206941</v>
      </c>
      <c r="H93" s="90">
        <f t="shared" si="59"/>
        <v>28.32</v>
      </c>
      <c r="I93" s="91" t="str">
        <f t="shared" si="60"/>
        <v>1동5라인</v>
      </c>
      <c r="J93" s="92" t="s">
        <v>217</v>
      </c>
      <c r="L93" s="89">
        <v>2</v>
      </c>
      <c r="M93" s="78">
        <f t="shared" si="61"/>
        <v>5</v>
      </c>
      <c r="N93" s="78"/>
      <c r="O93" s="78">
        <f t="shared" si="62"/>
        <v>10</v>
      </c>
    </row>
    <row r="94" spans="1:15" ht="18" customHeight="1">
      <c r="A94" s="104"/>
      <c r="B94" s="93"/>
      <c r="C94" s="87"/>
      <c r="D94" s="88">
        <v>208</v>
      </c>
      <c r="E94" s="88">
        <v>910</v>
      </c>
      <c r="F94" s="89">
        <f t="shared" si="57"/>
        <v>10</v>
      </c>
      <c r="G94" s="90">
        <f t="shared" si="58"/>
        <v>20.616715136860222</v>
      </c>
      <c r="H94" s="90">
        <f t="shared" si="59"/>
        <v>44.72</v>
      </c>
      <c r="I94" s="91" t="str">
        <f t="shared" si="60"/>
        <v>1동5라인</v>
      </c>
      <c r="J94" s="92" t="s">
        <v>218</v>
      </c>
      <c r="L94" s="89">
        <v>2</v>
      </c>
      <c r="M94" s="78">
        <f t="shared" si="61"/>
        <v>5</v>
      </c>
      <c r="N94" s="78"/>
      <c r="O94" s="78">
        <f t="shared" si="62"/>
        <v>10</v>
      </c>
    </row>
    <row r="95" spans="1:15" ht="18" customHeight="1">
      <c r="A95" s="104"/>
      <c r="B95" s="87"/>
      <c r="C95" s="87"/>
      <c r="D95" s="325" t="s">
        <v>0</v>
      </c>
      <c r="E95" s="325"/>
      <c r="F95" s="171">
        <f>SUM(F88:F94)</f>
        <v>75</v>
      </c>
      <c r="G95" s="95">
        <f>SUM(G88:G94)</f>
        <v>611.67314751277115</v>
      </c>
      <c r="H95" s="95">
        <f>SUM(H88:H94)</f>
        <v>503.12</v>
      </c>
      <c r="I95" s="97"/>
      <c r="J95" s="98"/>
    </row>
    <row r="96" spans="1:15">
      <c r="A96" s="105"/>
      <c r="B96" s="9"/>
      <c r="C96" s="9"/>
      <c r="D96" s="51"/>
      <c r="E96" s="51"/>
      <c r="F96" s="51"/>
      <c r="G96" s="106"/>
      <c r="H96" s="106"/>
      <c r="I96" s="9"/>
      <c r="J96" s="107"/>
    </row>
    <row r="97" spans="1:16" ht="18" customHeight="1">
      <c r="A97" s="85"/>
      <c r="B97" s="163" t="s">
        <v>199</v>
      </c>
      <c r="C97" s="163">
        <v>22</v>
      </c>
      <c r="D97" s="88">
        <v>738</v>
      </c>
      <c r="E97" s="88">
        <v>1810</v>
      </c>
      <c r="F97" s="89">
        <f t="shared" ref="F97:F98" si="63">O97</f>
        <v>10</v>
      </c>
      <c r="G97" s="90">
        <f t="shared" ref="G97:G98" si="64">D97*E97/91809*F97</f>
        <v>145.4955396529752</v>
      </c>
      <c r="H97" s="90">
        <f t="shared" ref="H97:H98" si="65">(D97/1000)*4*F97+(E97/1000)*4*F97</f>
        <v>101.92</v>
      </c>
      <c r="I97" s="91" t="str">
        <f>I88</f>
        <v>1동5라인</v>
      </c>
      <c r="J97" s="92" t="s">
        <v>219</v>
      </c>
      <c r="L97" s="89">
        <v>2</v>
      </c>
      <c r="M97" s="78">
        <f>M79</f>
        <v>5</v>
      </c>
      <c r="N97" s="84"/>
      <c r="O97" s="78">
        <f>L97*M97-N97*L97</f>
        <v>10</v>
      </c>
      <c r="P97" s="64"/>
    </row>
    <row r="98" spans="1:16" ht="18" customHeight="1">
      <c r="A98" s="85"/>
      <c r="B98" s="86"/>
      <c r="C98" s="87"/>
      <c r="D98" s="88">
        <v>250</v>
      </c>
      <c r="E98" s="88">
        <v>930</v>
      </c>
      <c r="F98" s="89">
        <f t="shared" si="63"/>
        <v>10</v>
      </c>
      <c r="G98" s="90">
        <f t="shared" si="64"/>
        <v>25.324314609678787</v>
      </c>
      <c r="H98" s="90">
        <f t="shared" si="65"/>
        <v>47.2</v>
      </c>
      <c r="I98" s="91" t="str">
        <f>I97</f>
        <v>1동5라인</v>
      </c>
      <c r="J98" s="92" t="s">
        <v>220</v>
      </c>
      <c r="L98" s="89">
        <v>2</v>
      </c>
      <c r="M98" s="78">
        <f>M97</f>
        <v>5</v>
      </c>
      <c r="N98" s="84"/>
      <c r="O98" s="78">
        <f t="shared" ref="O98" si="66">L98*M98-N98*L98</f>
        <v>10</v>
      </c>
    </row>
    <row r="99" spans="1:16" ht="18" customHeight="1">
      <c r="A99" s="85"/>
      <c r="B99" s="93"/>
      <c r="C99" s="87"/>
      <c r="D99" s="325" t="s">
        <v>0</v>
      </c>
      <c r="E99" s="325"/>
      <c r="F99" s="94">
        <f>SUM(F97:F98)</f>
        <v>20</v>
      </c>
      <c r="G99" s="95">
        <f>SUM(G97:G98)</f>
        <v>170.81985426265399</v>
      </c>
      <c r="H99" s="95">
        <f>SUM(H97:H98)</f>
        <v>149.12</v>
      </c>
      <c r="I99" s="97"/>
      <c r="J99" s="98"/>
    </row>
    <row r="100" spans="1:16" ht="18" customHeight="1" thickBot="1">
      <c r="A100" s="222"/>
      <c r="B100" s="245"/>
      <c r="C100" s="224"/>
      <c r="D100" s="246"/>
      <c r="E100" s="246"/>
      <c r="F100" s="226"/>
      <c r="G100" s="247"/>
      <c r="H100" s="247"/>
      <c r="I100" s="248"/>
      <c r="J100" s="249"/>
      <c r="L100" s="250"/>
      <c r="M100" s="250"/>
      <c r="N100" s="250"/>
      <c r="O100" s="250"/>
    </row>
    <row r="101" spans="1:16" ht="18" customHeight="1">
      <c r="A101" s="79" t="s">
        <v>242</v>
      </c>
      <c r="B101" s="231" t="s">
        <v>195</v>
      </c>
      <c r="C101" s="232">
        <v>22</v>
      </c>
      <c r="D101" s="80">
        <v>761</v>
      </c>
      <c r="E101" s="80">
        <v>1810</v>
      </c>
      <c r="F101" s="233">
        <f t="shared" ref="F101:F106" si="67">O101</f>
        <v>10</v>
      </c>
      <c r="G101" s="81">
        <f t="shared" ref="G101:G106" si="68">D101*E101/91809*F101</f>
        <v>150.02995349039855</v>
      </c>
      <c r="H101" s="81">
        <f t="shared" ref="H101:H106" si="69">(D101/1000)*4*F101+(E101/1000)*4*F101</f>
        <v>102.84</v>
      </c>
      <c r="I101" s="82" t="s">
        <v>243</v>
      </c>
      <c r="J101" s="83" t="s">
        <v>205</v>
      </c>
      <c r="L101" s="89">
        <v>2</v>
      </c>
      <c r="M101" s="78">
        <v>5</v>
      </c>
      <c r="N101" s="78"/>
      <c r="O101" s="78">
        <f t="shared" ref="O101:O106" si="70">L101*M101-N101*L101</f>
        <v>10</v>
      </c>
    </row>
    <row r="102" spans="1:16" ht="18" customHeight="1">
      <c r="A102" s="85"/>
      <c r="B102" s="86"/>
      <c r="C102" s="87"/>
      <c r="D102" s="88">
        <v>1688</v>
      </c>
      <c r="E102" s="88">
        <v>1810</v>
      </c>
      <c r="F102" s="89">
        <f t="shared" si="67"/>
        <v>5</v>
      </c>
      <c r="G102" s="90">
        <f t="shared" si="68"/>
        <v>166.39327299066539</v>
      </c>
      <c r="H102" s="90">
        <f t="shared" si="69"/>
        <v>69.960000000000008</v>
      </c>
      <c r="I102" s="91" t="str">
        <f>I101</f>
        <v>1동6라인</v>
      </c>
      <c r="J102" s="92" t="s">
        <v>206</v>
      </c>
      <c r="L102" s="89">
        <v>1</v>
      </c>
      <c r="M102" s="78">
        <f t="shared" ref="M102:M118" si="71">M101</f>
        <v>5</v>
      </c>
      <c r="N102" s="78"/>
      <c r="O102" s="78">
        <f t="shared" si="70"/>
        <v>5</v>
      </c>
    </row>
    <row r="103" spans="1:16" ht="18" customHeight="1">
      <c r="A103" s="85"/>
      <c r="B103" s="86"/>
      <c r="C103" s="87"/>
      <c r="D103" s="88">
        <v>738</v>
      </c>
      <c r="E103" s="88">
        <v>1310</v>
      </c>
      <c r="F103" s="89">
        <f t="shared" si="67"/>
        <v>20</v>
      </c>
      <c r="G103" s="90">
        <f t="shared" si="68"/>
        <v>210.6068032545829</v>
      </c>
      <c r="H103" s="90">
        <f t="shared" si="69"/>
        <v>163.84</v>
      </c>
      <c r="I103" s="91" t="str">
        <f t="shared" ref="I103:I106" si="72">I102</f>
        <v>1동6라인</v>
      </c>
      <c r="J103" s="92" t="s">
        <v>207</v>
      </c>
      <c r="L103" s="89">
        <v>4</v>
      </c>
      <c r="M103" s="78">
        <f t="shared" si="71"/>
        <v>5</v>
      </c>
      <c r="N103" s="78"/>
      <c r="O103" s="78">
        <f t="shared" si="70"/>
        <v>20</v>
      </c>
    </row>
    <row r="104" spans="1:16" ht="18" customHeight="1">
      <c r="A104" s="85"/>
      <c r="B104" s="86"/>
      <c r="C104" s="87"/>
      <c r="D104" s="88">
        <v>438</v>
      </c>
      <c r="E104" s="88">
        <v>910</v>
      </c>
      <c r="F104" s="89">
        <f t="shared" si="67"/>
        <v>10</v>
      </c>
      <c r="G104" s="90">
        <f t="shared" si="68"/>
        <v>43.414044374734502</v>
      </c>
      <c r="H104" s="90">
        <f t="shared" si="69"/>
        <v>53.92</v>
      </c>
      <c r="I104" s="91" t="str">
        <f t="shared" si="72"/>
        <v>1동6라인</v>
      </c>
      <c r="J104" s="92" t="s">
        <v>223</v>
      </c>
      <c r="L104" s="89">
        <v>2</v>
      </c>
      <c r="M104" s="78">
        <f t="shared" si="71"/>
        <v>5</v>
      </c>
      <c r="N104" s="78"/>
      <c r="O104" s="78">
        <f t="shared" si="70"/>
        <v>10</v>
      </c>
    </row>
    <row r="105" spans="1:16" ht="18" customHeight="1">
      <c r="A105" s="85"/>
      <c r="B105" s="86"/>
      <c r="C105" s="87"/>
      <c r="D105" s="88">
        <v>228</v>
      </c>
      <c r="E105" s="88">
        <v>910</v>
      </c>
      <c r="F105" s="89">
        <f t="shared" si="67"/>
        <v>10</v>
      </c>
      <c r="G105" s="90">
        <f t="shared" si="68"/>
        <v>22.59909159232755</v>
      </c>
      <c r="H105" s="90">
        <f t="shared" si="69"/>
        <v>45.519999999999996</v>
      </c>
      <c r="I105" s="91" t="str">
        <f t="shared" si="72"/>
        <v>1동6라인</v>
      </c>
      <c r="J105" s="92" t="s">
        <v>209</v>
      </c>
      <c r="L105" s="89">
        <v>2</v>
      </c>
      <c r="M105" s="78">
        <f t="shared" si="71"/>
        <v>5</v>
      </c>
      <c r="N105" s="78"/>
      <c r="O105" s="78">
        <f t="shared" si="70"/>
        <v>10</v>
      </c>
    </row>
    <row r="106" spans="1:16" ht="18" customHeight="1">
      <c r="A106" s="85"/>
      <c r="B106" s="86"/>
      <c r="C106" s="87"/>
      <c r="D106" s="88">
        <v>438</v>
      </c>
      <c r="E106" s="88">
        <v>270</v>
      </c>
      <c r="F106" s="89">
        <f t="shared" si="67"/>
        <v>10</v>
      </c>
      <c r="G106" s="90">
        <f t="shared" si="68"/>
        <v>12.881090089206941</v>
      </c>
      <c r="H106" s="90">
        <f t="shared" si="69"/>
        <v>28.32</v>
      </c>
      <c r="I106" s="91" t="str">
        <f t="shared" si="72"/>
        <v>1동6라인</v>
      </c>
      <c r="J106" s="92" t="s">
        <v>210</v>
      </c>
      <c r="L106" s="89">
        <v>2</v>
      </c>
      <c r="M106" s="78">
        <f t="shared" si="71"/>
        <v>5</v>
      </c>
      <c r="N106" s="78"/>
      <c r="O106" s="78">
        <f t="shared" si="70"/>
        <v>10</v>
      </c>
    </row>
    <row r="107" spans="1:16" ht="18" customHeight="1">
      <c r="A107" s="85"/>
      <c r="B107" s="93"/>
      <c r="C107" s="87"/>
      <c r="D107" s="325" t="s">
        <v>0</v>
      </c>
      <c r="E107" s="325"/>
      <c r="F107" s="94">
        <f>SUM(F101:F106)</f>
        <v>65</v>
      </c>
      <c r="G107" s="95">
        <f>SUM(G101:G106)</f>
        <v>605.92425579191593</v>
      </c>
      <c r="H107" s="96">
        <f>SUM(H101:H106)</f>
        <v>464.4</v>
      </c>
      <c r="I107" s="97"/>
      <c r="J107" s="162"/>
      <c r="L107" s="250"/>
      <c r="M107" s="250"/>
      <c r="N107" s="250"/>
      <c r="O107" s="250"/>
    </row>
    <row r="108" spans="1:16" ht="18" customHeight="1">
      <c r="A108" s="85"/>
      <c r="B108" s="93"/>
      <c r="C108" s="87"/>
      <c r="D108" s="161"/>
      <c r="E108" s="161"/>
      <c r="F108" s="89"/>
      <c r="G108" s="100"/>
      <c r="H108" s="101"/>
      <c r="I108" s="102"/>
      <c r="J108" s="121"/>
      <c r="L108" s="250"/>
      <c r="M108" s="250"/>
      <c r="N108" s="250"/>
      <c r="O108" s="250"/>
    </row>
    <row r="109" spans="1:16" ht="18" customHeight="1">
      <c r="A109" s="85"/>
      <c r="B109" s="23" t="s">
        <v>197</v>
      </c>
      <c r="C109" s="24">
        <v>22</v>
      </c>
      <c r="D109" s="88">
        <v>761</v>
      </c>
      <c r="E109" s="88">
        <v>1810</v>
      </c>
      <c r="F109" s="89">
        <f t="shared" ref="F109:F114" si="73">O109</f>
        <v>10</v>
      </c>
      <c r="G109" s="90">
        <f t="shared" ref="G109:G114" si="74">D109*E109/91809*F109</f>
        <v>150.02995349039855</v>
      </c>
      <c r="H109" s="90">
        <f t="shared" ref="H109:H114" si="75">(D109/1000)*4*F109+(E109/1000)*4*F109</f>
        <v>102.84</v>
      </c>
      <c r="I109" s="91" t="str">
        <f>I101</f>
        <v>1동6라인</v>
      </c>
      <c r="J109" s="92" t="s">
        <v>212</v>
      </c>
      <c r="L109" s="89">
        <v>2</v>
      </c>
      <c r="M109" s="78">
        <f>M106</f>
        <v>5</v>
      </c>
      <c r="N109" s="78"/>
      <c r="O109" s="78">
        <f t="shared" ref="O109:O118" si="76">L109*M109-N109*L109</f>
        <v>10</v>
      </c>
    </row>
    <row r="110" spans="1:16" ht="18" customHeight="1">
      <c r="A110" s="85"/>
      <c r="B110" s="86"/>
      <c r="C110" s="87"/>
      <c r="D110" s="88">
        <v>1688</v>
      </c>
      <c r="E110" s="88">
        <v>1810</v>
      </c>
      <c r="F110" s="89">
        <f t="shared" si="73"/>
        <v>5</v>
      </c>
      <c r="G110" s="90">
        <f t="shared" si="74"/>
        <v>166.39327299066539</v>
      </c>
      <c r="H110" s="90">
        <f t="shared" si="75"/>
        <v>69.960000000000008</v>
      </c>
      <c r="I110" s="91" t="str">
        <f>I101</f>
        <v>1동6라인</v>
      </c>
      <c r="J110" s="92" t="s">
        <v>213</v>
      </c>
      <c r="L110" s="89">
        <v>1</v>
      </c>
      <c r="M110" s="78">
        <f t="shared" si="71"/>
        <v>5</v>
      </c>
      <c r="N110" s="78"/>
      <c r="O110" s="78">
        <f t="shared" si="76"/>
        <v>5</v>
      </c>
    </row>
    <row r="111" spans="1:16">
      <c r="A111" s="104"/>
      <c r="B111" s="93"/>
      <c r="C111" s="87"/>
      <c r="D111" s="88">
        <v>738</v>
      </c>
      <c r="E111" s="88">
        <v>1310</v>
      </c>
      <c r="F111" s="89">
        <f t="shared" si="73"/>
        <v>20</v>
      </c>
      <c r="G111" s="90">
        <f t="shared" si="74"/>
        <v>210.6068032545829</v>
      </c>
      <c r="H111" s="90">
        <f t="shared" si="75"/>
        <v>163.84</v>
      </c>
      <c r="I111" s="91" t="str">
        <f>I110</f>
        <v>1동6라인</v>
      </c>
      <c r="J111" s="92" t="s">
        <v>214</v>
      </c>
      <c r="L111" s="89">
        <v>4</v>
      </c>
      <c r="M111" s="78">
        <f t="shared" si="71"/>
        <v>5</v>
      </c>
      <c r="N111" s="78"/>
      <c r="O111" s="78">
        <f t="shared" si="76"/>
        <v>20</v>
      </c>
    </row>
    <row r="112" spans="1:16" ht="18" customHeight="1">
      <c r="A112" s="104"/>
      <c r="B112" s="93"/>
      <c r="C112" s="87"/>
      <c r="D112" s="88">
        <v>438</v>
      </c>
      <c r="E112" s="88">
        <v>910</v>
      </c>
      <c r="F112" s="89">
        <f t="shared" si="73"/>
        <v>10</v>
      </c>
      <c r="G112" s="90">
        <f t="shared" si="74"/>
        <v>43.414044374734502</v>
      </c>
      <c r="H112" s="90">
        <f t="shared" si="75"/>
        <v>53.92</v>
      </c>
      <c r="I112" s="91" t="str">
        <f t="shared" ref="I112:I114" si="77">I111</f>
        <v>1동6라인</v>
      </c>
      <c r="J112" s="92" t="s">
        <v>225</v>
      </c>
      <c r="L112" s="89">
        <v>2</v>
      </c>
      <c r="M112" s="78">
        <f t="shared" si="71"/>
        <v>5</v>
      </c>
      <c r="N112" s="78"/>
      <c r="O112" s="78">
        <f t="shared" si="76"/>
        <v>10</v>
      </c>
      <c r="P112" s="64"/>
    </row>
    <row r="113" spans="1:16" ht="18" customHeight="1">
      <c r="A113" s="104"/>
      <c r="B113" s="93"/>
      <c r="C113" s="87"/>
      <c r="D113" s="88">
        <v>228</v>
      </c>
      <c r="E113" s="88">
        <v>910</v>
      </c>
      <c r="F113" s="89">
        <f t="shared" si="73"/>
        <v>10</v>
      </c>
      <c r="G113" s="90">
        <f t="shared" si="74"/>
        <v>22.59909159232755</v>
      </c>
      <c r="H113" s="90">
        <f t="shared" si="75"/>
        <v>45.519999999999996</v>
      </c>
      <c r="I113" s="91" t="str">
        <f t="shared" si="77"/>
        <v>1동6라인</v>
      </c>
      <c r="J113" s="92" t="s">
        <v>216</v>
      </c>
      <c r="L113" s="89">
        <v>2</v>
      </c>
      <c r="M113" s="78">
        <f t="shared" si="71"/>
        <v>5</v>
      </c>
      <c r="N113" s="78"/>
      <c r="O113" s="78">
        <f t="shared" si="76"/>
        <v>10</v>
      </c>
    </row>
    <row r="114" spans="1:16" ht="18" customHeight="1">
      <c r="A114" s="104"/>
      <c r="B114" s="93"/>
      <c r="C114" s="87"/>
      <c r="D114" s="88">
        <v>438</v>
      </c>
      <c r="E114" s="88">
        <v>270</v>
      </c>
      <c r="F114" s="89">
        <f t="shared" si="73"/>
        <v>10</v>
      </c>
      <c r="G114" s="90">
        <f t="shared" si="74"/>
        <v>12.881090089206941</v>
      </c>
      <c r="H114" s="90">
        <f t="shared" si="75"/>
        <v>28.32</v>
      </c>
      <c r="I114" s="91" t="str">
        <f t="shared" si="77"/>
        <v>1동6라인</v>
      </c>
      <c r="J114" s="92" t="s">
        <v>217</v>
      </c>
      <c r="L114" s="89">
        <v>2</v>
      </c>
      <c r="M114" s="78">
        <f t="shared" si="71"/>
        <v>5</v>
      </c>
      <c r="N114" s="78"/>
      <c r="O114" s="78">
        <f t="shared" si="76"/>
        <v>10</v>
      </c>
    </row>
    <row r="115" spans="1:16">
      <c r="A115" s="104"/>
      <c r="B115" s="87"/>
      <c r="C115" s="87"/>
      <c r="D115" s="325" t="s">
        <v>0</v>
      </c>
      <c r="E115" s="325"/>
      <c r="F115" s="171">
        <f>SUM(F109:F114)</f>
        <v>65</v>
      </c>
      <c r="G115" s="95">
        <f>SUM(G109:G114)</f>
        <v>605.92425579191593</v>
      </c>
      <c r="H115" s="95">
        <f>SUM(H109:H114)</f>
        <v>464.4</v>
      </c>
      <c r="I115" s="97"/>
      <c r="J115" s="98"/>
      <c r="L115" s="250"/>
      <c r="M115" s="250"/>
      <c r="N115" s="250"/>
      <c r="O115" s="250"/>
    </row>
    <row r="116" spans="1:16">
      <c r="A116" s="105"/>
      <c r="B116" s="9"/>
      <c r="C116" s="9"/>
      <c r="D116" s="51"/>
      <c r="E116" s="51"/>
      <c r="F116" s="51"/>
      <c r="G116" s="106"/>
      <c r="H116" s="106"/>
      <c r="I116" s="9"/>
      <c r="J116" s="107"/>
      <c r="L116" s="250"/>
      <c r="M116" s="250"/>
      <c r="N116" s="250"/>
      <c r="O116" s="250"/>
    </row>
    <row r="117" spans="1:16" ht="18" customHeight="1">
      <c r="A117" s="85"/>
      <c r="B117" s="163" t="s">
        <v>199</v>
      </c>
      <c r="C117" s="163">
        <v>22</v>
      </c>
      <c r="D117" s="88">
        <v>738</v>
      </c>
      <c r="E117" s="88">
        <v>1810</v>
      </c>
      <c r="F117" s="89">
        <f t="shared" ref="F117:F118" si="78">O117</f>
        <v>0</v>
      </c>
      <c r="G117" s="90">
        <f t="shared" ref="G117:G119" si="79">D117*E117/91809*F117</f>
        <v>0</v>
      </c>
      <c r="H117" s="90">
        <f t="shared" ref="H117:H119" si="80">(D117/1000)*4*F117+(E117/1000)*4*F117</f>
        <v>0</v>
      </c>
      <c r="I117" s="91" t="str">
        <f>I109</f>
        <v>1동6라인</v>
      </c>
      <c r="J117" s="92" t="s">
        <v>219</v>
      </c>
      <c r="L117" s="89">
        <v>2</v>
      </c>
      <c r="M117" s="78">
        <f>M114</f>
        <v>5</v>
      </c>
      <c r="N117" s="84">
        <v>5</v>
      </c>
      <c r="O117" s="78">
        <f t="shared" si="76"/>
        <v>0</v>
      </c>
      <c r="P117" s="64" t="s">
        <v>245</v>
      </c>
    </row>
    <row r="118" spans="1:16" ht="18" customHeight="1">
      <c r="A118" s="85"/>
      <c r="B118" s="86"/>
      <c r="C118" s="87"/>
      <c r="D118" s="88">
        <v>250</v>
      </c>
      <c r="E118" s="88">
        <v>930</v>
      </c>
      <c r="F118" s="89">
        <f t="shared" si="78"/>
        <v>10</v>
      </c>
      <c r="G118" s="90">
        <f t="shared" si="79"/>
        <v>25.324314609678787</v>
      </c>
      <c r="H118" s="90">
        <f t="shared" si="80"/>
        <v>47.2</v>
      </c>
      <c r="I118" s="91" t="str">
        <f>I117</f>
        <v>1동6라인</v>
      </c>
      <c r="J118" s="92" t="s">
        <v>220</v>
      </c>
      <c r="L118" s="89">
        <v>2</v>
      </c>
      <c r="M118" s="78">
        <f t="shared" si="71"/>
        <v>5</v>
      </c>
      <c r="N118" s="78"/>
      <c r="O118" s="78">
        <f t="shared" si="76"/>
        <v>10</v>
      </c>
    </row>
    <row r="119" spans="1:16" ht="18" customHeight="1">
      <c r="A119" s="85"/>
      <c r="B119" s="86"/>
      <c r="C119" s="87"/>
      <c r="D119" s="88"/>
      <c r="E119" s="88"/>
      <c r="F119" s="89"/>
      <c r="G119" s="90">
        <f t="shared" si="79"/>
        <v>0</v>
      </c>
      <c r="H119" s="90">
        <f t="shared" si="80"/>
        <v>0</v>
      </c>
      <c r="I119" s="91"/>
      <c r="J119" s="92"/>
      <c r="L119" s="250"/>
      <c r="M119" s="250"/>
      <c r="N119" s="250"/>
      <c r="O119" s="250"/>
    </row>
    <row r="120" spans="1:16" ht="18" customHeight="1">
      <c r="A120" s="85"/>
      <c r="B120" s="93"/>
      <c r="C120" s="87"/>
      <c r="D120" s="325" t="s">
        <v>0</v>
      </c>
      <c r="E120" s="325"/>
      <c r="F120" s="94">
        <f>SUM(F117:F119)</f>
        <v>10</v>
      </c>
      <c r="G120" s="95">
        <f>SUM(G117:G119)</f>
        <v>25.324314609678787</v>
      </c>
      <c r="H120" s="95">
        <f>SUM(H117:H119)</f>
        <v>47.2</v>
      </c>
      <c r="I120" s="97"/>
      <c r="J120" s="98"/>
      <c r="L120" s="250"/>
      <c r="M120" s="250"/>
      <c r="N120" s="250"/>
      <c r="O120" s="250"/>
    </row>
    <row r="121" spans="1:16" ht="18" customHeight="1">
      <c r="A121" s="253"/>
      <c r="B121" s="254"/>
      <c r="C121" s="255"/>
      <c r="D121" s="361"/>
      <c r="E121" s="361"/>
      <c r="F121" s="256"/>
      <c r="G121" s="257"/>
      <c r="H121" s="258"/>
      <c r="I121" s="259"/>
      <c r="J121" s="260"/>
      <c r="L121" s="250"/>
      <c r="M121" s="250"/>
      <c r="N121" s="250"/>
      <c r="O121" s="250"/>
    </row>
    <row r="122" spans="1:16" ht="18" customHeight="1">
      <c r="A122" s="85">
        <v>74</v>
      </c>
      <c r="B122" s="23" t="s">
        <v>201</v>
      </c>
      <c r="C122" s="24">
        <v>22</v>
      </c>
      <c r="D122" s="88">
        <v>861</v>
      </c>
      <c r="E122" s="88">
        <v>1810</v>
      </c>
      <c r="F122" s="89">
        <f t="shared" ref="F122:F126" si="81">O122</f>
        <v>10</v>
      </c>
      <c r="G122" s="90">
        <f t="shared" ref="G122:G126" si="82">D122*E122/91809*F122</f>
        <v>169.7447962618044</v>
      </c>
      <c r="H122" s="90">
        <f t="shared" ref="H122:H126" si="83">(D122/1000)*4*F122+(E122/1000)*4*F122</f>
        <v>106.84</v>
      </c>
      <c r="I122" s="91" t="s">
        <v>246</v>
      </c>
      <c r="J122" s="92" t="s">
        <v>205</v>
      </c>
      <c r="L122" s="89">
        <v>1</v>
      </c>
      <c r="M122" s="78">
        <v>10</v>
      </c>
      <c r="N122" s="84"/>
      <c r="O122" s="78">
        <f>L122*M122-N122*L122</f>
        <v>10</v>
      </c>
      <c r="P122" s="64"/>
    </row>
    <row r="123" spans="1:16" ht="18" customHeight="1">
      <c r="A123" s="85"/>
      <c r="B123" s="86"/>
      <c r="C123" s="87"/>
      <c r="D123" s="88">
        <v>738</v>
      </c>
      <c r="E123" s="88">
        <v>1310</v>
      </c>
      <c r="F123" s="89">
        <f t="shared" si="81"/>
        <v>40</v>
      </c>
      <c r="G123" s="90">
        <f t="shared" si="82"/>
        <v>421.2136065091658</v>
      </c>
      <c r="H123" s="90">
        <f t="shared" si="83"/>
        <v>327.68</v>
      </c>
      <c r="I123" s="91" t="str">
        <f>I122</f>
        <v>2동1,2라인</v>
      </c>
      <c r="J123" s="92" t="s">
        <v>207</v>
      </c>
      <c r="L123" s="89">
        <v>4</v>
      </c>
      <c r="M123" s="78">
        <f>M122</f>
        <v>10</v>
      </c>
      <c r="N123" s="84"/>
      <c r="O123" s="78">
        <f t="shared" ref="O123:O126" si="84">L123*M123-N123*L123</f>
        <v>40</v>
      </c>
    </row>
    <row r="124" spans="1:16" ht="18" customHeight="1">
      <c r="A124" s="85"/>
      <c r="B124" s="86"/>
      <c r="C124" s="87"/>
      <c r="D124" s="88">
        <v>288</v>
      </c>
      <c r="E124" s="88">
        <v>910</v>
      </c>
      <c r="F124" s="89">
        <f t="shared" si="81"/>
        <v>20</v>
      </c>
      <c r="G124" s="90">
        <f t="shared" si="82"/>
        <v>57.09244191745907</v>
      </c>
      <c r="H124" s="90">
        <f t="shared" si="83"/>
        <v>95.84</v>
      </c>
      <c r="I124" s="91" t="str">
        <f t="shared" ref="I124:I125" si="85">I123</f>
        <v>2동1,2라인</v>
      </c>
      <c r="J124" s="92" t="s">
        <v>208</v>
      </c>
      <c r="L124" s="89">
        <v>2</v>
      </c>
      <c r="M124" s="78">
        <f t="shared" ref="M124" si="86">M123</f>
        <v>10</v>
      </c>
      <c r="N124" s="78"/>
      <c r="O124" s="78">
        <f t="shared" si="84"/>
        <v>20</v>
      </c>
    </row>
    <row r="125" spans="1:16" ht="18" customHeight="1">
      <c r="A125" s="85"/>
      <c r="B125" s="86"/>
      <c r="C125" s="87"/>
      <c r="D125" s="88">
        <v>228</v>
      </c>
      <c r="E125" s="88">
        <v>910</v>
      </c>
      <c r="F125" s="89">
        <f t="shared" si="81"/>
        <v>20</v>
      </c>
      <c r="G125" s="90">
        <f t="shared" si="82"/>
        <v>45.1981831846551</v>
      </c>
      <c r="H125" s="90">
        <f t="shared" si="83"/>
        <v>91.039999999999992</v>
      </c>
      <c r="I125" s="91" t="str">
        <f t="shared" si="85"/>
        <v>2동1,2라인</v>
      </c>
      <c r="J125" s="92" t="s">
        <v>209</v>
      </c>
      <c r="L125" s="89">
        <v>2</v>
      </c>
      <c r="M125" s="78">
        <f>M124</f>
        <v>10</v>
      </c>
      <c r="N125" s="78"/>
      <c r="O125" s="78">
        <f t="shared" si="84"/>
        <v>20</v>
      </c>
    </row>
    <row r="126" spans="1:16" ht="18" customHeight="1">
      <c r="A126" s="85"/>
      <c r="B126" s="86"/>
      <c r="C126" s="87"/>
      <c r="D126" s="88">
        <v>438</v>
      </c>
      <c r="E126" s="88">
        <v>270</v>
      </c>
      <c r="F126" s="89">
        <f t="shared" si="81"/>
        <v>20</v>
      </c>
      <c r="G126" s="90">
        <f t="shared" si="82"/>
        <v>25.762180178413882</v>
      </c>
      <c r="H126" s="90">
        <f t="shared" si="83"/>
        <v>56.64</v>
      </c>
      <c r="I126" s="91" t="str">
        <f>I124</f>
        <v>2동1,2라인</v>
      </c>
      <c r="J126" s="92" t="s">
        <v>210</v>
      </c>
      <c r="L126" s="89">
        <v>2</v>
      </c>
      <c r="M126" s="78">
        <f>M124</f>
        <v>10</v>
      </c>
      <c r="N126" s="78"/>
      <c r="O126" s="78">
        <f t="shared" si="84"/>
        <v>20</v>
      </c>
    </row>
    <row r="127" spans="1:16" ht="18" customHeight="1">
      <c r="A127" s="85"/>
      <c r="B127" s="93"/>
      <c r="C127" s="87"/>
      <c r="D127" s="325" t="s">
        <v>0</v>
      </c>
      <c r="E127" s="325"/>
      <c r="F127" s="94">
        <f>SUM(F122:F126)</f>
        <v>110</v>
      </c>
      <c r="G127" s="95">
        <f>SUM(G122:G126)</f>
        <v>719.01120805149833</v>
      </c>
      <c r="H127" s="96">
        <f>SUM(H122:H126)</f>
        <v>678.04</v>
      </c>
      <c r="I127" s="97"/>
      <c r="J127" s="162"/>
    </row>
    <row r="128" spans="1:16" ht="18" customHeight="1">
      <c r="A128" s="85"/>
      <c r="B128" s="93"/>
      <c r="C128" s="87"/>
      <c r="D128" s="161"/>
      <c r="E128" s="161"/>
      <c r="F128" s="89"/>
      <c r="G128" s="100"/>
      <c r="H128" s="101"/>
      <c r="I128" s="102"/>
      <c r="J128" s="121"/>
      <c r="L128" s="252"/>
      <c r="M128" s="252"/>
      <c r="N128" s="252"/>
      <c r="O128" s="252"/>
    </row>
    <row r="129" spans="1:16" ht="18" customHeight="1">
      <c r="A129" s="85"/>
      <c r="B129" s="23" t="s">
        <v>198</v>
      </c>
      <c r="C129" s="24">
        <v>22</v>
      </c>
      <c r="D129" s="88">
        <v>861</v>
      </c>
      <c r="E129" s="88">
        <v>1810</v>
      </c>
      <c r="F129" s="89">
        <f t="shared" ref="F129:F134" si="87">O129</f>
        <v>10</v>
      </c>
      <c r="G129" s="90">
        <f t="shared" ref="G129:G134" si="88">D129*E129/91809*F129</f>
        <v>169.7447962618044</v>
      </c>
      <c r="H129" s="90">
        <f t="shared" ref="H129:H134" si="89">(D129/1000)*4*F129+(E129/1000)*4*F129</f>
        <v>106.84</v>
      </c>
      <c r="I129" s="91" t="str">
        <f>I122</f>
        <v>2동1,2라인</v>
      </c>
      <c r="J129" s="92" t="s">
        <v>212</v>
      </c>
      <c r="L129" s="89">
        <v>1</v>
      </c>
      <c r="M129" s="78">
        <f>M122</f>
        <v>10</v>
      </c>
      <c r="N129" s="84"/>
      <c r="O129" s="78">
        <f>L129*M129-N129*L129</f>
        <v>10</v>
      </c>
    </row>
    <row r="130" spans="1:16" ht="18" customHeight="1">
      <c r="A130" s="85"/>
      <c r="B130" s="86"/>
      <c r="C130" s="87"/>
      <c r="D130" s="88">
        <v>2114</v>
      </c>
      <c r="E130" s="88">
        <v>1810</v>
      </c>
      <c r="F130" s="89">
        <f t="shared" si="87"/>
        <v>10</v>
      </c>
      <c r="G130" s="90">
        <f t="shared" si="88"/>
        <v>416.77177618751978</v>
      </c>
      <c r="H130" s="90">
        <f t="shared" si="89"/>
        <v>156.96</v>
      </c>
      <c r="I130" s="91" t="str">
        <f>I122</f>
        <v>2동1,2라인</v>
      </c>
      <c r="J130" s="92" t="s">
        <v>213</v>
      </c>
      <c r="L130" s="89">
        <v>1</v>
      </c>
      <c r="M130" s="78">
        <f>M129</f>
        <v>10</v>
      </c>
      <c r="N130" s="84"/>
      <c r="O130" s="78">
        <f>L130*M130-N130*L130</f>
        <v>10</v>
      </c>
    </row>
    <row r="131" spans="1:16" ht="18" customHeight="1">
      <c r="A131" s="104"/>
      <c r="B131" s="93"/>
      <c r="C131" s="87"/>
      <c r="D131" s="88">
        <v>738</v>
      </c>
      <c r="E131" s="88">
        <v>1310</v>
      </c>
      <c r="F131" s="89">
        <f t="shared" si="87"/>
        <v>40</v>
      </c>
      <c r="G131" s="90">
        <f t="shared" si="88"/>
        <v>421.2136065091658</v>
      </c>
      <c r="H131" s="90">
        <f t="shared" si="89"/>
        <v>327.68</v>
      </c>
      <c r="I131" s="91" t="str">
        <f>I130</f>
        <v>2동1,2라인</v>
      </c>
      <c r="J131" s="92" t="s">
        <v>214</v>
      </c>
      <c r="L131" s="89">
        <v>4</v>
      </c>
      <c r="M131" s="78">
        <f t="shared" ref="M131:M134" si="90">M130</f>
        <v>10</v>
      </c>
      <c r="N131" s="84"/>
      <c r="O131" s="78">
        <f t="shared" ref="O131:O134" si="91">L131*M131-N131*L131</f>
        <v>40</v>
      </c>
    </row>
    <row r="132" spans="1:16" ht="18" customHeight="1">
      <c r="A132" s="104"/>
      <c r="B132" s="93"/>
      <c r="C132" s="87"/>
      <c r="D132" s="88">
        <v>288</v>
      </c>
      <c r="E132" s="88">
        <v>910</v>
      </c>
      <c r="F132" s="89">
        <f t="shared" si="87"/>
        <v>20</v>
      </c>
      <c r="G132" s="90">
        <f t="shared" si="88"/>
        <v>57.09244191745907</v>
      </c>
      <c r="H132" s="90">
        <f t="shared" si="89"/>
        <v>95.84</v>
      </c>
      <c r="I132" s="91" t="str">
        <f>I131</f>
        <v>2동1,2라인</v>
      </c>
      <c r="J132" s="92" t="s">
        <v>215</v>
      </c>
      <c r="L132" s="89">
        <v>2</v>
      </c>
      <c r="M132" s="78">
        <f>M131</f>
        <v>10</v>
      </c>
      <c r="N132" s="84"/>
      <c r="O132" s="78">
        <f t="shared" si="91"/>
        <v>20</v>
      </c>
    </row>
    <row r="133" spans="1:16" ht="18" customHeight="1">
      <c r="A133" s="104"/>
      <c r="B133" s="93"/>
      <c r="C133" s="87"/>
      <c r="D133" s="88">
        <v>228</v>
      </c>
      <c r="E133" s="88">
        <v>910</v>
      </c>
      <c r="F133" s="89">
        <f t="shared" si="87"/>
        <v>20</v>
      </c>
      <c r="G133" s="90">
        <f t="shared" si="88"/>
        <v>45.1981831846551</v>
      </c>
      <c r="H133" s="90">
        <f t="shared" si="89"/>
        <v>91.039999999999992</v>
      </c>
      <c r="I133" s="91" t="str">
        <f>I131</f>
        <v>2동1,2라인</v>
      </c>
      <c r="J133" s="92" t="s">
        <v>216</v>
      </c>
      <c r="L133" s="89">
        <v>2</v>
      </c>
      <c r="M133" s="78">
        <f>M131</f>
        <v>10</v>
      </c>
      <c r="N133" s="78"/>
      <c r="O133" s="78">
        <f t="shared" si="91"/>
        <v>20</v>
      </c>
    </row>
    <row r="134" spans="1:16" ht="18" customHeight="1">
      <c r="A134" s="104"/>
      <c r="B134" s="93"/>
      <c r="C134" s="87"/>
      <c r="D134" s="88">
        <v>438</v>
      </c>
      <c r="E134" s="88">
        <v>270</v>
      </c>
      <c r="F134" s="89">
        <f t="shared" si="87"/>
        <v>20</v>
      </c>
      <c r="G134" s="90">
        <f t="shared" si="88"/>
        <v>25.762180178413882</v>
      </c>
      <c r="H134" s="90">
        <f t="shared" si="89"/>
        <v>56.64</v>
      </c>
      <c r="I134" s="91" t="str">
        <f t="shared" ref="I134" si="92">I133</f>
        <v>2동1,2라인</v>
      </c>
      <c r="J134" s="92" t="s">
        <v>217</v>
      </c>
      <c r="L134" s="89">
        <v>2</v>
      </c>
      <c r="M134" s="78">
        <f t="shared" si="90"/>
        <v>10</v>
      </c>
      <c r="N134" s="78"/>
      <c r="O134" s="78">
        <f t="shared" si="91"/>
        <v>20</v>
      </c>
    </row>
    <row r="135" spans="1:16" ht="18" customHeight="1">
      <c r="A135" s="104"/>
      <c r="B135" s="87"/>
      <c r="C135" s="87"/>
      <c r="D135" s="325" t="s">
        <v>0</v>
      </c>
      <c r="E135" s="325"/>
      <c r="F135" s="171">
        <f>SUM(F129:F134)</f>
        <v>120</v>
      </c>
      <c r="G135" s="95">
        <f>SUM(G129:G134)</f>
        <v>1135.7829842390181</v>
      </c>
      <c r="H135" s="95">
        <f>SUM(H129:H134)</f>
        <v>835</v>
      </c>
      <c r="I135" s="97"/>
      <c r="J135" s="98"/>
    </row>
    <row r="136" spans="1:16">
      <c r="A136" s="105"/>
      <c r="B136" s="9"/>
      <c r="C136" s="9"/>
      <c r="D136" s="51"/>
      <c r="E136" s="51"/>
      <c r="F136" s="51"/>
      <c r="G136" s="106"/>
      <c r="H136" s="106"/>
      <c r="I136" s="9"/>
      <c r="J136" s="107"/>
    </row>
    <row r="137" spans="1:16" ht="18" customHeight="1">
      <c r="A137" s="85"/>
      <c r="B137" s="23" t="s">
        <v>237</v>
      </c>
      <c r="C137" s="24">
        <v>22</v>
      </c>
      <c r="D137" s="88">
        <v>2114</v>
      </c>
      <c r="E137" s="88">
        <v>1810</v>
      </c>
      <c r="F137" s="89">
        <f t="shared" ref="F137" si="93">O137</f>
        <v>10</v>
      </c>
      <c r="G137" s="90">
        <f t="shared" ref="G137" si="94">D137*E137/91809*F137</f>
        <v>416.77177618751978</v>
      </c>
      <c r="H137" s="90">
        <f t="shared" ref="H137" si="95">(D137/1000)*4*F137+(E137/1000)*4*F137</f>
        <v>156.96</v>
      </c>
      <c r="I137" s="91" t="str">
        <f>I129</f>
        <v>2동1,2라인</v>
      </c>
      <c r="J137" s="92" t="s">
        <v>206</v>
      </c>
      <c r="L137" s="89">
        <v>1</v>
      </c>
      <c r="M137" s="78">
        <f>M122</f>
        <v>10</v>
      </c>
      <c r="N137" s="84"/>
      <c r="O137" s="78">
        <f>L137*M137-N137*L137</f>
        <v>10</v>
      </c>
    </row>
    <row r="138" spans="1:16" ht="18" customHeight="1">
      <c r="A138" s="85"/>
      <c r="B138" s="93"/>
      <c r="C138" s="87"/>
      <c r="D138" s="325" t="s">
        <v>0</v>
      </c>
      <c r="E138" s="325"/>
      <c r="F138" s="94">
        <f>SUM(F137:F137)</f>
        <v>10</v>
      </c>
      <c r="G138" s="95">
        <f>SUM(G137:G137)</f>
        <v>416.77177618751978</v>
      </c>
      <c r="H138" s="95">
        <f>SUM(H137:H137)</f>
        <v>156.96</v>
      </c>
      <c r="I138" s="97"/>
      <c r="J138" s="98"/>
    </row>
    <row r="139" spans="1:16" ht="18" customHeight="1">
      <c r="A139" s="218"/>
      <c r="B139" s="219"/>
      <c r="C139" s="220"/>
      <c r="D139" s="161"/>
      <c r="E139" s="161"/>
      <c r="F139" s="89"/>
      <c r="G139" s="100"/>
      <c r="H139" s="100"/>
      <c r="I139" s="102"/>
      <c r="J139" s="221"/>
    </row>
    <row r="140" spans="1:16" ht="18" customHeight="1">
      <c r="A140" s="85"/>
      <c r="B140" s="23" t="s">
        <v>203</v>
      </c>
      <c r="C140" s="24">
        <v>22</v>
      </c>
      <c r="D140" s="88">
        <v>638</v>
      </c>
      <c r="E140" s="88">
        <v>1810</v>
      </c>
      <c r="F140" s="89">
        <f t="shared" ref="F140:F141" si="96">O140</f>
        <v>10</v>
      </c>
      <c r="G140" s="90">
        <f t="shared" ref="G140:G141" si="97">D140*E140/91809*F140</f>
        <v>125.78069688156936</v>
      </c>
      <c r="H140" s="90">
        <f t="shared" ref="H140:H141" si="98">(D140/1000)*4*F140+(E140/1000)*4*F140</f>
        <v>97.92</v>
      </c>
      <c r="I140" s="91" t="str">
        <f>I137</f>
        <v>2동1,2라인</v>
      </c>
      <c r="J140" s="92" t="s">
        <v>219</v>
      </c>
      <c r="L140" s="89">
        <v>2</v>
      </c>
      <c r="M140" s="78">
        <f>M137</f>
        <v>10</v>
      </c>
      <c r="N140" s="84">
        <v>5</v>
      </c>
      <c r="O140" s="78">
        <f>L140*M140-N140*L140</f>
        <v>10</v>
      </c>
      <c r="P140" s="64" t="s">
        <v>247</v>
      </c>
    </row>
    <row r="141" spans="1:16" ht="18" customHeight="1">
      <c r="A141" s="85"/>
      <c r="B141" s="86"/>
      <c r="C141" s="87"/>
      <c r="D141" s="88">
        <v>250</v>
      </c>
      <c r="E141" s="88">
        <v>930</v>
      </c>
      <c r="F141" s="89">
        <f t="shared" si="96"/>
        <v>20</v>
      </c>
      <c r="G141" s="90">
        <f t="shared" si="97"/>
        <v>50.648629219357574</v>
      </c>
      <c r="H141" s="90">
        <f t="shared" si="98"/>
        <v>94.4</v>
      </c>
      <c r="I141" s="91" t="str">
        <f>I140</f>
        <v>2동1,2라인</v>
      </c>
      <c r="J141" s="92" t="s">
        <v>220</v>
      </c>
      <c r="L141" s="89">
        <v>2</v>
      </c>
      <c r="M141" s="78">
        <f>M140</f>
        <v>10</v>
      </c>
      <c r="N141" s="84"/>
      <c r="O141" s="78">
        <f t="shared" ref="O141" si="99">L141*M141-N141*L141</f>
        <v>20</v>
      </c>
    </row>
    <row r="142" spans="1:16" ht="18" customHeight="1">
      <c r="A142" s="85"/>
      <c r="B142" s="93"/>
      <c r="C142" s="87"/>
      <c r="D142" s="325" t="s">
        <v>0</v>
      </c>
      <c r="E142" s="325"/>
      <c r="F142" s="94">
        <f>SUM(F140:F141)</f>
        <v>30</v>
      </c>
      <c r="G142" s="95">
        <f>SUM(G140:G141)</f>
        <v>176.42932610092691</v>
      </c>
      <c r="H142" s="96">
        <f>SUM(H140:H141)</f>
        <v>192.32</v>
      </c>
      <c r="I142" s="97"/>
      <c r="J142" s="162"/>
    </row>
    <row r="143" spans="1:16">
      <c r="A143" s="16"/>
      <c r="B143" s="16"/>
      <c r="C143" s="16"/>
      <c r="D143" s="261"/>
      <c r="E143" s="261"/>
      <c r="F143" s="261"/>
      <c r="G143" s="19"/>
      <c r="H143" s="19"/>
      <c r="I143" s="16"/>
      <c r="J143" s="16"/>
    </row>
    <row r="144" spans="1:16" ht="18" customHeight="1">
      <c r="A144" s="85" t="s">
        <v>235</v>
      </c>
      <c r="B144" s="23" t="s">
        <v>201</v>
      </c>
      <c r="C144" s="24">
        <v>22</v>
      </c>
      <c r="D144" s="88">
        <v>861</v>
      </c>
      <c r="E144" s="88">
        <v>1810</v>
      </c>
      <c r="F144" s="89">
        <f t="shared" ref="F144:F147" si="100">O144</f>
        <v>5</v>
      </c>
      <c r="G144" s="90">
        <f t="shared" ref="G144:G147" si="101">D144*E144/91809*F144</f>
        <v>84.872398130902198</v>
      </c>
      <c r="H144" s="90">
        <f t="shared" ref="H144:H147" si="102">(D144/1000)*4*F144+(E144/1000)*4*F144</f>
        <v>53.42</v>
      </c>
      <c r="I144" s="91" t="s">
        <v>248</v>
      </c>
      <c r="J144" s="92" t="s">
        <v>205</v>
      </c>
      <c r="L144" s="89">
        <v>1</v>
      </c>
      <c r="M144" s="78">
        <v>5</v>
      </c>
      <c r="N144" s="84"/>
      <c r="O144" s="78">
        <f>L144*M144-N144*L144</f>
        <v>5</v>
      </c>
      <c r="P144" s="64"/>
    </row>
    <row r="145" spans="1:16" ht="18" customHeight="1">
      <c r="A145" s="85"/>
      <c r="B145" s="86"/>
      <c r="C145" s="87"/>
      <c r="D145" s="88">
        <v>738</v>
      </c>
      <c r="E145" s="88">
        <v>1310</v>
      </c>
      <c r="F145" s="89">
        <f t="shared" si="100"/>
        <v>20</v>
      </c>
      <c r="G145" s="90">
        <f t="shared" si="101"/>
        <v>210.6068032545829</v>
      </c>
      <c r="H145" s="90">
        <f t="shared" si="102"/>
        <v>163.84</v>
      </c>
      <c r="I145" s="91" t="str">
        <f>I144</f>
        <v>2동3라인</v>
      </c>
      <c r="J145" s="92" t="s">
        <v>207</v>
      </c>
      <c r="L145" s="89">
        <v>4</v>
      </c>
      <c r="M145" s="78">
        <f>M144</f>
        <v>5</v>
      </c>
      <c r="N145" s="84"/>
      <c r="O145" s="78">
        <f t="shared" ref="O145:O147" si="103">L145*M145-N145*L145</f>
        <v>20</v>
      </c>
    </row>
    <row r="146" spans="1:16" ht="18" customHeight="1">
      <c r="A146" s="85"/>
      <c r="B146" s="86"/>
      <c r="C146" s="87"/>
      <c r="D146" s="88">
        <v>228</v>
      </c>
      <c r="E146" s="88">
        <v>910</v>
      </c>
      <c r="F146" s="89">
        <f t="shared" si="100"/>
        <v>10</v>
      </c>
      <c r="G146" s="90">
        <f t="shared" si="101"/>
        <v>22.59909159232755</v>
      </c>
      <c r="H146" s="90">
        <f t="shared" si="102"/>
        <v>45.519999999999996</v>
      </c>
      <c r="I146" s="91" t="str">
        <f t="shared" ref="I146:I147" si="104">I145</f>
        <v>2동3라인</v>
      </c>
      <c r="J146" s="92" t="s">
        <v>209</v>
      </c>
      <c r="L146" s="89">
        <v>2</v>
      </c>
      <c r="M146" s="78">
        <f t="shared" ref="M146:M147" si="105">M145</f>
        <v>5</v>
      </c>
      <c r="N146" s="78"/>
      <c r="O146" s="78">
        <f t="shared" si="103"/>
        <v>10</v>
      </c>
    </row>
    <row r="147" spans="1:16" ht="18" customHeight="1">
      <c r="A147" s="85"/>
      <c r="B147" s="86"/>
      <c r="C147" s="87"/>
      <c r="D147" s="88">
        <v>438</v>
      </c>
      <c r="E147" s="88">
        <v>270</v>
      </c>
      <c r="F147" s="89">
        <f t="shared" si="100"/>
        <v>10</v>
      </c>
      <c r="G147" s="90">
        <f t="shared" si="101"/>
        <v>12.881090089206941</v>
      </c>
      <c r="H147" s="90">
        <f t="shared" si="102"/>
        <v>28.32</v>
      </c>
      <c r="I147" s="91" t="str">
        <f t="shared" si="104"/>
        <v>2동3라인</v>
      </c>
      <c r="J147" s="92" t="s">
        <v>210</v>
      </c>
      <c r="L147" s="89">
        <v>2</v>
      </c>
      <c r="M147" s="78">
        <f t="shared" si="105"/>
        <v>5</v>
      </c>
      <c r="N147" s="78"/>
      <c r="O147" s="78">
        <f t="shared" si="103"/>
        <v>10</v>
      </c>
    </row>
    <row r="148" spans="1:16" ht="18" customHeight="1">
      <c r="A148" s="85"/>
      <c r="B148" s="93"/>
      <c r="C148" s="87"/>
      <c r="D148" s="325" t="s">
        <v>0</v>
      </c>
      <c r="E148" s="325"/>
      <c r="F148" s="94">
        <f>SUM(F144:F147)</f>
        <v>45</v>
      </c>
      <c r="G148" s="95">
        <f>SUM(G144:G147)</f>
        <v>330.95938306701964</v>
      </c>
      <c r="H148" s="96">
        <f>SUM(H144:H147)</f>
        <v>291.09999999999997</v>
      </c>
      <c r="I148" s="97"/>
      <c r="J148" s="162"/>
    </row>
    <row r="149" spans="1:16" ht="18" customHeight="1">
      <c r="A149" s="85"/>
      <c r="B149" s="93"/>
      <c r="C149" s="87"/>
      <c r="D149" s="161"/>
      <c r="E149" s="161"/>
      <c r="F149" s="89"/>
      <c r="G149" s="100"/>
      <c r="H149" s="101"/>
      <c r="I149" s="102"/>
      <c r="J149" s="121"/>
      <c r="L149" s="252"/>
      <c r="M149" s="252"/>
      <c r="N149" s="252"/>
      <c r="O149" s="252"/>
    </row>
    <row r="150" spans="1:16" ht="18" customHeight="1">
      <c r="A150" s="85"/>
      <c r="B150" s="23" t="s">
        <v>198</v>
      </c>
      <c r="C150" s="24">
        <v>22</v>
      </c>
      <c r="D150" s="88">
        <v>861</v>
      </c>
      <c r="E150" s="88">
        <v>1810</v>
      </c>
      <c r="F150" s="89">
        <f t="shared" ref="F150:F154" si="106">O150</f>
        <v>5</v>
      </c>
      <c r="G150" s="90">
        <f t="shared" ref="G150:G154" si="107">D150*E150/91809*F150</f>
        <v>84.872398130902198</v>
      </c>
      <c r="H150" s="90">
        <f t="shared" ref="H150:H154" si="108">(D150/1000)*4*F150+(E150/1000)*4*F150</f>
        <v>53.42</v>
      </c>
      <c r="I150" s="91" t="str">
        <f>I144</f>
        <v>2동3라인</v>
      </c>
      <c r="J150" s="92" t="s">
        <v>212</v>
      </c>
      <c r="L150" s="89">
        <v>1</v>
      </c>
      <c r="M150" s="78">
        <f>M144</f>
        <v>5</v>
      </c>
      <c r="N150" s="84"/>
      <c r="O150" s="78">
        <f>L150*M150-N150*L150</f>
        <v>5</v>
      </c>
    </row>
    <row r="151" spans="1:16" ht="18" customHeight="1">
      <c r="A151" s="85"/>
      <c r="B151" s="86"/>
      <c r="C151" s="87"/>
      <c r="D151" s="88">
        <v>2114</v>
      </c>
      <c r="E151" s="88">
        <v>1810</v>
      </c>
      <c r="F151" s="89">
        <f t="shared" si="106"/>
        <v>5</v>
      </c>
      <c r="G151" s="90">
        <f t="shared" si="107"/>
        <v>208.38588809375989</v>
      </c>
      <c r="H151" s="90">
        <f t="shared" si="108"/>
        <v>78.48</v>
      </c>
      <c r="I151" s="91" t="str">
        <f>I144</f>
        <v>2동3라인</v>
      </c>
      <c r="J151" s="92" t="s">
        <v>213</v>
      </c>
      <c r="L151" s="89">
        <v>1</v>
      </c>
      <c r="M151" s="78">
        <f>M150</f>
        <v>5</v>
      </c>
      <c r="N151" s="84"/>
      <c r="O151" s="78">
        <f>L151*M151-N151*L151</f>
        <v>5</v>
      </c>
    </row>
    <row r="152" spans="1:16" ht="18" customHeight="1">
      <c r="A152" s="104"/>
      <c r="B152" s="93"/>
      <c r="C152" s="87"/>
      <c r="D152" s="88">
        <v>738</v>
      </c>
      <c r="E152" s="88">
        <v>1310</v>
      </c>
      <c r="F152" s="89">
        <f t="shared" si="106"/>
        <v>20</v>
      </c>
      <c r="G152" s="90">
        <f t="shared" si="107"/>
        <v>210.6068032545829</v>
      </c>
      <c r="H152" s="90">
        <f t="shared" si="108"/>
        <v>163.84</v>
      </c>
      <c r="I152" s="91" t="str">
        <f>I151</f>
        <v>2동3라인</v>
      </c>
      <c r="J152" s="92" t="s">
        <v>214</v>
      </c>
      <c r="L152" s="89">
        <v>4</v>
      </c>
      <c r="M152" s="78">
        <f t="shared" ref="M152:M154" si="109">M151</f>
        <v>5</v>
      </c>
      <c r="N152" s="84"/>
      <c r="O152" s="78">
        <f t="shared" ref="O152:O154" si="110">L152*M152-N152*L152</f>
        <v>20</v>
      </c>
    </row>
    <row r="153" spans="1:16" ht="18" customHeight="1">
      <c r="A153" s="104"/>
      <c r="B153" s="93"/>
      <c r="C153" s="87"/>
      <c r="D153" s="88">
        <v>228</v>
      </c>
      <c r="E153" s="88">
        <v>910</v>
      </c>
      <c r="F153" s="89">
        <f t="shared" si="106"/>
        <v>10</v>
      </c>
      <c r="G153" s="90">
        <f t="shared" si="107"/>
        <v>22.59909159232755</v>
      </c>
      <c r="H153" s="90">
        <f t="shared" si="108"/>
        <v>45.519999999999996</v>
      </c>
      <c r="I153" s="91" t="str">
        <f t="shared" ref="I153:I154" si="111">I152</f>
        <v>2동3라인</v>
      </c>
      <c r="J153" s="92" t="s">
        <v>216</v>
      </c>
      <c r="L153" s="89">
        <v>2</v>
      </c>
      <c r="M153" s="78">
        <f t="shared" si="109"/>
        <v>5</v>
      </c>
      <c r="N153" s="78"/>
      <c r="O153" s="78">
        <f t="shared" si="110"/>
        <v>10</v>
      </c>
    </row>
    <row r="154" spans="1:16" ht="18" customHeight="1">
      <c r="A154" s="104"/>
      <c r="B154" s="93"/>
      <c r="C154" s="87"/>
      <c r="D154" s="88">
        <v>438</v>
      </c>
      <c r="E154" s="88">
        <v>270</v>
      </c>
      <c r="F154" s="89">
        <f t="shared" si="106"/>
        <v>10</v>
      </c>
      <c r="G154" s="90">
        <f t="shared" si="107"/>
        <v>12.881090089206941</v>
      </c>
      <c r="H154" s="90">
        <f t="shared" si="108"/>
        <v>28.32</v>
      </c>
      <c r="I154" s="91" t="str">
        <f t="shared" si="111"/>
        <v>2동3라인</v>
      </c>
      <c r="J154" s="92" t="s">
        <v>217</v>
      </c>
      <c r="L154" s="89">
        <v>2</v>
      </c>
      <c r="M154" s="78">
        <f t="shared" si="109"/>
        <v>5</v>
      </c>
      <c r="N154" s="78"/>
      <c r="O154" s="78">
        <f t="shared" si="110"/>
        <v>10</v>
      </c>
    </row>
    <row r="155" spans="1:16" ht="18" customHeight="1">
      <c r="A155" s="104"/>
      <c r="B155" s="87"/>
      <c r="C155" s="87"/>
      <c r="D155" s="325" t="s">
        <v>0</v>
      </c>
      <c r="E155" s="325"/>
      <c r="F155" s="171">
        <f>SUM(F150:F154)</f>
        <v>50</v>
      </c>
      <c r="G155" s="95">
        <f>SUM(G150:G154)</f>
        <v>539.34527116077948</v>
      </c>
      <c r="H155" s="95">
        <f>SUM(H150:H154)</f>
        <v>369.58</v>
      </c>
      <c r="I155" s="97"/>
      <c r="J155" s="98"/>
    </row>
    <row r="156" spans="1:16">
      <c r="A156" s="105"/>
      <c r="B156" s="9"/>
      <c r="C156" s="9"/>
      <c r="D156" s="51"/>
      <c r="E156" s="51"/>
      <c r="F156" s="51"/>
      <c r="G156" s="106"/>
      <c r="H156" s="106"/>
      <c r="I156" s="9"/>
      <c r="J156" s="107"/>
    </row>
    <row r="157" spans="1:16" ht="18" customHeight="1">
      <c r="A157" s="85"/>
      <c r="B157" s="23" t="s">
        <v>237</v>
      </c>
      <c r="C157" s="24">
        <v>22</v>
      </c>
      <c r="D157" s="88">
        <v>2114</v>
      </c>
      <c r="E157" s="88">
        <v>1810</v>
      </c>
      <c r="F157" s="89">
        <f t="shared" ref="F157" si="112">O157</f>
        <v>5</v>
      </c>
      <c r="G157" s="90">
        <f t="shared" ref="G157" si="113">D157*E157/91809*F157</f>
        <v>208.38588809375989</v>
      </c>
      <c r="H157" s="90">
        <f t="shared" ref="H157" si="114">(D157/1000)*4*F157+(E157/1000)*4*F157</f>
        <v>78.48</v>
      </c>
      <c r="I157" s="91" t="str">
        <f>I150</f>
        <v>2동3라인</v>
      </c>
      <c r="J157" s="92" t="s">
        <v>206</v>
      </c>
      <c r="L157" s="89">
        <v>1</v>
      </c>
      <c r="M157" s="78">
        <f>M144</f>
        <v>5</v>
      </c>
      <c r="N157" s="84"/>
      <c r="O157" s="78">
        <f>L157*M157-N157*L157</f>
        <v>5</v>
      </c>
    </row>
    <row r="158" spans="1:16" ht="18" customHeight="1">
      <c r="A158" s="85"/>
      <c r="B158" s="93"/>
      <c r="C158" s="87"/>
      <c r="D158" s="325" t="s">
        <v>0</v>
      </c>
      <c r="E158" s="325"/>
      <c r="F158" s="94">
        <f>SUM(F157:F157)</f>
        <v>5</v>
      </c>
      <c r="G158" s="95">
        <f>SUM(G157:G157)</f>
        <v>208.38588809375989</v>
      </c>
      <c r="H158" s="95">
        <f>SUM(H157:H157)</f>
        <v>78.48</v>
      </c>
      <c r="I158" s="97"/>
      <c r="J158" s="98"/>
    </row>
    <row r="159" spans="1:16" ht="18" customHeight="1">
      <c r="A159" s="218"/>
      <c r="B159" s="219"/>
      <c r="C159" s="220"/>
      <c r="D159" s="161"/>
      <c r="E159" s="161"/>
      <c r="F159" s="89"/>
      <c r="G159" s="100"/>
      <c r="H159" s="100"/>
      <c r="I159" s="102"/>
      <c r="J159" s="221"/>
    </row>
    <row r="160" spans="1:16" ht="18" customHeight="1">
      <c r="A160" s="85"/>
      <c r="B160" s="23" t="s">
        <v>203</v>
      </c>
      <c r="C160" s="24">
        <v>22</v>
      </c>
      <c r="D160" s="88">
        <v>738</v>
      </c>
      <c r="E160" s="88">
        <v>1810</v>
      </c>
      <c r="F160" s="89">
        <f t="shared" ref="F160:F161" si="115">O160</f>
        <v>0</v>
      </c>
      <c r="G160" s="90">
        <f t="shared" ref="G160:G161" si="116">D160*E160/91809*F160</f>
        <v>0</v>
      </c>
      <c r="H160" s="90">
        <f t="shared" ref="H160:H161" si="117">(D160/1000)*4*F160+(E160/1000)*4*F160</f>
        <v>0</v>
      </c>
      <c r="I160" s="91" t="str">
        <f>I157</f>
        <v>2동3라인</v>
      </c>
      <c r="J160" s="92" t="s">
        <v>219</v>
      </c>
      <c r="L160" s="89">
        <v>2</v>
      </c>
      <c r="M160" s="78">
        <f>M157</f>
        <v>5</v>
      </c>
      <c r="N160" s="84">
        <v>5</v>
      </c>
      <c r="O160" s="78">
        <f>L160*M160-N160*L160</f>
        <v>0</v>
      </c>
      <c r="P160" s="64" t="s">
        <v>280</v>
      </c>
    </row>
    <row r="161" spans="1:16" ht="18" customHeight="1">
      <c r="A161" s="85"/>
      <c r="B161" s="86"/>
      <c r="C161" s="87"/>
      <c r="D161" s="88">
        <v>250</v>
      </c>
      <c r="E161" s="88">
        <v>930</v>
      </c>
      <c r="F161" s="89">
        <f t="shared" si="115"/>
        <v>10</v>
      </c>
      <c r="G161" s="90">
        <f t="shared" si="116"/>
        <v>25.324314609678787</v>
      </c>
      <c r="H161" s="90">
        <f t="shared" si="117"/>
        <v>47.2</v>
      </c>
      <c r="I161" s="91" t="str">
        <f>I160</f>
        <v>2동3라인</v>
      </c>
      <c r="J161" s="92" t="s">
        <v>220</v>
      </c>
      <c r="L161" s="89">
        <v>2</v>
      </c>
      <c r="M161" s="78">
        <f>M160</f>
        <v>5</v>
      </c>
      <c r="N161" s="84"/>
      <c r="O161" s="78">
        <f t="shared" ref="O161" si="118">L161*M161-N161*L161</f>
        <v>10</v>
      </c>
    </row>
    <row r="162" spans="1:16" ht="18" customHeight="1">
      <c r="A162" s="85"/>
      <c r="B162" s="93"/>
      <c r="C162" s="87"/>
      <c r="D162" s="325" t="s">
        <v>0</v>
      </c>
      <c r="E162" s="325"/>
      <c r="F162" s="94">
        <f>SUM(F160:F161)</f>
        <v>10</v>
      </c>
      <c r="G162" s="95">
        <f>SUM(G160:G161)</f>
        <v>25.324314609678787</v>
      </c>
      <c r="H162" s="96">
        <f>SUM(H160:H161)</f>
        <v>47.2</v>
      </c>
      <c r="I162" s="97"/>
      <c r="J162" s="162"/>
    </row>
    <row r="163" spans="1:16" ht="18" customHeight="1" thickBot="1">
      <c r="A163" s="222"/>
      <c r="B163" s="223"/>
      <c r="C163" s="224"/>
      <c r="D163" s="225"/>
      <c r="E163" s="225"/>
      <c r="F163" s="226"/>
      <c r="G163" s="227"/>
      <c r="H163" s="228"/>
      <c r="I163" s="229"/>
      <c r="J163" s="230"/>
      <c r="L163" s="78" t="s">
        <v>48</v>
      </c>
      <c r="M163" s="78" t="s">
        <v>49</v>
      </c>
      <c r="N163" s="78" t="s">
        <v>50</v>
      </c>
      <c r="O163" s="78" t="s">
        <v>55</v>
      </c>
    </row>
    <row r="164" spans="1:16" ht="18" customHeight="1">
      <c r="A164" s="79" t="s">
        <v>234</v>
      </c>
      <c r="B164" s="231" t="s">
        <v>195</v>
      </c>
      <c r="C164" s="232">
        <v>22</v>
      </c>
      <c r="D164" s="80">
        <v>761</v>
      </c>
      <c r="E164" s="80">
        <v>1810</v>
      </c>
      <c r="F164" s="233">
        <f>O164</f>
        <v>10</v>
      </c>
      <c r="G164" s="81">
        <f t="shared" ref="G164:G170" si="119">D164*E164/91809*F164</f>
        <v>150.02995349039855</v>
      </c>
      <c r="H164" s="81">
        <f t="shared" ref="H164:H170" si="120">(D164/1000)*4*F164+(E164/1000)*4*F164</f>
        <v>102.84</v>
      </c>
      <c r="I164" s="82" t="s">
        <v>249</v>
      </c>
      <c r="J164" s="83" t="s">
        <v>205</v>
      </c>
      <c r="L164" s="89">
        <v>2</v>
      </c>
      <c r="M164" s="78">
        <v>5</v>
      </c>
      <c r="N164" s="84"/>
      <c r="O164" s="78">
        <f>L164*M164-N164*L164</f>
        <v>10</v>
      </c>
      <c r="P164" s="64"/>
    </row>
    <row r="165" spans="1:16" ht="18" customHeight="1">
      <c r="A165" s="85"/>
      <c r="B165" s="86"/>
      <c r="C165" s="87"/>
      <c r="D165" s="88">
        <v>1688</v>
      </c>
      <c r="E165" s="88">
        <v>1810</v>
      </c>
      <c r="F165" s="89">
        <f t="shared" ref="F165:F170" si="121">O165</f>
        <v>5</v>
      </c>
      <c r="G165" s="90">
        <f t="shared" si="119"/>
        <v>166.39327299066539</v>
      </c>
      <c r="H165" s="90">
        <f t="shared" si="120"/>
        <v>69.960000000000008</v>
      </c>
      <c r="I165" s="91" t="str">
        <f>I164</f>
        <v>2동4라인</v>
      </c>
      <c r="J165" s="92" t="s">
        <v>206</v>
      </c>
      <c r="L165" s="89">
        <v>1</v>
      </c>
      <c r="M165" s="78">
        <f>M164</f>
        <v>5</v>
      </c>
      <c r="N165" s="84"/>
      <c r="O165" s="78">
        <f t="shared" ref="O165:O170" si="122">L165*M165-N165*L165</f>
        <v>5</v>
      </c>
    </row>
    <row r="166" spans="1:16" ht="18" customHeight="1">
      <c r="A166" s="85"/>
      <c r="B166" s="86"/>
      <c r="C166" s="87"/>
      <c r="D166" s="88">
        <v>738</v>
      </c>
      <c r="E166" s="88">
        <v>1310</v>
      </c>
      <c r="F166" s="89">
        <f t="shared" si="121"/>
        <v>20</v>
      </c>
      <c r="G166" s="90">
        <f t="shared" si="119"/>
        <v>210.6068032545829</v>
      </c>
      <c r="H166" s="90">
        <f t="shared" si="120"/>
        <v>163.84</v>
      </c>
      <c r="I166" s="91" t="str">
        <f t="shared" ref="I166:I170" si="123">I165</f>
        <v>2동4라인</v>
      </c>
      <c r="J166" s="92" t="s">
        <v>207</v>
      </c>
      <c r="L166" s="89">
        <v>4</v>
      </c>
      <c r="M166" s="78">
        <f t="shared" ref="M166:M169" si="124">M165</f>
        <v>5</v>
      </c>
      <c r="N166" s="78"/>
      <c r="O166" s="78">
        <f t="shared" si="122"/>
        <v>20</v>
      </c>
    </row>
    <row r="167" spans="1:16" ht="18" customHeight="1">
      <c r="A167" s="85"/>
      <c r="B167" s="86"/>
      <c r="C167" s="87"/>
      <c r="D167" s="88">
        <v>288</v>
      </c>
      <c r="E167" s="88">
        <v>910</v>
      </c>
      <c r="F167" s="89">
        <f t="shared" si="121"/>
        <v>10</v>
      </c>
      <c r="G167" s="90">
        <f t="shared" si="119"/>
        <v>28.546220958729535</v>
      </c>
      <c r="H167" s="90">
        <f t="shared" si="120"/>
        <v>47.92</v>
      </c>
      <c r="I167" s="91" t="str">
        <f t="shared" si="123"/>
        <v>2동4라인</v>
      </c>
      <c r="J167" s="92" t="s">
        <v>208</v>
      </c>
      <c r="L167" s="89">
        <v>2</v>
      </c>
      <c r="M167" s="78">
        <f t="shared" si="124"/>
        <v>5</v>
      </c>
      <c r="N167" s="78"/>
      <c r="O167" s="78">
        <f t="shared" si="122"/>
        <v>10</v>
      </c>
    </row>
    <row r="168" spans="1:16" ht="18" customHeight="1">
      <c r="A168" s="85"/>
      <c r="B168" s="86"/>
      <c r="C168" s="87"/>
      <c r="D168" s="88">
        <v>228</v>
      </c>
      <c r="E168" s="88">
        <v>910</v>
      </c>
      <c r="F168" s="89">
        <f t="shared" si="121"/>
        <v>10</v>
      </c>
      <c r="G168" s="90">
        <f t="shared" si="119"/>
        <v>22.59909159232755</v>
      </c>
      <c r="H168" s="90">
        <f t="shared" si="120"/>
        <v>45.519999999999996</v>
      </c>
      <c r="I168" s="91" t="str">
        <f t="shared" si="123"/>
        <v>2동4라인</v>
      </c>
      <c r="J168" s="92" t="s">
        <v>209</v>
      </c>
      <c r="L168" s="89">
        <v>2</v>
      </c>
      <c r="M168" s="78">
        <f t="shared" si="124"/>
        <v>5</v>
      </c>
      <c r="N168" s="78"/>
      <c r="O168" s="78">
        <f t="shared" si="122"/>
        <v>10</v>
      </c>
    </row>
    <row r="169" spans="1:16" ht="18" customHeight="1">
      <c r="A169" s="85"/>
      <c r="B169" s="86"/>
      <c r="C169" s="87"/>
      <c r="D169" s="88">
        <v>438</v>
      </c>
      <c r="E169" s="88">
        <v>270</v>
      </c>
      <c r="F169" s="89">
        <f t="shared" si="121"/>
        <v>10</v>
      </c>
      <c r="G169" s="90">
        <f t="shared" si="119"/>
        <v>12.881090089206941</v>
      </c>
      <c r="H169" s="90">
        <f t="shared" si="120"/>
        <v>28.32</v>
      </c>
      <c r="I169" s="91" t="str">
        <f t="shared" si="123"/>
        <v>2동4라인</v>
      </c>
      <c r="J169" s="92" t="s">
        <v>210</v>
      </c>
      <c r="L169" s="89">
        <v>2</v>
      </c>
      <c r="M169" s="78">
        <f t="shared" si="124"/>
        <v>5</v>
      </c>
      <c r="N169" s="78"/>
      <c r="O169" s="78">
        <f t="shared" si="122"/>
        <v>10</v>
      </c>
    </row>
    <row r="170" spans="1:16" ht="18" customHeight="1">
      <c r="A170" s="85"/>
      <c r="B170" s="86"/>
      <c r="C170" s="87"/>
      <c r="D170" s="88">
        <v>208</v>
      </c>
      <c r="E170" s="88">
        <v>910</v>
      </c>
      <c r="F170" s="89">
        <f t="shared" si="121"/>
        <v>10</v>
      </c>
      <c r="G170" s="90">
        <f t="shared" si="119"/>
        <v>20.616715136860222</v>
      </c>
      <c r="H170" s="90">
        <f t="shared" si="120"/>
        <v>44.72</v>
      </c>
      <c r="I170" s="91" t="str">
        <f t="shared" si="123"/>
        <v>2동4라인</v>
      </c>
      <c r="J170" s="92" t="s">
        <v>211</v>
      </c>
      <c r="L170" s="89">
        <v>2</v>
      </c>
      <c r="M170" s="78">
        <f>M169</f>
        <v>5</v>
      </c>
      <c r="N170" s="78"/>
      <c r="O170" s="78">
        <f t="shared" si="122"/>
        <v>10</v>
      </c>
    </row>
    <row r="171" spans="1:16" ht="18" customHeight="1">
      <c r="A171" s="85"/>
      <c r="B171" s="93"/>
      <c r="C171" s="87"/>
      <c r="D171" s="325" t="s">
        <v>0</v>
      </c>
      <c r="E171" s="325"/>
      <c r="F171" s="94">
        <f>SUM(F164:F170)</f>
        <v>75</v>
      </c>
      <c r="G171" s="95">
        <f>SUM(G164:G170)</f>
        <v>611.67314751277115</v>
      </c>
      <c r="H171" s="96">
        <f>SUM(H164:H170)</f>
        <v>503.12</v>
      </c>
      <c r="I171" s="97"/>
      <c r="J171" s="162"/>
    </row>
    <row r="172" spans="1:16" ht="18" customHeight="1">
      <c r="A172" s="85"/>
      <c r="B172" s="93"/>
      <c r="C172" s="87"/>
      <c r="D172" s="161"/>
      <c r="E172" s="161"/>
      <c r="F172" s="89"/>
      <c r="G172" s="100"/>
      <c r="H172" s="101"/>
      <c r="I172" s="102"/>
      <c r="J172" s="121"/>
      <c r="L172" s="78" t="s">
        <v>48</v>
      </c>
      <c r="M172" s="78" t="s">
        <v>54</v>
      </c>
      <c r="N172" s="78" t="s">
        <v>50</v>
      </c>
      <c r="O172" s="78" t="s">
        <v>55</v>
      </c>
    </row>
    <row r="173" spans="1:16" ht="18" customHeight="1">
      <c r="A173" s="85"/>
      <c r="B173" s="23" t="s">
        <v>197</v>
      </c>
      <c r="C173" s="24">
        <v>22</v>
      </c>
      <c r="D173" s="88">
        <v>761</v>
      </c>
      <c r="E173" s="88">
        <v>1810</v>
      </c>
      <c r="F173" s="89">
        <f t="shared" ref="F173:F179" si="125">O173</f>
        <v>10</v>
      </c>
      <c r="G173" s="90">
        <f t="shared" ref="G173:G179" si="126">D173*E173/91809*F173</f>
        <v>150.02995349039855</v>
      </c>
      <c r="H173" s="90">
        <f t="shared" ref="H173:H179" si="127">(D173/1000)*4*F173+(E173/1000)*4*F173</f>
        <v>102.84</v>
      </c>
      <c r="I173" s="91" t="str">
        <f t="shared" ref="I173:I179" si="128">I164</f>
        <v>2동4라인</v>
      </c>
      <c r="J173" s="92" t="s">
        <v>212</v>
      </c>
      <c r="L173" s="89">
        <v>2</v>
      </c>
      <c r="M173" s="78">
        <f>M164</f>
        <v>5</v>
      </c>
      <c r="N173" s="84"/>
      <c r="O173" s="78">
        <f>L173*M173-N173*L173</f>
        <v>10</v>
      </c>
    </row>
    <row r="174" spans="1:16" ht="18" customHeight="1">
      <c r="A174" s="85"/>
      <c r="B174" s="86"/>
      <c r="C174" s="87"/>
      <c r="D174" s="88">
        <v>1688</v>
      </c>
      <c r="E174" s="88">
        <v>1810</v>
      </c>
      <c r="F174" s="89">
        <f t="shared" si="125"/>
        <v>5</v>
      </c>
      <c r="G174" s="90">
        <f t="shared" si="126"/>
        <v>166.39327299066539</v>
      </c>
      <c r="H174" s="90">
        <f t="shared" si="127"/>
        <v>69.960000000000008</v>
      </c>
      <c r="I174" s="91" t="str">
        <f t="shared" si="128"/>
        <v>2동4라인</v>
      </c>
      <c r="J174" s="92" t="s">
        <v>213</v>
      </c>
      <c r="L174" s="89">
        <v>1</v>
      </c>
      <c r="M174" s="78">
        <f>M173</f>
        <v>5</v>
      </c>
      <c r="N174" s="84"/>
      <c r="O174" s="78">
        <f>L174*M174-N174*L174</f>
        <v>5</v>
      </c>
    </row>
    <row r="175" spans="1:16" ht="18" customHeight="1">
      <c r="A175" s="104"/>
      <c r="B175" s="93"/>
      <c r="C175" s="87"/>
      <c r="D175" s="88">
        <v>738</v>
      </c>
      <c r="E175" s="88">
        <v>1310</v>
      </c>
      <c r="F175" s="89">
        <f t="shared" si="125"/>
        <v>20</v>
      </c>
      <c r="G175" s="90">
        <f t="shared" si="126"/>
        <v>210.6068032545829</v>
      </c>
      <c r="H175" s="90">
        <f t="shared" si="127"/>
        <v>163.84</v>
      </c>
      <c r="I175" s="91" t="str">
        <f t="shared" si="128"/>
        <v>2동4라인</v>
      </c>
      <c r="J175" s="92" t="s">
        <v>214</v>
      </c>
      <c r="L175" s="89">
        <v>4</v>
      </c>
      <c r="M175" s="78">
        <f t="shared" ref="M175:M179" si="129">M174</f>
        <v>5</v>
      </c>
      <c r="N175" s="84"/>
      <c r="O175" s="78">
        <f t="shared" ref="O175:O179" si="130">L175*M175-N175*L175</f>
        <v>20</v>
      </c>
    </row>
    <row r="176" spans="1:16" ht="18" customHeight="1">
      <c r="A176" s="104"/>
      <c r="B176" s="93"/>
      <c r="C176" s="87"/>
      <c r="D176" s="88">
        <v>288</v>
      </c>
      <c r="E176" s="88">
        <v>910</v>
      </c>
      <c r="F176" s="89">
        <f t="shared" si="125"/>
        <v>10</v>
      </c>
      <c r="G176" s="90">
        <f t="shared" si="126"/>
        <v>28.546220958729535</v>
      </c>
      <c r="H176" s="90">
        <f t="shared" si="127"/>
        <v>47.92</v>
      </c>
      <c r="I176" s="91" t="str">
        <f t="shared" si="128"/>
        <v>2동4라인</v>
      </c>
      <c r="J176" s="92" t="s">
        <v>215</v>
      </c>
      <c r="L176" s="89">
        <v>2</v>
      </c>
      <c r="M176" s="78">
        <f t="shared" si="129"/>
        <v>5</v>
      </c>
      <c r="N176" s="78"/>
      <c r="O176" s="78">
        <f t="shared" si="130"/>
        <v>10</v>
      </c>
    </row>
    <row r="177" spans="1:16" ht="18" customHeight="1">
      <c r="A177" s="104"/>
      <c r="B177" s="93"/>
      <c r="C177" s="87"/>
      <c r="D177" s="88">
        <v>228</v>
      </c>
      <c r="E177" s="88">
        <v>910</v>
      </c>
      <c r="F177" s="89">
        <f t="shared" si="125"/>
        <v>10</v>
      </c>
      <c r="G177" s="90">
        <f t="shared" si="126"/>
        <v>22.59909159232755</v>
      </c>
      <c r="H177" s="90">
        <f t="shared" si="127"/>
        <v>45.519999999999996</v>
      </c>
      <c r="I177" s="91" t="str">
        <f t="shared" si="128"/>
        <v>2동4라인</v>
      </c>
      <c r="J177" s="92" t="s">
        <v>216</v>
      </c>
      <c r="L177" s="89">
        <v>2</v>
      </c>
      <c r="M177" s="78">
        <f t="shared" si="129"/>
        <v>5</v>
      </c>
      <c r="N177" s="78"/>
      <c r="O177" s="78">
        <f t="shared" si="130"/>
        <v>10</v>
      </c>
    </row>
    <row r="178" spans="1:16" ht="18" customHeight="1">
      <c r="A178" s="104"/>
      <c r="B178" s="93"/>
      <c r="C178" s="87"/>
      <c r="D178" s="88">
        <v>438</v>
      </c>
      <c r="E178" s="88">
        <v>270</v>
      </c>
      <c r="F178" s="89">
        <f t="shared" si="125"/>
        <v>10</v>
      </c>
      <c r="G178" s="90">
        <f t="shared" si="126"/>
        <v>12.881090089206941</v>
      </c>
      <c r="H178" s="90">
        <f t="shared" si="127"/>
        <v>28.32</v>
      </c>
      <c r="I178" s="91" t="str">
        <f t="shared" si="128"/>
        <v>2동4라인</v>
      </c>
      <c r="J178" s="92" t="s">
        <v>217</v>
      </c>
      <c r="L178" s="89">
        <v>2</v>
      </c>
      <c r="M178" s="78">
        <f t="shared" si="129"/>
        <v>5</v>
      </c>
      <c r="N178" s="78"/>
      <c r="O178" s="78">
        <f t="shared" si="130"/>
        <v>10</v>
      </c>
    </row>
    <row r="179" spans="1:16" ht="18" customHeight="1">
      <c r="A179" s="104"/>
      <c r="B179" s="93"/>
      <c r="C179" s="87"/>
      <c r="D179" s="88">
        <v>208</v>
      </c>
      <c r="E179" s="88">
        <v>910</v>
      </c>
      <c r="F179" s="89">
        <f t="shared" si="125"/>
        <v>10</v>
      </c>
      <c r="G179" s="90">
        <f t="shared" si="126"/>
        <v>20.616715136860222</v>
      </c>
      <c r="H179" s="90">
        <f t="shared" si="127"/>
        <v>44.72</v>
      </c>
      <c r="I179" s="91" t="str">
        <f t="shared" si="128"/>
        <v>2동4라인</v>
      </c>
      <c r="J179" s="92" t="s">
        <v>218</v>
      </c>
      <c r="L179" s="89">
        <v>2</v>
      </c>
      <c r="M179" s="78">
        <f t="shared" si="129"/>
        <v>5</v>
      </c>
      <c r="N179" s="78"/>
      <c r="O179" s="78">
        <f t="shared" si="130"/>
        <v>10</v>
      </c>
    </row>
    <row r="180" spans="1:16" ht="18" customHeight="1">
      <c r="A180" s="104"/>
      <c r="B180" s="87"/>
      <c r="C180" s="87"/>
      <c r="D180" s="325" t="s">
        <v>0</v>
      </c>
      <c r="E180" s="325"/>
      <c r="F180" s="171">
        <f>SUM(F173:F179)</f>
        <v>75</v>
      </c>
      <c r="G180" s="95">
        <f>SUM(G173:G179)</f>
        <v>611.67314751277115</v>
      </c>
      <c r="H180" s="95">
        <f>SUM(H173:H179)</f>
        <v>503.12</v>
      </c>
      <c r="I180" s="97"/>
      <c r="J180" s="98"/>
    </row>
    <row r="181" spans="1:16">
      <c r="A181" s="105"/>
      <c r="B181" s="9"/>
      <c r="C181" s="9"/>
      <c r="D181" s="51"/>
      <c r="E181" s="51"/>
      <c r="F181" s="51"/>
      <c r="G181" s="106"/>
      <c r="H181" s="106"/>
      <c r="I181" s="9"/>
      <c r="J181" s="107"/>
    </row>
    <row r="182" spans="1:16" ht="18" customHeight="1">
      <c r="A182" s="85"/>
      <c r="B182" s="163" t="s">
        <v>199</v>
      </c>
      <c r="C182" s="163">
        <v>22</v>
      </c>
      <c r="D182" s="88">
        <v>738</v>
      </c>
      <c r="E182" s="88">
        <v>1810</v>
      </c>
      <c r="F182" s="89">
        <f t="shared" ref="F182:F183" si="131">O182</f>
        <v>10</v>
      </c>
      <c r="G182" s="90">
        <f t="shared" ref="G182:G183" si="132">D182*E182/91809*F182</f>
        <v>145.4955396529752</v>
      </c>
      <c r="H182" s="90">
        <f t="shared" ref="H182:H183" si="133">(D182/1000)*4*F182+(E182/1000)*4*F182</f>
        <v>101.92</v>
      </c>
      <c r="I182" s="91" t="str">
        <f>I173</f>
        <v>2동4라인</v>
      </c>
      <c r="J182" s="92" t="s">
        <v>219</v>
      </c>
      <c r="L182" s="89">
        <v>2</v>
      </c>
      <c r="M182" s="78">
        <f>M164</f>
        <v>5</v>
      </c>
      <c r="N182" s="84"/>
      <c r="O182" s="78">
        <f>L182*M182-N182*L182</f>
        <v>10</v>
      </c>
      <c r="P182" s="64"/>
    </row>
    <row r="183" spans="1:16" ht="18" customHeight="1">
      <c r="A183" s="85"/>
      <c r="B183" s="86"/>
      <c r="C183" s="87"/>
      <c r="D183" s="88">
        <v>250</v>
      </c>
      <c r="E183" s="88">
        <v>930</v>
      </c>
      <c r="F183" s="89">
        <f t="shared" si="131"/>
        <v>10</v>
      </c>
      <c r="G183" s="90">
        <f t="shared" si="132"/>
        <v>25.324314609678787</v>
      </c>
      <c r="H183" s="90">
        <f t="shared" si="133"/>
        <v>47.2</v>
      </c>
      <c r="I183" s="91" t="str">
        <f>I182</f>
        <v>2동4라인</v>
      </c>
      <c r="J183" s="92" t="s">
        <v>220</v>
      </c>
      <c r="L183" s="89">
        <v>2</v>
      </c>
      <c r="M183" s="78">
        <f>M182</f>
        <v>5</v>
      </c>
      <c r="N183" s="84"/>
      <c r="O183" s="78">
        <f t="shared" ref="O183" si="134">L183*M183-N183*L183</f>
        <v>10</v>
      </c>
    </row>
    <row r="184" spans="1:16" ht="18" customHeight="1">
      <c r="A184" s="85"/>
      <c r="B184" s="93"/>
      <c r="C184" s="87"/>
      <c r="D184" s="325" t="s">
        <v>0</v>
      </c>
      <c r="E184" s="325"/>
      <c r="F184" s="94">
        <f>SUM(F182:F183)</f>
        <v>20</v>
      </c>
      <c r="G184" s="95">
        <f>SUM(G182:G183)</f>
        <v>170.81985426265399</v>
      </c>
      <c r="H184" s="95">
        <f>SUM(H182:H183)</f>
        <v>149.12</v>
      </c>
      <c r="I184" s="97"/>
      <c r="J184" s="98"/>
    </row>
    <row r="185" spans="1:16" ht="18" customHeight="1">
      <c r="A185" s="108"/>
      <c r="B185" s="164"/>
      <c r="C185" s="109"/>
      <c r="D185" s="363"/>
      <c r="E185" s="363"/>
      <c r="F185" s="110"/>
      <c r="G185" s="111"/>
      <c r="H185" s="234"/>
      <c r="I185" s="112"/>
      <c r="J185" s="235"/>
    </row>
    <row r="186" spans="1:16" ht="18" customHeight="1">
      <c r="A186" s="262" t="s">
        <v>234</v>
      </c>
      <c r="B186" s="263" t="s">
        <v>195</v>
      </c>
      <c r="C186" s="264">
        <v>22</v>
      </c>
      <c r="D186" s="265">
        <v>761</v>
      </c>
      <c r="E186" s="265">
        <v>1810</v>
      </c>
      <c r="F186" s="251">
        <f>O186</f>
        <v>20</v>
      </c>
      <c r="G186" s="266">
        <f t="shared" ref="G186:G192" si="135">D186*E186/91809*F186</f>
        <v>300.05990698079711</v>
      </c>
      <c r="H186" s="266">
        <f t="shared" ref="H186:H192" si="136">(D186/1000)*4*F186+(E186/1000)*4*F186</f>
        <v>205.68</v>
      </c>
      <c r="I186" s="267" t="s">
        <v>250</v>
      </c>
      <c r="J186" s="268" t="s">
        <v>205</v>
      </c>
      <c r="L186" s="89">
        <v>2</v>
      </c>
      <c r="M186" s="78">
        <v>10</v>
      </c>
      <c r="N186" s="84"/>
      <c r="O186" s="78">
        <f>L186*M186-N186*L186</f>
        <v>20</v>
      </c>
      <c r="P186" s="64"/>
    </row>
    <row r="187" spans="1:16" ht="18" customHeight="1">
      <c r="A187" s="85"/>
      <c r="B187" s="86"/>
      <c r="C187" s="87"/>
      <c r="D187" s="88">
        <v>1688</v>
      </c>
      <c r="E187" s="88">
        <v>1810</v>
      </c>
      <c r="F187" s="89">
        <f t="shared" ref="F187:F192" si="137">O187</f>
        <v>10</v>
      </c>
      <c r="G187" s="90">
        <f t="shared" si="135"/>
        <v>332.78654598133079</v>
      </c>
      <c r="H187" s="90">
        <f t="shared" si="136"/>
        <v>139.92000000000002</v>
      </c>
      <c r="I187" s="91" t="str">
        <f>I186</f>
        <v>2동5,6라인</v>
      </c>
      <c r="J187" s="92" t="s">
        <v>206</v>
      </c>
      <c r="L187" s="89">
        <v>1</v>
      </c>
      <c r="M187" s="78">
        <f>M186</f>
        <v>10</v>
      </c>
      <c r="N187" s="84"/>
      <c r="O187" s="78">
        <f t="shared" ref="O187:O192" si="138">L187*M187-N187*L187</f>
        <v>10</v>
      </c>
    </row>
    <row r="188" spans="1:16" ht="18" customHeight="1">
      <c r="A188" s="85"/>
      <c r="B188" s="86"/>
      <c r="C188" s="87"/>
      <c r="D188" s="88">
        <v>738</v>
      </c>
      <c r="E188" s="88">
        <v>1310</v>
      </c>
      <c r="F188" s="89">
        <f t="shared" si="137"/>
        <v>40</v>
      </c>
      <c r="G188" s="90">
        <f t="shared" si="135"/>
        <v>421.2136065091658</v>
      </c>
      <c r="H188" s="90">
        <f t="shared" si="136"/>
        <v>327.68</v>
      </c>
      <c r="I188" s="91" t="str">
        <f t="shared" ref="I188:I192" si="139">I187</f>
        <v>2동5,6라인</v>
      </c>
      <c r="J188" s="92" t="s">
        <v>207</v>
      </c>
      <c r="L188" s="89">
        <v>4</v>
      </c>
      <c r="M188" s="78">
        <f t="shared" ref="M188:M191" si="140">M187</f>
        <v>10</v>
      </c>
      <c r="N188" s="78"/>
      <c r="O188" s="78">
        <f t="shared" si="138"/>
        <v>40</v>
      </c>
    </row>
    <row r="189" spans="1:16" ht="18" customHeight="1">
      <c r="A189" s="85"/>
      <c r="B189" s="86"/>
      <c r="C189" s="87"/>
      <c r="D189" s="88">
        <v>288</v>
      </c>
      <c r="E189" s="88">
        <v>910</v>
      </c>
      <c r="F189" s="89">
        <f t="shared" si="137"/>
        <v>20</v>
      </c>
      <c r="G189" s="90">
        <f t="shared" si="135"/>
        <v>57.09244191745907</v>
      </c>
      <c r="H189" s="90">
        <f t="shared" si="136"/>
        <v>95.84</v>
      </c>
      <c r="I189" s="91" t="str">
        <f t="shared" si="139"/>
        <v>2동5,6라인</v>
      </c>
      <c r="J189" s="92" t="s">
        <v>208</v>
      </c>
      <c r="L189" s="89">
        <v>2</v>
      </c>
      <c r="M189" s="78">
        <f t="shared" si="140"/>
        <v>10</v>
      </c>
      <c r="N189" s="78"/>
      <c r="O189" s="78">
        <f t="shared" si="138"/>
        <v>20</v>
      </c>
    </row>
    <row r="190" spans="1:16" ht="18" customHeight="1">
      <c r="A190" s="85"/>
      <c r="B190" s="86"/>
      <c r="C190" s="87"/>
      <c r="D190" s="88">
        <v>228</v>
      </c>
      <c r="E190" s="88">
        <v>910</v>
      </c>
      <c r="F190" s="89">
        <f t="shared" si="137"/>
        <v>20</v>
      </c>
      <c r="G190" s="90">
        <f t="shared" si="135"/>
        <v>45.1981831846551</v>
      </c>
      <c r="H190" s="90">
        <f t="shared" si="136"/>
        <v>91.039999999999992</v>
      </c>
      <c r="I190" s="91" t="str">
        <f t="shared" si="139"/>
        <v>2동5,6라인</v>
      </c>
      <c r="J190" s="92" t="s">
        <v>209</v>
      </c>
      <c r="L190" s="89">
        <v>2</v>
      </c>
      <c r="M190" s="78">
        <f t="shared" si="140"/>
        <v>10</v>
      </c>
      <c r="N190" s="78"/>
      <c r="O190" s="78">
        <f t="shared" si="138"/>
        <v>20</v>
      </c>
    </row>
    <row r="191" spans="1:16" ht="18" customHeight="1">
      <c r="A191" s="85"/>
      <c r="B191" s="86"/>
      <c r="C191" s="87"/>
      <c r="D191" s="88">
        <v>438</v>
      </c>
      <c r="E191" s="88">
        <v>270</v>
      </c>
      <c r="F191" s="89">
        <f t="shared" si="137"/>
        <v>20</v>
      </c>
      <c r="G191" s="90">
        <f t="shared" si="135"/>
        <v>25.762180178413882</v>
      </c>
      <c r="H191" s="90">
        <f t="shared" si="136"/>
        <v>56.64</v>
      </c>
      <c r="I191" s="91" t="str">
        <f t="shared" si="139"/>
        <v>2동5,6라인</v>
      </c>
      <c r="J191" s="92" t="s">
        <v>210</v>
      </c>
      <c r="L191" s="89">
        <v>2</v>
      </c>
      <c r="M191" s="78">
        <f t="shared" si="140"/>
        <v>10</v>
      </c>
      <c r="N191" s="78"/>
      <c r="O191" s="78">
        <f t="shared" si="138"/>
        <v>20</v>
      </c>
    </row>
    <row r="192" spans="1:16" ht="18" customHeight="1">
      <c r="A192" s="85"/>
      <c r="B192" s="86"/>
      <c r="C192" s="87"/>
      <c r="D192" s="88">
        <v>208</v>
      </c>
      <c r="E192" s="88">
        <v>910</v>
      </c>
      <c r="F192" s="89">
        <f t="shared" si="137"/>
        <v>20</v>
      </c>
      <c r="G192" s="90">
        <f t="shared" si="135"/>
        <v>41.233430273720444</v>
      </c>
      <c r="H192" s="90">
        <f t="shared" si="136"/>
        <v>89.44</v>
      </c>
      <c r="I192" s="91" t="str">
        <f t="shared" si="139"/>
        <v>2동5,6라인</v>
      </c>
      <c r="J192" s="92" t="s">
        <v>211</v>
      </c>
      <c r="L192" s="89">
        <v>2</v>
      </c>
      <c r="M192" s="78">
        <f>M191</f>
        <v>10</v>
      </c>
      <c r="N192" s="78"/>
      <c r="O192" s="78">
        <f t="shared" si="138"/>
        <v>20</v>
      </c>
    </row>
    <row r="193" spans="1:16" ht="18" customHeight="1">
      <c r="A193" s="85"/>
      <c r="B193" s="93"/>
      <c r="C193" s="87"/>
      <c r="D193" s="325" t="s">
        <v>0</v>
      </c>
      <c r="E193" s="325"/>
      <c r="F193" s="94">
        <f>SUM(F186:F192)</f>
        <v>150</v>
      </c>
      <c r="G193" s="95">
        <f>SUM(G186:G192)</f>
        <v>1223.3462950255423</v>
      </c>
      <c r="H193" s="96">
        <f>SUM(H186:H192)</f>
        <v>1006.24</v>
      </c>
      <c r="I193" s="97"/>
      <c r="J193" s="162"/>
    </row>
    <row r="194" spans="1:16" ht="18" customHeight="1">
      <c r="A194" s="85"/>
      <c r="B194" s="93"/>
      <c r="C194" s="87"/>
      <c r="D194" s="161"/>
      <c r="E194" s="161"/>
      <c r="F194" s="89"/>
      <c r="G194" s="100"/>
      <c r="H194" s="101"/>
      <c r="I194" s="102"/>
      <c r="J194" s="121"/>
      <c r="L194" s="78" t="s">
        <v>48</v>
      </c>
      <c r="M194" s="78" t="s">
        <v>54</v>
      </c>
      <c r="N194" s="78" t="s">
        <v>50</v>
      </c>
      <c r="O194" s="78" t="s">
        <v>55</v>
      </c>
    </row>
    <row r="195" spans="1:16" ht="18" customHeight="1">
      <c r="A195" s="85"/>
      <c r="B195" s="23" t="s">
        <v>197</v>
      </c>
      <c r="C195" s="24">
        <v>22</v>
      </c>
      <c r="D195" s="88">
        <v>761</v>
      </c>
      <c r="E195" s="88">
        <v>1810</v>
      </c>
      <c r="F195" s="89">
        <f t="shared" ref="F195:F201" si="141">O195</f>
        <v>20</v>
      </c>
      <c r="G195" s="90">
        <f t="shared" ref="G195:G201" si="142">D195*E195/91809*F195</f>
        <v>300.05990698079711</v>
      </c>
      <c r="H195" s="90">
        <f t="shared" ref="H195:H201" si="143">(D195/1000)*4*F195+(E195/1000)*4*F195</f>
        <v>205.68</v>
      </c>
      <c r="I195" s="91" t="str">
        <f t="shared" ref="I195:I201" si="144">I186</f>
        <v>2동5,6라인</v>
      </c>
      <c r="J195" s="92" t="s">
        <v>212</v>
      </c>
      <c r="L195" s="89">
        <v>2</v>
      </c>
      <c r="M195" s="78">
        <f>M186</f>
        <v>10</v>
      </c>
      <c r="N195" s="84"/>
      <c r="O195" s="78">
        <f>L195*M195-N195*L195</f>
        <v>20</v>
      </c>
    </row>
    <row r="196" spans="1:16" ht="18" customHeight="1">
      <c r="A196" s="85"/>
      <c r="B196" s="86"/>
      <c r="C196" s="87"/>
      <c r="D196" s="88">
        <v>1688</v>
      </c>
      <c r="E196" s="88">
        <v>1810</v>
      </c>
      <c r="F196" s="89">
        <f t="shared" si="141"/>
        <v>10</v>
      </c>
      <c r="G196" s="90">
        <f t="shared" si="142"/>
        <v>332.78654598133079</v>
      </c>
      <c r="H196" s="90">
        <f t="shared" si="143"/>
        <v>139.92000000000002</v>
      </c>
      <c r="I196" s="91" t="str">
        <f t="shared" si="144"/>
        <v>2동5,6라인</v>
      </c>
      <c r="J196" s="92" t="s">
        <v>213</v>
      </c>
      <c r="L196" s="89">
        <v>1</v>
      </c>
      <c r="M196" s="78">
        <f>M195</f>
        <v>10</v>
      </c>
      <c r="N196" s="84"/>
      <c r="O196" s="78">
        <f>L196*M196-N196*L196</f>
        <v>10</v>
      </c>
    </row>
    <row r="197" spans="1:16" ht="18" customHeight="1">
      <c r="A197" s="104"/>
      <c r="B197" s="93"/>
      <c r="C197" s="87"/>
      <c r="D197" s="88">
        <v>738</v>
      </c>
      <c r="E197" s="88">
        <v>1310</v>
      </c>
      <c r="F197" s="89">
        <f t="shared" si="141"/>
        <v>40</v>
      </c>
      <c r="G197" s="90">
        <f t="shared" si="142"/>
        <v>421.2136065091658</v>
      </c>
      <c r="H197" s="90">
        <f t="shared" si="143"/>
        <v>327.68</v>
      </c>
      <c r="I197" s="91" t="str">
        <f t="shared" si="144"/>
        <v>2동5,6라인</v>
      </c>
      <c r="J197" s="92" t="s">
        <v>214</v>
      </c>
      <c r="L197" s="89">
        <v>4</v>
      </c>
      <c r="M197" s="78">
        <f t="shared" ref="M197:M201" si="145">M196</f>
        <v>10</v>
      </c>
      <c r="N197" s="84"/>
      <c r="O197" s="78">
        <f t="shared" ref="O197:O201" si="146">L197*M197-N197*L197</f>
        <v>40</v>
      </c>
    </row>
    <row r="198" spans="1:16" ht="18" customHeight="1">
      <c r="A198" s="104"/>
      <c r="B198" s="93"/>
      <c r="C198" s="87"/>
      <c r="D198" s="88">
        <v>288</v>
      </c>
      <c r="E198" s="88">
        <v>910</v>
      </c>
      <c r="F198" s="89">
        <f t="shared" si="141"/>
        <v>20</v>
      </c>
      <c r="G198" s="90">
        <f t="shared" si="142"/>
        <v>57.09244191745907</v>
      </c>
      <c r="H198" s="90">
        <f t="shared" si="143"/>
        <v>95.84</v>
      </c>
      <c r="I198" s="91" t="str">
        <f t="shared" si="144"/>
        <v>2동5,6라인</v>
      </c>
      <c r="J198" s="92" t="s">
        <v>215</v>
      </c>
      <c r="L198" s="89">
        <v>2</v>
      </c>
      <c r="M198" s="78">
        <f t="shared" si="145"/>
        <v>10</v>
      </c>
      <c r="N198" s="78"/>
      <c r="O198" s="78">
        <f t="shared" si="146"/>
        <v>20</v>
      </c>
    </row>
    <row r="199" spans="1:16" ht="18" customHeight="1">
      <c r="A199" s="104"/>
      <c r="B199" s="93"/>
      <c r="C199" s="87"/>
      <c r="D199" s="88">
        <v>228</v>
      </c>
      <c r="E199" s="88">
        <v>910</v>
      </c>
      <c r="F199" s="89">
        <f t="shared" si="141"/>
        <v>20</v>
      </c>
      <c r="G199" s="90">
        <f t="shared" si="142"/>
        <v>45.1981831846551</v>
      </c>
      <c r="H199" s="90">
        <f t="shared" si="143"/>
        <v>91.039999999999992</v>
      </c>
      <c r="I199" s="91" t="str">
        <f t="shared" si="144"/>
        <v>2동5,6라인</v>
      </c>
      <c r="J199" s="92" t="s">
        <v>216</v>
      </c>
      <c r="L199" s="89">
        <v>2</v>
      </c>
      <c r="M199" s="78">
        <f t="shared" si="145"/>
        <v>10</v>
      </c>
      <c r="N199" s="78"/>
      <c r="O199" s="78">
        <f t="shared" si="146"/>
        <v>20</v>
      </c>
    </row>
    <row r="200" spans="1:16" ht="18" customHeight="1">
      <c r="A200" s="104"/>
      <c r="B200" s="93"/>
      <c r="C200" s="87"/>
      <c r="D200" s="88">
        <v>438</v>
      </c>
      <c r="E200" s="88">
        <v>270</v>
      </c>
      <c r="F200" s="89">
        <f t="shared" si="141"/>
        <v>20</v>
      </c>
      <c r="G200" s="90">
        <f t="shared" si="142"/>
        <v>25.762180178413882</v>
      </c>
      <c r="H200" s="90">
        <f t="shared" si="143"/>
        <v>56.64</v>
      </c>
      <c r="I200" s="91" t="str">
        <f t="shared" si="144"/>
        <v>2동5,6라인</v>
      </c>
      <c r="J200" s="92" t="s">
        <v>217</v>
      </c>
      <c r="L200" s="89">
        <v>2</v>
      </c>
      <c r="M200" s="78">
        <f t="shared" si="145"/>
        <v>10</v>
      </c>
      <c r="N200" s="78"/>
      <c r="O200" s="78">
        <f t="shared" si="146"/>
        <v>20</v>
      </c>
    </row>
    <row r="201" spans="1:16" ht="18" customHeight="1">
      <c r="A201" s="104"/>
      <c r="B201" s="93"/>
      <c r="C201" s="87"/>
      <c r="D201" s="88">
        <v>208</v>
      </c>
      <c r="E201" s="88">
        <v>910</v>
      </c>
      <c r="F201" s="89">
        <f t="shared" si="141"/>
        <v>20</v>
      </c>
      <c r="G201" s="90">
        <f t="shared" si="142"/>
        <v>41.233430273720444</v>
      </c>
      <c r="H201" s="90">
        <f t="shared" si="143"/>
        <v>89.44</v>
      </c>
      <c r="I201" s="91" t="str">
        <f t="shared" si="144"/>
        <v>2동5,6라인</v>
      </c>
      <c r="J201" s="92" t="s">
        <v>218</v>
      </c>
      <c r="L201" s="89">
        <v>2</v>
      </c>
      <c r="M201" s="78">
        <f t="shared" si="145"/>
        <v>10</v>
      </c>
      <c r="N201" s="78"/>
      <c r="O201" s="78">
        <f t="shared" si="146"/>
        <v>20</v>
      </c>
    </row>
    <row r="202" spans="1:16" ht="18" customHeight="1">
      <c r="A202" s="104"/>
      <c r="B202" s="87"/>
      <c r="C202" s="87"/>
      <c r="D202" s="325" t="s">
        <v>0</v>
      </c>
      <c r="E202" s="325"/>
      <c r="F202" s="171">
        <f>SUM(F195:F201)</f>
        <v>150</v>
      </c>
      <c r="G202" s="95">
        <f>SUM(G195:G201)</f>
        <v>1223.3462950255423</v>
      </c>
      <c r="H202" s="95">
        <f>SUM(H195:H201)</f>
        <v>1006.24</v>
      </c>
      <c r="I202" s="97"/>
      <c r="J202" s="98"/>
    </row>
    <row r="203" spans="1:16">
      <c r="A203" s="105"/>
      <c r="B203" s="9"/>
      <c r="C203" s="9"/>
      <c r="D203" s="51"/>
      <c r="E203" s="51"/>
      <c r="F203" s="51"/>
      <c r="G203" s="106"/>
      <c r="H203" s="106"/>
      <c r="I203" s="9"/>
      <c r="J203" s="107"/>
    </row>
    <row r="204" spans="1:16" ht="18" customHeight="1">
      <c r="A204" s="85"/>
      <c r="B204" s="163" t="s">
        <v>199</v>
      </c>
      <c r="C204" s="163">
        <v>22</v>
      </c>
      <c r="D204" s="88">
        <v>738</v>
      </c>
      <c r="E204" s="88">
        <v>1810</v>
      </c>
      <c r="F204" s="89">
        <f t="shared" ref="F204:F205" si="147">O204</f>
        <v>20</v>
      </c>
      <c r="G204" s="90">
        <f t="shared" ref="G204:G205" si="148">D204*E204/91809*F204</f>
        <v>290.99107930595039</v>
      </c>
      <c r="H204" s="90">
        <f t="shared" ref="H204:H205" si="149">(D204/1000)*4*F204+(E204/1000)*4*F204</f>
        <v>203.84</v>
      </c>
      <c r="I204" s="91" t="str">
        <f>I195</f>
        <v>2동5,6라인</v>
      </c>
      <c r="J204" s="92" t="s">
        <v>219</v>
      </c>
      <c r="L204" s="89">
        <v>2</v>
      </c>
      <c r="M204" s="78">
        <f>M186</f>
        <v>10</v>
      </c>
      <c r="N204" s="84"/>
      <c r="O204" s="78">
        <f>L204*M204-N204*L204</f>
        <v>20</v>
      </c>
      <c r="P204" s="64"/>
    </row>
    <row r="205" spans="1:16" ht="18" customHeight="1">
      <c r="A205" s="85"/>
      <c r="B205" s="86"/>
      <c r="C205" s="87"/>
      <c r="D205" s="88">
        <v>250</v>
      </c>
      <c r="E205" s="88">
        <v>930</v>
      </c>
      <c r="F205" s="89">
        <f t="shared" si="147"/>
        <v>20</v>
      </c>
      <c r="G205" s="90">
        <f t="shared" si="148"/>
        <v>50.648629219357574</v>
      </c>
      <c r="H205" s="90">
        <f t="shared" si="149"/>
        <v>94.4</v>
      </c>
      <c r="I205" s="91" t="str">
        <f>I204</f>
        <v>2동5,6라인</v>
      </c>
      <c r="J205" s="92" t="s">
        <v>220</v>
      </c>
      <c r="L205" s="89">
        <v>2</v>
      </c>
      <c r="M205" s="78">
        <f>M204</f>
        <v>10</v>
      </c>
      <c r="N205" s="84"/>
      <c r="O205" s="78">
        <f t="shared" ref="O205" si="150">L205*M205-N205*L205</f>
        <v>20</v>
      </c>
    </row>
    <row r="206" spans="1:16" ht="18" customHeight="1">
      <c r="A206" s="85"/>
      <c r="B206" s="93"/>
      <c r="C206" s="87"/>
      <c r="D206" s="325" t="s">
        <v>0</v>
      </c>
      <c r="E206" s="325"/>
      <c r="F206" s="94">
        <f>SUM(F204:F205)</f>
        <v>40</v>
      </c>
      <c r="G206" s="95">
        <f>SUM(G204:G205)</f>
        <v>341.63970852530798</v>
      </c>
      <c r="H206" s="95">
        <f>SUM(H204:H205)</f>
        <v>298.24</v>
      </c>
      <c r="I206" s="97"/>
      <c r="J206" s="98"/>
    </row>
    <row r="207" spans="1:16" ht="18" customHeight="1">
      <c r="A207" s="253"/>
      <c r="B207" s="254"/>
      <c r="C207" s="255"/>
      <c r="D207" s="361"/>
      <c r="E207" s="361"/>
      <c r="F207" s="256"/>
      <c r="G207" s="257"/>
      <c r="H207" s="258"/>
      <c r="I207" s="259"/>
      <c r="J207" s="260"/>
      <c r="L207" s="250"/>
      <c r="M207" s="250"/>
      <c r="N207" s="250"/>
      <c r="O207" s="250"/>
    </row>
    <row r="208" spans="1:16" ht="18" customHeight="1">
      <c r="A208" s="85">
        <v>74</v>
      </c>
      <c r="B208" s="23" t="s">
        <v>201</v>
      </c>
      <c r="C208" s="24">
        <v>22</v>
      </c>
      <c r="D208" s="88">
        <v>861</v>
      </c>
      <c r="E208" s="88">
        <v>1810</v>
      </c>
      <c r="F208" s="89">
        <f t="shared" ref="F208:F212" si="151">O208</f>
        <v>10</v>
      </c>
      <c r="G208" s="90">
        <f t="shared" ref="G208:G212" si="152">D208*E208/91809*F208</f>
        <v>169.7447962618044</v>
      </c>
      <c r="H208" s="90">
        <f t="shared" ref="H208:H212" si="153">(D208/1000)*4*F208+(E208/1000)*4*F208</f>
        <v>106.84</v>
      </c>
      <c r="I208" s="91" t="s">
        <v>251</v>
      </c>
      <c r="J208" s="92" t="s">
        <v>205</v>
      </c>
      <c r="L208" s="89">
        <v>1</v>
      </c>
      <c r="M208" s="78">
        <v>10</v>
      </c>
      <c r="N208" s="84"/>
      <c r="O208" s="78">
        <f>L208*M208-N208*L208</f>
        <v>10</v>
      </c>
      <c r="P208" s="64"/>
    </row>
    <row r="209" spans="1:15" ht="18" customHeight="1">
      <c r="A209" s="85"/>
      <c r="B209" s="86"/>
      <c r="C209" s="87"/>
      <c r="D209" s="88">
        <v>738</v>
      </c>
      <c r="E209" s="88">
        <v>1310</v>
      </c>
      <c r="F209" s="89">
        <f t="shared" si="151"/>
        <v>40</v>
      </c>
      <c r="G209" s="90">
        <f t="shared" si="152"/>
        <v>421.2136065091658</v>
      </c>
      <c r="H209" s="90">
        <f t="shared" si="153"/>
        <v>327.68</v>
      </c>
      <c r="I209" s="91" t="str">
        <f>I208</f>
        <v>3동1,2라인</v>
      </c>
      <c r="J209" s="92" t="s">
        <v>207</v>
      </c>
      <c r="L209" s="89">
        <v>4</v>
      </c>
      <c r="M209" s="78">
        <f>M208</f>
        <v>10</v>
      </c>
      <c r="N209" s="84"/>
      <c r="O209" s="78">
        <f t="shared" ref="O209:O212" si="154">L209*M209-N209*L209</f>
        <v>40</v>
      </c>
    </row>
    <row r="210" spans="1:15" ht="18" customHeight="1">
      <c r="A210" s="85"/>
      <c r="B210" s="86"/>
      <c r="C210" s="87"/>
      <c r="D210" s="88">
        <v>288</v>
      </c>
      <c r="E210" s="88">
        <v>910</v>
      </c>
      <c r="F210" s="89">
        <f t="shared" si="151"/>
        <v>20</v>
      </c>
      <c r="G210" s="90">
        <f t="shared" si="152"/>
        <v>57.09244191745907</v>
      </c>
      <c r="H210" s="90">
        <f t="shared" si="153"/>
        <v>95.84</v>
      </c>
      <c r="I210" s="91" t="str">
        <f t="shared" ref="I210:I211" si="155">I209</f>
        <v>3동1,2라인</v>
      </c>
      <c r="J210" s="92" t="s">
        <v>208</v>
      </c>
      <c r="L210" s="89">
        <v>2</v>
      </c>
      <c r="M210" s="78">
        <f t="shared" ref="M210" si="156">M209</f>
        <v>10</v>
      </c>
      <c r="N210" s="78"/>
      <c r="O210" s="78">
        <f t="shared" si="154"/>
        <v>20</v>
      </c>
    </row>
    <row r="211" spans="1:15" ht="18" customHeight="1">
      <c r="A211" s="85"/>
      <c r="B211" s="86"/>
      <c r="C211" s="87"/>
      <c r="D211" s="88">
        <v>228</v>
      </c>
      <c r="E211" s="88">
        <v>910</v>
      </c>
      <c r="F211" s="89">
        <f t="shared" si="151"/>
        <v>20</v>
      </c>
      <c r="G211" s="90">
        <f t="shared" si="152"/>
        <v>45.1981831846551</v>
      </c>
      <c r="H211" s="90">
        <f t="shared" si="153"/>
        <v>91.039999999999992</v>
      </c>
      <c r="I211" s="91" t="str">
        <f t="shared" si="155"/>
        <v>3동1,2라인</v>
      </c>
      <c r="J211" s="92" t="s">
        <v>209</v>
      </c>
      <c r="L211" s="89">
        <v>2</v>
      </c>
      <c r="M211" s="78">
        <f>M210</f>
        <v>10</v>
      </c>
      <c r="N211" s="78"/>
      <c r="O211" s="78">
        <f t="shared" si="154"/>
        <v>20</v>
      </c>
    </row>
    <row r="212" spans="1:15" ht="18" customHeight="1">
      <c r="A212" s="85"/>
      <c r="B212" s="86"/>
      <c r="C212" s="87"/>
      <c r="D212" s="88">
        <v>438</v>
      </c>
      <c r="E212" s="88">
        <v>270</v>
      </c>
      <c r="F212" s="89">
        <f t="shared" si="151"/>
        <v>20</v>
      </c>
      <c r="G212" s="90">
        <f t="shared" si="152"/>
        <v>25.762180178413882</v>
      </c>
      <c r="H212" s="90">
        <f t="shared" si="153"/>
        <v>56.64</v>
      </c>
      <c r="I212" s="91" t="str">
        <f>I210</f>
        <v>3동1,2라인</v>
      </c>
      <c r="J212" s="92" t="s">
        <v>210</v>
      </c>
      <c r="L212" s="89">
        <v>2</v>
      </c>
      <c r="M212" s="78">
        <f>M210</f>
        <v>10</v>
      </c>
      <c r="N212" s="78"/>
      <c r="O212" s="78">
        <f t="shared" si="154"/>
        <v>20</v>
      </c>
    </row>
    <row r="213" spans="1:15" ht="18" customHeight="1">
      <c r="A213" s="85"/>
      <c r="B213" s="93"/>
      <c r="C213" s="87"/>
      <c r="D213" s="325" t="s">
        <v>0</v>
      </c>
      <c r="E213" s="325"/>
      <c r="F213" s="94">
        <f>SUM(F208:F212)</f>
        <v>110</v>
      </c>
      <c r="G213" s="95">
        <f>SUM(G208:G212)</f>
        <v>719.01120805149833</v>
      </c>
      <c r="H213" s="96">
        <f>SUM(H208:H212)</f>
        <v>678.04</v>
      </c>
      <c r="I213" s="97"/>
      <c r="J213" s="162"/>
    </row>
    <row r="214" spans="1:15" ht="18" customHeight="1">
      <c r="A214" s="85"/>
      <c r="B214" s="93"/>
      <c r="C214" s="87"/>
      <c r="D214" s="161"/>
      <c r="E214" s="161"/>
      <c r="F214" s="89"/>
      <c r="G214" s="100"/>
      <c r="H214" s="101"/>
      <c r="I214" s="102"/>
      <c r="J214" s="121"/>
      <c r="L214" s="252"/>
      <c r="M214" s="252"/>
      <c r="N214" s="252"/>
      <c r="O214" s="252"/>
    </row>
    <row r="215" spans="1:15" ht="18" customHeight="1">
      <c r="A215" s="85"/>
      <c r="B215" s="23" t="s">
        <v>198</v>
      </c>
      <c r="C215" s="24">
        <v>22</v>
      </c>
      <c r="D215" s="88">
        <v>861</v>
      </c>
      <c r="E215" s="88">
        <v>1810</v>
      </c>
      <c r="F215" s="89">
        <f t="shared" ref="F215:F220" si="157">O215</f>
        <v>10</v>
      </c>
      <c r="G215" s="90">
        <f t="shared" ref="G215:G220" si="158">D215*E215/91809*F215</f>
        <v>169.7447962618044</v>
      </c>
      <c r="H215" s="90">
        <f t="shared" ref="H215:H220" si="159">(D215/1000)*4*F215+(E215/1000)*4*F215</f>
        <v>106.84</v>
      </c>
      <c r="I215" s="91" t="str">
        <f>I208</f>
        <v>3동1,2라인</v>
      </c>
      <c r="J215" s="92" t="s">
        <v>212</v>
      </c>
      <c r="L215" s="89">
        <v>1</v>
      </c>
      <c r="M215" s="78">
        <f>M208</f>
        <v>10</v>
      </c>
      <c r="N215" s="84"/>
      <c r="O215" s="78">
        <f>L215*M215-N215*L215</f>
        <v>10</v>
      </c>
    </row>
    <row r="216" spans="1:15" ht="18" customHeight="1">
      <c r="A216" s="85"/>
      <c r="B216" s="86"/>
      <c r="C216" s="87"/>
      <c r="D216" s="88">
        <v>2114</v>
      </c>
      <c r="E216" s="88">
        <v>1810</v>
      </c>
      <c r="F216" s="89">
        <f t="shared" si="157"/>
        <v>10</v>
      </c>
      <c r="G216" s="90">
        <f t="shared" si="158"/>
        <v>416.77177618751978</v>
      </c>
      <c r="H216" s="90">
        <f t="shared" si="159"/>
        <v>156.96</v>
      </c>
      <c r="I216" s="91" t="str">
        <f>I208</f>
        <v>3동1,2라인</v>
      </c>
      <c r="J216" s="92" t="s">
        <v>213</v>
      </c>
      <c r="L216" s="89">
        <v>1</v>
      </c>
      <c r="M216" s="78">
        <f>M215</f>
        <v>10</v>
      </c>
      <c r="N216" s="84"/>
      <c r="O216" s="78">
        <f>L216*M216-N216*L216</f>
        <v>10</v>
      </c>
    </row>
    <row r="217" spans="1:15" ht="18" customHeight="1">
      <c r="A217" s="104"/>
      <c r="B217" s="93"/>
      <c r="C217" s="87"/>
      <c r="D217" s="88">
        <v>738</v>
      </c>
      <c r="E217" s="88">
        <v>1310</v>
      </c>
      <c r="F217" s="89">
        <f t="shared" si="157"/>
        <v>40</v>
      </c>
      <c r="G217" s="90">
        <f t="shared" si="158"/>
        <v>421.2136065091658</v>
      </c>
      <c r="H217" s="90">
        <f t="shared" si="159"/>
        <v>327.68</v>
      </c>
      <c r="I217" s="91" t="str">
        <f>I216</f>
        <v>3동1,2라인</v>
      </c>
      <c r="J217" s="92" t="s">
        <v>214</v>
      </c>
      <c r="L217" s="89">
        <v>4</v>
      </c>
      <c r="M217" s="78">
        <f t="shared" ref="M217:M220" si="160">M216</f>
        <v>10</v>
      </c>
      <c r="N217" s="84"/>
      <c r="O217" s="78">
        <f t="shared" ref="O217:O220" si="161">L217*M217-N217*L217</f>
        <v>40</v>
      </c>
    </row>
    <row r="218" spans="1:15" ht="18" customHeight="1">
      <c r="A218" s="104"/>
      <c r="B218" s="93"/>
      <c r="C218" s="87"/>
      <c r="D218" s="88">
        <v>288</v>
      </c>
      <c r="E218" s="88">
        <v>910</v>
      </c>
      <c r="F218" s="89">
        <f t="shared" si="157"/>
        <v>20</v>
      </c>
      <c r="G218" s="90">
        <f t="shared" si="158"/>
        <v>57.09244191745907</v>
      </c>
      <c r="H218" s="90">
        <f t="shared" si="159"/>
        <v>95.84</v>
      </c>
      <c r="I218" s="91" t="str">
        <f>I217</f>
        <v>3동1,2라인</v>
      </c>
      <c r="J218" s="92" t="s">
        <v>215</v>
      </c>
      <c r="L218" s="89">
        <v>2</v>
      </c>
      <c r="M218" s="78">
        <f>M217</f>
        <v>10</v>
      </c>
      <c r="N218" s="84"/>
      <c r="O218" s="78">
        <f t="shared" si="161"/>
        <v>20</v>
      </c>
    </row>
    <row r="219" spans="1:15" ht="18" customHeight="1">
      <c r="A219" s="104"/>
      <c r="B219" s="93"/>
      <c r="C219" s="87"/>
      <c r="D219" s="88">
        <v>228</v>
      </c>
      <c r="E219" s="88">
        <v>910</v>
      </c>
      <c r="F219" s="89">
        <f t="shared" si="157"/>
        <v>20</v>
      </c>
      <c r="G219" s="90">
        <f t="shared" si="158"/>
        <v>45.1981831846551</v>
      </c>
      <c r="H219" s="90">
        <f t="shared" si="159"/>
        <v>91.039999999999992</v>
      </c>
      <c r="I219" s="91" t="str">
        <f>I217</f>
        <v>3동1,2라인</v>
      </c>
      <c r="J219" s="92" t="s">
        <v>216</v>
      </c>
      <c r="L219" s="89">
        <v>2</v>
      </c>
      <c r="M219" s="78">
        <f>M217</f>
        <v>10</v>
      </c>
      <c r="N219" s="78"/>
      <c r="O219" s="78">
        <f t="shared" si="161"/>
        <v>20</v>
      </c>
    </row>
    <row r="220" spans="1:15" ht="18" customHeight="1">
      <c r="A220" s="104"/>
      <c r="B220" s="93"/>
      <c r="C220" s="87"/>
      <c r="D220" s="88">
        <v>438</v>
      </c>
      <c r="E220" s="88">
        <v>270</v>
      </c>
      <c r="F220" s="89">
        <f t="shared" si="157"/>
        <v>20</v>
      </c>
      <c r="G220" s="90">
        <f t="shared" si="158"/>
        <v>25.762180178413882</v>
      </c>
      <c r="H220" s="90">
        <f t="shared" si="159"/>
        <v>56.64</v>
      </c>
      <c r="I220" s="91" t="str">
        <f t="shared" ref="I220" si="162">I219</f>
        <v>3동1,2라인</v>
      </c>
      <c r="J220" s="92" t="s">
        <v>217</v>
      </c>
      <c r="L220" s="89">
        <v>2</v>
      </c>
      <c r="M220" s="78">
        <f t="shared" si="160"/>
        <v>10</v>
      </c>
      <c r="N220" s="78"/>
      <c r="O220" s="78">
        <f t="shared" si="161"/>
        <v>20</v>
      </c>
    </row>
    <row r="221" spans="1:15" ht="18" customHeight="1">
      <c r="A221" s="104"/>
      <c r="B221" s="87"/>
      <c r="C221" s="87"/>
      <c r="D221" s="325" t="s">
        <v>0</v>
      </c>
      <c r="E221" s="325"/>
      <c r="F221" s="171">
        <f>SUM(F215:F220)</f>
        <v>120</v>
      </c>
      <c r="G221" s="95">
        <f>SUM(G215:G220)</f>
        <v>1135.7829842390181</v>
      </c>
      <c r="H221" s="95">
        <f>SUM(H215:H220)</f>
        <v>835</v>
      </c>
      <c r="I221" s="97"/>
      <c r="J221" s="98"/>
    </row>
    <row r="222" spans="1:15">
      <c r="A222" s="105"/>
      <c r="B222" s="9"/>
      <c r="C222" s="9"/>
      <c r="D222" s="51"/>
      <c r="E222" s="51"/>
      <c r="F222" s="51"/>
      <c r="G222" s="106"/>
      <c r="H222" s="106"/>
      <c r="I222" s="9"/>
      <c r="J222" s="107"/>
    </row>
    <row r="223" spans="1:15" ht="18" customHeight="1">
      <c r="A223" s="85"/>
      <c r="B223" s="23" t="s">
        <v>237</v>
      </c>
      <c r="C223" s="24">
        <v>22</v>
      </c>
      <c r="D223" s="88">
        <v>2114</v>
      </c>
      <c r="E223" s="88">
        <v>1810</v>
      </c>
      <c r="F223" s="89">
        <f t="shared" ref="F223" si="163">O223</f>
        <v>10</v>
      </c>
      <c r="G223" s="90">
        <f t="shared" ref="G223" si="164">D223*E223/91809*F223</f>
        <v>416.77177618751978</v>
      </c>
      <c r="H223" s="90">
        <f t="shared" ref="H223" si="165">(D223/1000)*4*F223+(E223/1000)*4*F223</f>
        <v>156.96</v>
      </c>
      <c r="I223" s="91" t="str">
        <f>I215</f>
        <v>3동1,2라인</v>
      </c>
      <c r="J223" s="92" t="s">
        <v>206</v>
      </c>
      <c r="L223" s="89">
        <v>1</v>
      </c>
      <c r="M223" s="78">
        <f>M208</f>
        <v>10</v>
      </c>
      <c r="N223" s="84"/>
      <c r="O223" s="78">
        <f>L223*M223-N223*L223</f>
        <v>10</v>
      </c>
    </row>
    <row r="224" spans="1:15" ht="18" customHeight="1">
      <c r="A224" s="85"/>
      <c r="B224" s="93"/>
      <c r="C224" s="87"/>
      <c r="D224" s="325" t="s">
        <v>0</v>
      </c>
      <c r="E224" s="325"/>
      <c r="F224" s="94">
        <f>SUM(F223:F223)</f>
        <v>10</v>
      </c>
      <c r="G224" s="95">
        <f>SUM(G223:G223)</f>
        <v>416.77177618751978</v>
      </c>
      <c r="H224" s="95">
        <f>SUM(H223:H223)</f>
        <v>156.96</v>
      </c>
      <c r="I224" s="97"/>
      <c r="J224" s="98"/>
    </row>
    <row r="225" spans="1:16" ht="18" customHeight="1">
      <c r="A225" s="218"/>
      <c r="B225" s="219"/>
      <c r="C225" s="220"/>
      <c r="D225" s="161"/>
      <c r="E225" s="161"/>
      <c r="F225" s="89"/>
      <c r="G225" s="100"/>
      <c r="H225" s="100"/>
      <c r="I225" s="102"/>
      <c r="J225" s="221"/>
    </row>
    <row r="226" spans="1:16" ht="18" customHeight="1">
      <c r="A226" s="85"/>
      <c r="B226" s="23" t="s">
        <v>203</v>
      </c>
      <c r="C226" s="24">
        <v>22</v>
      </c>
      <c r="D226" s="88">
        <v>638</v>
      </c>
      <c r="E226" s="88">
        <v>1810</v>
      </c>
      <c r="F226" s="89">
        <f t="shared" ref="F226:F227" si="166">O226</f>
        <v>10</v>
      </c>
      <c r="G226" s="90">
        <f t="shared" ref="G226:G227" si="167">D226*E226/91809*F226</f>
        <v>125.78069688156936</v>
      </c>
      <c r="H226" s="90">
        <f t="shared" ref="H226:H227" si="168">(D226/1000)*4*F226+(E226/1000)*4*F226</f>
        <v>97.92</v>
      </c>
      <c r="I226" s="91" t="str">
        <f>I223</f>
        <v>3동1,2라인</v>
      </c>
      <c r="J226" s="92" t="s">
        <v>219</v>
      </c>
      <c r="L226" s="89">
        <v>2</v>
      </c>
      <c r="M226" s="78">
        <f>M223</f>
        <v>10</v>
      </c>
      <c r="N226" s="84">
        <v>5</v>
      </c>
      <c r="O226" s="78">
        <f>L226*M226-N226*L226</f>
        <v>10</v>
      </c>
      <c r="P226" s="64" t="s">
        <v>247</v>
      </c>
    </row>
    <row r="227" spans="1:16" ht="18" customHeight="1">
      <c r="A227" s="85"/>
      <c r="B227" s="86"/>
      <c r="C227" s="87"/>
      <c r="D227" s="88">
        <v>250</v>
      </c>
      <c r="E227" s="88">
        <v>930</v>
      </c>
      <c r="F227" s="89">
        <f t="shared" si="166"/>
        <v>20</v>
      </c>
      <c r="G227" s="90">
        <f t="shared" si="167"/>
        <v>50.648629219357574</v>
      </c>
      <c r="H227" s="90">
        <f t="shared" si="168"/>
        <v>94.4</v>
      </c>
      <c r="I227" s="91" t="str">
        <f>I226</f>
        <v>3동1,2라인</v>
      </c>
      <c r="J227" s="92" t="s">
        <v>220</v>
      </c>
      <c r="L227" s="89">
        <v>2</v>
      </c>
      <c r="M227" s="78">
        <f>M226</f>
        <v>10</v>
      </c>
      <c r="N227" s="84"/>
      <c r="O227" s="78">
        <f t="shared" ref="O227" si="169">L227*M227-N227*L227</f>
        <v>20</v>
      </c>
    </row>
    <row r="228" spans="1:16" ht="18" customHeight="1">
      <c r="A228" s="85"/>
      <c r="B228" s="93"/>
      <c r="C228" s="87"/>
      <c r="D228" s="325" t="s">
        <v>0</v>
      </c>
      <c r="E228" s="325"/>
      <c r="F228" s="94">
        <f>SUM(F226:F227)</f>
        <v>30</v>
      </c>
      <c r="G228" s="95">
        <f>SUM(G226:G227)</f>
        <v>176.42932610092691</v>
      </c>
      <c r="H228" s="96">
        <f>SUM(H226:H227)</f>
        <v>192.32</v>
      </c>
      <c r="I228" s="97"/>
      <c r="J228" s="162"/>
    </row>
    <row r="229" spans="1:16">
      <c r="A229" s="16"/>
      <c r="B229" s="16"/>
      <c r="C229" s="16"/>
      <c r="D229" s="261"/>
      <c r="E229" s="261"/>
      <c r="F229" s="261"/>
      <c r="G229" s="19"/>
      <c r="H229" s="19"/>
      <c r="I229" s="16"/>
      <c r="J229" s="16"/>
    </row>
    <row r="230" spans="1:16" ht="18" customHeight="1">
      <c r="A230" s="85" t="s">
        <v>235</v>
      </c>
      <c r="B230" s="23" t="s">
        <v>201</v>
      </c>
      <c r="C230" s="24">
        <v>22</v>
      </c>
      <c r="D230" s="88">
        <v>861</v>
      </c>
      <c r="E230" s="88">
        <v>1810</v>
      </c>
      <c r="F230" s="89">
        <f t="shared" ref="F230:F233" si="170">O230</f>
        <v>5</v>
      </c>
      <c r="G230" s="90">
        <f t="shared" ref="G230:G233" si="171">D230*E230/91809*F230</f>
        <v>84.872398130902198</v>
      </c>
      <c r="H230" s="90">
        <f t="shared" ref="H230:H233" si="172">(D230/1000)*4*F230+(E230/1000)*4*F230</f>
        <v>53.42</v>
      </c>
      <c r="I230" s="91" t="s">
        <v>252</v>
      </c>
      <c r="J230" s="92" t="s">
        <v>205</v>
      </c>
      <c r="L230" s="89">
        <v>1</v>
      </c>
      <c r="M230" s="78">
        <v>5</v>
      </c>
      <c r="N230" s="84"/>
      <c r="O230" s="78">
        <f>L230*M230-N230*L230</f>
        <v>5</v>
      </c>
      <c r="P230" s="64"/>
    </row>
    <row r="231" spans="1:16" ht="18" customHeight="1">
      <c r="A231" s="85"/>
      <c r="B231" s="86"/>
      <c r="C231" s="87"/>
      <c r="D231" s="88">
        <v>738</v>
      </c>
      <c r="E231" s="88">
        <v>1310</v>
      </c>
      <c r="F231" s="89">
        <f t="shared" si="170"/>
        <v>20</v>
      </c>
      <c r="G231" s="90">
        <f t="shared" si="171"/>
        <v>210.6068032545829</v>
      </c>
      <c r="H231" s="90">
        <f t="shared" si="172"/>
        <v>163.84</v>
      </c>
      <c r="I231" s="91" t="str">
        <f>I230</f>
        <v>3동3라인</v>
      </c>
      <c r="J231" s="92" t="s">
        <v>207</v>
      </c>
      <c r="L231" s="89">
        <v>4</v>
      </c>
      <c r="M231" s="78">
        <f>M230</f>
        <v>5</v>
      </c>
      <c r="N231" s="84"/>
      <c r="O231" s="78">
        <f t="shared" ref="O231:O233" si="173">L231*M231-N231*L231</f>
        <v>20</v>
      </c>
    </row>
    <row r="232" spans="1:16" ht="18" customHeight="1">
      <c r="A232" s="85"/>
      <c r="B232" s="86"/>
      <c r="C232" s="87"/>
      <c r="D232" s="88">
        <v>228</v>
      </c>
      <c r="E232" s="88">
        <v>910</v>
      </c>
      <c r="F232" s="89">
        <f t="shared" si="170"/>
        <v>10</v>
      </c>
      <c r="G232" s="90">
        <f t="shared" si="171"/>
        <v>22.59909159232755</v>
      </c>
      <c r="H232" s="90">
        <f t="shared" si="172"/>
        <v>45.519999999999996</v>
      </c>
      <c r="I232" s="91" t="str">
        <f t="shared" ref="I232:I233" si="174">I231</f>
        <v>3동3라인</v>
      </c>
      <c r="J232" s="92" t="s">
        <v>209</v>
      </c>
      <c r="L232" s="89">
        <v>2</v>
      </c>
      <c r="M232" s="78">
        <f t="shared" ref="M232:M233" si="175">M231</f>
        <v>5</v>
      </c>
      <c r="N232" s="78"/>
      <c r="O232" s="78">
        <f t="shared" si="173"/>
        <v>10</v>
      </c>
    </row>
    <row r="233" spans="1:16" ht="18" customHeight="1">
      <c r="A233" s="85"/>
      <c r="B233" s="86"/>
      <c r="C233" s="87"/>
      <c r="D233" s="88">
        <v>438</v>
      </c>
      <c r="E233" s="88">
        <v>270</v>
      </c>
      <c r="F233" s="89">
        <f t="shared" si="170"/>
        <v>10</v>
      </c>
      <c r="G233" s="90">
        <f t="shared" si="171"/>
        <v>12.881090089206941</v>
      </c>
      <c r="H233" s="90">
        <f t="shared" si="172"/>
        <v>28.32</v>
      </c>
      <c r="I233" s="91" t="str">
        <f t="shared" si="174"/>
        <v>3동3라인</v>
      </c>
      <c r="J233" s="92" t="s">
        <v>210</v>
      </c>
      <c r="L233" s="89">
        <v>2</v>
      </c>
      <c r="M233" s="78">
        <f t="shared" si="175"/>
        <v>5</v>
      </c>
      <c r="N233" s="78"/>
      <c r="O233" s="78">
        <f t="shared" si="173"/>
        <v>10</v>
      </c>
    </row>
    <row r="234" spans="1:16" ht="18" customHeight="1">
      <c r="A234" s="85"/>
      <c r="B234" s="93"/>
      <c r="C234" s="87"/>
      <c r="D234" s="325" t="s">
        <v>0</v>
      </c>
      <c r="E234" s="325"/>
      <c r="F234" s="94">
        <f>SUM(F230:F233)</f>
        <v>45</v>
      </c>
      <c r="G234" s="95">
        <f>SUM(G230:G233)</f>
        <v>330.95938306701964</v>
      </c>
      <c r="H234" s="96">
        <f>SUM(H230:H233)</f>
        <v>291.09999999999997</v>
      </c>
      <c r="I234" s="97"/>
      <c r="J234" s="162"/>
    </row>
    <row r="235" spans="1:16" ht="18" customHeight="1">
      <c r="A235" s="85"/>
      <c r="B235" s="93"/>
      <c r="C235" s="87"/>
      <c r="D235" s="161"/>
      <c r="E235" s="161"/>
      <c r="F235" s="89"/>
      <c r="G235" s="100"/>
      <c r="H235" s="101"/>
      <c r="I235" s="102"/>
      <c r="J235" s="121"/>
      <c r="L235" s="252"/>
      <c r="M235" s="252"/>
      <c r="N235" s="252"/>
      <c r="O235" s="252"/>
    </row>
    <row r="236" spans="1:16" ht="18" customHeight="1">
      <c r="A236" s="85"/>
      <c r="B236" s="23" t="s">
        <v>198</v>
      </c>
      <c r="C236" s="24">
        <v>22</v>
      </c>
      <c r="D236" s="88">
        <v>861</v>
      </c>
      <c r="E236" s="88">
        <v>1810</v>
      </c>
      <c r="F236" s="89">
        <f t="shared" ref="F236:F240" si="176">O236</f>
        <v>5</v>
      </c>
      <c r="G236" s="90">
        <f t="shared" ref="G236:G240" si="177">D236*E236/91809*F236</f>
        <v>84.872398130902198</v>
      </c>
      <c r="H236" s="90">
        <f t="shared" ref="H236:H240" si="178">(D236/1000)*4*F236+(E236/1000)*4*F236</f>
        <v>53.42</v>
      </c>
      <c r="I236" s="91" t="str">
        <f>I230</f>
        <v>3동3라인</v>
      </c>
      <c r="J236" s="92" t="s">
        <v>212</v>
      </c>
      <c r="L236" s="89">
        <v>1</v>
      </c>
      <c r="M236" s="78">
        <f>M230</f>
        <v>5</v>
      </c>
      <c r="N236" s="84"/>
      <c r="O236" s="78">
        <f>L236*M236-N236*L236</f>
        <v>5</v>
      </c>
    </row>
    <row r="237" spans="1:16" ht="18" customHeight="1">
      <c r="A237" s="85"/>
      <c r="B237" s="86"/>
      <c r="C237" s="87"/>
      <c r="D237" s="88">
        <v>2114</v>
      </c>
      <c r="E237" s="88">
        <v>1810</v>
      </c>
      <c r="F237" s="89">
        <f t="shared" si="176"/>
        <v>5</v>
      </c>
      <c r="G237" s="90">
        <f t="shared" si="177"/>
        <v>208.38588809375989</v>
      </c>
      <c r="H237" s="90">
        <f t="shared" si="178"/>
        <v>78.48</v>
      </c>
      <c r="I237" s="91" t="str">
        <f>I230</f>
        <v>3동3라인</v>
      </c>
      <c r="J237" s="92" t="s">
        <v>213</v>
      </c>
      <c r="L237" s="89">
        <v>1</v>
      </c>
      <c r="M237" s="78">
        <f>M236</f>
        <v>5</v>
      </c>
      <c r="N237" s="84"/>
      <c r="O237" s="78">
        <f>L237*M237-N237*L237</f>
        <v>5</v>
      </c>
    </row>
    <row r="238" spans="1:16" ht="18" customHeight="1">
      <c r="A238" s="104"/>
      <c r="B238" s="93"/>
      <c r="C238" s="87"/>
      <c r="D238" s="88">
        <v>738</v>
      </c>
      <c r="E238" s="88">
        <v>1310</v>
      </c>
      <c r="F238" s="89">
        <f t="shared" si="176"/>
        <v>20</v>
      </c>
      <c r="G238" s="90">
        <f t="shared" si="177"/>
        <v>210.6068032545829</v>
      </c>
      <c r="H238" s="90">
        <f t="shared" si="178"/>
        <v>163.84</v>
      </c>
      <c r="I238" s="91" t="str">
        <f>I237</f>
        <v>3동3라인</v>
      </c>
      <c r="J238" s="92" t="s">
        <v>214</v>
      </c>
      <c r="L238" s="89">
        <v>4</v>
      </c>
      <c r="M238" s="78">
        <f t="shared" ref="M238:M240" si="179">M237</f>
        <v>5</v>
      </c>
      <c r="N238" s="84"/>
      <c r="O238" s="78">
        <f t="shared" ref="O238:O240" si="180">L238*M238-N238*L238</f>
        <v>20</v>
      </c>
    </row>
    <row r="239" spans="1:16" ht="18" customHeight="1">
      <c r="A239" s="104"/>
      <c r="B239" s="93"/>
      <c r="C239" s="87"/>
      <c r="D239" s="88">
        <v>228</v>
      </c>
      <c r="E239" s="88">
        <v>910</v>
      </c>
      <c r="F239" s="89">
        <f t="shared" si="176"/>
        <v>10</v>
      </c>
      <c r="G239" s="90">
        <f t="shared" si="177"/>
        <v>22.59909159232755</v>
      </c>
      <c r="H239" s="90">
        <f t="shared" si="178"/>
        <v>45.519999999999996</v>
      </c>
      <c r="I239" s="91" t="str">
        <f t="shared" ref="I239:I240" si="181">I238</f>
        <v>3동3라인</v>
      </c>
      <c r="J239" s="92" t="s">
        <v>216</v>
      </c>
      <c r="L239" s="89">
        <v>2</v>
      </c>
      <c r="M239" s="78">
        <f t="shared" si="179"/>
        <v>5</v>
      </c>
      <c r="N239" s="78"/>
      <c r="O239" s="78">
        <f t="shared" si="180"/>
        <v>10</v>
      </c>
    </row>
    <row r="240" spans="1:16" ht="18" customHeight="1">
      <c r="A240" s="104"/>
      <c r="B240" s="93"/>
      <c r="C240" s="87"/>
      <c r="D240" s="88">
        <v>438</v>
      </c>
      <c r="E240" s="88">
        <v>270</v>
      </c>
      <c r="F240" s="89">
        <f t="shared" si="176"/>
        <v>10</v>
      </c>
      <c r="G240" s="90">
        <f t="shared" si="177"/>
        <v>12.881090089206941</v>
      </c>
      <c r="H240" s="90">
        <f t="shared" si="178"/>
        <v>28.32</v>
      </c>
      <c r="I240" s="91" t="str">
        <f t="shared" si="181"/>
        <v>3동3라인</v>
      </c>
      <c r="J240" s="92" t="s">
        <v>217</v>
      </c>
      <c r="L240" s="89">
        <v>2</v>
      </c>
      <c r="M240" s="78">
        <f t="shared" si="179"/>
        <v>5</v>
      </c>
      <c r="N240" s="78"/>
      <c r="O240" s="78">
        <f t="shared" si="180"/>
        <v>10</v>
      </c>
    </row>
    <row r="241" spans="1:16" ht="18" customHeight="1">
      <c r="A241" s="104"/>
      <c r="B241" s="87"/>
      <c r="C241" s="87"/>
      <c r="D241" s="325" t="s">
        <v>0</v>
      </c>
      <c r="E241" s="325"/>
      <c r="F241" s="171">
        <f>SUM(F236:F240)</f>
        <v>50</v>
      </c>
      <c r="G241" s="95">
        <f>SUM(G236:G240)</f>
        <v>539.34527116077948</v>
      </c>
      <c r="H241" s="95">
        <f>SUM(H236:H240)</f>
        <v>369.58</v>
      </c>
      <c r="I241" s="97"/>
      <c r="J241" s="98"/>
    </row>
    <row r="242" spans="1:16">
      <c r="A242" s="105"/>
      <c r="B242" s="9"/>
      <c r="C242" s="9"/>
      <c r="D242" s="51"/>
      <c r="E242" s="51"/>
      <c r="F242" s="51"/>
      <c r="G242" s="106"/>
      <c r="H242" s="106"/>
      <c r="I242" s="9"/>
      <c r="J242" s="107"/>
    </row>
    <row r="243" spans="1:16" ht="18" customHeight="1">
      <c r="A243" s="85"/>
      <c r="B243" s="23" t="s">
        <v>237</v>
      </c>
      <c r="C243" s="24">
        <v>22</v>
      </c>
      <c r="D243" s="88">
        <v>2114</v>
      </c>
      <c r="E243" s="88">
        <v>1810</v>
      </c>
      <c r="F243" s="89">
        <f t="shared" ref="F243" si="182">O243</f>
        <v>5</v>
      </c>
      <c r="G243" s="90">
        <f t="shared" ref="G243" si="183">D243*E243/91809*F243</f>
        <v>208.38588809375989</v>
      </c>
      <c r="H243" s="90">
        <f t="shared" ref="H243" si="184">(D243/1000)*4*F243+(E243/1000)*4*F243</f>
        <v>78.48</v>
      </c>
      <c r="I243" s="91" t="str">
        <f>I236</f>
        <v>3동3라인</v>
      </c>
      <c r="J243" s="92" t="s">
        <v>206</v>
      </c>
      <c r="L243" s="89">
        <v>1</v>
      </c>
      <c r="M243" s="78">
        <f>M230</f>
        <v>5</v>
      </c>
      <c r="N243" s="84"/>
      <c r="O243" s="78">
        <f>L243*M243-N243*L243</f>
        <v>5</v>
      </c>
    </row>
    <row r="244" spans="1:16" ht="18" customHeight="1">
      <c r="A244" s="85"/>
      <c r="B244" s="93"/>
      <c r="C244" s="87"/>
      <c r="D244" s="325" t="s">
        <v>0</v>
      </c>
      <c r="E244" s="325"/>
      <c r="F244" s="94">
        <f>SUM(F243:F243)</f>
        <v>5</v>
      </c>
      <c r="G244" s="95">
        <f>SUM(G243:G243)</f>
        <v>208.38588809375989</v>
      </c>
      <c r="H244" s="95">
        <f>SUM(H243:H243)</f>
        <v>78.48</v>
      </c>
      <c r="I244" s="97"/>
      <c r="J244" s="98"/>
    </row>
    <row r="245" spans="1:16" ht="18" customHeight="1">
      <c r="A245" s="218"/>
      <c r="B245" s="219"/>
      <c r="C245" s="220"/>
      <c r="D245" s="161"/>
      <c r="E245" s="161"/>
      <c r="F245" s="89"/>
      <c r="G245" s="100"/>
      <c r="H245" s="100"/>
      <c r="I245" s="102"/>
      <c r="J245" s="221"/>
    </row>
    <row r="246" spans="1:16" ht="18" customHeight="1">
      <c r="A246" s="85"/>
      <c r="B246" s="23" t="s">
        <v>203</v>
      </c>
      <c r="C246" s="24">
        <v>22</v>
      </c>
      <c r="D246" s="88">
        <v>738</v>
      </c>
      <c r="E246" s="88">
        <v>1810</v>
      </c>
      <c r="F246" s="89">
        <f t="shared" ref="F246:F247" si="185">O246</f>
        <v>10</v>
      </c>
      <c r="G246" s="90">
        <f t="shared" ref="G246:G247" si="186">D246*E246/91809*F246</f>
        <v>145.4955396529752</v>
      </c>
      <c r="H246" s="90">
        <f t="shared" ref="H246:H247" si="187">(D246/1000)*4*F246+(E246/1000)*4*F246</f>
        <v>101.92</v>
      </c>
      <c r="I246" s="91" t="str">
        <f>I243</f>
        <v>3동3라인</v>
      </c>
      <c r="J246" s="92" t="s">
        <v>219</v>
      </c>
      <c r="L246" s="89">
        <v>2</v>
      </c>
      <c r="M246" s="78">
        <f>M243</f>
        <v>5</v>
      </c>
      <c r="N246" s="84"/>
      <c r="O246" s="78">
        <f>L246*M246-N246*L246</f>
        <v>10</v>
      </c>
      <c r="P246" s="64"/>
    </row>
    <row r="247" spans="1:16" ht="18" customHeight="1">
      <c r="A247" s="85"/>
      <c r="B247" s="86"/>
      <c r="C247" s="87"/>
      <c r="D247" s="88">
        <v>250</v>
      </c>
      <c r="E247" s="88">
        <v>930</v>
      </c>
      <c r="F247" s="89">
        <f t="shared" si="185"/>
        <v>10</v>
      </c>
      <c r="G247" s="90">
        <f t="shared" si="186"/>
        <v>25.324314609678787</v>
      </c>
      <c r="H247" s="90">
        <f t="shared" si="187"/>
        <v>47.2</v>
      </c>
      <c r="I247" s="91" t="str">
        <f>I246</f>
        <v>3동3라인</v>
      </c>
      <c r="J247" s="92" t="s">
        <v>220</v>
      </c>
      <c r="L247" s="89">
        <v>2</v>
      </c>
      <c r="M247" s="78">
        <f>M246</f>
        <v>5</v>
      </c>
      <c r="N247" s="84"/>
      <c r="O247" s="78">
        <f t="shared" ref="O247" si="188">L247*M247-N247*L247</f>
        <v>10</v>
      </c>
    </row>
    <row r="248" spans="1:16" ht="18" customHeight="1">
      <c r="A248" s="85"/>
      <c r="B248" s="93"/>
      <c r="C248" s="87"/>
      <c r="D248" s="325" t="s">
        <v>0</v>
      </c>
      <c r="E248" s="325"/>
      <c r="F248" s="94">
        <f>SUM(F246:F247)</f>
        <v>20</v>
      </c>
      <c r="G248" s="95">
        <f>SUM(G246:G247)</f>
        <v>170.81985426265399</v>
      </c>
      <c r="H248" s="96">
        <f>SUM(H246:H247)</f>
        <v>149.12</v>
      </c>
      <c r="I248" s="97"/>
      <c r="J248" s="162"/>
    </row>
    <row r="249" spans="1:16" ht="18" customHeight="1" thickBot="1">
      <c r="A249" s="222"/>
      <c r="B249" s="223"/>
      <c r="C249" s="224"/>
      <c r="D249" s="225"/>
      <c r="E249" s="225"/>
      <c r="F249" s="226"/>
      <c r="G249" s="227"/>
      <c r="H249" s="228"/>
      <c r="I249" s="229"/>
      <c r="J249" s="230"/>
      <c r="L249" s="78" t="s">
        <v>48</v>
      </c>
      <c r="M249" s="78" t="s">
        <v>49</v>
      </c>
      <c r="N249" s="78" t="s">
        <v>50</v>
      </c>
      <c r="O249" s="78" t="s">
        <v>55</v>
      </c>
    </row>
    <row r="250" spans="1:16" ht="18" customHeight="1">
      <c r="A250" s="79" t="s">
        <v>234</v>
      </c>
      <c r="B250" s="231" t="s">
        <v>195</v>
      </c>
      <c r="C250" s="232">
        <v>22</v>
      </c>
      <c r="D250" s="80">
        <v>761</v>
      </c>
      <c r="E250" s="80">
        <v>1810</v>
      </c>
      <c r="F250" s="233">
        <f>O250</f>
        <v>10</v>
      </c>
      <c r="G250" s="81">
        <f t="shared" ref="G250:G256" si="189">D250*E250/91809*F250</f>
        <v>150.02995349039855</v>
      </c>
      <c r="H250" s="81">
        <f t="shared" ref="H250:H256" si="190">(D250/1000)*4*F250+(E250/1000)*4*F250</f>
        <v>102.84</v>
      </c>
      <c r="I250" s="82" t="s">
        <v>253</v>
      </c>
      <c r="J250" s="83" t="s">
        <v>205</v>
      </c>
      <c r="L250" s="89">
        <v>2</v>
      </c>
      <c r="M250" s="78">
        <v>5</v>
      </c>
      <c r="N250" s="84"/>
      <c r="O250" s="78">
        <f>L250*M250-N250*L250</f>
        <v>10</v>
      </c>
      <c r="P250" s="64"/>
    </row>
    <row r="251" spans="1:16" ht="18" customHeight="1">
      <c r="A251" s="85"/>
      <c r="B251" s="86"/>
      <c r="C251" s="87"/>
      <c r="D251" s="88">
        <v>1688</v>
      </c>
      <c r="E251" s="88">
        <v>1810</v>
      </c>
      <c r="F251" s="89">
        <f t="shared" ref="F251:F256" si="191">O251</f>
        <v>5</v>
      </c>
      <c r="G251" s="90">
        <f t="shared" si="189"/>
        <v>166.39327299066539</v>
      </c>
      <c r="H251" s="90">
        <f t="shared" si="190"/>
        <v>69.960000000000008</v>
      </c>
      <c r="I251" s="91" t="str">
        <f>I250</f>
        <v>3동4라인</v>
      </c>
      <c r="J251" s="92" t="s">
        <v>206</v>
      </c>
      <c r="L251" s="89">
        <v>1</v>
      </c>
      <c r="M251" s="78">
        <f>M250</f>
        <v>5</v>
      </c>
      <c r="N251" s="84"/>
      <c r="O251" s="78">
        <f t="shared" ref="O251:O256" si="192">L251*M251-N251*L251</f>
        <v>5</v>
      </c>
    </row>
    <row r="252" spans="1:16" ht="18" customHeight="1">
      <c r="A252" s="85"/>
      <c r="B252" s="86"/>
      <c r="C252" s="87"/>
      <c r="D252" s="88">
        <v>738</v>
      </c>
      <c r="E252" s="88">
        <v>1310</v>
      </c>
      <c r="F252" s="89">
        <f t="shared" si="191"/>
        <v>20</v>
      </c>
      <c r="G252" s="90">
        <f t="shared" si="189"/>
        <v>210.6068032545829</v>
      </c>
      <c r="H252" s="90">
        <f t="shared" si="190"/>
        <v>163.84</v>
      </c>
      <c r="I252" s="91" t="str">
        <f t="shared" ref="I252:I256" si="193">I251</f>
        <v>3동4라인</v>
      </c>
      <c r="J252" s="92" t="s">
        <v>207</v>
      </c>
      <c r="L252" s="89">
        <v>4</v>
      </c>
      <c r="M252" s="78">
        <f t="shared" ref="M252:M255" si="194">M251</f>
        <v>5</v>
      </c>
      <c r="N252" s="78"/>
      <c r="O252" s="78">
        <f t="shared" si="192"/>
        <v>20</v>
      </c>
    </row>
    <row r="253" spans="1:16" ht="18" customHeight="1">
      <c r="A253" s="85"/>
      <c r="B253" s="86"/>
      <c r="C253" s="87"/>
      <c r="D253" s="88">
        <v>288</v>
      </c>
      <c r="E253" s="88">
        <v>910</v>
      </c>
      <c r="F253" s="89">
        <f t="shared" si="191"/>
        <v>10</v>
      </c>
      <c r="G253" s="90">
        <f t="shared" si="189"/>
        <v>28.546220958729535</v>
      </c>
      <c r="H253" s="90">
        <f t="shared" si="190"/>
        <v>47.92</v>
      </c>
      <c r="I253" s="91" t="str">
        <f t="shared" si="193"/>
        <v>3동4라인</v>
      </c>
      <c r="J253" s="92" t="s">
        <v>208</v>
      </c>
      <c r="L253" s="89">
        <v>2</v>
      </c>
      <c r="M253" s="78">
        <f t="shared" si="194"/>
        <v>5</v>
      </c>
      <c r="N253" s="78"/>
      <c r="O253" s="78">
        <f t="shared" si="192"/>
        <v>10</v>
      </c>
    </row>
    <row r="254" spans="1:16" ht="18" customHeight="1">
      <c r="A254" s="85"/>
      <c r="B254" s="86"/>
      <c r="C254" s="87"/>
      <c r="D254" s="88">
        <v>228</v>
      </c>
      <c r="E254" s="88">
        <v>910</v>
      </c>
      <c r="F254" s="89">
        <f t="shared" si="191"/>
        <v>10</v>
      </c>
      <c r="G254" s="90">
        <f t="shared" si="189"/>
        <v>22.59909159232755</v>
      </c>
      <c r="H254" s="90">
        <f t="shared" si="190"/>
        <v>45.519999999999996</v>
      </c>
      <c r="I254" s="91" t="str">
        <f t="shared" si="193"/>
        <v>3동4라인</v>
      </c>
      <c r="J254" s="92" t="s">
        <v>209</v>
      </c>
      <c r="L254" s="89">
        <v>2</v>
      </c>
      <c r="M254" s="78">
        <f t="shared" si="194"/>
        <v>5</v>
      </c>
      <c r="N254" s="78"/>
      <c r="O254" s="78">
        <f t="shared" si="192"/>
        <v>10</v>
      </c>
    </row>
    <row r="255" spans="1:16" ht="18" customHeight="1">
      <c r="A255" s="85"/>
      <c r="B255" s="86"/>
      <c r="C255" s="87"/>
      <c r="D255" s="88">
        <v>438</v>
      </c>
      <c r="E255" s="88">
        <v>270</v>
      </c>
      <c r="F255" s="89">
        <f t="shared" si="191"/>
        <v>10</v>
      </c>
      <c r="G255" s="90">
        <f t="shared" si="189"/>
        <v>12.881090089206941</v>
      </c>
      <c r="H255" s="90">
        <f t="shared" si="190"/>
        <v>28.32</v>
      </c>
      <c r="I255" s="91" t="str">
        <f t="shared" si="193"/>
        <v>3동4라인</v>
      </c>
      <c r="J255" s="92" t="s">
        <v>210</v>
      </c>
      <c r="L255" s="89">
        <v>2</v>
      </c>
      <c r="M255" s="78">
        <f t="shared" si="194"/>
        <v>5</v>
      </c>
      <c r="N255" s="78"/>
      <c r="O255" s="78">
        <f t="shared" si="192"/>
        <v>10</v>
      </c>
    </row>
    <row r="256" spans="1:16" ht="18" customHeight="1">
      <c r="A256" s="85"/>
      <c r="B256" s="86"/>
      <c r="C256" s="87"/>
      <c r="D256" s="88">
        <v>208</v>
      </c>
      <c r="E256" s="88">
        <v>910</v>
      </c>
      <c r="F256" s="89">
        <f t="shared" si="191"/>
        <v>10</v>
      </c>
      <c r="G256" s="90">
        <f t="shared" si="189"/>
        <v>20.616715136860222</v>
      </c>
      <c r="H256" s="90">
        <f t="shared" si="190"/>
        <v>44.72</v>
      </c>
      <c r="I256" s="91" t="str">
        <f t="shared" si="193"/>
        <v>3동4라인</v>
      </c>
      <c r="J256" s="92" t="s">
        <v>211</v>
      </c>
      <c r="L256" s="89">
        <v>2</v>
      </c>
      <c r="M256" s="78">
        <f>M255</f>
        <v>5</v>
      </c>
      <c r="N256" s="78"/>
      <c r="O256" s="78">
        <f t="shared" si="192"/>
        <v>10</v>
      </c>
    </row>
    <row r="257" spans="1:16" ht="18" customHeight="1">
      <c r="A257" s="85"/>
      <c r="B257" s="93"/>
      <c r="C257" s="87"/>
      <c r="D257" s="325" t="s">
        <v>0</v>
      </c>
      <c r="E257" s="325"/>
      <c r="F257" s="94">
        <f>SUM(F250:F256)</f>
        <v>75</v>
      </c>
      <c r="G257" s="95">
        <f>SUM(G250:G256)</f>
        <v>611.67314751277115</v>
      </c>
      <c r="H257" s="96">
        <f>SUM(H250:H256)</f>
        <v>503.12</v>
      </c>
      <c r="I257" s="97"/>
      <c r="J257" s="162"/>
    </row>
    <row r="258" spans="1:16" ht="18" customHeight="1">
      <c r="A258" s="85"/>
      <c r="B258" s="93"/>
      <c r="C258" s="87"/>
      <c r="D258" s="161"/>
      <c r="E258" s="161"/>
      <c r="F258" s="89"/>
      <c r="G258" s="100"/>
      <c r="H258" s="101"/>
      <c r="I258" s="102"/>
      <c r="J258" s="121"/>
      <c r="L258" s="78" t="s">
        <v>48</v>
      </c>
      <c r="M258" s="78" t="s">
        <v>54</v>
      </c>
      <c r="N258" s="78" t="s">
        <v>50</v>
      </c>
      <c r="O258" s="78" t="s">
        <v>55</v>
      </c>
    </row>
    <row r="259" spans="1:16" ht="18" customHeight="1">
      <c r="A259" s="85"/>
      <c r="B259" s="23" t="s">
        <v>197</v>
      </c>
      <c r="C259" s="24">
        <v>22</v>
      </c>
      <c r="D259" s="88">
        <v>761</v>
      </c>
      <c r="E259" s="88">
        <v>1810</v>
      </c>
      <c r="F259" s="89">
        <f t="shared" ref="F259:F265" si="195">O259</f>
        <v>10</v>
      </c>
      <c r="G259" s="90">
        <f t="shared" ref="G259:G265" si="196">D259*E259/91809*F259</f>
        <v>150.02995349039855</v>
      </c>
      <c r="H259" s="90">
        <f t="shared" ref="H259:H265" si="197">(D259/1000)*4*F259+(E259/1000)*4*F259</f>
        <v>102.84</v>
      </c>
      <c r="I259" s="91" t="str">
        <f t="shared" ref="I259:I265" si="198">I250</f>
        <v>3동4라인</v>
      </c>
      <c r="J259" s="92" t="s">
        <v>212</v>
      </c>
      <c r="L259" s="89">
        <v>2</v>
      </c>
      <c r="M259" s="78">
        <f>M250</f>
        <v>5</v>
      </c>
      <c r="N259" s="84"/>
      <c r="O259" s="78">
        <f>L259*M259-N259*L259</f>
        <v>10</v>
      </c>
    </row>
    <row r="260" spans="1:16" ht="18" customHeight="1">
      <c r="A260" s="85"/>
      <c r="B260" s="86"/>
      <c r="C260" s="87"/>
      <c r="D260" s="88">
        <v>1688</v>
      </c>
      <c r="E260" s="88">
        <v>1810</v>
      </c>
      <c r="F260" s="89">
        <f t="shared" si="195"/>
        <v>5</v>
      </c>
      <c r="G260" s="90">
        <f t="shared" si="196"/>
        <v>166.39327299066539</v>
      </c>
      <c r="H260" s="90">
        <f t="shared" si="197"/>
        <v>69.960000000000008</v>
      </c>
      <c r="I260" s="91" t="str">
        <f t="shared" si="198"/>
        <v>3동4라인</v>
      </c>
      <c r="J260" s="92" t="s">
        <v>213</v>
      </c>
      <c r="L260" s="89">
        <v>1</v>
      </c>
      <c r="M260" s="78">
        <f>M259</f>
        <v>5</v>
      </c>
      <c r="N260" s="84"/>
      <c r="O260" s="78">
        <f>L260*M260-N260*L260</f>
        <v>5</v>
      </c>
    </row>
    <row r="261" spans="1:16" ht="18" customHeight="1">
      <c r="A261" s="104"/>
      <c r="B261" s="93"/>
      <c r="C261" s="87"/>
      <c r="D261" s="88">
        <v>738</v>
      </c>
      <c r="E261" s="88">
        <v>1310</v>
      </c>
      <c r="F261" s="89">
        <f t="shared" si="195"/>
        <v>20</v>
      </c>
      <c r="G261" s="90">
        <f t="shared" si="196"/>
        <v>210.6068032545829</v>
      </c>
      <c r="H261" s="90">
        <f t="shared" si="197"/>
        <v>163.84</v>
      </c>
      <c r="I261" s="91" t="str">
        <f t="shared" si="198"/>
        <v>3동4라인</v>
      </c>
      <c r="J261" s="92" t="s">
        <v>214</v>
      </c>
      <c r="L261" s="89">
        <v>4</v>
      </c>
      <c r="M261" s="78">
        <f t="shared" ref="M261:M265" si="199">M260</f>
        <v>5</v>
      </c>
      <c r="N261" s="84"/>
      <c r="O261" s="78">
        <f t="shared" ref="O261:O265" si="200">L261*M261-N261*L261</f>
        <v>20</v>
      </c>
    </row>
    <row r="262" spans="1:16" ht="18" customHeight="1">
      <c r="A262" s="104"/>
      <c r="B262" s="93"/>
      <c r="C262" s="87"/>
      <c r="D262" s="88">
        <v>288</v>
      </c>
      <c r="E262" s="88">
        <v>910</v>
      </c>
      <c r="F262" s="89">
        <f t="shared" si="195"/>
        <v>10</v>
      </c>
      <c r="G262" s="90">
        <f t="shared" si="196"/>
        <v>28.546220958729535</v>
      </c>
      <c r="H262" s="90">
        <f t="shared" si="197"/>
        <v>47.92</v>
      </c>
      <c r="I262" s="91" t="str">
        <f t="shared" si="198"/>
        <v>3동4라인</v>
      </c>
      <c r="J262" s="92" t="s">
        <v>215</v>
      </c>
      <c r="L262" s="89">
        <v>2</v>
      </c>
      <c r="M262" s="78">
        <f t="shared" si="199"/>
        <v>5</v>
      </c>
      <c r="N262" s="78"/>
      <c r="O262" s="78">
        <f t="shared" si="200"/>
        <v>10</v>
      </c>
    </row>
    <row r="263" spans="1:16" ht="18" customHeight="1">
      <c r="A263" s="104"/>
      <c r="B263" s="93"/>
      <c r="C263" s="87"/>
      <c r="D263" s="88">
        <v>228</v>
      </c>
      <c r="E263" s="88">
        <v>910</v>
      </c>
      <c r="F263" s="89">
        <f t="shared" si="195"/>
        <v>10</v>
      </c>
      <c r="G263" s="90">
        <f t="shared" si="196"/>
        <v>22.59909159232755</v>
      </c>
      <c r="H263" s="90">
        <f t="shared" si="197"/>
        <v>45.519999999999996</v>
      </c>
      <c r="I263" s="91" t="str">
        <f t="shared" si="198"/>
        <v>3동4라인</v>
      </c>
      <c r="J263" s="92" t="s">
        <v>216</v>
      </c>
      <c r="L263" s="89">
        <v>2</v>
      </c>
      <c r="M263" s="78">
        <f t="shared" si="199"/>
        <v>5</v>
      </c>
      <c r="N263" s="78"/>
      <c r="O263" s="78">
        <f t="shared" si="200"/>
        <v>10</v>
      </c>
    </row>
    <row r="264" spans="1:16" ht="18" customHeight="1">
      <c r="A264" s="104"/>
      <c r="B264" s="93"/>
      <c r="C264" s="87"/>
      <c r="D264" s="88">
        <v>438</v>
      </c>
      <c r="E264" s="88">
        <v>270</v>
      </c>
      <c r="F264" s="89">
        <f t="shared" si="195"/>
        <v>10</v>
      </c>
      <c r="G264" s="90">
        <f t="shared" si="196"/>
        <v>12.881090089206941</v>
      </c>
      <c r="H264" s="90">
        <f t="shared" si="197"/>
        <v>28.32</v>
      </c>
      <c r="I264" s="91" t="str">
        <f t="shared" si="198"/>
        <v>3동4라인</v>
      </c>
      <c r="J264" s="92" t="s">
        <v>217</v>
      </c>
      <c r="L264" s="89">
        <v>2</v>
      </c>
      <c r="M264" s="78">
        <f t="shared" si="199"/>
        <v>5</v>
      </c>
      <c r="N264" s="78"/>
      <c r="O264" s="78">
        <f t="shared" si="200"/>
        <v>10</v>
      </c>
    </row>
    <row r="265" spans="1:16" ht="18" customHeight="1">
      <c r="A265" s="104"/>
      <c r="B265" s="93"/>
      <c r="C265" s="87"/>
      <c r="D265" s="88">
        <v>208</v>
      </c>
      <c r="E265" s="88">
        <v>910</v>
      </c>
      <c r="F265" s="89">
        <f t="shared" si="195"/>
        <v>10</v>
      </c>
      <c r="G265" s="90">
        <f t="shared" si="196"/>
        <v>20.616715136860222</v>
      </c>
      <c r="H265" s="90">
        <f t="shared" si="197"/>
        <v>44.72</v>
      </c>
      <c r="I265" s="91" t="str">
        <f t="shared" si="198"/>
        <v>3동4라인</v>
      </c>
      <c r="J265" s="92" t="s">
        <v>218</v>
      </c>
      <c r="L265" s="89">
        <v>2</v>
      </c>
      <c r="M265" s="78">
        <f t="shared" si="199"/>
        <v>5</v>
      </c>
      <c r="N265" s="78"/>
      <c r="O265" s="78">
        <f t="shared" si="200"/>
        <v>10</v>
      </c>
    </row>
    <row r="266" spans="1:16" ht="18" customHeight="1">
      <c r="A266" s="104"/>
      <c r="B266" s="87"/>
      <c r="C266" s="87"/>
      <c r="D266" s="325" t="s">
        <v>0</v>
      </c>
      <c r="E266" s="325"/>
      <c r="F266" s="171">
        <f>SUM(F259:F265)</f>
        <v>75</v>
      </c>
      <c r="G266" s="95">
        <f>SUM(G259:G265)</f>
        <v>611.67314751277115</v>
      </c>
      <c r="H266" s="95">
        <f>SUM(H259:H265)</f>
        <v>503.12</v>
      </c>
      <c r="I266" s="97"/>
      <c r="J266" s="98"/>
    </row>
    <row r="267" spans="1:16">
      <c r="A267" s="105"/>
      <c r="B267" s="9"/>
      <c r="C267" s="9"/>
      <c r="D267" s="51"/>
      <c r="E267" s="51"/>
      <c r="F267" s="51"/>
      <c r="G267" s="106"/>
      <c r="H267" s="106"/>
      <c r="I267" s="9"/>
      <c r="J267" s="107"/>
    </row>
    <row r="268" spans="1:16" ht="18" customHeight="1">
      <c r="A268" s="85"/>
      <c r="B268" s="163" t="s">
        <v>199</v>
      </c>
      <c r="C268" s="163">
        <v>22</v>
      </c>
      <c r="D268" s="88">
        <v>738</v>
      </c>
      <c r="E268" s="88">
        <v>1810</v>
      </c>
      <c r="F268" s="89">
        <f t="shared" ref="F268:F269" si="201">O268</f>
        <v>10</v>
      </c>
      <c r="G268" s="90">
        <f t="shared" ref="G268:G269" si="202">D268*E268/91809*F268</f>
        <v>145.4955396529752</v>
      </c>
      <c r="H268" s="90">
        <f t="shared" ref="H268:H269" si="203">(D268/1000)*4*F268+(E268/1000)*4*F268</f>
        <v>101.92</v>
      </c>
      <c r="I268" s="91" t="str">
        <f>I259</f>
        <v>3동4라인</v>
      </c>
      <c r="J268" s="92" t="s">
        <v>219</v>
      </c>
      <c r="L268" s="89">
        <v>2</v>
      </c>
      <c r="M268" s="78">
        <f>M250</f>
        <v>5</v>
      </c>
      <c r="N268" s="84"/>
      <c r="O268" s="78">
        <f>L268*M268-N268*L268</f>
        <v>10</v>
      </c>
      <c r="P268" s="64"/>
    </row>
    <row r="269" spans="1:16" ht="18" customHeight="1">
      <c r="A269" s="85"/>
      <c r="B269" s="86"/>
      <c r="C269" s="87"/>
      <c r="D269" s="88">
        <v>250</v>
      </c>
      <c r="E269" s="88">
        <v>930</v>
      </c>
      <c r="F269" s="89">
        <f t="shared" si="201"/>
        <v>10</v>
      </c>
      <c r="G269" s="90">
        <f t="shared" si="202"/>
        <v>25.324314609678787</v>
      </c>
      <c r="H269" s="90">
        <f t="shared" si="203"/>
        <v>47.2</v>
      </c>
      <c r="I269" s="91" t="str">
        <f>I268</f>
        <v>3동4라인</v>
      </c>
      <c r="J269" s="92" t="s">
        <v>220</v>
      </c>
      <c r="L269" s="89">
        <v>2</v>
      </c>
      <c r="M269" s="78">
        <f>M268</f>
        <v>5</v>
      </c>
      <c r="N269" s="84"/>
      <c r="O269" s="78">
        <f t="shared" ref="O269" si="204">L269*M269-N269*L269</f>
        <v>10</v>
      </c>
    </row>
    <row r="270" spans="1:16" ht="18" customHeight="1">
      <c r="A270" s="85"/>
      <c r="B270" s="93"/>
      <c r="C270" s="87"/>
      <c r="D270" s="325" t="s">
        <v>0</v>
      </c>
      <c r="E270" s="325"/>
      <c r="F270" s="94">
        <f>SUM(F268:F269)</f>
        <v>20</v>
      </c>
      <c r="G270" s="95">
        <f>SUM(G268:G269)</f>
        <v>170.81985426265399</v>
      </c>
      <c r="H270" s="95">
        <f>SUM(H268:H269)</f>
        <v>149.12</v>
      </c>
      <c r="I270" s="97"/>
      <c r="J270" s="98"/>
    </row>
    <row r="271" spans="1:16" ht="18" customHeight="1">
      <c r="A271" s="108"/>
      <c r="B271" s="164"/>
      <c r="C271" s="109"/>
      <c r="D271" s="363"/>
      <c r="E271" s="363"/>
      <c r="F271" s="110"/>
      <c r="G271" s="111"/>
      <c r="H271" s="234"/>
      <c r="I271" s="112"/>
      <c r="J271" s="235"/>
    </row>
    <row r="272" spans="1:16" ht="18" customHeight="1">
      <c r="A272" s="262" t="s">
        <v>234</v>
      </c>
      <c r="B272" s="263" t="s">
        <v>195</v>
      </c>
      <c r="C272" s="264">
        <v>22</v>
      </c>
      <c r="D272" s="265">
        <v>761</v>
      </c>
      <c r="E272" s="265">
        <v>1810</v>
      </c>
      <c r="F272" s="251">
        <f>O272</f>
        <v>20</v>
      </c>
      <c r="G272" s="266">
        <f t="shared" ref="G272:G278" si="205">D272*E272/91809*F272</f>
        <v>300.05990698079711</v>
      </c>
      <c r="H272" s="266">
        <f t="shared" ref="H272:H278" si="206">(D272/1000)*4*F272+(E272/1000)*4*F272</f>
        <v>205.68</v>
      </c>
      <c r="I272" s="267" t="s">
        <v>254</v>
      </c>
      <c r="J272" s="268" t="s">
        <v>205</v>
      </c>
      <c r="L272" s="89">
        <v>2</v>
      </c>
      <c r="M272" s="78">
        <v>10</v>
      </c>
      <c r="N272" s="84"/>
      <c r="O272" s="78">
        <f>L272*M272-N272*L272</f>
        <v>20</v>
      </c>
      <c r="P272" s="64"/>
    </row>
    <row r="273" spans="1:15" ht="18" customHeight="1">
      <c r="A273" s="85"/>
      <c r="B273" s="86"/>
      <c r="C273" s="87"/>
      <c r="D273" s="88">
        <v>1688</v>
      </c>
      <c r="E273" s="88">
        <v>1810</v>
      </c>
      <c r="F273" s="89">
        <f t="shared" ref="F273:F278" si="207">O273</f>
        <v>10</v>
      </c>
      <c r="G273" s="90">
        <f t="shared" si="205"/>
        <v>332.78654598133079</v>
      </c>
      <c r="H273" s="90">
        <f t="shared" si="206"/>
        <v>139.92000000000002</v>
      </c>
      <c r="I273" s="91" t="str">
        <f>I272</f>
        <v>3동5,6라인</v>
      </c>
      <c r="J273" s="92" t="s">
        <v>206</v>
      </c>
      <c r="L273" s="89">
        <v>1</v>
      </c>
      <c r="M273" s="78">
        <f>M272</f>
        <v>10</v>
      </c>
      <c r="N273" s="84"/>
      <c r="O273" s="78">
        <f t="shared" ref="O273:O278" si="208">L273*M273-N273*L273</f>
        <v>10</v>
      </c>
    </row>
    <row r="274" spans="1:15" ht="18" customHeight="1">
      <c r="A274" s="85"/>
      <c r="B274" s="86"/>
      <c r="C274" s="87"/>
      <c r="D274" s="88">
        <v>738</v>
      </c>
      <c r="E274" s="88">
        <v>1310</v>
      </c>
      <c r="F274" s="89">
        <f t="shared" si="207"/>
        <v>40</v>
      </c>
      <c r="G274" s="90">
        <f t="shared" si="205"/>
        <v>421.2136065091658</v>
      </c>
      <c r="H274" s="90">
        <f t="shared" si="206"/>
        <v>327.68</v>
      </c>
      <c r="I274" s="91" t="str">
        <f t="shared" ref="I274:I278" si="209">I273</f>
        <v>3동5,6라인</v>
      </c>
      <c r="J274" s="92" t="s">
        <v>207</v>
      </c>
      <c r="L274" s="89">
        <v>4</v>
      </c>
      <c r="M274" s="78">
        <f t="shared" ref="M274:M277" si="210">M273</f>
        <v>10</v>
      </c>
      <c r="N274" s="78"/>
      <c r="O274" s="78">
        <f t="shared" si="208"/>
        <v>40</v>
      </c>
    </row>
    <row r="275" spans="1:15" ht="18" customHeight="1">
      <c r="A275" s="85"/>
      <c r="B275" s="86"/>
      <c r="C275" s="87"/>
      <c r="D275" s="88">
        <v>288</v>
      </c>
      <c r="E275" s="88">
        <v>910</v>
      </c>
      <c r="F275" s="89">
        <f t="shared" si="207"/>
        <v>20</v>
      </c>
      <c r="G275" s="90">
        <f t="shared" si="205"/>
        <v>57.09244191745907</v>
      </c>
      <c r="H275" s="90">
        <f t="shared" si="206"/>
        <v>95.84</v>
      </c>
      <c r="I275" s="91" t="str">
        <f t="shared" si="209"/>
        <v>3동5,6라인</v>
      </c>
      <c r="J275" s="92" t="s">
        <v>208</v>
      </c>
      <c r="L275" s="89">
        <v>2</v>
      </c>
      <c r="M275" s="78">
        <f t="shared" si="210"/>
        <v>10</v>
      </c>
      <c r="N275" s="78"/>
      <c r="O275" s="78">
        <f t="shared" si="208"/>
        <v>20</v>
      </c>
    </row>
    <row r="276" spans="1:15" ht="18" customHeight="1">
      <c r="A276" s="85"/>
      <c r="B276" s="86"/>
      <c r="C276" s="87"/>
      <c r="D276" s="88">
        <v>228</v>
      </c>
      <c r="E276" s="88">
        <v>910</v>
      </c>
      <c r="F276" s="89">
        <f t="shared" si="207"/>
        <v>20</v>
      </c>
      <c r="G276" s="90">
        <f t="shared" si="205"/>
        <v>45.1981831846551</v>
      </c>
      <c r="H276" s="90">
        <f t="shared" si="206"/>
        <v>91.039999999999992</v>
      </c>
      <c r="I276" s="91" t="str">
        <f t="shared" si="209"/>
        <v>3동5,6라인</v>
      </c>
      <c r="J276" s="92" t="s">
        <v>209</v>
      </c>
      <c r="L276" s="89">
        <v>2</v>
      </c>
      <c r="M276" s="78">
        <f t="shared" si="210"/>
        <v>10</v>
      </c>
      <c r="N276" s="78"/>
      <c r="O276" s="78">
        <f t="shared" si="208"/>
        <v>20</v>
      </c>
    </row>
    <row r="277" spans="1:15" ht="18" customHeight="1">
      <c r="A277" s="85"/>
      <c r="B277" s="86"/>
      <c r="C277" s="87"/>
      <c r="D277" s="88">
        <v>438</v>
      </c>
      <c r="E277" s="88">
        <v>270</v>
      </c>
      <c r="F277" s="89">
        <f t="shared" si="207"/>
        <v>20</v>
      </c>
      <c r="G277" s="90">
        <f t="shared" si="205"/>
        <v>25.762180178413882</v>
      </c>
      <c r="H277" s="90">
        <f t="shared" si="206"/>
        <v>56.64</v>
      </c>
      <c r="I277" s="91" t="str">
        <f t="shared" si="209"/>
        <v>3동5,6라인</v>
      </c>
      <c r="J277" s="92" t="s">
        <v>210</v>
      </c>
      <c r="L277" s="89">
        <v>2</v>
      </c>
      <c r="M277" s="78">
        <f t="shared" si="210"/>
        <v>10</v>
      </c>
      <c r="N277" s="78"/>
      <c r="O277" s="78">
        <f t="shared" si="208"/>
        <v>20</v>
      </c>
    </row>
    <row r="278" spans="1:15" ht="18" customHeight="1">
      <c r="A278" s="85"/>
      <c r="B278" s="86"/>
      <c r="C278" s="87"/>
      <c r="D278" s="88">
        <v>208</v>
      </c>
      <c r="E278" s="88">
        <v>910</v>
      </c>
      <c r="F278" s="89">
        <f t="shared" si="207"/>
        <v>20</v>
      </c>
      <c r="G278" s="90">
        <f t="shared" si="205"/>
        <v>41.233430273720444</v>
      </c>
      <c r="H278" s="90">
        <f t="shared" si="206"/>
        <v>89.44</v>
      </c>
      <c r="I278" s="91" t="str">
        <f t="shared" si="209"/>
        <v>3동5,6라인</v>
      </c>
      <c r="J278" s="92" t="s">
        <v>211</v>
      </c>
      <c r="L278" s="89">
        <v>2</v>
      </c>
      <c r="M278" s="78">
        <f>M277</f>
        <v>10</v>
      </c>
      <c r="N278" s="78"/>
      <c r="O278" s="78">
        <f t="shared" si="208"/>
        <v>20</v>
      </c>
    </row>
    <row r="279" spans="1:15" ht="18" customHeight="1">
      <c r="A279" s="85"/>
      <c r="B279" s="93"/>
      <c r="C279" s="87"/>
      <c r="D279" s="325" t="s">
        <v>0</v>
      </c>
      <c r="E279" s="325"/>
      <c r="F279" s="94">
        <f>SUM(F272:F278)</f>
        <v>150</v>
      </c>
      <c r="G279" s="95">
        <f>SUM(G272:G278)</f>
        <v>1223.3462950255423</v>
      </c>
      <c r="H279" s="96">
        <f>SUM(H272:H278)</f>
        <v>1006.24</v>
      </c>
      <c r="I279" s="97"/>
      <c r="J279" s="162"/>
    </row>
    <row r="280" spans="1:15" ht="18" customHeight="1">
      <c r="A280" s="85"/>
      <c r="B280" s="93"/>
      <c r="C280" s="87"/>
      <c r="D280" s="161"/>
      <c r="E280" s="161"/>
      <c r="F280" s="89"/>
      <c r="G280" s="100"/>
      <c r="H280" s="101"/>
      <c r="I280" s="102"/>
      <c r="J280" s="121"/>
      <c r="L280" s="78" t="s">
        <v>48</v>
      </c>
      <c r="M280" s="78" t="s">
        <v>54</v>
      </c>
      <c r="N280" s="78" t="s">
        <v>50</v>
      </c>
      <c r="O280" s="78" t="s">
        <v>55</v>
      </c>
    </row>
    <row r="281" spans="1:15" ht="18" customHeight="1">
      <c r="A281" s="85"/>
      <c r="B281" s="23" t="s">
        <v>197</v>
      </c>
      <c r="C281" s="24">
        <v>22</v>
      </c>
      <c r="D281" s="88">
        <v>761</v>
      </c>
      <c r="E281" s="88">
        <v>1810</v>
      </c>
      <c r="F281" s="89">
        <f t="shared" ref="F281:F287" si="211">O281</f>
        <v>20</v>
      </c>
      <c r="G281" s="90">
        <f t="shared" ref="G281:G287" si="212">D281*E281/91809*F281</f>
        <v>300.05990698079711</v>
      </c>
      <c r="H281" s="90">
        <f t="shared" ref="H281:H287" si="213">(D281/1000)*4*F281+(E281/1000)*4*F281</f>
        <v>205.68</v>
      </c>
      <c r="I281" s="91" t="str">
        <f t="shared" ref="I281:I287" si="214">I272</f>
        <v>3동5,6라인</v>
      </c>
      <c r="J281" s="92" t="s">
        <v>212</v>
      </c>
      <c r="L281" s="89">
        <v>2</v>
      </c>
      <c r="M281" s="78">
        <f>M272</f>
        <v>10</v>
      </c>
      <c r="N281" s="84"/>
      <c r="O281" s="78">
        <f>L281*M281-N281*L281</f>
        <v>20</v>
      </c>
    </row>
    <row r="282" spans="1:15" ht="18" customHeight="1">
      <c r="A282" s="85"/>
      <c r="B282" s="86"/>
      <c r="C282" s="87"/>
      <c r="D282" s="88">
        <v>1688</v>
      </c>
      <c r="E282" s="88">
        <v>1810</v>
      </c>
      <c r="F282" s="89">
        <f t="shared" si="211"/>
        <v>10</v>
      </c>
      <c r="G282" s="90">
        <f t="shared" si="212"/>
        <v>332.78654598133079</v>
      </c>
      <c r="H282" s="90">
        <f t="shared" si="213"/>
        <v>139.92000000000002</v>
      </c>
      <c r="I282" s="91" t="str">
        <f t="shared" si="214"/>
        <v>3동5,6라인</v>
      </c>
      <c r="J282" s="92" t="s">
        <v>213</v>
      </c>
      <c r="L282" s="89">
        <v>1</v>
      </c>
      <c r="M282" s="78">
        <f>M281</f>
        <v>10</v>
      </c>
      <c r="N282" s="84"/>
      <c r="O282" s="78">
        <f>L282*M282-N282*L282</f>
        <v>10</v>
      </c>
    </row>
    <row r="283" spans="1:15" ht="18" customHeight="1">
      <c r="A283" s="104"/>
      <c r="B283" s="93"/>
      <c r="C283" s="87"/>
      <c r="D283" s="88">
        <v>738</v>
      </c>
      <c r="E283" s="88">
        <v>1310</v>
      </c>
      <c r="F283" s="89">
        <f t="shared" si="211"/>
        <v>40</v>
      </c>
      <c r="G283" s="90">
        <f t="shared" si="212"/>
        <v>421.2136065091658</v>
      </c>
      <c r="H283" s="90">
        <f t="shared" si="213"/>
        <v>327.68</v>
      </c>
      <c r="I283" s="91" t="str">
        <f t="shared" si="214"/>
        <v>3동5,6라인</v>
      </c>
      <c r="J283" s="92" t="s">
        <v>214</v>
      </c>
      <c r="L283" s="89">
        <v>4</v>
      </c>
      <c r="M283" s="78">
        <f t="shared" ref="M283:M287" si="215">M282</f>
        <v>10</v>
      </c>
      <c r="N283" s="84"/>
      <c r="O283" s="78">
        <f t="shared" ref="O283:O287" si="216">L283*M283-N283*L283</f>
        <v>40</v>
      </c>
    </row>
    <row r="284" spans="1:15" ht="18" customHeight="1">
      <c r="A284" s="104"/>
      <c r="B284" s="93"/>
      <c r="C284" s="87"/>
      <c r="D284" s="88">
        <v>288</v>
      </c>
      <c r="E284" s="88">
        <v>910</v>
      </c>
      <c r="F284" s="89">
        <f t="shared" si="211"/>
        <v>20</v>
      </c>
      <c r="G284" s="90">
        <f t="shared" si="212"/>
        <v>57.09244191745907</v>
      </c>
      <c r="H284" s="90">
        <f t="shared" si="213"/>
        <v>95.84</v>
      </c>
      <c r="I284" s="91" t="str">
        <f t="shared" si="214"/>
        <v>3동5,6라인</v>
      </c>
      <c r="J284" s="92" t="s">
        <v>215</v>
      </c>
      <c r="L284" s="89">
        <v>2</v>
      </c>
      <c r="M284" s="78">
        <f t="shared" si="215"/>
        <v>10</v>
      </c>
      <c r="N284" s="78"/>
      <c r="O284" s="78">
        <f t="shared" si="216"/>
        <v>20</v>
      </c>
    </row>
    <row r="285" spans="1:15" ht="18" customHeight="1">
      <c r="A285" s="104"/>
      <c r="B285" s="93"/>
      <c r="C285" s="87"/>
      <c r="D285" s="88">
        <v>228</v>
      </c>
      <c r="E285" s="88">
        <v>910</v>
      </c>
      <c r="F285" s="89">
        <f t="shared" si="211"/>
        <v>20</v>
      </c>
      <c r="G285" s="90">
        <f t="shared" si="212"/>
        <v>45.1981831846551</v>
      </c>
      <c r="H285" s="90">
        <f t="shared" si="213"/>
        <v>91.039999999999992</v>
      </c>
      <c r="I285" s="91" t="str">
        <f t="shared" si="214"/>
        <v>3동5,6라인</v>
      </c>
      <c r="J285" s="92" t="s">
        <v>216</v>
      </c>
      <c r="L285" s="89">
        <v>2</v>
      </c>
      <c r="M285" s="78">
        <f t="shared" si="215"/>
        <v>10</v>
      </c>
      <c r="N285" s="78"/>
      <c r="O285" s="78">
        <f t="shared" si="216"/>
        <v>20</v>
      </c>
    </row>
    <row r="286" spans="1:15" ht="18" customHeight="1">
      <c r="A286" s="104"/>
      <c r="B286" s="93"/>
      <c r="C286" s="87"/>
      <c r="D286" s="88">
        <v>438</v>
      </c>
      <c r="E286" s="88">
        <v>270</v>
      </c>
      <c r="F286" s="89">
        <f t="shared" si="211"/>
        <v>20</v>
      </c>
      <c r="G286" s="90">
        <f t="shared" si="212"/>
        <v>25.762180178413882</v>
      </c>
      <c r="H286" s="90">
        <f t="shared" si="213"/>
        <v>56.64</v>
      </c>
      <c r="I286" s="91" t="str">
        <f t="shared" si="214"/>
        <v>3동5,6라인</v>
      </c>
      <c r="J286" s="92" t="s">
        <v>217</v>
      </c>
      <c r="L286" s="89">
        <v>2</v>
      </c>
      <c r="M286" s="78">
        <f t="shared" si="215"/>
        <v>10</v>
      </c>
      <c r="N286" s="78"/>
      <c r="O286" s="78">
        <f t="shared" si="216"/>
        <v>20</v>
      </c>
    </row>
    <row r="287" spans="1:15" ht="18" customHeight="1">
      <c r="A287" s="104"/>
      <c r="B287" s="93"/>
      <c r="C287" s="87"/>
      <c r="D287" s="88">
        <v>208</v>
      </c>
      <c r="E287" s="88">
        <v>910</v>
      </c>
      <c r="F287" s="89">
        <f t="shared" si="211"/>
        <v>20</v>
      </c>
      <c r="G287" s="90">
        <f t="shared" si="212"/>
        <v>41.233430273720444</v>
      </c>
      <c r="H287" s="90">
        <f t="shared" si="213"/>
        <v>89.44</v>
      </c>
      <c r="I287" s="91" t="str">
        <f t="shared" si="214"/>
        <v>3동5,6라인</v>
      </c>
      <c r="J287" s="92" t="s">
        <v>218</v>
      </c>
      <c r="L287" s="89">
        <v>2</v>
      </c>
      <c r="M287" s="78">
        <f t="shared" si="215"/>
        <v>10</v>
      </c>
      <c r="N287" s="78"/>
      <c r="O287" s="78">
        <f t="shared" si="216"/>
        <v>20</v>
      </c>
    </row>
    <row r="288" spans="1:15" ht="18" customHeight="1">
      <c r="A288" s="104"/>
      <c r="B288" s="87"/>
      <c r="C288" s="87"/>
      <c r="D288" s="325" t="s">
        <v>0</v>
      </c>
      <c r="E288" s="325"/>
      <c r="F288" s="171">
        <f>SUM(F281:F287)</f>
        <v>150</v>
      </c>
      <c r="G288" s="95">
        <f>SUM(G281:G287)</f>
        <v>1223.3462950255423</v>
      </c>
      <c r="H288" s="95">
        <f>SUM(H281:H287)</f>
        <v>1006.24</v>
      </c>
      <c r="I288" s="97"/>
      <c r="J288" s="98"/>
    </row>
    <row r="289" spans="1:16">
      <c r="A289" s="105"/>
      <c r="B289" s="9"/>
      <c r="C289" s="9"/>
      <c r="D289" s="51"/>
      <c r="E289" s="51"/>
      <c r="F289" s="51"/>
      <c r="G289" s="106"/>
      <c r="H289" s="106"/>
      <c r="I289" s="9"/>
      <c r="J289" s="107"/>
    </row>
    <row r="290" spans="1:16" ht="18" customHeight="1">
      <c r="A290" s="85"/>
      <c r="B290" s="163" t="s">
        <v>199</v>
      </c>
      <c r="C290" s="163">
        <v>22</v>
      </c>
      <c r="D290" s="88">
        <v>738</v>
      </c>
      <c r="E290" s="88">
        <v>1810</v>
      </c>
      <c r="F290" s="89">
        <f t="shared" ref="F290:F291" si="217">O290</f>
        <v>20</v>
      </c>
      <c r="G290" s="90">
        <f t="shared" ref="G290:G291" si="218">D290*E290/91809*F290</f>
        <v>290.99107930595039</v>
      </c>
      <c r="H290" s="90">
        <f t="shared" ref="H290:H291" si="219">(D290/1000)*4*F290+(E290/1000)*4*F290</f>
        <v>203.84</v>
      </c>
      <c r="I290" s="91" t="str">
        <f>I281</f>
        <v>3동5,6라인</v>
      </c>
      <c r="J290" s="92" t="s">
        <v>219</v>
      </c>
      <c r="L290" s="89">
        <v>2</v>
      </c>
      <c r="M290" s="78">
        <f>M272</f>
        <v>10</v>
      </c>
      <c r="N290" s="84"/>
      <c r="O290" s="78">
        <f>L290*M290-N290*L290</f>
        <v>20</v>
      </c>
      <c r="P290" s="64"/>
    </row>
    <row r="291" spans="1:16" ht="18" customHeight="1">
      <c r="A291" s="85"/>
      <c r="B291" s="86"/>
      <c r="C291" s="87"/>
      <c r="D291" s="88">
        <v>250</v>
      </c>
      <c r="E291" s="88">
        <v>930</v>
      </c>
      <c r="F291" s="89">
        <f t="shared" si="217"/>
        <v>20</v>
      </c>
      <c r="G291" s="90">
        <f t="shared" si="218"/>
        <v>50.648629219357574</v>
      </c>
      <c r="H291" s="90">
        <f t="shared" si="219"/>
        <v>94.4</v>
      </c>
      <c r="I291" s="91" t="str">
        <f>I290</f>
        <v>3동5,6라인</v>
      </c>
      <c r="J291" s="92" t="s">
        <v>220</v>
      </c>
      <c r="L291" s="89">
        <v>2</v>
      </c>
      <c r="M291" s="78">
        <f>M290</f>
        <v>10</v>
      </c>
      <c r="N291" s="84"/>
      <c r="O291" s="78">
        <f t="shared" ref="O291" si="220">L291*M291-N291*L291</f>
        <v>20</v>
      </c>
    </row>
    <row r="292" spans="1:16" ht="18" customHeight="1">
      <c r="A292" s="85"/>
      <c r="B292" s="93"/>
      <c r="C292" s="87"/>
      <c r="D292" s="325" t="s">
        <v>0</v>
      </c>
      <c r="E292" s="325"/>
      <c r="F292" s="94">
        <f>SUM(F290:F291)</f>
        <v>40</v>
      </c>
      <c r="G292" s="95">
        <f>SUM(G290:G291)</f>
        <v>341.63970852530798</v>
      </c>
      <c r="H292" s="95">
        <f>SUM(H290:H291)</f>
        <v>298.24</v>
      </c>
      <c r="I292" s="97"/>
      <c r="J292" s="98"/>
    </row>
    <row r="293" spans="1:16" ht="18" customHeight="1">
      <c r="A293" s="114"/>
      <c r="B293" s="169"/>
      <c r="C293" s="115"/>
      <c r="D293" s="170"/>
      <c r="E293" s="170"/>
      <c r="F293" s="116"/>
      <c r="G293" s="117"/>
      <c r="H293" s="117"/>
      <c r="I293" s="118"/>
      <c r="J293" s="119"/>
    </row>
    <row r="294" spans="1:16" ht="18" customHeight="1">
      <c r="A294" s="262" t="s">
        <v>234</v>
      </c>
      <c r="B294" s="263" t="s">
        <v>195</v>
      </c>
      <c r="C294" s="264">
        <v>22</v>
      </c>
      <c r="D294" s="265">
        <v>761</v>
      </c>
      <c r="E294" s="265">
        <v>1810</v>
      </c>
      <c r="F294" s="251">
        <f>O294</f>
        <v>20</v>
      </c>
      <c r="G294" s="266">
        <f t="shared" ref="G294:G300" si="221">D294*E294/91809*F294</f>
        <v>300.05990698079711</v>
      </c>
      <c r="H294" s="266">
        <f t="shared" ref="H294:H300" si="222">(D294/1000)*4*F294+(E294/1000)*4*F294</f>
        <v>205.68</v>
      </c>
      <c r="I294" s="267" t="s">
        <v>255</v>
      </c>
      <c r="J294" s="268" t="s">
        <v>205</v>
      </c>
      <c r="L294" s="89">
        <v>2</v>
      </c>
      <c r="M294" s="78">
        <v>10</v>
      </c>
      <c r="N294" s="84"/>
      <c r="O294" s="78">
        <f>L294*M294-N294*L294</f>
        <v>20</v>
      </c>
      <c r="P294" s="64"/>
    </row>
    <row r="295" spans="1:16" ht="18" customHeight="1">
      <c r="A295" s="85"/>
      <c r="B295" s="86"/>
      <c r="C295" s="87"/>
      <c r="D295" s="88">
        <v>1688</v>
      </c>
      <c r="E295" s="88">
        <v>1810</v>
      </c>
      <c r="F295" s="89">
        <f t="shared" ref="F295:F300" si="223">O295</f>
        <v>10</v>
      </c>
      <c r="G295" s="90">
        <f t="shared" si="221"/>
        <v>332.78654598133079</v>
      </c>
      <c r="H295" s="90">
        <f t="shared" si="222"/>
        <v>139.92000000000002</v>
      </c>
      <c r="I295" s="91" t="str">
        <f>I294</f>
        <v>9동1,2라인</v>
      </c>
      <c r="J295" s="92" t="s">
        <v>206</v>
      </c>
      <c r="L295" s="89">
        <v>1</v>
      </c>
      <c r="M295" s="78">
        <f>M294</f>
        <v>10</v>
      </c>
      <c r="N295" s="84"/>
      <c r="O295" s="78">
        <f t="shared" ref="O295:O300" si="224">L295*M295-N295*L295</f>
        <v>10</v>
      </c>
    </row>
    <row r="296" spans="1:16" ht="18" customHeight="1">
      <c r="A296" s="85"/>
      <c r="B296" s="86"/>
      <c r="C296" s="87"/>
      <c r="D296" s="88">
        <v>738</v>
      </c>
      <c r="E296" s="88">
        <v>1310</v>
      </c>
      <c r="F296" s="89">
        <f t="shared" si="223"/>
        <v>40</v>
      </c>
      <c r="G296" s="90">
        <f t="shared" si="221"/>
        <v>421.2136065091658</v>
      </c>
      <c r="H296" s="90">
        <f t="shared" si="222"/>
        <v>327.68</v>
      </c>
      <c r="I296" s="91" t="str">
        <f t="shared" ref="I296:I300" si="225">I295</f>
        <v>9동1,2라인</v>
      </c>
      <c r="J296" s="92" t="s">
        <v>207</v>
      </c>
      <c r="L296" s="89">
        <v>4</v>
      </c>
      <c r="M296" s="78">
        <f t="shared" ref="M296:M299" si="226">M295</f>
        <v>10</v>
      </c>
      <c r="N296" s="78"/>
      <c r="O296" s="78">
        <f t="shared" si="224"/>
        <v>40</v>
      </c>
    </row>
    <row r="297" spans="1:16" ht="18" customHeight="1">
      <c r="A297" s="85"/>
      <c r="B297" s="86"/>
      <c r="C297" s="87"/>
      <c r="D297" s="88">
        <v>288</v>
      </c>
      <c r="E297" s="88">
        <v>910</v>
      </c>
      <c r="F297" s="89">
        <f t="shared" si="223"/>
        <v>20</v>
      </c>
      <c r="G297" s="90">
        <f t="shared" si="221"/>
        <v>57.09244191745907</v>
      </c>
      <c r="H297" s="90">
        <f t="shared" si="222"/>
        <v>95.84</v>
      </c>
      <c r="I297" s="91" t="str">
        <f t="shared" si="225"/>
        <v>9동1,2라인</v>
      </c>
      <c r="J297" s="92" t="s">
        <v>208</v>
      </c>
      <c r="L297" s="89">
        <v>2</v>
      </c>
      <c r="M297" s="78">
        <f t="shared" si="226"/>
        <v>10</v>
      </c>
      <c r="N297" s="78"/>
      <c r="O297" s="78">
        <f t="shared" si="224"/>
        <v>20</v>
      </c>
    </row>
    <row r="298" spans="1:16" ht="18" customHeight="1">
      <c r="A298" s="85"/>
      <c r="B298" s="86"/>
      <c r="C298" s="87"/>
      <c r="D298" s="88">
        <v>228</v>
      </c>
      <c r="E298" s="88">
        <v>910</v>
      </c>
      <c r="F298" s="89">
        <f t="shared" si="223"/>
        <v>20</v>
      </c>
      <c r="G298" s="90">
        <f t="shared" si="221"/>
        <v>45.1981831846551</v>
      </c>
      <c r="H298" s="90">
        <f t="shared" si="222"/>
        <v>91.039999999999992</v>
      </c>
      <c r="I298" s="91" t="str">
        <f t="shared" si="225"/>
        <v>9동1,2라인</v>
      </c>
      <c r="J298" s="92" t="s">
        <v>209</v>
      </c>
      <c r="L298" s="89">
        <v>2</v>
      </c>
      <c r="M298" s="78">
        <f t="shared" si="226"/>
        <v>10</v>
      </c>
      <c r="N298" s="78"/>
      <c r="O298" s="78">
        <f t="shared" si="224"/>
        <v>20</v>
      </c>
    </row>
    <row r="299" spans="1:16" ht="18" customHeight="1">
      <c r="A299" s="85"/>
      <c r="B299" s="86"/>
      <c r="C299" s="87"/>
      <c r="D299" s="88">
        <v>438</v>
      </c>
      <c r="E299" s="88">
        <v>270</v>
      </c>
      <c r="F299" s="89">
        <f t="shared" si="223"/>
        <v>20</v>
      </c>
      <c r="G299" s="90">
        <f t="shared" si="221"/>
        <v>25.762180178413882</v>
      </c>
      <c r="H299" s="90">
        <f t="shared" si="222"/>
        <v>56.64</v>
      </c>
      <c r="I299" s="91" t="str">
        <f t="shared" si="225"/>
        <v>9동1,2라인</v>
      </c>
      <c r="J299" s="92" t="s">
        <v>210</v>
      </c>
      <c r="L299" s="89">
        <v>2</v>
      </c>
      <c r="M299" s="78">
        <f t="shared" si="226"/>
        <v>10</v>
      </c>
      <c r="N299" s="78"/>
      <c r="O299" s="78">
        <f t="shared" si="224"/>
        <v>20</v>
      </c>
    </row>
    <row r="300" spans="1:16" ht="18" customHeight="1">
      <c r="A300" s="85"/>
      <c r="B300" s="86"/>
      <c r="C300" s="87"/>
      <c r="D300" s="88">
        <v>208</v>
      </c>
      <c r="E300" s="88">
        <v>910</v>
      </c>
      <c r="F300" s="89">
        <f t="shared" si="223"/>
        <v>20</v>
      </c>
      <c r="G300" s="90">
        <f t="shared" si="221"/>
        <v>41.233430273720444</v>
      </c>
      <c r="H300" s="90">
        <f t="shared" si="222"/>
        <v>89.44</v>
      </c>
      <c r="I300" s="91" t="str">
        <f t="shared" si="225"/>
        <v>9동1,2라인</v>
      </c>
      <c r="J300" s="92" t="s">
        <v>211</v>
      </c>
      <c r="L300" s="89">
        <v>2</v>
      </c>
      <c r="M300" s="78">
        <f>M299</f>
        <v>10</v>
      </c>
      <c r="N300" s="78"/>
      <c r="O300" s="78">
        <f t="shared" si="224"/>
        <v>20</v>
      </c>
    </row>
    <row r="301" spans="1:16" ht="18" customHeight="1">
      <c r="A301" s="85"/>
      <c r="B301" s="93"/>
      <c r="C301" s="87"/>
      <c r="D301" s="325" t="s">
        <v>0</v>
      </c>
      <c r="E301" s="325"/>
      <c r="F301" s="94">
        <f>SUM(F294:F300)</f>
        <v>150</v>
      </c>
      <c r="G301" s="95">
        <f>SUM(G294:G300)</f>
        <v>1223.3462950255423</v>
      </c>
      <c r="H301" s="96">
        <f>SUM(H294:H300)</f>
        <v>1006.24</v>
      </c>
      <c r="I301" s="97"/>
      <c r="J301" s="162"/>
    </row>
    <row r="302" spans="1:16" ht="18" customHeight="1">
      <c r="A302" s="85"/>
      <c r="B302" s="93"/>
      <c r="C302" s="87"/>
      <c r="D302" s="161"/>
      <c r="E302" s="161"/>
      <c r="F302" s="89"/>
      <c r="G302" s="100"/>
      <c r="H302" s="101"/>
      <c r="I302" s="102"/>
      <c r="J302" s="121"/>
      <c r="L302" s="78" t="s">
        <v>48</v>
      </c>
      <c r="M302" s="78" t="s">
        <v>54</v>
      </c>
      <c r="N302" s="78" t="s">
        <v>50</v>
      </c>
      <c r="O302" s="78" t="s">
        <v>55</v>
      </c>
    </row>
    <row r="303" spans="1:16" ht="18" customHeight="1">
      <c r="A303" s="85"/>
      <c r="B303" s="23" t="s">
        <v>197</v>
      </c>
      <c r="C303" s="24">
        <v>22</v>
      </c>
      <c r="D303" s="88">
        <v>761</v>
      </c>
      <c r="E303" s="88">
        <v>1810</v>
      </c>
      <c r="F303" s="89">
        <f t="shared" ref="F303:F309" si="227">O303</f>
        <v>20</v>
      </c>
      <c r="G303" s="90">
        <f t="shared" ref="G303:G309" si="228">D303*E303/91809*F303</f>
        <v>300.05990698079711</v>
      </c>
      <c r="H303" s="90">
        <f t="shared" ref="H303:H309" si="229">(D303/1000)*4*F303+(E303/1000)*4*F303</f>
        <v>205.68</v>
      </c>
      <c r="I303" s="91" t="str">
        <f t="shared" ref="I303:I309" si="230">I294</f>
        <v>9동1,2라인</v>
      </c>
      <c r="J303" s="92" t="s">
        <v>212</v>
      </c>
      <c r="L303" s="89">
        <v>2</v>
      </c>
      <c r="M303" s="78">
        <f>M294</f>
        <v>10</v>
      </c>
      <c r="N303" s="84"/>
      <c r="O303" s="78">
        <f>L303*M303-N303*L303</f>
        <v>20</v>
      </c>
    </row>
    <row r="304" spans="1:16" ht="18" customHeight="1">
      <c r="A304" s="85"/>
      <c r="B304" s="86"/>
      <c r="C304" s="87"/>
      <c r="D304" s="88">
        <v>1688</v>
      </c>
      <c r="E304" s="88">
        <v>1810</v>
      </c>
      <c r="F304" s="89">
        <f t="shared" si="227"/>
        <v>10</v>
      </c>
      <c r="G304" s="90">
        <f t="shared" si="228"/>
        <v>332.78654598133079</v>
      </c>
      <c r="H304" s="90">
        <f t="shared" si="229"/>
        <v>139.92000000000002</v>
      </c>
      <c r="I304" s="91" t="str">
        <f t="shared" si="230"/>
        <v>9동1,2라인</v>
      </c>
      <c r="J304" s="92" t="s">
        <v>213</v>
      </c>
      <c r="L304" s="89">
        <v>1</v>
      </c>
      <c r="M304" s="78">
        <f>M303</f>
        <v>10</v>
      </c>
      <c r="N304" s="84"/>
      <c r="O304" s="78">
        <f>L304*M304-N304*L304</f>
        <v>10</v>
      </c>
    </row>
    <row r="305" spans="1:16" ht="18" customHeight="1">
      <c r="A305" s="104"/>
      <c r="B305" s="93"/>
      <c r="C305" s="87"/>
      <c r="D305" s="88">
        <v>738</v>
      </c>
      <c r="E305" s="88">
        <v>1310</v>
      </c>
      <c r="F305" s="89">
        <f t="shared" si="227"/>
        <v>40</v>
      </c>
      <c r="G305" s="90">
        <f t="shared" si="228"/>
        <v>421.2136065091658</v>
      </c>
      <c r="H305" s="90">
        <f t="shared" si="229"/>
        <v>327.68</v>
      </c>
      <c r="I305" s="91" t="str">
        <f t="shared" si="230"/>
        <v>9동1,2라인</v>
      </c>
      <c r="J305" s="92" t="s">
        <v>214</v>
      </c>
      <c r="L305" s="89">
        <v>4</v>
      </c>
      <c r="M305" s="78">
        <f t="shared" ref="M305:M309" si="231">M304</f>
        <v>10</v>
      </c>
      <c r="N305" s="84"/>
      <c r="O305" s="78">
        <f t="shared" ref="O305:O309" si="232">L305*M305-N305*L305</f>
        <v>40</v>
      </c>
    </row>
    <row r="306" spans="1:16" ht="18" customHeight="1">
      <c r="A306" s="104"/>
      <c r="B306" s="93"/>
      <c r="C306" s="87"/>
      <c r="D306" s="88">
        <v>288</v>
      </c>
      <c r="E306" s="88">
        <v>910</v>
      </c>
      <c r="F306" s="89">
        <f t="shared" si="227"/>
        <v>20</v>
      </c>
      <c r="G306" s="90">
        <f t="shared" si="228"/>
        <v>57.09244191745907</v>
      </c>
      <c r="H306" s="90">
        <f t="shared" si="229"/>
        <v>95.84</v>
      </c>
      <c r="I306" s="91" t="str">
        <f t="shared" si="230"/>
        <v>9동1,2라인</v>
      </c>
      <c r="J306" s="92" t="s">
        <v>215</v>
      </c>
      <c r="L306" s="89">
        <v>2</v>
      </c>
      <c r="M306" s="78">
        <f t="shared" si="231"/>
        <v>10</v>
      </c>
      <c r="N306" s="78"/>
      <c r="O306" s="78">
        <f t="shared" si="232"/>
        <v>20</v>
      </c>
    </row>
    <row r="307" spans="1:16" ht="18" customHeight="1">
      <c r="A307" s="104"/>
      <c r="B307" s="93"/>
      <c r="C307" s="87"/>
      <c r="D307" s="88">
        <v>228</v>
      </c>
      <c r="E307" s="88">
        <v>910</v>
      </c>
      <c r="F307" s="89">
        <f t="shared" si="227"/>
        <v>20</v>
      </c>
      <c r="G307" s="90">
        <f t="shared" si="228"/>
        <v>45.1981831846551</v>
      </c>
      <c r="H307" s="90">
        <f t="shared" si="229"/>
        <v>91.039999999999992</v>
      </c>
      <c r="I307" s="91" t="str">
        <f t="shared" si="230"/>
        <v>9동1,2라인</v>
      </c>
      <c r="J307" s="92" t="s">
        <v>216</v>
      </c>
      <c r="L307" s="89">
        <v>2</v>
      </c>
      <c r="M307" s="78">
        <f t="shared" si="231"/>
        <v>10</v>
      </c>
      <c r="N307" s="78"/>
      <c r="O307" s="78">
        <f t="shared" si="232"/>
        <v>20</v>
      </c>
    </row>
    <row r="308" spans="1:16" ht="18" customHeight="1">
      <c r="A308" s="104"/>
      <c r="B308" s="93"/>
      <c r="C308" s="87"/>
      <c r="D308" s="88">
        <v>438</v>
      </c>
      <c r="E308" s="88">
        <v>270</v>
      </c>
      <c r="F308" s="89">
        <f t="shared" si="227"/>
        <v>20</v>
      </c>
      <c r="G308" s="90">
        <f t="shared" si="228"/>
        <v>25.762180178413882</v>
      </c>
      <c r="H308" s="90">
        <f t="shared" si="229"/>
        <v>56.64</v>
      </c>
      <c r="I308" s="91" t="str">
        <f t="shared" si="230"/>
        <v>9동1,2라인</v>
      </c>
      <c r="J308" s="92" t="s">
        <v>217</v>
      </c>
      <c r="L308" s="89">
        <v>2</v>
      </c>
      <c r="M308" s="78">
        <f t="shared" si="231"/>
        <v>10</v>
      </c>
      <c r="N308" s="78"/>
      <c r="O308" s="78">
        <f t="shared" si="232"/>
        <v>20</v>
      </c>
    </row>
    <row r="309" spans="1:16" ht="18" customHeight="1">
      <c r="A309" s="104"/>
      <c r="B309" s="93"/>
      <c r="C309" s="87"/>
      <c r="D309" s="88">
        <v>208</v>
      </c>
      <c r="E309" s="88">
        <v>910</v>
      </c>
      <c r="F309" s="89">
        <f t="shared" si="227"/>
        <v>20</v>
      </c>
      <c r="G309" s="90">
        <f t="shared" si="228"/>
        <v>41.233430273720444</v>
      </c>
      <c r="H309" s="90">
        <f t="shared" si="229"/>
        <v>89.44</v>
      </c>
      <c r="I309" s="91" t="str">
        <f t="shared" si="230"/>
        <v>9동1,2라인</v>
      </c>
      <c r="J309" s="92" t="s">
        <v>218</v>
      </c>
      <c r="L309" s="89">
        <v>2</v>
      </c>
      <c r="M309" s="78">
        <f t="shared" si="231"/>
        <v>10</v>
      </c>
      <c r="N309" s="78"/>
      <c r="O309" s="78">
        <f t="shared" si="232"/>
        <v>20</v>
      </c>
    </row>
    <row r="310" spans="1:16" ht="18" customHeight="1">
      <c r="A310" s="104"/>
      <c r="B310" s="87"/>
      <c r="C310" s="87"/>
      <c r="D310" s="325" t="s">
        <v>0</v>
      </c>
      <c r="E310" s="325"/>
      <c r="F310" s="171">
        <f>SUM(F303:F309)</f>
        <v>150</v>
      </c>
      <c r="G310" s="95">
        <f>SUM(G303:G309)</f>
        <v>1223.3462950255423</v>
      </c>
      <c r="H310" s="95">
        <f>SUM(H303:H309)</f>
        <v>1006.24</v>
      </c>
      <c r="I310" s="97"/>
      <c r="J310" s="98"/>
    </row>
    <row r="311" spans="1:16">
      <c r="A311" s="105"/>
      <c r="B311" s="9"/>
      <c r="C311" s="9"/>
      <c r="D311" s="51"/>
      <c r="E311" s="51"/>
      <c r="F311" s="51"/>
      <c r="G311" s="106"/>
      <c r="H311" s="106"/>
      <c r="I311" s="9"/>
      <c r="J311" s="107"/>
    </row>
    <row r="312" spans="1:16" ht="18" customHeight="1">
      <c r="A312" s="85"/>
      <c r="B312" s="163" t="s">
        <v>199</v>
      </c>
      <c r="C312" s="163">
        <v>22</v>
      </c>
      <c r="D312" s="88">
        <v>738</v>
      </c>
      <c r="E312" s="88">
        <v>1810</v>
      </c>
      <c r="F312" s="89">
        <f t="shared" ref="F312:F313" si="233">O312</f>
        <v>10</v>
      </c>
      <c r="G312" s="90">
        <f t="shared" ref="G312:G313" si="234">D312*E312/91809*F312</f>
        <v>145.4955396529752</v>
      </c>
      <c r="H312" s="90">
        <f t="shared" ref="H312:H313" si="235">(D312/1000)*4*F312+(E312/1000)*4*F312</f>
        <v>101.92</v>
      </c>
      <c r="I312" s="91" t="str">
        <f>I303</f>
        <v>9동1,2라인</v>
      </c>
      <c r="J312" s="92" t="s">
        <v>219</v>
      </c>
      <c r="L312" s="89">
        <v>2</v>
      </c>
      <c r="M312" s="78">
        <f>M294</f>
        <v>10</v>
      </c>
      <c r="N312" s="84">
        <v>5</v>
      </c>
      <c r="O312" s="78">
        <f>L312*M312-N312*L312</f>
        <v>10</v>
      </c>
      <c r="P312" s="64" t="s">
        <v>244</v>
      </c>
    </row>
    <row r="313" spans="1:16" ht="18" customHeight="1">
      <c r="A313" s="85"/>
      <c r="B313" s="86"/>
      <c r="C313" s="87"/>
      <c r="D313" s="88">
        <v>250</v>
      </c>
      <c r="E313" s="88">
        <v>930</v>
      </c>
      <c r="F313" s="89">
        <f t="shared" si="233"/>
        <v>20</v>
      </c>
      <c r="G313" s="90">
        <f t="shared" si="234"/>
        <v>50.648629219357574</v>
      </c>
      <c r="H313" s="90">
        <f t="shared" si="235"/>
        <v>94.4</v>
      </c>
      <c r="I313" s="91" t="str">
        <f>I312</f>
        <v>9동1,2라인</v>
      </c>
      <c r="J313" s="92" t="s">
        <v>220</v>
      </c>
      <c r="L313" s="89">
        <v>2</v>
      </c>
      <c r="M313" s="78">
        <f>M312</f>
        <v>10</v>
      </c>
      <c r="N313" s="84"/>
      <c r="O313" s="78">
        <f t="shared" ref="O313" si="236">L313*M313-N313*L313</f>
        <v>20</v>
      </c>
    </row>
    <row r="314" spans="1:16" ht="18" customHeight="1">
      <c r="A314" s="85"/>
      <c r="B314" s="93"/>
      <c r="C314" s="87"/>
      <c r="D314" s="325" t="s">
        <v>0</v>
      </c>
      <c r="E314" s="325"/>
      <c r="F314" s="94">
        <f>SUM(F312:F313)</f>
        <v>30</v>
      </c>
      <c r="G314" s="95">
        <f>SUM(G312:G313)</f>
        <v>196.14416887233278</v>
      </c>
      <c r="H314" s="95">
        <f>SUM(H312:H313)</f>
        <v>196.32</v>
      </c>
      <c r="I314" s="97"/>
      <c r="J314" s="98"/>
    </row>
    <row r="315" spans="1:16" ht="18" customHeight="1">
      <c r="A315" s="108"/>
      <c r="B315" s="164"/>
      <c r="C315" s="109"/>
      <c r="D315" s="165"/>
      <c r="E315" s="165"/>
      <c r="F315" s="110"/>
      <c r="G315" s="111"/>
      <c r="H315" s="111"/>
      <c r="I315" s="112"/>
      <c r="J315" s="113"/>
    </row>
    <row r="316" spans="1:16" ht="18" customHeight="1">
      <c r="A316" s="85" t="s">
        <v>235</v>
      </c>
      <c r="B316" s="23" t="s">
        <v>201</v>
      </c>
      <c r="C316" s="24">
        <v>22</v>
      </c>
      <c r="D316" s="88">
        <v>861</v>
      </c>
      <c r="E316" s="88">
        <v>1810</v>
      </c>
      <c r="F316" s="89">
        <f t="shared" ref="F316:F319" si="237">O316</f>
        <v>5</v>
      </c>
      <c r="G316" s="90">
        <f t="shared" ref="G316:G319" si="238">D316*E316/91809*F316</f>
        <v>84.872398130902198</v>
      </c>
      <c r="H316" s="90">
        <f t="shared" ref="H316:H319" si="239">(D316/1000)*4*F316+(E316/1000)*4*F316</f>
        <v>53.42</v>
      </c>
      <c r="I316" s="91" t="s">
        <v>256</v>
      </c>
      <c r="J316" s="92" t="s">
        <v>205</v>
      </c>
      <c r="L316" s="89">
        <v>1</v>
      </c>
      <c r="M316" s="78">
        <v>5</v>
      </c>
      <c r="N316" s="84"/>
      <c r="O316" s="78">
        <f>L316*M316-N316*L316</f>
        <v>5</v>
      </c>
      <c r="P316" s="64"/>
    </row>
    <row r="317" spans="1:16" ht="18" customHeight="1">
      <c r="A317" s="85"/>
      <c r="B317" s="86"/>
      <c r="C317" s="87"/>
      <c r="D317" s="88">
        <v>738</v>
      </c>
      <c r="E317" s="88">
        <v>1310</v>
      </c>
      <c r="F317" s="89">
        <f t="shared" si="237"/>
        <v>20</v>
      </c>
      <c r="G317" s="90">
        <f t="shared" si="238"/>
        <v>210.6068032545829</v>
      </c>
      <c r="H317" s="90">
        <f t="shared" si="239"/>
        <v>163.84</v>
      </c>
      <c r="I317" s="91" t="str">
        <f>I316</f>
        <v>9동3라인</v>
      </c>
      <c r="J317" s="92" t="s">
        <v>207</v>
      </c>
      <c r="L317" s="89">
        <v>4</v>
      </c>
      <c r="M317" s="78">
        <f>M316</f>
        <v>5</v>
      </c>
      <c r="N317" s="84"/>
      <c r="O317" s="78">
        <f t="shared" ref="O317:O319" si="240">L317*M317-N317*L317</f>
        <v>20</v>
      </c>
    </row>
    <row r="318" spans="1:16" ht="18" customHeight="1">
      <c r="A318" s="85"/>
      <c r="B318" s="86"/>
      <c r="C318" s="87"/>
      <c r="D318" s="88">
        <v>228</v>
      </c>
      <c r="E318" s="88">
        <v>910</v>
      </c>
      <c r="F318" s="89">
        <f t="shared" si="237"/>
        <v>10</v>
      </c>
      <c r="G318" s="90">
        <f t="shared" si="238"/>
        <v>22.59909159232755</v>
      </c>
      <c r="H318" s="90">
        <f t="shared" si="239"/>
        <v>45.519999999999996</v>
      </c>
      <c r="I318" s="91" t="str">
        <f t="shared" ref="I318:I319" si="241">I317</f>
        <v>9동3라인</v>
      </c>
      <c r="J318" s="92" t="s">
        <v>209</v>
      </c>
      <c r="L318" s="89">
        <v>2</v>
      </c>
      <c r="M318" s="78">
        <f t="shared" ref="M318:M319" si="242">M317</f>
        <v>5</v>
      </c>
      <c r="N318" s="78"/>
      <c r="O318" s="78">
        <f t="shared" si="240"/>
        <v>10</v>
      </c>
    </row>
    <row r="319" spans="1:16" ht="18" customHeight="1">
      <c r="A319" s="85"/>
      <c r="B319" s="86"/>
      <c r="C319" s="87"/>
      <c r="D319" s="88">
        <v>438</v>
      </c>
      <c r="E319" s="88">
        <v>270</v>
      </c>
      <c r="F319" s="89">
        <f t="shared" si="237"/>
        <v>10</v>
      </c>
      <c r="G319" s="90">
        <f t="shared" si="238"/>
        <v>12.881090089206941</v>
      </c>
      <c r="H319" s="90">
        <f t="shared" si="239"/>
        <v>28.32</v>
      </c>
      <c r="I319" s="91" t="str">
        <f t="shared" si="241"/>
        <v>9동3라인</v>
      </c>
      <c r="J319" s="92" t="s">
        <v>210</v>
      </c>
      <c r="L319" s="89">
        <v>2</v>
      </c>
      <c r="M319" s="78">
        <f t="shared" si="242"/>
        <v>5</v>
      </c>
      <c r="N319" s="78"/>
      <c r="O319" s="78">
        <f t="shared" si="240"/>
        <v>10</v>
      </c>
    </row>
    <row r="320" spans="1:16" ht="18" customHeight="1">
      <c r="A320" s="85"/>
      <c r="B320" s="93"/>
      <c r="C320" s="87"/>
      <c r="D320" s="325" t="s">
        <v>0</v>
      </c>
      <c r="E320" s="325"/>
      <c r="F320" s="94">
        <f>SUM(F316:F319)</f>
        <v>45</v>
      </c>
      <c r="G320" s="95">
        <f>SUM(G316:G319)</f>
        <v>330.95938306701964</v>
      </c>
      <c r="H320" s="96">
        <f>SUM(H316:H319)</f>
        <v>291.09999999999997</v>
      </c>
      <c r="I320" s="97"/>
      <c r="J320" s="162"/>
    </row>
    <row r="321" spans="1:16" ht="18" customHeight="1">
      <c r="A321" s="85"/>
      <c r="B321" s="93"/>
      <c r="C321" s="87"/>
      <c r="D321" s="161"/>
      <c r="E321" s="161"/>
      <c r="F321" s="89"/>
      <c r="G321" s="100"/>
      <c r="H321" s="101"/>
      <c r="I321" s="102"/>
      <c r="J321" s="121"/>
      <c r="L321" s="252"/>
      <c r="M321" s="252"/>
      <c r="N321" s="252"/>
      <c r="O321" s="252"/>
    </row>
    <row r="322" spans="1:16" ht="18" customHeight="1">
      <c r="A322" s="85"/>
      <c r="B322" s="23" t="s">
        <v>198</v>
      </c>
      <c r="C322" s="24">
        <v>22</v>
      </c>
      <c r="D322" s="88">
        <v>861</v>
      </c>
      <c r="E322" s="88">
        <v>1810</v>
      </c>
      <c r="F322" s="89">
        <f t="shared" ref="F322:F326" si="243">O322</f>
        <v>5</v>
      </c>
      <c r="G322" s="90">
        <f t="shared" ref="G322:G326" si="244">D322*E322/91809*F322</f>
        <v>84.872398130902198</v>
      </c>
      <c r="H322" s="90">
        <f t="shared" ref="H322:H326" si="245">(D322/1000)*4*F322+(E322/1000)*4*F322</f>
        <v>53.42</v>
      </c>
      <c r="I322" s="103" t="str">
        <f>I316</f>
        <v>9동3라인</v>
      </c>
      <c r="J322" s="92" t="s">
        <v>212</v>
      </c>
      <c r="L322" s="89">
        <v>1</v>
      </c>
      <c r="M322" s="78">
        <f>M316</f>
        <v>5</v>
      </c>
      <c r="N322" s="84"/>
      <c r="O322" s="78">
        <f>L322*M322-N322*L322</f>
        <v>5</v>
      </c>
    </row>
    <row r="323" spans="1:16" ht="18" customHeight="1">
      <c r="A323" s="85"/>
      <c r="B323" s="86"/>
      <c r="C323" s="87"/>
      <c r="D323" s="88">
        <v>2114</v>
      </c>
      <c r="E323" s="88">
        <v>1810</v>
      </c>
      <c r="F323" s="89">
        <f t="shared" si="243"/>
        <v>5</v>
      </c>
      <c r="G323" s="90">
        <f t="shared" si="244"/>
        <v>208.38588809375989</v>
      </c>
      <c r="H323" s="90">
        <f t="shared" si="245"/>
        <v>78.48</v>
      </c>
      <c r="I323" s="91" t="str">
        <f>I316</f>
        <v>9동3라인</v>
      </c>
      <c r="J323" s="92" t="s">
        <v>213</v>
      </c>
      <c r="L323" s="89">
        <v>1</v>
      </c>
      <c r="M323" s="78">
        <f>M322</f>
        <v>5</v>
      </c>
      <c r="N323" s="84"/>
      <c r="O323" s="78">
        <f>L323*M323-N323*L323</f>
        <v>5</v>
      </c>
    </row>
    <row r="324" spans="1:16" ht="18" customHeight="1">
      <c r="A324" s="104"/>
      <c r="B324" s="93"/>
      <c r="C324" s="87"/>
      <c r="D324" s="88">
        <v>738</v>
      </c>
      <c r="E324" s="88">
        <v>1310</v>
      </c>
      <c r="F324" s="89">
        <f t="shared" si="243"/>
        <v>20</v>
      </c>
      <c r="G324" s="90">
        <f t="shared" si="244"/>
        <v>210.6068032545829</v>
      </c>
      <c r="H324" s="90">
        <f t="shared" si="245"/>
        <v>163.84</v>
      </c>
      <c r="I324" s="91" t="str">
        <f>I323</f>
        <v>9동3라인</v>
      </c>
      <c r="J324" s="92" t="s">
        <v>214</v>
      </c>
      <c r="L324" s="89">
        <v>4</v>
      </c>
      <c r="M324" s="78">
        <f t="shared" ref="M324:M326" si="246">M323</f>
        <v>5</v>
      </c>
      <c r="N324" s="84"/>
      <c r="O324" s="78">
        <f t="shared" ref="O324:O326" si="247">L324*M324-N324*L324</f>
        <v>20</v>
      </c>
    </row>
    <row r="325" spans="1:16" ht="18" customHeight="1">
      <c r="A325" s="104"/>
      <c r="B325" s="93"/>
      <c r="C325" s="87"/>
      <c r="D325" s="88">
        <v>228</v>
      </c>
      <c r="E325" s="88">
        <v>910</v>
      </c>
      <c r="F325" s="89">
        <f t="shared" si="243"/>
        <v>10</v>
      </c>
      <c r="G325" s="90">
        <f t="shared" si="244"/>
        <v>22.59909159232755</v>
      </c>
      <c r="H325" s="90">
        <f t="shared" si="245"/>
        <v>45.519999999999996</v>
      </c>
      <c r="I325" s="91" t="str">
        <f t="shared" ref="I325:I326" si="248">I324</f>
        <v>9동3라인</v>
      </c>
      <c r="J325" s="92" t="s">
        <v>216</v>
      </c>
      <c r="L325" s="89">
        <v>2</v>
      </c>
      <c r="M325" s="78">
        <f t="shared" si="246"/>
        <v>5</v>
      </c>
      <c r="N325" s="78"/>
      <c r="O325" s="78">
        <f t="shared" si="247"/>
        <v>10</v>
      </c>
    </row>
    <row r="326" spans="1:16" ht="18" customHeight="1">
      <c r="A326" s="104"/>
      <c r="B326" s="93"/>
      <c r="C326" s="87"/>
      <c r="D326" s="88">
        <v>438</v>
      </c>
      <c r="E326" s="88">
        <v>270</v>
      </c>
      <c r="F326" s="89">
        <f t="shared" si="243"/>
        <v>10</v>
      </c>
      <c r="G326" s="90">
        <f t="shared" si="244"/>
        <v>12.881090089206941</v>
      </c>
      <c r="H326" s="90">
        <f t="shared" si="245"/>
        <v>28.32</v>
      </c>
      <c r="I326" s="91" t="str">
        <f t="shared" si="248"/>
        <v>9동3라인</v>
      </c>
      <c r="J326" s="92" t="s">
        <v>217</v>
      </c>
      <c r="L326" s="89">
        <v>2</v>
      </c>
      <c r="M326" s="78">
        <f t="shared" si="246"/>
        <v>5</v>
      </c>
      <c r="N326" s="78"/>
      <c r="O326" s="78">
        <f t="shared" si="247"/>
        <v>10</v>
      </c>
    </row>
    <row r="327" spans="1:16" ht="18" customHeight="1">
      <c r="A327" s="104"/>
      <c r="B327" s="87"/>
      <c r="C327" s="87"/>
      <c r="D327" s="325" t="s">
        <v>0</v>
      </c>
      <c r="E327" s="325"/>
      <c r="F327" s="171">
        <f>SUM(F322:F326)</f>
        <v>50</v>
      </c>
      <c r="G327" s="95">
        <f>SUM(G322:G326)</f>
        <v>539.34527116077948</v>
      </c>
      <c r="H327" s="95">
        <f>SUM(H322:H326)</f>
        <v>369.58</v>
      </c>
      <c r="I327" s="97"/>
      <c r="J327" s="98"/>
    </row>
    <row r="328" spans="1:16">
      <c r="A328" s="105"/>
      <c r="B328" s="9"/>
      <c r="C328" s="9"/>
      <c r="D328" s="51"/>
      <c r="E328" s="51"/>
      <c r="F328" s="51"/>
      <c r="G328" s="106"/>
      <c r="H328" s="106"/>
      <c r="I328" s="9"/>
      <c r="J328" s="107"/>
    </row>
    <row r="329" spans="1:16" ht="18" customHeight="1">
      <c r="A329" s="85"/>
      <c r="B329" s="23" t="s">
        <v>237</v>
      </c>
      <c r="C329" s="24">
        <v>22</v>
      </c>
      <c r="D329" s="88">
        <v>2114</v>
      </c>
      <c r="E329" s="88">
        <v>1810</v>
      </c>
      <c r="F329" s="89">
        <f t="shared" ref="F329" si="249">O329</f>
        <v>5</v>
      </c>
      <c r="G329" s="90">
        <f t="shared" ref="G329" si="250">D329*E329/91809*F329</f>
        <v>208.38588809375989</v>
      </c>
      <c r="H329" s="90">
        <f t="shared" ref="H329" si="251">(D329/1000)*4*F329+(E329/1000)*4*F329</f>
        <v>78.48</v>
      </c>
      <c r="I329" s="91" t="str">
        <f>I322</f>
        <v>9동3라인</v>
      </c>
      <c r="J329" s="92" t="s">
        <v>206</v>
      </c>
      <c r="L329" s="89">
        <v>1</v>
      </c>
      <c r="M329" s="78">
        <f>M316</f>
        <v>5</v>
      </c>
      <c r="N329" s="84"/>
      <c r="O329" s="78">
        <f>L329*M329-N329*L329</f>
        <v>5</v>
      </c>
    </row>
    <row r="330" spans="1:16" ht="18" customHeight="1">
      <c r="A330" s="85"/>
      <c r="B330" s="93"/>
      <c r="C330" s="87"/>
      <c r="D330" s="325" t="s">
        <v>0</v>
      </c>
      <c r="E330" s="325"/>
      <c r="F330" s="94">
        <f>SUM(F329:F329)</f>
        <v>5</v>
      </c>
      <c r="G330" s="95">
        <f>SUM(G329:G329)</f>
        <v>208.38588809375989</v>
      </c>
      <c r="H330" s="95">
        <f>SUM(H329:H329)</f>
        <v>78.48</v>
      </c>
      <c r="I330" s="97"/>
      <c r="J330" s="98"/>
    </row>
    <row r="331" spans="1:16" ht="18" customHeight="1">
      <c r="A331" s="218"/>
      <c r="B331" s="219"/>
      <c r="C331" s="220"/>
      <c r="D331" s="161"/>
      <c r="E331" s="161"/>
      <c r="F331" s="89"/>
      <c r="G331" s="100"/>
      <c r="H331" s="100"/>
      <c r="I331" s="102"/>
      <c r="J331" s="221"/>
    </row>
    <row r="332" spans="1:16" ht="18" customHeight="1">
      <c r="A332" s="85"/>
      <c r="B332" s="23" t="s">
        <v>203</v>
      </c>
      <c r="C332" s="24">
        <v>22</v>
      </c>
      <c r="D332" s="88">
        <v>738</v>
      </c>
      <c r="E332" s="88">
        <v>1810</v>
      </c>
      <c r="F332" s="89">
        <f t="shared" ref="F332:F333" si="252">O332</f>
        <v>10</v>
      </c>
      <c r="G332" s="90">
        <f t="shared" ref="G332:G333" si="253">D332*E332/91809*F332</f>
        <v>145.4955396529752</v>
      </c>
      <c r="H332" s="90">
        <f t="shared" ref="H332:H333" si="254">(D332/1000)*4*F332+(E332/1000)*4*F332</f>
        <v>101.92</v>
      </c>
      <c r="I332" s="91" t="str">
        <f>I329</f>
        <v>9동3라인</v>
      </c>
      <c r="J332" s="92" t="s">
        <v>219</v>
      </c>
      <c r="L332" s="89">
        <v>2</v>
      </c>
      <c r="M332" s="78">
        <f>M329</f>
        <v>5</v>
      </c>
      <c r="N332" s="84"/>
      <c r="O332" s="78">
        <f>L332*M332-N332*L332</f>
        <v>10</v>
      </c>
      <c r="P332" s="64"/>
    </row>
    <row r="333" spans="1:16" ht="18" customHeight="1">
      <c r="A333" s="85"/>
      <c r="B333" s="86"/>
      <c r="C333" s="87"/>
      <c r="D333" s="88">
        <v>250</v>
      </c>
      <c r="E333" s="88">
        <v>930</v>
      </c>
      <c r="F333" s="89">
        <f t="shared" si="252"/>
        <v>10</v>
      </c>
      <c r="G333" s="90">
        <f t="shared" si="253"/>
        <v>25.324314609678787</v>
      </c>
      <c r="H333" s="90">
        <f t="shared" si="254"/>
        <v>47.2</v>
      </c>
      <c r="I333" s="91" t="str">
        <f>I332</f>
        <v>9동3라인</v>
      </c>
      <c r="J333" s="92" t="s">
        <v>220</v>
      </c>
      <c r="L333" s="89">
        <v>2</v>
      </c>
      <c r="M333" s="78">
        <f>M332</f>
        <v>5</v>
      </c>
      <c r="N333" s="84"/>
      <c r="O333" s="78">
        <f t="shared" ref="O333" si="255">L333*M333-N333*L333</f>
        <v>10</v>
      </c>
    </row>
    <row r="334" spans="1:16" ht="18" customHeight="1">
      <c r="A334" s="85"/>
      <c r="B334" s="93"/>
      <c r="C334" s="87"/>
      <c r="D334" s="325" t="s">
        <v>0</v>
      </c>
      <c r="E334" s="325"/>
      <c r="F334" s="94">
        <f>SUM(F332:F333)</f>
        <v>20</v>
      </c>
      <c r="G334" s="95">
        <f>SUM(G332:G333)</f>
        <v>170.81985426265399</v>
      </c>
      <c r="H334" s="96">
        <f>SUM(H332:H333)</f>
        <v>149.12</v>
      </c>
      <c r="I334" s="97"/>
      <c r="J334" s="162"/>
    </row>
    <row r="335" spans="1:16" ht="18" customHeight="1" thickBot="1">
      <c r="A335" s="222"/>
      <c r="B335" s="223"/>
      <c r="C335" s="224"/>
      <c r="D335" s="225"/>
      <c r="E335" s="225"/>
      <c r="F335" s="226"/>
      <c r="G335" s="227"/>
      <c r="H335" s="228"/>
      <c r="I335" s="229"/>
      <c r="J335" s="230"/>
      <c r="L335" s="78" t="s">
        <v>48</v>
      </c>
      <c r="M335" s="78" t="s">
        <v>49</v>
      </c>
      <c r="N335" s="78" t="s">
        <v>50</v>
      </c>
      <c r="O335" s="78" t="s">
        <v>55</v>
      </c>
    </row>
    <row r="336" spans="1:16" ht="18" customHeight="1">
      <c r="A336" s="79" t="s">
        <v>234</v>
      </c>
      <c r="B336" s="231" t="s">
        <v>195</v>
      </c>
      <c r="C336" s="232">
        <v>22</v>
      </c>
      <c r="D336" s="80">
        <v>761</v>
      </c>
      <c r="E336" s="80">
        <v>1810</v>
      </c>
      <c r="F336" s="233">
        <f>O336</f>
        <v>10</v>
      </c>
      <c r="G336" s="81">
        <f t="shared" ref="G336:G342" si="256">D336*E336/91809*F336</f>
        <v>150.02995349039855</v>
      </c>
      <c r="H336" s="81">
        <f t="shared" ref="H336:H342" si="257">(D336/1000)*4*F336+(E336/1000)*4*F336</f>
        <v>102.84</v>
      </c>
      <c r="I336" s="82" t="s">
        <v>257</v>
      </c>
      <c r="J336" s="83" t="s">
        <v>205</v>
      </c>
      <c r="L336" s="89">
        <v>2</v>
      </c>
      <c r="M336" s="78">
        <v>5</v>
      </c>
      <c r="N336" s="84"/>
      <c r="O336" s="78">
        <f>L336*M336-N336*L336</f>
        <v>10</v>
      </c>
      <c r="P336" s="64"/>
    </row>
    <row r="337" spans="1:15" ht="18" customHeight="1">
      <c r="A337" s="85"/>
      <c r="B337" s="86"/>
      <c r="C337" s="87"/>
      <c r="D337" s="88">
        <v>1688</v>
      </c>
      <c r="E337" s="88">
        <v>1810</v>
      </c>
      <c r="F337" s="89">
        <f t="shared" ref="F337:F342" si="258">O337</f>
        <v>5</v>
      </c>
      <c r="G337" s="90">
        <f t="shared" si="256"/>
        <v>166.39327299066539</v>
      </c>
      <c r="H337" s="90">
        <f t="shared" si="257"/>
        <v>69.960000000000008</v>
      </c>
      <c r="I337" s="91" t="str">
        <f>I336</f>
        <v>9동4라인</v>
      </c>
      <c r="J337" s="92" t="s">
        <v>206</v>
      </c>
      <c r="L337" s="89">
        <v>1</v>
      </c>
      <c r="M337" s="78">
        <f>M336</f>
        <v>5</v>
      </c>
      <c r="N337" s="84"/>
      <c r="O337" s="78">
        <f t="shared" ref="O337:O342" si="259">L337*M337-N337*L337</f>
        <v>5</v>
      </c>
    </row>
    <row r="338" spans="1:15" ht="18" customHeight="1">
      <c r="A338" s="85"/>
      <c r="B338" s="86"/>
      <c r="C338" s="87"/>
      <c r="D338" s="88">
        <v>738</v>
      </c>
      <c r="E338" s="88">
        <v>1310</v>
      </c>
      <c r="F338" s="89">
        <f t="shared" si="258"/>
        <v>20</v>
      </c>
      <c r="G338" s="90">
        <f t="shared" si="256"/>
        <v>210.6068032545829</v>
      </c>
      <c r="H338" s="90">
        <f t="shared" si="257"/>
        <v>163.84</v>
      </c>
      <c r="I338" s="91" t="str">
        <f t="shared" ref="I338:I342" si="260">I337</f>
        <v>9동4라인</v>
      </c>
      <c r="J338" s="92" t="s">
        <v>207</v>
      </c>
      <c r="L338" s="89">
        <v>4</v>
      </c>
      <c r="M338" s="78">
        <f t="shared" ref="M338:M341" si="261">M337</f>
        <v>5</v>
      </c>
      <c r="N338" s="78"/>
      <c r="O338" s="78">
        <f t="shared" si="259"/>
        <v>20</v>
      </c>
    </row>
    <row r="339" spans="1:15" ht="18" customHeight="1">
      <c r="A339" s="85"/>
      <c r="B339" s="86"/>
      <c r="C339" s="87"/>
      <c r="D339" s="88">
        <v>288</v>
      </c>
      <c r="E339" s="88">
        <v>910</v>
      </c>
      <c r="F339" s="89">
        <f t="shared" si="258"/>
        <v>10</v>
      </c>
      <c r="G339" s="90">
        <f t="shared" si="256"/>
        <v>28.546220958729535</v>
      </c>
      <c r="H339" s="90">
        <f t="shared" si="257"/>
        <v>47.92</v>
      </c>
      <c r="I339" s="91" t="str">
        <f t="shared" si="260"/>
        <v>9동4라인</v>
      </c>
      <c r="J339" s="92" t="s">
        <v>208</v>
      </c>
      <c r="L339" s="89">
        <v>2</v>
      </c>
      <c r="M339" s="78">
        <f t="shared" si="261"/>
        <v>5</v>
      </c>
      <c r="N339" s="78"/>
      <c r="O339" s="78">
        <f t="shared" si="259"/>
        <v>10</v>
      </c>
    </row>
    <row r="340" spans="1:15" ht="18" customHeight="1">
      <c r="A340" s="85"/>
      <c r="B340" s="86"/>
      <c r="C340" s="87"/>
      <c r="D340" s="88">
        <v>228</v>
      </c>
      <c r="E340" s="88">
        <v>910</v>
      </c>
      <c r="F340" s="89">
        <f t="shared" si="258"/>
        <v>10</v>
      </c>
      <c r="G340" s="90">
        <f t="shared" si="256"/>
        <v>22.59909159232755</v>
      </c>
      <c r="H340" s="90">
        <f t="shared" si="257"/>
        <v>45.519999999999996</v>
      </c>
      <c r="I340" s="91" t="str">
        <f t="shared" si="260"/>
        <v>9동4라인</v>
      </c>
      <c r="J340" s="92" t="s">
        <v>209</v>
      </c>
      <c r="L340" s="89">
        <v>2</v>
      </c>
      <c r="M340" s="78">
        <f t="shared" si="261"/>
        <v>5</v>
      </c>
      <c r="N340" s="78"/>
      <c r="O340" s="78">
        <f t="shared" si="259"/>
        <v>10</v>
      </c>
    </row>
    <row r="341" spans="1:15" ht="18" customHeight="1">
      <c r="A341" s="85"/>
      <c r="B341" s="86"/>
      <c r="C341" s="87"/>
      <c r="D341" s="88">
        <v>438</v>
      </c>
      <c r="E341" s="88">
        <v>270</v>
      </c>
      <c r="F341" s="89">
        <f t="shared" si="258"/>
        <v>10</v>
      </c>
      <c r="G341" s="90">
        <f t="shared" si="256"/>
        <v>12.881090089206941</v>
      </c>
      <c r="H341" s="90">
        <f t="shared" si="257"/>
        <v>28.32</v>
      </c>
      <c r="I341" s="91" t="str">
        <f t="shared" si="260"/>
        <v>9동4라인</v>
      </c>
      <c r="J341" s="92" t="s">
        <v>210</v>
      </c>
      <c r="L341" s="89">
        <v>2</v>
      </c>
      <c r="M341" s="78">
        <f t="shared" si="261"/>
        <v>5</v>
      </c>
      <c r="N341" s="78"/>
      <c r="O341" s="78">
        <f t="shared" si="259"/>
        <v>10</v>
      </c>
    </row>
    <row r="342" spans="1:15" ht="18" customHeight="1">
      <c r="A342" s="85"/>
      <c r="B342" s="86"/>
      <c r="C342" s="87"/>
      <c r="D342" s="88">
        <v>208</v>
      </c>
      <c r="E342" s="88">
        <v>910</v>
      </c>
      <c r="F342" s="89">
        <f t="shared" si="258"/>
        <v>10</v>
      </c>
      <c r="G342" s="90">
        <f t="shared" si="256"/>
        <v>20.616715136860222</v>
      </c>
      <c r="H342" s="90">
        <f t="shared" si="257"/>
        <v>44.72</v>
      </c>
      <c r="I342" s="91" t="str">
        <f t="shared" si="260"/>
        <v>9동4라인</v>
      </c>
      <c r="J342" s="92" t="s">
        <v>211</v>
      </c>
      <c r="L342" s="89">
        <v>2</v>
      </c>
      <c r="M342" s="78">
        <f>M341</f>
        <v>5</v>
      </c>
      <c r="N342" s="78"/>
      <c r="O342" s="78">
        <f t="shared" si="259"/>
        <v>10</v>
      </c>
    </row>
    <row r="343" spans="1:15" ht="18" customHeight="1">
      <c r="A343" s="85"/>
      <c r="B343" s="93"/>
      <c r="C343" s="87"/>
      <c r="D343" s="325" t="s">
        <v>0</v>
      </c>
      <c r="E343" s="325"/>
      <c r="F343" s="94">
        <f>SUM(F336:F342)</f>
        <v>75</v>
      </c>
      <c r="G343" s="95">
        <f>SUM(G336:G342)</f>
        <v>611.67314751277115</v>
      </c>
      <c r="H343" s="96">
        <f>SUM(H336:H342)</f>
        <v>503.12</v>
      </c>
      <c r="I343" s="97"/>
      <c r="J343" s="162"/>
    </row>
    <row r="344" spans="1:15" ht="18" customHeight="1">
      <c r="A344" s="85"/>
      <c r="B344" s="93"/>
      <c r="C344" s="87"/>
      <c r="D344" s="161"/>
      <c r="E344" s="161"/>
      <c r="F344" s="89"/>
      <c r="G344" s="100"/>
      <c r="H344" s="101"/>
      <c r="I344" s="102"/>
      <c r="J344" s="121"/>
      <c r="L344" s="78" t="s">
        <v>48</v>
      </c>
      <c r="M344" s="78" t="s">
        <v>54</v>
      </c>
      <c r="N344" s="78" t="s">
        <v>50</v>
      </c>
      <c r="O344" s="78" t="s">
        <v>55</v>
      </c>
    </row>
    <row r="345" spans="1:15" ht="18" customHeight="1">
      <c r="A345" s="85"/>
      <c r="B345" s="23" t="s">
        <v>197</v>
      </c>
      <c r="C345" s="24">
        <v>22</v>
      </c>
      <c r="D345" s="88">
        <v>761</v>
      </c>
      <c r="E345" s="88">
        <v>1810</v>
      </c>
      <c r="F345" s="89">
        <f t="shared" ref="F345:F351" si="262">O345</f>
        <v>10</v>
      </c>
      <c r="G345" s="90">
        <f t="shared" ref="G345:G351" si="263">D345*E345/91809*F345</f>
        <v>150.02995349039855</v>
      </c>
      <c r="H345" s="90">
        <f t="shared" ref="H345:H351" si="264">(D345/1000)*4*F345+(E345/1000)*4*F345</f>
        <v>102.84</v>
      </c>
      <c r="I345" s="91" t="str">
        <f t="shared" ref="I345:I351" si="265">I336</f>
        <v>9동4라인</v>
      </c>
      <c r="J345" s="92" t="s">
        <v>212</v>
      </c>
      <c r="L345" s="89">
        <v>2</v>
      </c>
      <c r="M345" s="78">
        <f>M336</f>
        <v>5</v>
      </c>
      <c r="N345" s="84"/>
      <c r="O345" s="78">
        <f>L345*M345-N345*L345</f>
        <v>10</v>
      </c>
    </row>
    <row r="346" spans="1:15" ht="18" customHeight="1">
      <c r="A346" s="85"/>
      <c r="B346" s="86"/>
      <c r="C346" s="87"/>
      <c r="D346" s="88">
        <v>1688</v>
      </c>
      <c r="E346" s="88">
        <v>1810</v>
      </c>
      <c r="F346" s="89">
        <f t="shared" si="262"/>
        <v>5</v>
      </c>
      <c r="G346" s="90">
        <f t="shared" si="263"/>
        <v>166.39327299066539</v>
      </c>
      <c r="H346" s="90">
        <f t="shared" si="264"/>
        <v>69.960000000000008</v>
      </c>
      <c r="I346" s="91" t="str">
        <f t="shared" si="265"/>
        <v>9동4라인</v>
      </c>
      <c r="J346" s="92" t="s">
        <v>213</v>
      </c>
      <c r="L346" s="89">
        <v>1</v>
      </c>
      <c r="M346" s="78">
        <f>M345</f>
        <v>5</v>
      </c>
      <c r="N346" s="84"/>
      <c r="O346" s="78">
        <f>L346*M346-N346*L346</f>
        <v>5</v>
      </c>
    </row>
    <row r="347" spans="1:15" ht="18" customHeight="1">
      <c r="A347" s="104"/>
      <c r="B347" s="93"/>
      <c r="C347" s="87"/>
      <c r="D347" s="88">
        <v>738</v>
      </c>
      <c r="E347" s="88">
        <v>1310</v>
      </c>
      <c r="F347" s="89">
        <f t="shared" si="262"/>
        <v>20</v>
      </c>
      <c r="G347" s="90">
        <f t="shared" si="263"/>
        <v>210.6068032545829</v>
      </c>
      <c r="H347" s="90">
        <f t="shared" si="264"/>
        <v>163.84</v>
      </c>
      <c r="I347" s="91" t="str">
        <f t="shared" si="265"/>
        <v>9동4라인</v>
      </c>
      <c r="J347" s="92" t="s">
        <v>214</v>
      </c>
      <c r="L347" s="89">
        <v>4</v>
      </c>
      <c r="M347" s="78">
        <f t="shared" ref="M347:M351" si="266">M346</f>
        <v>5</v>
      </c>
      <c r="N347" s="84"/>
      <c r="O347" s="78">
        <f t="shared" ref="O347:O351" si="267">L347*M347-N347*L347</f>
        <v>20</v>
      </c>
    </row>
    <row r="348" spans="1:15" ht="18" customHeight="1">
      <c r="A348" s="104"/>
      <c r="B348" s="93"/>
      <c r="C348" s="87"/>
      <c r="D348" s="88">
        <v>288</v>
      </c>
      <c r="E348" s="88">
        <v>910</v>
      </c>
      <c r="F348" s="89">
        <f t="shared" si="262"/>
        <v>10</v>
      </c>
      <c r="G348" s="90">
        <f t="shared" si="263"/>
        <v>28.546220958729535</v>
      </c>
      <c r="H348" s="90">
        <f t="shared" si="264"/>
        <v>47.92</v>
      </c>
      <c r="I348" s="91" t="str">
        <f t="shared" si="265"/>
        <v>9동4라인</v>
      </c>
      <c r="J348" s="92" t="s">
        <v>215</v>
      </c>
      <c r="L348" s="89">
        <v>2</v>
      </c>
      <c r="M348" s="78">
        <f t="shared" si="266"/>
        <v>5</v>
      </c>
      <c r="N348" s="78"/>
      <c r="O348" s="78">
        <f t="shared" si="267"/>
        <v>10</v>
      </c>
    </row>
    <row r="349" spans="1:15" ht="18" customHeight="1">
      <c r="A349" s="104"/>
      <c r="B349" s="93"/>
      <c r="C349" s="87"/>
      <c r="D349" s="88">
        <v>228</v>
      </c>
      <c r="E349" s="88">
        <v>910</v>
      </c>
      <c r="F349" s="89">
        <f t="shared" si="262"/>
        <v>10</v>
      </c>
      <c r="G349" s="90">
        <f t="shared" si="263"/>
        <v>22.59909159232755</v>
      </c>
      <c r="H349" s="90">
        <f t="shared" si="264"/>
        <v>45.519999999999996</v>
      </c>
      <c r="I349" s="91" t="str">
        <f t="shared" si="265"/>
        <v>9동4라인</v>
      </c>
      <c r="J349" s="92" t="s">
        <v>216</v>
      </c>
      <c r="L349" s="89">
        <v>2</v>
      </c>
      <c r="M349" s="78">
        <f t="shared" si="266"/>
        <v>5</v>
      </c>
      <c r="N349" s="78"/>
      <c r="O349" s="78">
        <f t="shared" si="267"/>
        <v>10</v>
      </c>
    </row>
    <row r="350" spans="1:15" ht="18" customHeight="1">
      <c r="A350" s="104"/>
      <c r="B350" s="93"/>
      <c r="C350" s="87"/>
      <c r="D350" s="88">
        <v>438</v>
      </c>
      <c r="E350" s="88">
        <v>270</v>
      </c>
      <c r="F350" s="89">
        <f t="shared" si="262"/>
        <v>10</v>
      </c>
      <c r="G350" s="90">
        <f t="shared" si="263"/>
        <v>12.881090089206941</v>
      </c>
      <c r="H350" s="90">
        <f t="shared" si="264"/>
        <v>28.32</v>
      </c>
      <c r="I350" s="91" t="str">
        <f t="shared" si="265"/>
        <v>9동4라인</v>
      </c>
      <c r="J350" s="92" t="s">
        <v>217</v>
      </c>
      <c r="L350" s="89">
        <v>2</v>
      </c>
      <c r="M350" s="78">
        <f t="shared" si="266"/>
        <v>5</v>
      </c>
      <c r="N350" s="78"/>
      <c r="O350" s="78">
        <f t="shared" si="267"/>
        <v>10</v>
      </c>
    </row>
    <row r="351" spans="1:15" ht="18" customHeight="1">
      <c r="A351" s="104"/>
      <c r="B351" s="93"/>
      <c r="C351" s="87"/>
      <c r="D351" s="88">
        <v>208</v>
      </c>
      <c r="E351" s="88">
        <v>910</v>
      </c>
      <c r="F351" s="89">
        <f t="shared" si="262"/>
        <v>10</v>
      </c>
      <c r="G351" s="90">
        <f t="shared" si="263"/>
        <v>20.616715136860222</v>
      </c>
      <c r="H351" s="90">
        <f t="shared" si="264"/>
        <v>44.72</v>
      </c>
      <c r="I351" s="91" t="str">
        <f t="shared" si="265"/>
        <v>9동4라인</v>
      </c>
      <c r="J351" s="92" t="s">
        <v>218</v>
      </c>
      <c r="L351" s="89">
        <v>2</v>
      </c>
      <c r="M351" s="78">
        <f t="shared" si="266"/>
        <v>5</v>
      </c>
      <c r="N351" s="78"/>
      <c r="O351" s="78">
        <f t="shared" si="267"/>
        <v>10</v>
      </c>
    </row>
    <row r="352" spans="1:15" ht="18" customHeight="1">
      <c r="A352" s="104"/>
      <c r="B352" s="87"/>
      <c r="C352" s="87"/>
      <c r="D352" s="325" t="s">
        <v>0</v>
      </c>
      <c r="E352" s="325"/>
      <c r="F352" s="171">
        <f>SUM(F345:F351)</f>
        <v>75</v>
      </c>
      <c r="G352" s="95">
        <f>SUM(G345:G351)</f>
        <v>611.67314751277115</v>
      </c>
      <c r="H352" s="95">
        <f>SUM(H345:H351)</f>
        <v>503.12</v>
      </c>
      <c r="I352" s="97"/>
      <c r="J352" s="98"/>
    </row>
    <row r="353" spans="1:16">
      <c r="A353" s="105"/>
      <c r="B353" s="9"/>
      <c r="C353" s="9"/>
      <c r="D353" s="51"/>
      <c r="E353" s="51"/>
      <c r="F353" s="51"/>
      <c r="G353" s="106"/>
      <c r="H353" s="106"/>
      <c r="I353" s="9"/>
      <c r="J353" s="107"/>
    </row>
    <row r="354" spans="1:16" ht="18" customHeight="1">
      <c r="A354" s="85"/>
      <c r="B354" s="163" t="s">
        <v>199</v>
      </c>
      <c r="C354" s="163">
        <v>22</v>
      </c>
      <c r="D354" s="88">
        <v>738</v>
      </c>
      <c r="E354" s="88">
        <v>1810</v>
      </c>
      <c r="F354" s="89">
        <f t="shared" ref="F354:F355" si="268">O354</f>
        <v>10</v>
      </c>
      <c r="G354" s="90">
        <f t="shared" ref="G354:G355" si="269">D354*E354/91809*F354</f>
        <v>145.4955396529752</v>
      </c>
      <c r="H354" s="90">
        <f t="shared" ref="H354:H355" si="270">(D354/1000)*4*F354+(E354/1000)*4*F354</f>
        <v>101.92</v>
      </c>
      <c r="I354" s="91" t="str">
        <f>I345</f>
        <v>9동4라인</v>
      </c>
      <c r="J354" s="92" t="s">
        <v>219</v>
      </c>
      <c r="L354" s="89">
        <v>2</v>
      </c>
      <c r="M354" s="78">
        <f>M336</f>
        <v>5</v>
      </c>
      <c r="N354" s="84"/>
      <c r="O354" s="78">
        <f>L354*M354-N354*L354</f>
        <v>10</v>
      </c>
      <c r="P354" s="64"/>
    </row>
    <row r="355" spans="1:16" ht="18" customHeight="1">
      <c r="A355" s="85"/>
      <c r="B355" s="86"/>
      <c r="C355" s="87"/>
      <c r="D355" s="88">
        <v>250</v>
      </c>
      <c r="E355" s="88">
        <v>930</v>
      </c>
      <c r="F355" s="89">
        <f t="shared" si="268"/>
        <v>10</v>
      </c>
      <c r="G355" s="90">
        <f t="shared" si="269"/>
        <v>25.324314609678787</v>
      </c>
      <c r="H355" s="90">
        <f t="shared" si="270"/>
        <v>47.2</v>
      </c>
      <c r="I355" s="91" t="str">
        <f>I354</f>
        <v>9동4라인</v>
      </c>
      <c r="J355" s="92" t="s">
        <v>220</v>
      </c>
      <c r="L355" s="89">
        <v>2</v>
      </c>
      <c r="M355" s="78">
        <f>M354</f>
        <v>5</v>
      </c>
      <c r="N355" s="84"/>
      <c r="O355" s="78">
        <f t="shared" ref="O355" si="271">L355*M355-N355*L355</f>
        <v>10</v>
      </c>
    </row>
    <row r="356" spans="1:16" ht="18" customHeight="1">
      <c r="A356" s="85"/>
      <c r="B356" s="93"/>
      <c r="C356" s="87"/>
      <c r="D356" s="325" t="s">
        <v>0</v>
      </c>
      <c r="E356" s="325"/>
      <c r="F356" s="94">
        <f>SUM(F354:F355)</f>
        <v>20</v>
      </c>
      <c r="G356" s="95">
        <f>SUM(G354:G355)</f>
        <v>170.81985426265399</v>
      </c>
      <c r="H356" s="95">
        <f>SUM(H354:H355)</f>
        <v>149.12</v>
      </c>
      <c r="I356" s="97"/>
      <c r="J356" s="98"/>
    </row>
    <row r="357" spans="1:16" ht="18" customHeight="1">
      <c r="A357" s="236"/>
      <c r="B357" s="237"/>
      <c r="C357" s="238"/>
      <c r="D357" s="362"/>
      <c r="E357" s="362"/>
      <c r="F357" s="239"/>
      <c r="G357" s="240"/>
      <c r="H357" s="241"/>
      <c r="I357" s="242"/>
      <c r="J357" s="243"/>
    </row>
    <row r="358" spans="1:16" ht="18" customHeight="1">
      <c r="A358" s="244" t="s">
        <v>234</v>
      </c>
      <c r="B358" s="23" t="s">
        <v>195</v>
      </c>
      <c r="C358" s="24">
        <v>22</v>
      </c>
      <c r="D358" s="88">
        <v>761</v>
      </c>
      <c r="E358" s="88">
        <v>1810</v>
      </c>
      <c r="F358" s="89">
        <f>O358</f>
        <v>10</v>
      </c>
      <c r="G358" s="90">
        <f t="shared" ref="G358:G364" si="272">D358*E358/91809*F358</f>
        <v>150.02995349039855</v>
      </c>
      <c r="H358" s="90">
        <f t="shared" ref="H358:H364" si="273">(D358/1000)*4*F358+(E358/1000)*4*F358</f>
        <v>102.84</v>
      </c>
      <c r="I358" s="91" t="s">
        <v>258</v>
      </c>
      <c r="J358" s="163" t="s">
        <v>205</v>
      </c>
      <c r="L358" s="89">
        <v>2</v>
      </c>
      <c r="M358" s="78">
        <v>5</v>
      </c>
      <c r="N358" s="84"/>
      <c r="O358" s="78">
        <f>L358*M358-N358*L358</f>
        <v>10</v>
      </c>
      <c r="P358" s="64"/>
    </row>
    <row r="359" spans="1:16" ht="18" customHeight="1">
      <c r="A359" s="85"/>
      <c r="B359" s="86"/>
      <c r="C359" s="87"/>
      <c r="D359" s="88">
        <v>1688</v>
      </c>
      <c r="E359" s="88">
        <v>1810</v>
      </c>
      <c r="F359" s="89">
        <f t="shared" ref="F359:F364" si="274">O359</f>
        <v>5</v>
      </c>
      <c r="G359" s="90">
        <f t="shared" si="272"/>
        <v>166.39327299066539</v>
      </c>
      <c r="H359" s="90">
        <f t="shared" si="273"/>
        <v>69.960000000000008</v>
      </c>
      <c r="I359" s="91" t="str">
        <f>I358</f>
        <v>9동5라인</v>
      </c>
      <c r="J359" s="92" t="s">
        <v>206</v>
      </c>
      <c r="L359" s="89">
        <v>1</v>
      </c>
      <c r="M359" s="78">
        <f>M358</f>
        <v>5</v>
      </c>
      <c r="N359" s="84"/>
      <c r="O359" s="78">
        <f t="shared" ref="O359:O364" si="275">L359*M359-N359*L359</f>
        <v>5</v>
      </c>
    </row>
    <row r="360" spans="1:16" ht="18" customHeight="1">
      <c r="A360" s="85"/>
      <c r="B360" s="86"/>
      <c r="C360" s="87"/>
      <c r="D360" s="88">
        <v>738</v>
      </c>
      <c r="E360" s="88">
        <v>1310</v>
      </c>
      <c r="F360" s="89">
        <f t="shared" si="274"/>
        <v>20</v>
      </c>
      <c r="G360" s="90">
        <f t="shared" si="272"/>
        <v>210.6068032545829</v>
      </c>
      <c r="H360" s="90">
        <f t="shared" si="273"/>
        <v>163.84</v>
      </c>
      <c r="I360" s="91" t="str">
        <f t="shared" ref="I360:I364" si="276">I359</f>
        <v>9동5라인</v>
      </c>
      <c r="J360" s="92" t="s">
        <v>207</v>
      </c>
      <c r="L360" s="89">
        <v>4</v>
      </c>
      <c r="M360" s="78">
        <f t="shared" ref="M360:M363" si="277">M359</f>
        <v>5</v>
      </c>
      <c r="N360" s="78"/>
      <c r="O360" s="78">
        <f t="shared" si="275"/>
        <v>20</v>
      </c>
    </row>
    <row r="361" spans="1:16" ht="18" customHeight="1">
      <c r="A361" s="85"/>
      <c r="B361" s="86"/>
      <c r="C361" s="87"/>
      <c r="D361" s="88">
        <v>288</v>
      </c>
      <c r="E361" s="88">
        <v>910</v>
      </c>
      <c r="F361" s="89">
        <f t="shared" si="274"/>
        <v>10</v>
      </c>
      <c r="G361" s="90">
        <f t="shared" si="272"/>
        <v>28.546220958729535</v>
      </c>
      <c r="H361" s="90">
        <f t="shared" si="273"/>
        <v>47.92</v>
      </c>
      <c r="I361" s="91" t="str">
        <f t="shared" si="276"/>
        <v>9동5라인</v>
      </c>
      <c r="J361" s="92" t="s">
        <v>208</v>
      </c>
      <c r="L361" s="89">
        <v>2</v>
      </c>
      <c r="M361" s="78">
        <f t="shared" si="277"/>
        <v>5</v>
      </c>
      <c r="N361" s="78"/>
      <c r="O361" s="78">
        <f t="shared" si="275"/>
        <v>10</v>
      </c>
    </row>
    <row r="362" spans="1:16" ht="18" customHeight="1">
      <c r="A362" s="85"/>
      <c r="B362" s="86"/>
      <c r="C362" s="87"/>
      <c r="D362" s="88">
        <v>228</v>
      </c>
      <c r="E362" s="88">
        <v>910</v>
      </c>
      <c r="F362" s="89">
        <f t="shared" si="274"/>
        <v>10</v>
      </c>
      <c r="G362" s="90">
        <f t="shared" si="272"/>
        <v>22.59909159232755</v>
      </c>
      <c r="H362" s="90">
        <f t="shared" si="273"/>
        <v>45.519999999999996</v>
      </c>
      <c r="I362" s="91" t="str">
        <f t="shared" si="276"/>
        <v>9동5라인</v>
      </c>
      <c r="J362" s="92" t="s">
        <v>209</v>
      </c>
      <c r="L362" s="89">
        <v>2</v>
      </c>
      <c r="M362" s="78">
        <f t="shared" si="277"/>
        <v>5</v>
      </c>
      <c r="N362" s="78"/>
      <c r="O362" s="78">
        <f t="shared" si="275"/>
        <v>10</v>
      </c>
    </row>
    <row r="363" spans="1:16" ht="18" customHeight="1">
      <c r="A363" s="85"/>
      <c r="B363" s="86"/>
      <c r="C363" s="87"/>
      <c r="D363" s="88">
        <v>438</v>
      </c>
      <c r="E363" s="88">
        <v>270</v>
      </c>
      <c r="F363" s="89">
        <f t="shared" si="274"/>
        <v>10</v>
      </c>
      <c r="G363" s="90">
        <f t="shared" si="272"/>
        <v>12.881090089206941</v>
      </c>
      <c r="H363" s="90">
        <f t="shared" si="273"/>
        <v>28.32</v>
      </c>
      <c r="I363" s="91" t="str">
        <f t="shared" si="276"/>
        <v>9동5라인</v>
      </c>
      <c r="J363" s="92" t="s">
        <v>210</v>
      </c>
      <c r="L363" s="89">
        <v>2</v>
      </c>
      <c r="M363" s="78">
        <f t="shared" si="277"/>
        <v>5</v>
      </c>
      <c r="N363" s="78"/>
      <c r="O363" s="78">
        <f t="shared" si="275"/>
        <v>10</v>
      </c>
    </row>
    <row r="364" spans="1:16" ht="18" customHeight="1">
      <c r="A364" s="85"/>
      <c r="B364" s="86"/>
      <c r="C364" s="87"/>
      <c r="D364" s="88">
        <v>208</v>
      </c>
      <c r="E364" s="88">
        <v>910</v>
      </c>
      <c r="F364" s="89">
        <f t="shared" si="274"/>
        <v>10</v>
      </c>
      <c r="G364" s="90">
        <f t="shared" si="272"/>
        <v>20.616715136860222</v>
      </c>
      <c r="H364" s="90">
        <f t="shared" si="273"/>
        <v>44.72</v>
      </c>
      <c r="I364" s="91" t="str">
        <f t="shared" si="276"/>
        <v>9동5라인</v>
      </c>
      <c r="J364" s="92" t="s">
        <v>211</v>
      </c>
      <c r="L364" s="89">
        <v>2</v>
      </c>
      <c r="M364" s="78">
        <f>M363</f>
        <v>5</v>
      </c>
      <c r="N364" s="78"/>
      <c r="O364" s="78">
        <f t="shared" si="275"/>
        <v>10</v>
      </c>
    </row>
    <row r="365" spans="1:16" ht="18" customHeight="1">
      <c r="A365" s="85"/>
      <c r="B365" s="93"/>
      <c r="C365" s="87"/>
      <c r="D365" s="325" t="s">
        <v>0</v>
      </c>
      <c r="E365" s="325"/>
      <c r="F365" s="94">
        <f>SUM(F358:F364)</f>
        <v>75</v>
      </c>
      <c r="G365" s="95">
        <f>SUM(G358:G364)</f>
        <v>611.67314751277115</v>
      </c>
      <c r="H365" s="96">
        <f>SUM(H358:H364)</f>
        <v>503.12</v>
      </c>
      <c r="I365" s="97"/>
      <c r="J365" s="162"/>
    </row>
    <row r="366" spans="1:16" ht="18" customHeight="1">
      <c r="A366" s="85"/>
      <c r="B366" s="93"/>
      <c r="C366" s="87"/>
      <c r="D366" s="161"/>
      <c r="E366" s="161"/>
      <c r="F366" s="89"/>
      <c r="G366" s="100"/>
      <c r="H366" s="101"/>
      <c r="I366" s="102"/>
      <c r="J366" s="121"/>
      <c r="L366" s="78" t="s">
        <v>48</v>
      </c>
      <c r="M366" s="78" t="s">
        <v>54</v>
      </c>
      <c r="N366" s="78" t="s">
        <v>50</v>
      </c>
      <c r="O366" s="78" t="s">
        <v>55</v>
      </c>
    </row>
    <row r="367" spans="1:16" ht="18" customHeight="1">
      <c r="A367" s="85"/>
      <c r="B367" s="23" t="s">
        <v>197</v>
      </c>
      <c r="C367" s="24">
        <v>22</v>
      </c>
      <c r="D367" s="88">
        <v>761</v>
      </c>
      <c r="E367" s="88">
        <v>1810</v>
      </c>
      <c r="F367" s="89">
        <f t="shared" ref="F367:F373" si="278">O367</f>
        <v>10</v>
      </c>
      <c r="G367" s="90">
        <f t="shared" ref="G367:G373" si="279">D367*E367/91809*F367</f>
        <v>150.02995349039855</v>
      </c>
      <c r="H367" s="90">
        <f t="shared" ref="H367:H373" si="280">(D367/1000)*4*F367+(E367/1000)*4*F367</f>
        <v>102.84</v>
      </c>
      <c r="I367" s="91" t="str">
        <f t="shared" ref="I367:I373" si="281">I358</f>
        <v>9동5라인</v>
      </c>
      <c r="J367" s="92" t="s">
        <v>212</v>
      </c>
      <c r="L367" s="89">
        <v>2</v>
      </c>
      <c r="M367" s="78">
        <f>M358</f>
        <v>5</v>
      </c>
      <c r="N367" s="84"/>
      <c r="O367" s="78">
        <f>L367*M367-N367*L367</f>
        <v>10</v>
      </c>
    </row>
    <row r="368" spans="1:16" ht="18" customHeight="1">
      <c r="A368" s="85"/>
      <c r="B368" s="86"/>
      <c r="C368" s="87"/>
      <c r="D368" s="88">
        <v>1688</v>
      </c>
      <c r="E368" s="88">
        <v>1810</v>
      </c>
      <c r="F368" s="89">
        <f t="shared" si="278"/>
        <v>5</v>
      </c>
      <c r="G368" s="90">
        <f t="shared" si="279"/>
        <v>166.39327299066539</v>
      </c>
      <c r="H368" s="90">
        <f t="shared" si="280"/>
        <v>69.960000000000008</v>
      </c>
      <c r="I368" s="91" t="str">
        <f t="shared" si="281"/>
        <v>9동5라인</v>
      </c>
      <c r="J368" s="92" t="s">
        <v>213</v>
      </c>
      <c r="L368" s="89">
        <v>1</v>
      </c>
      <c r="M368" s="78">
        <f>M367</f>
        <v>5</v>
      </c>
      <c r="N368" s="84"/>
      <c r="O368" s="78">
        <f>L368*M368-N368*L368</f>
        <v>5</v>
      </c>
    </row>
    <row r="369" spans="1:16" ht="18" customHeight="1">
      <c r="A369" s="104"/>
      <c r="B369" s="93"/>
      <c r="C369" s="87"/>
      <c r="D369" s="88">
        <v>738</v>
      </c>
      <c r="E369" s="88">
        <v>1310</v>
      </c>
      <c r="F369" s="89">
        <f t="shared" si="278"/>
        <v>20</v>
      </c>
      <c r="G369" s="90">
        <f t="shared" si="279"/>
        <v>210.6068032545829</v>
      </c>
      <c r="H369" s="90">
        <f t="shared" si="280"/>
        <v>163.84</v>
      </c>
      <c r="I369" s="91" t="str">
        <f t="shared" si="281"/>
        <v>9동5라인</v>
      </c>
      <c r="J369" s="92" t="s">
        <v>214</v>
      </c>
      <c r="L369" s="89">
        <v>4</v>
      </c>
      <c r="M369" s="78">
        <f t="shared" ref="M369:M373" si="282">M368</f>
        <v>5</v>
      </c>
      <c r="N369" s="84"/>
      <c r="O369" s="78">
        <f t="shared" ref="O369:O373" si="283">L369*M369-N369*L369</f>
        <v>20</v>
      </c>
    </row>
    <row r="370" spans="1:16" ht="18" customHeight="1">
      <c r="A370" s="104"/>
      <c r="B370" s="93"/>
      <c r="C370" s="87"/>
      <c r="D370" s="88">
        <v>288</v>
      </c>
      <c r="E370" s="88">
        <v>910</v>
      </c>
      <c r="F370" s="89">
        <f t="shared" si="278"/>
        <v>10</v>
      </c>
      <c r="G370" s="90">
        <f t="shared" si="279"/>
        <v>28.546220958729535</v>
      </c>
      <c r="H370" s="90">
        <f t="shared" si="280"/>
        <v>47.92</v>
      </c>
      <c r="I370" s="91" t="str">
        <f t="shared" si="281"/>
        <v>9동5라인</v>
      </c>
      <c r="J370" s="92" t="s">
        <v>215</v>
      </c>
      <c r="L370" s="89">
        <v>2</v>
      </c>
      <c r="M370" s="78">
        <f t="shared" si="282"/>
        <v>5</v>
      </c>
      <c r="N370" s="78"/>
      <c r="O370" s="78">
        <f t="shared" si="283"/>
        <v>10</v>
      </c>
    </row>
    <row r="371" spans="1:16" ht="18" customHeight="1">
      <c r="A371" s="104"/>
      <c r="B371" s="93"/>
      <c r="C371" s="87"/>
      <c r="D371" s="88">
        <v>228</v>
      </c>
      <c r="E371" s="88">
        <v>910</v>
      </c>
      <c r="F371" s="89">
        <f t="shared" si="278"/>
        <v>10</v>
      </c>
      <c r="G371" s="90">
        <f t="shared" si="279"/>
        <v>22.59909159232755</v>
      </c>
      <c r="H371" s="90">
        <f t="shared" si="280"/>
        <v>45.519999999999996</v>
      </c>
      <c r="I371" s="91" t="str">
        <f t="shared" si="281"/>
        <v>9동5라인</v>
      </c>
      <c r="J371" s="92" t="s">
        <v>216</v>
      </c>
      <c r="L371" s="89">
        <v>2</v>
      </c>
      <c r="M371" s="78">
        <f t="shared" si="282"/>
        <v>5</v>
      </c>
      <c r="N371" s="78"/>
      <c r="O371" s="78">
        <f t="shared" si="283"/>
        <v>10</v>
      </c>
    </row>
    <row r="372" spans="1:16" ht="18" customHeight="1">
      <c r="A372" s="104"/>
      <c r="B372" s="93"/>
      <c r="C372" s="87"/>
      <c r="D372" s="88">
        <v>438</v>
      </c>
      <c r="E372" s="88">
        <v>270</v>
      </c>
      <c r="F372" s="89">
        <f t="shared" si="278"/>
        <v>10</v>
      </c>
      <c r="G372" s="90">
        <f t="shared" si="279"/>
        <v>12.881090089206941</v>
      </c>
      <c r="H372" s="90">
        <f t="shared" si="280"/>
        <v>28.32</v>
      </c>
      <c r="I372" s="91" t="str">
        <f t="shared" si="281"/>
        <v>9동5라인</v>
      </c>
      <c r="J372" s="92" t="s">
        <v>217</v>
      </c>
      <c r="L372" s="89">
        <v>2</v>
      </c>
      <c r="M372" s="78">
        <f t="shared" si="282"/>
        <v>5</v>
      </c>
      <c r="N372" s="78"/>
      <c r="O372" s="78">
        <f t="shared" si="283"/>
        <v>10</v>
      </c>
    </row>
    <row r="373" spans="1:16" ht="18" customHeight="1">
      <c r="A373" s="104"/>
      <c r="B373" s="93"/>
      <c r="C373" s="87"/>
      <c r="D373" s="88">
        <v>208</v>
      </c>
      <c r="E373" s="88">
        <v>910</v>
      </c>
      <c r="F373" s="89">
        <f t="shared" si="278"/>
        <v>10</v>
      </c>
      <c r="G373" s="90">
        <f t="shared" si="279"/>
        <v>20.616715136860222</v>
      </c>
      <c r="H373" s="90">
        <f t="shared" si="280"/>
        <v>44.72</v>
      </c>
      <c r="I373" s="91" t="str">
        <f t="shared" si="281"/>
        <v>9동5라인</v>
      </c>
      <c r="J373" s="92" t="s">
        <v>218</v>
      </c>
      <c r="L373" s="89">
        <v>2</v>
      </c>
      <c r="M373" s="78">
        <f t="shared" si="282"/>
        <v>5</v>
      </c>
      <c r="N373" s="78"/>
      <c r="O373" s="78">
        <f t="shared" si="283"/>
        <v>10</v>
      </c>
    </row>
    <row r="374" spans="1:16" ht="18" customHeight="1">
      <c r="A374" s="104"/>
      <c r="B374" s="87"/>
      <c r="C374" s="87"/>
      <c r="D374" s="325" t="s">
        <v>0</v>
      </c>
      <c r="E374" s="325"/>
      <c r="F374" s="171">
        <f>SUM(F367:F373)</f>
        <v>75</v>
      </c>
      <c r="G374" s="95">
        <f>SUM(G367:G373)</f>
        <v>611.67314751277115</v>
      </c>
      <c r="H374" s="95">
        <f>SUM(H367:H373)</f>
        <v>503.12</v>
      </c>
      <c r="I374" s="97"/>
      <c r="J374" s="98"/>
    </row>
    <row r="375" spans="1:16">
      <c r="A375" s="105"/>
      <c r="B375" s="9"/>
      <c r="C375" s="9"/>
      <c r="D375" s="51"/>
      <c r="E375" s="51"/>
      <c r="F375" s="51"/>
      <c r="G375" s="106"/>
      <c r="H375" s="106"/>
      <c r="I375" s="9"/>
      <c r="J375" s="107"/>
    </row>
    <row r="376" spans="1:16" ht="18" customHeight="1">
      <c r="A376" s="85"/>
      <c r="B376" s="163" t="s">
        <v>199</v>
      </c>
      <c r="C376" s="163">
        <v>22</v>
      </c>
      <c r="D376" s="88">
        <v>738</v>
      </c>
      <c r="E376" s="88">
        <v>1810</v>
      </c>
      <c r="F376" s="89">
        <f t="shared" ref="F376:F377" si="284">O376</f>
        <v>10</v>
      </c>
      <c r="G376" s="90">
        <f t="shared" ref="G376:G377" si="285">D376*E376/91809*F376</f>
        <v>145.4955396529752</v>
      </c>
      <c r="H376" s="90">
        <f t="shared" ref="H376:H377" si="286">(D376/1000)*4*F376+(E376/1000)*4*F376</f>
        <v>101.92</v>
      </c>
      <c r="I376" s="91" t="str">
        <f>I367</f>
        <v>9동5라인</v>
      </c>
      <c r="J376" s="92" t="s">
        <v>219</v>
      </c>
      <c r="L376" s="89">
        <v>2</v>
      </c>
      <c r="M376" s="78">
        <f>M358</f>
        <v>5</v>
      </c>
      <c r="N376" s="84"/>
      <c r="O376" s="78">
        <f>L376*M376-N376*L376</f>
        <v>10</v>
      </c>
      <c r="P376" s="64"/>
    </row>
    <row r="377" spans="1:16" ht="18" customHeight="1">
      <c r="A377" s="85"/>
      <c r="B377" s="86"/>
      <c r="C377" s="87"/>
      <c r="D377" s="88">
        <v>250</v>
      </c>
      <c r="E377" s="88">
        <v>930</v>
      </c>
      <c r="F377" s="89">
        <f t="shared" si="284"/>
        <v>10</v>
      </c>
      <c r="G377" s="90">
        <f t="shared" si="285"/>
        <v>25.324314609678787</v>
      </c>
      <c r="H377" s="90">
        <f t="shared" si="286"/>
        <v>47.2</v>
      </c>
      <c r="I377" s="91" t="str">
        <f>I376</f>
        <v>9동5라인</v>
      </c>
      <c r="J377" s="92" t="s">
        <v>220</v>
      </c>
      <c r="L377" s="89">
        <v>2</v>
      </c>
      <c r="M377" s="78">
        <f>M376</f>
        <v>5</v>
      </c>
      <c r="N377" s="84"/>
      <c r="O377" s="78">
        <f t="shared" ref="O377" si="287">L377*M377-N377*L377</f>
        <v>10</v>
      </c>
    </row>
    <row r="378" spans="1:16" ht="18" customHeight="1">
      <c r="A378" s="85"/>
      <c r="B378" s="93"/>
      <c r="C378" s="87"/>
      <c r="D378" s="325" t="s">
        <v>0</v>
      </c>
      <c r="E378" s="325"/>
      <c r="F378" s="94">
        <f>SUM(F376:F377)</f>
        <v>20</v>
      </c>
      <c r="G378" s="95">
        <f>SUM(G376:G377)</f>
        <v>170.81985426265399</v>
      </c>
      <c r="H378" s="95">
        <f>SUM(H376:H377)</f>
        <v>149.12</v>
      </c>
      <c r="I378" s="97"/>
      <c r="J378" s="98"/>
    </row>
    <row r="379" spans="1:16" ht="18" customHeight="1" thickBot="1">
      <c r="A379" s="222"/>
      <c r="B379" s="245"/>
      <c r="C379" s="224"/>
      <c r="D379" s="246"/>
      <c r="E379" s="246"/>
      <c r="F379" s="226"/>
      <c r="G379" s="247"/>
      <c r="H379" s="247"/>
      <c r="I379" s="248"/>
      <c r="J379" s="249"/>
      <c r="L379" s="250"/>
      <c r="M379" s="250"/>
      <c r="N379" s="250"/>
      <c r="O379" s="250"/>
    </row>
    <row r="380" spans="1:16" ht="18" customHeight="1">
      <c r="A380" s="79" t="s">
        <v>242</v>
      </c>
      <c r="B380" s="231" t="s">
        <v>195</v>
      </c>
      <c r="C380" s="232">
        <v>22</v>
      </c>
      <c r="D380" s="80">
        <v>761</v>
      </c>
      <c r="E380" s="80">
        <v>1810</v>
      </c>
      <c r="F380" s="233">
        <f t="shared" ref="F380:F385" si="288">O380</f>
        <v>10</v>
      </c>
      <c r="G380" s="81">
        <f t="shared" ref="G380:G385" si="289">D380*E380/91809*F380</f>
        <v>150.02995349039855</v>
      </c>
      <c r="H380" s="81">
        <f t="shared" ref="H380:H385" si="290">(D380/1000)*4*F380+(E380/1000)*4*F380</f>
        <v>102.84</v>
      </c>
      <c r="I380" s="82" t="s">
        <v>259</v>
      </c>
      <c r="J380" s="83" t="s">
        <v>205</v>
      </c>
      <c r="L380" s="89">
        <v>2</v>
      </c>
      <c r="M380" s="78">
        <v>5</v>
      </c>
      <c r="N380" s="78"/>
      <c r="O380" s="78">
        <f t="shared" ref="O380:O385" si="291">L380*M380-N380*L380</f>
        <v>10</v>
      </c>
    </row>
    <row r="381" spans="1:16" ht="18" customHeight="1">
      <c r="A381" s="85"/>
      <c r="B381" s="86"/>
      <c r="C381" s="87"/>
      <c r="D381" s="88">
        <v>1688</v>
      </c>
      <c r="E381" s="88">
        <v>1810</v>
      </c>
      <c r="F381" s="89">
        <f t="shared" si="288"/>
        <v>5</v>
      </c>
      <c r="G381" s="90">
        <f t="shared" si="289"/>
        <v>166.39327299066539</v>
      </c>
      <c r="H381" s="90">
        <f t="shared" si="290"/>
        <v>69.960000000000008</v>
      </c>
      <c r="I381" s="91" t="str">
        <f>I380</f>
        <v>9동6라인</v>
      </c>
      <c r="J381" s="92" t="s">
        <v>206</v>
      </c>
      <c r="L381" s="89">
        <v>1</v>
      </c>
      <c r="M381" s="78">
        <f t="shared" ref="M381:M397" si="292">M380</f>
        <v>5</v>
      </c>
      <c r="N381" s="78"/>
      <c r="O381" s="78">
        <f t="shared" si="291"/>
        <v>5</v>
      </c>
    </row>
    <row r="382" spans="1:16" ht="18" customHeight="1">
      <c r="A382" s="85"/>
      <c r="B382" s="86"/>
      <c r="C382" s="87"/>
      <c r="D382" s="88">
        <v>738</v>
      </c>
      <c r="E382" s="88">
        <v>1310</v>
      </c>
      <c r="F382" s="89">
        <f t="shared" si="288"/>
        <v>20</v>
      </c>
      <c r="G382" s="90">
        <f t="shared" si="289"/>
        <v>210.6068032545829</v>
      </c>
      <c r="H382" s="90">
        <f t="shared" si="290"/>
        <v>163.84</v>
      </c>
      <c r="I382" s="91" t="str">
        <f t="shared" ref="I382:I385" si="293">I381</f>
        <v>9동6라인</v>
      </c>
      <c r="J382" s="92" t="s">
        <v>207</v>
      </c>
      <c r="L382" s="89">
        <v>4</v>
      </c>
      <c r="M382" s="78">
        <f t="shared" si="292"/>
        <v>5</v>
      </c>
      <c r="N382" s="78"/>
      <c r="O382" s="78">
        <f t="shared" si="291"/>
        <v>20</v>
      </c>
    </row>
    <row r="383" spans="1:16" ht="18" customHeight="1">
      <c r="A383" s="85"/>
      <c r="B383" s="86"/>
      <c r="C383" s="87"/>
      <c r="D383" s="88">
        <v>438</v>
      </c>
      <c r="E383" s="88">
        <v>910</v>
      </c>
      <c r="F383" s="89">
        <f t="shared" si="288"/>
        <v>10</v>
      </c>
      <c r="G383" s="90">
        <f t="shared" si="289"/>
        <v>43.414044374734502</v>
      </c>
      <c r="H383" s="90">
        <f t="shared" si="290"/>
        <v>53.92</v>
      </c>
      <c r="I383" s="91" t="str">
        <f t="shared" si="293"/>
        <v>9동6라인</v>
      </c>
      <c r="J383" s="92" t="s">
        <v>223</v>
      </c>
      <c r="L383" s="89">
        <v>2</v>
      </c>
      <c r="M383" s="78">
        <f t="shared" si="292"/>
        <v>5</v>
      </c>
      <c r="N383" s="78"/>
      <c r="O383" s="78">
        <f t="shared" si="291"/>
        <v>10</v>
      </c>
    </row>
    <row r="384" spans="1:16" ht="18" customHeight="1">
      <c r="A384" s="85"/>
      <c r="B384" s="86"/>
      <c r="C384" s="87"/>
      <c r="D384" s="88">
        <v>228</v>
      </c>
      <c r="E384" s="88">
        <v>910</v>
      </c>
      <c r="F384" s="89">
        <f t="shared" si="288"/>
        <v>10</v>
      </c>
      <c r="G384" s="90">
        <f t="shared" si="289"/>
        <v>22.59909159232755</v>
      </c>
      <c r="H384" s="90">
        <f t="shared" si="290"/>
        <v>45.519999999999996</v>
      </c>
      <c r="I384" s="91" t="str">
        <f t="shared" si="293"/>
        <v>9동6라인</v>
      </c>
      <c r="J384" s="92" t="s">
        <v>209</v>
      </c>
      <c r="L384" s="89">
        <v>2</v>
      </c>
      <c r="M384" s="78">
        <f t="shared" si="292"/>
        <v>5</v>
      </c>
      <c r="N384" s="78"/>
      <c r="O384" s="78">
        <f t="shared" si="291"/>
        <v>10</v>
      </c>
    </row>
    <row r="385" spans="1:16" ht="18" customHeight="1">
      <c r="A385" s="85"/>
      <c r="B385" s="86"/>
      <c r="C385" s="87"/>
      <c r="D385" s="88">
        <v>438</v>
      </c>
      <c r="E385" s="88">
        <v>270</v>
      </c>
      <c r="F385" s="89">
        <f t="shared" si="288"/>
        <v>10</v>
      </c>
      <c r="G385" s="90">
        <f t="shared" si="289"/>
        <v>12.881090089206941</v>
      </c>
      <c r="H385" s="90">
        <f t="shared" si="290"/>
        <v>28.32</v>
      </c>
      <c r="I385" s="91" t="str">
        <f t="shared" si="293"/>
        <v>9동6라인</v>
      </c>
      <c r="J385" s="92" t="s">
        <v>210</v>
      </c>
      <c r="L385" s="89">
        <v>2</v>
      </c>
      <c r="M385" s="78">
        <f t="shared" si="292"/>
        <v>5</v>
      </c>
      <c r="N385" s="78"/>
      <c r="O385" s="78">
        <f t="shared" si="291"/>
        <v>10</v>
      </c>
    </row>
    <row r="386" spans="1:16" ht="18" customHeight="1">
      <c r="A386" s="85"/>
      <c r="B386" s="93"/>
      <c r="C386" s="87"/>
      <c r="D386" s="325" t="s">
        <v>0</v>
      </c>
      <c r="E386" s="325"/>
      <c r="F386" s="94">
        <f>SUM(F380:F385)</f>
        <v>65</v>
      </c>
      <c r="G386" s="95">
        <f>SUM(G380:G385)</f>
        <v>605.92425579191593</v>
      </c>
      <c r="H386" s="96">
        <f>SUM(H380:H385)</f>
        <v>464.4</v>
      </c>
      <c r="I386" s="97"/>
      <c r="J386" s="162"/>
      <c r="L386" s="250"/>
      <c r="M386" s="250"/>
      <c r="N386" s="250"/>
      <c r="O386" s="250"/>
    </row>
    <row r="387" spans="1:16" ht="18" customHeight="1">
      <c r="A387" s="85"/>
      <c r="B387" s="93"/>
      <c r="C387" s="87"/>
      <c r="D387" s="161"/>
      <c r="E387" s="161"/>
      <c r="F387" s="89"/>
      <c r="G387" s="100"/>
      <c r="H387" s="101"/>
      <c r="I387" s="102"/>
      <c r="J387" s="121"/>
      <c r="L387" s="250"/>
      <c r="M387" s="250"/>
      <c r="N387" s="250"/>
      <c r="O387" s="250"/>
    </row>
    <row r="388" spans="1:16" ht="18" customHeight="1">
      <c r="A388" s="85"/>
      <c r="B388" s="23" t="s">
        <v>197</v>
      </c>
      <c r="C388" s="24">
        <v>22</v>
      </c>
      <c r="D388" s="88">
        <v>761</v>
      </c>
      <c r="E388" s="88">
        <v>1810</v>
      </c>
      <c r="F388" s="89">
        <f t="shared" ref="F388:F393" si="294">O388</f>
        <v>10</v>
      </c>
      <c r="G388" s="90">
        <f t="shared" ref="G388:G393" si="295">D388*E388/91809*F388</f>
        <v>150.02995349039855</v>
      </c>
      <c r="H388" s="90">
        <f t="shared" ref="H388:H393" si="296">(D388/1000)*4*F388+(E388/1000)*4*F388</f>
        <v>102.84</v>
      </c>
      <c r="I388" s="91" t="str">
        <f>I380</f>
        <v>9동6라인</v>
      </c>
      <c r="J388" s="92" t="s">
        <v>212</v>
      </c>
      <c r="L388" s="89">
        <v>2</v>
      </c>
      <c r="M388" s="78">
        <f>M385</f>
        <v>5</v>
      </c>
      <c r="N388" s="78"/>
      <c r="O388" s="78">
        <f t="shared" ref="O388:O393" si="297">L388*M388-N388*L388</f>
        <v>10</v>
      </c>
    </row>
    <row r="389" spans="1:16" ht="18" customHeight="1">
      <c r="A389" s="85"/>
      <c r="B389" s="86"/>
      <c r="C389" s="87"/>
      <c r="D389" s="88">
        <v>1688</v>
      </c>
      <c r="E389" s="88">
        <v>1810</v>
      </c>
      <c r="F389" s="89">
        <f t="shared" si="294"/>
        <v>5</v>
      </c>
      <c r="G389" s="90">
        <f t="shared" si="295"/>
        <v>166.39327299066539</v>
      </c>
      <c r="H389" s="90">
        <f t="shared" si="296"/>
        <v>69.960000000000008</v>
      </c>
      <c r="I389" s="91" t="str">
        <f>I380</f>
        <v>9동6라인</v>
      </c>
      <c r="J389" s="92" t="s">
        <v>213</v>
      </c>
      <c r="L389" s="89">
        <v>1</v>
      </c>
      <c r="M389" s="78">
        <f t="shared" si="292"/>
        <v>5</v>
      </c>
      <c r="N389" s="78"/>
      <c r="O389" s="78">
        <f t="shared" si="297"/>
        <v>5</v>
      </c>
    </row>
    <row r="390" spans="1:16">
      <c r="A390" s="104"/>
      <c r="B390" s="93"/>
      <c r="C390" s="87"/>
      <c r="D390" s="88">
        <v>738</v>
      </c>
      <c r="E390" s="88">
        <v>1310</v>
      </c>
      <c r="F390" s="89">
        <f t="shared" si="294"/>
        <v>20</v>
      </c>
      <c r="G390" s="90">
        <f t="shared" si="295"/>
        <v>210.6068032545829</v>
      </c>
      <c r="H390" s="90">
        <f t="shared" si="296"/>
        <v>163.84</v>
      </c>
      <c r="I390" s="91" t="str">
        <f>I389</f>
        <v>9동6라인</v>
      </c>
      <c r="J390" s="92" t="s">
        <v>214</v>
      </c>
      <c r="L390" s="89">
        <v>4</v>
      </c>
      <c r="M390" s="78">
        <f t="shared" si="292"/>
        <v>5</v>
      </c>
      <c r="N390" s="78"/>
      <c r="O390" s="78">
        <f t="shared" si="297"/>
        <v>20</v>
      </c>
    </row>
    <row r="391" spans="1:16" ht="18" customHeight="1">
      <c r="A391" s="104"/>
      <c r="B391" s="93"/>
      <c r="C391" s="87"/>
      <c r="D391" s="88">
        <v>438</v>
      </c>
      <c r="E391" s="88">
        <v>910</v>
      </c>
      <c r="F391" s="89">
        <f t="shared" si="294"/>
        <v>10</v>
      </c>
      <c r="G391" s="90">
        <f t="shared" si="295"/>
        <v>43.414044374734502</v>
      </c>
      <c r="H391" s="90">
        <f t="shared" si="296"/>
        <v>53.92</v>
      </c>
      <c r="I391" s="91" t="str">
        <f t="shared" ref="I391:I393" si="298">I390</f>
        <v>9동6라인</v>
      </c>
      <c r="J391" s="92" t="s">
        <v>225</v>
      </c>
      <c r="L391" s="89">
        <v>2</v>
      </c>
      <c r="M391" s="78">
        <f t="shared" si="292"/>
        <v>5</v>
      </c>
      <c r="N391" s="78"/>
      <c r="O391" s="78">
        <f t="shared" si="297"/>
        <v>10</v>
      </c>
      <c r="P391" s="64"/>
    </row>
    <row r="392" spans="1:16" ht="18" customHeight="1">
      <c r="A392" s="104"/>
      <c r="B392" s="93"/>
      <c r="C392" s="87"/>
      <c r="D392" s="88">
        <v>228</v>
      </c>
      <c r="E392" s="88">
        <v>910</v>
      </c>
      <c r="F392" s="89">
        <f t="shared" si="294"/>
        <v>10</v>
      </c>
      <c r="G392" s="90">
        <f t="shared" si="295"/>
        <v>22.59909159232755</v>
      </c>
      <c r="H392" s="90">
        <f t="shared" si="296"/>
        <v>45.519999999999996</v>
      </c>
      <c r="I392" s="91" t="str">
        <f t="shared" si="298"/>
        <v>9동6라인</v>
      </c>
      <c r="J392" s="92" t="s">
        <v>216</v>
      </c>
      <c r="L392" s="89">
        <v>2</v>
      </c>
      <c r="M392" s="78">
        <f t="shared" si="292"/>
        <v>5</v>
      </c>
      <c r="N392" s="78"/>
      <c r="O392" s="78">
        <f t="shared" si="297"/>
        <v>10</v>
      </c>
    </row>
    <row r="393" spans="1:16" ht="18" customHeight="1">
      <c r="A393" s="104"/>
      <c r="B393" s="93"/>
      <c r="C393" s="87"/>
      <c r="D393" s="88">
        <v>438</v>
      </c>
      <c r="E393" s="88">
        <v>270</v>
      </c>
      <c r="F393" s="89">
        <f t="shared" si="294"/>
        <v>10</v>
      </c>
      <c r="G393" s="90">
        <f t="shared" si="295"/>
        <v>12.881090089206941</v>
      </c>
      <c r="H393" s="90">
        <f t="shared" si="296"/>
        <v>28.32</v>
      </c>
      <c r="I393" s="91" t="str">
        <f t="shared" si="298"/>
        <v>9동6라인</v>
      </c>
      <c r="J393" s="92" t="s">
        <v>217</v>
      </c>
      <c r="L393" s="89">
        <v>2</v>
      </c>
      <c r="M393" s="78">
        <f t="shared" si="292"/>
        <v>5</v>
      </c>
      <c r="N393" s="78"/>
      <c r="O393" s="78">
        <f t="shared" si="297"/>
        <v>10</v>
      </c>
    </row>
    <row r="394" spans="1:16">
      <c r="A394" s="104"/>
      <c r="B394" s="87"/>
      <c r="C394" s="87"/>
      <c r="D394" s="325" t="s">
        <v>0</v>
      </c>
      <c r="E394" s="325"/>
      <c r="F394" s="171">
        <f>SUM(F388:F393)</f>
        <v>65</v>
      </c>
      <c r="G394" s="95">
        <f>SUM(G388:G393)</f>
        <v>605.92425579191593</v>
      </c>
      <c r="H394" s="95">
        <f>SUM(H388:H393)</f>
        <v>464.4</v>
      </c>
      <c r="I394" s="97"/>
      <c r="J394" s="98"/>
      <c r="L394" s="250"/>
      <c r="M394" s="250"/>
      <c r="N394" s="250"/>
      <c r="O394" s="250"/>
    </row>
    <row r="395" spans="1:16">
      <c r="A395" s="105"/>
      <c r="B395" s="9"/>
      <c r="C395" s="9"/>
      <c r="D395" s="51"/>
      <c r="E395" s="51"/>
      <c r="F395" s="51"/>
      <c r="G395" s="106"/>
      <c r="H395" s="106"/>
      <c r="I395" s="9"/>
      <c r="J395" s="107"/>
      <c r="L395" s="250"/>
      <c r="M395" s="250"/>
      <c r="N395" s="250"/>
      <c r="O395" s="250"/>
    </row>
    <row r="396" spans="1:16" ht="18" customHeight="1">
      <c r="A396" s="85"/>
      <c r="B396" s="163" t="s">
        <v>199</v>
      </c>
      <c r="C396" s="163">
        <v>22</v>
      </c>
      <c r="D396" s="88">
        <v>738</v>
      </c>
      <c r="E396" s="88">
        <v>1810</v>
      </c>
      <c r="F396" s="89">
        <f t="shared" ref="F396:F397" si="299">O396</f>
        <v>10</v>
      </c>
      <c r="G396" s="90">
        <f t="shared" ref="G396:G398" si="300">D396*E396/91809*F396</f>
        <v>145.4955396529752</v>
      </c>
      <c r="H396" s="90">
        <f t="shared" ref="H396:H398" si="301">(D396/1000)*4*F396+(E396/1000)*4*F396</f>
        <v>101.92</v>
      </c>
      <c r="I396" s="91" t="str">
        <f>I388</f>
        <v>9동6라인</v>
      </c>
      <c r="J396" s="92" t="s">
        <v>219</v>
      </c>
      <c r="L396" s="89">
        <v>2</v>
      </c>
      <c r="M396" s="78">
        <f>M393</f>
        <v>5</v>
      </c>
      <c r="N396" s="78"/>
      <c r="O396" s="78">
        <f t="shared" ref="O396:O397" si="302">L396*M396-N396*L396</f>
        <v>10</v>
      </c>
      <c r="P396" s="64"/>
    </row>
    <row r="397" spans="1:16" ht="18" customHeight="1">
      <c r="A397" s="85"/>
      <c r="B397" s="86"/>
      <c r="C397" s="87"/>
      <c r="D397" s="88">
        <v>250</v>
      </c>
      <c r="E397" s="88">
        <v>930</v>
      </c>
      <c r="F397" s="89">
        <f t="shared" si="299"/>
        <v>10</v>
      </c>
      <c r="G397" s="90">
        <f t="shared" si="300"/>
        <v>25.324314609678787</v>
      </c>
      <c r="H397" s="90">
        <f t="shared" si="301"/>
        <v>47.2</v>
      </c>
      <c r="I397" s="91" t="str">
        <f>I396</f>
        <v>9동6라인</v>
      </c>
      <c r="J397" s="92" t="s">
        <v>220</v>
      </c>
      <c r="L397" s="89">
        <v>2</v>
      </c>
      <c r="M397" s="78">
        <f t="shared" si="292"/>
        <v>5</v>
      </c>
      <c r="N397" s="78"/>
      <c r="O397" s="78">
        <f t="shared" si="302"/>
        <v>10</v>
      </c>
    </row>
    <row r="398" spans="1:16" ht="18" customHeight="1">
      <c r="A398" s="85"/>
      <c r="B398" s="86"/>
      <c r="C398" s="87"/>
      <c r="D398" s="88"/>
      <c r="E398" s="88"/>
      <c r="F398" s="89"/>
      <c r="G398" s="90">
        <f t="shared" si="300"/>
        <v>0</v>
      </c>
      <c r="H398" s="90">
        <f t="shared" si="301"/>
        <v>0</v>
      </c>
      <c r="I398" s="91"/>
      <c r="J398" s="92"/>
      <c r="L398" s="250"/>
      <c r="M398" s="250"/>
      <c r="N398" s="250"/>
      <c r="O398" s="250"/>
    </row>
    <row r="399" spans="1:16" ht="18" customHeight="1">
      <c r="A399" s="85"/>
      <c r="B399" s="93"/>
      <c r="C399" s="87"/>
      <c r="D399" s="325" t="s">
        <v>0</v>
      </c>
      <c r="E399" s="325"/>
      <c r="F399" s="94">
        <f>SUM(F396:F398)</f>
        <v>20</v>
      </c>
      <c r="G399" s="95">
        <f>SUM(G396:G398)</f>
        <v>170.81985426265399</v>
      </c>
      <c r="H399" s="95">
        <f>SUM(H396:H398)</f>
        <v>149.12</v>
      </c>
      <c r="I399" s="97"/>
      <c r="J399" s="98"/>
      <c r="L399" s="250"/>
      <c r="M399" s="250"/>
      <c r="N399" s="250"/>
      <c r="O399" s="250"/>
    </row>
    <row r="400" spans="1:16" ht="18" customHeight="1" thickBot="1">
      <c r="A400" s="253"/>
      <c r="B400" s="254"/>
      <c r="C400" s="255"/>
      <c r="D400" s="361"/>
      <c r="E400" s="361"/>
      <c r="F400" s="256"/>
      <c r="G400" s="257"/>
      <c r="H400" s="258"/>
      <c r="I400" s="259"/>
      <c r="J400" s="260"/>
      <c r="L400" s="250"/>
      <c r="M400" s="250"/>
      <c r="N400" s="250"/>
      <c r="O400" s="250"/>
    </row>
    <row r="401" spans="1:16" ht="18" customHeight="1">
      <c r="A401" s="79" t="s">
        <v>242</v>
      </c>
      <c r="B401" s="231" t="s">
        <v>195</v>
      </c>
      <c r="C401" s="232">
        <v>22</v>
      </c>
      <c r="D401" s="80">
        <v>761</v>
      </c>
      <c r="E401" s="80">
        <v>1810</v>
      </c>
      <c r="F401" s="233">
        <f t="shared" ref="F401:F406" si="303">O401</f>
        <v>10</v>
      </c>
      <c r="G401" s="81">
        <f t="shared" ref="G401:G406" si="304">D401*E401/91809*F401</f>
        <v>150.02995349039855</v>
      </c>
      <c r="H401" s="81">
        <f t="shared" ref="H401:H406" si="305">(D401/1000)*4*F401+(E401/1000)*4*F401</f>
        <v>102.84</v>
      </c>
      <c r="I401" s="82" t="s">
        <v>260</v>
      </c>
      <c r="J401" s="83" t="s">
        <v>205</v>
      </c>
      <c r="L401" s="89">
        <v>2</v>
      </c>
      <c r="M401" s="78">
        <v>5</v>
      </c>
      <c r="N401" s="78"/>
      <c r="O401" s="78">
        <f t="shared" ref="O401:O406" si="306">L401*M401-N401*L401</f>
        <v>10</v>
      </c>
    </row>
    <row r="402" spans="1:16" ht="18" customHeight="1">
      <c r="A402" s="85"/>
      <c r="B402" s="86"/>
      <c r="C402" s="87"/>
      <c r="D402" s="88">
        <v>1688</v>
      </c>
      <c r="E402" s="88">
        <v>1810</v>
      </c>
      <c r="F402" s="89">
        <f t="shared" si="303"/>
        <v>5</v>
      </c>
      <c r="G402" s="90">
        <f t="shared" si="304"/>
        <v>166.39327299066539</v>
      </c>
      <c r="H402" s="90">
        <f t="shared" si="305"/>
        <v>69.960000000000008</v>
      </c>
      <c r="I402" s="91" t="str">
        <f>I401</f>
        <v>10동1라인</v>
      </c>
      <c r="J402" s="92" t="s">
        <v>206</v>
      </c>
      <c r="L402" s="89">
        <v>1</v>
      </c>
      <c r="M402" s="78">
        <f t="shared" ref="M402:M418" si="307">M401</f>
        <v>5</v>
      </c>
      <c r="N402" s="78"/>
      <c r="O402" s="78">
        <f t="shared" si="306"/>
        <v>5</v>
      </c>
    </row>
    <row r="403" spans="1:16" ht="18" customHeight="1">
      <c r="A403" s="85"/>
      <c r="B403" s="86"/>
      <c r="C403" s="87"/>
      <c r="D403" s="88">
        <v>738</v>
      </c>
      <c r="E403" s="88">
        <v>1310</v>
      </c>
      <c r="F403" s="89">
        <f t="shared" si="303"/>
        <v>20</v>
      </c>
      <c r="G403" s="90">
        <f t="shared" si="304"/>
        <v>210.6068032545829</v>
      </c>
      <c r="H403" s="90">
        <f t="shared" si="305"/>
        <v>163.84</v>
      </c>
      <c r="I403" s="91" t="str">
        <f t="shared" ref="I403:I406" si="308">I402</f>
        <v>10동1라인</v>
      </c>
      <c r="J403" s="92" t="s">
        <v>207</v>
      </c>
      <c r="L403" s="89">
        <v>4</v>
      </c>
      <c r="M403" s="78">
        <f t="shared" si="307"/>
        <v>5</v>
      </c>
      <c r="N403" s="78"/>
      <c r="O403" s="78">
        <f t="shared" si="306"/>
        <v>20</v>
      </c>
    </row>
    <row r="404" spans="1:16" ht="18" customHeight="1">
      <c r="A404" s="85"/>
      <c r="B404" s="86"/>
      <c r="C404" s="87"/>
      <c r="D404" s="88">
        <v>438</v>
      </c>
      <c r="E404" s="88">
        <v>910</v>
      </c>
      <c r="F404" s="89">
        <f t="shared" si="303"/>
        <v>10</v>
      </c>
      <c r="G404" s="90">
        <f t="shared" si="304"/>
        <v>43.414044374734502</v>
      </c>
      <c r="H404" s="90">
        <f t="shared" si="305"/>
        <v>53.92</v>
      </c>
      <c r="I404" s="91" t="str">
        <f t="shared" si="308"/>
        <v>10동1라인</v>
      </c>
      <c r="J404" s="92" t="s">
        <v>223</v>
      </c>
      <c r="L404" s="89">
        <v>2</v>
      </c>
      <c r="M404" s="78">
        <f t="shared" si="307"/>
        <v>5</v>
      </c>
      <c r="N404" s="78"/>
      <c r="O404" s="78">
        <f t="shared" si="306"/>
        <v>10</v>
      </c>
    </row>
    <row r="405" spans="1:16" ht="18" customHeight="1">
      <c r="A405" s="85"/>
      <c r="B405" s="86"/>
      <c r="C405" s="87"/>
      <c r="D405" s="88">
        <v>228</v>
      </c>
      <c r="E405" s="88">
        <v>910</v>
      </c>
      <c r="F405" s="89">
        <f t="shared" si="303"/>
        <v>10</v>
      </c>
      <c r="G405" s="90">
        <f t="shared" si="304"/>
        <v>22.59909159232755</v>
      </c>
      <c r="H405" s="90">
        <f t="shared" si="305"/>
        <v>45.519999999999996</v>
      </c>
      <c r="I405" s="91" t="str">
        <f t="shared" si="308"/>
        <v>10동1라인</v>
      </c>
      <c r="J405" s="92" t="s">
        <v>209</v>
      </c>
      <c r="L405" s="89">
        <v>2</v>
      </c>
      <c r="M405" s="78">
        <f t="shared" si="307"/>
        <v>5</v>
      </c>
      <c r="N405" s="78"/>
      <c r="O405" s="78">
        <f t="shared" si="306"/>
        <v>10</v>
      </c>
    </row>
    <row r="406" spans="1:16" ht="18" customHeight="1">
      <c r="A406" s="85"/>
      <c r="B406" s="86"/>
      <c r="C406" s="87"/>
      <c r="D406" s="88">
        <v>438</v>
      </c>
      <c r="E406" s="88">
        <v>270</v>
      </c>
      <c r="F406" s="89">
        <f t="shared" si="303"/>
        <v>10</v>
      </c>
      <c r="G406" s="90">
        <f t="shared" si="304"/>
        <v>12.881090089206941</v>
      </c>
      <c r="H406" s="90">
        <f t="shared" si="305"/>
        <v>28.32</v>
      </c>
      <c r="I406" s="91" t="str">
        <f t="shared" si="308"/>
        <v>10동1라인</v>
      </c>
      <c r="J406" s="92" t="s">
        <v>210</v>
      </c>
      <c r="L406" s="89">
        <v>2</v>
      </c>
      <c r="M406" s="78">
        <f t="shared" si="307"/>
        <v>5</v>
      </c>
      <c r="N406" s="78"/>
      <c r="O406" s="78">
        <f t="shared" si="306"/>
        <v>10</v>
      </c>
    </row>
    <row r="407" spans="1:16" ht="18" customHeight="1">
      <c r="A407" s="85"/>
      <c r="B407" s="93"/>
      <c r="C407" s="87"/>
      <c r="D407" s="325" t="s">
        <v>0</v>
      </c>
      <c r="E407" s="325"/>
      <c r="F407" s="94">
        <f>SUM(F401:F406)</f>
        <v>65</v>
      </c>
      <c r="G407" s="95">
        <f>SUM(G401:G406)</f>
        <v>605.92425579191593</v>
      </c>
      <c r="H407" s="96">
        <f>SUM(H401:H406)</f>
        <v>464.4</v>
      </c>
      <c r="I407" s="97"/>
      <c r="J407" s="162"/>
      <c r="L407" s="250"/>
      <c r="M407" s="250"/>
      <c r="N407" s="250"/>
      <c r="O407" s="250"/>
    </row>
    <row r="408" spans="1:16" ht="18" customHeight="1">
      <c r="A408" s="85"/>
      <c r="B408" s="93"/>
      <c r="C408" s="87"/>
      <c r="D408" s="161"/>
      <c r="E408" s="161"/>
      <c r="F408" s="89"/>
      <c r="G408" s="100"/>
      <c r="H408" s="101"/>
      <c r="I408" s="102"/>
      <c r="J408" s="121"/>
      <c r="L408" s="250"/>
      <c r="M408" s="250"/>
      <c r="N408" s="250"/>
      <c r="O408" s="250"/>
    </row>
    <row r="409" spans="1:16" ht="18" customHeight="1">
      <c r="A409" s="85"/>
      <c r="B409" s="23" t="s">
        <v>197</v>
      </c>
      <c r="C409" s="24">
        <v>22</v>
      </c>
      <c r="D409" s="88">
        <v>761</v>
      </c>
      <c r="E409" s="88">
        <v>1810</v>
      </c>
      <c r="F409" s="89">
        <f t="shared" ref="F409:F414" si="309">O409</f>
        <v>10</v>
      </c>
      <c r="G409" s="90">
        <f t="shared" ref="G409:G414" si="310">D409*E409/91809*F409</f>
        <v>150.02995349039855</v>
      </c>
      <c r="H409" s="90">
        <f t="shared" ref="H409:H414" si="311">(D409/1000)*4*F409+(E409/1000)*4*F409</f>
        <v>102.84</v>
      </c>
      <c r="I409" s="91" t="str">
        <f>I401</f>
        <v>10동1라인</v>
      </c>
      <c r="J409" s="92" t="s">
        <v>212</v>
      </c>
      <c r="L409" s="89">
        <v>2</v>
      </c>
      <c r="M409" s="78">
        <f>M406</f>
        <v>5</v>
      </c>
      <c r="N409" s="78"/>
      <c r="O409" s="78">
        <f t="shared" ref="O409:O414" si="312">L409*M409-N409*L409</f>
        <v>10</v>
      </c>
    </row>
    <row r="410" spans="1:16" ht="18" customHeight="1">
      <c r="A410" s="85"/>
      <c r="B410" s="86"/>
      <c r="C410" s="87"/>
      <c r="D410" s="88">
        <v>1688</v>
      </c>
      <c r="E410" s="88">
        <v>1810</v>
      </c>
      <c r="F410" s="89">
        <f t="shared" si="309"/>
        <v>5</v>
      </c>
      <c r="G410" s="90">
        <f t="shared" si="310"/>
        <v>166.39327299066539</v>
      </c>
      <c r="H410" s="90">
        <f t="shared" si="311"/>
        <v>69.960000000000008</v>
      </c>
      <c r="I410" s="91" t="str">
        <f>I401</f>
        <v>10동1라인</v>
      </c>
      <c r="J410" s="92" t="s">
        <v>213</v>
      </c>
      <c r="L410" s="89">
        <v>1</v>
      </c>
      <c r="M410" s="78">
        <f t="shared" si="307"/>
        <v>5</v>
      </c>
      <c r="N410" s="78"/>
      <c r="O410" s="78">
        <f t="shared" si="312"/>
        <v>5</v>
      </c>
    </row>
    <row r="411" spans="1:16">
      <c r="A411" s="104"/>
      <c r="B411" s="93"/>
      <c r="C411" s="87"/>
      <c r="D411" s="88">
        <v>738</v>
      </c>
      <c r="E411" s="88">
        <v>1310</v>
      </c>
      <c r="F411" s="89">
        <f t="shared" si="309"/>
        <v>20</v>
      </c>
      <c r="G411" s="90">
        <f t="shared" si="310"/>
        <v>210.6068032545829</v>
      </c>
      <c r="H411" s="90">
        <f t="shared" si="311"/>
        <v>163.84</v>
      </c>
      <c r="I411" s="91" t="str">
        <f>I410</f>
        <v>10동1라인</v>
      </c>
      <c r="J411" s="92" t="s">
        <v>214</v>
      </c>
      <c r="L411" s="89">
        <v>4</v>
      </c>
      <c r="M411" s="78">
        <f t="shared" si="307"/>
        <v>5</v>
      </c>
      <c r="N411" s="78"/>
      <c r="O411" s="78">
        <f t="shared" si="312"/>
        <v>20</v>
      </c>
    </row>
    <row r="412" spans="1:16" ht="18" customHeight="1">
      <c r="A412" s="104"/>
      <c r="B412" s="93"/>
      <c r="C412" s="87"/>
      <c r="D412" s="88">
        <v>438</v>
      </c>
      <c r="E412" s="88">
        <v>910</v>
      </c>
      <c r="F412" s="89">
        <f t="shared" si="309"/>
        <v>10</v>
      </c>
      <c r="G412" s="90">
        <f t="shared" si="310"/>
        <v>43.414044374734502</v>
      </c>
      <c r="H412" s="90">
        <f t="shared" si="311"/>
        <v>53.92</v>
      </c>
      <c r="I412" s="91" t="str">
        <f t="shared" ref="I412:I414" si="313">I411</f>
        <v>10동1라인</v>
      </c>
      <c r="J412" s="92" t="s">
        <v>225</v>
      </c>
      <c r="L412" s="89">
        <v>2</v>
      </c>
      <c r="M412" s="78">
        <f t="shared" si="307"/>
        <v>5</v>
      </c>
      <c r="N412" s="78"/>
      <c r="O412" s="78">
        <f t="shared" si="312"/>
        <v>10</v>
      </c>
      <c r="P412" s="64"/>
    </row>
    <row r="413" spans="1:16" ht="18" customHeight="1">
      <c r="A413" s="104"/>
      <c r="B413" s="93"/>
      <c r="C413" s="87"/>
      <c r="D413" s="88">
        <v>228</v>
      </c>
      <c r="E413" s="88">
        <v>910</v>
      </c>
      <c r="F413" s="89">
        <f t="shared" si="309"/>
        <v>10</v>
      </c>
      <c r="G413" s="90">
        <f t="shared" si="310"/>
        <v>22.59909159232755</v>
      </c>
      <c r="H413" s="90">
        <f t="shared" si="311"/>
        <v>45.519999999999996</v>
      </c>
      <c r="I413" s="91" t="str">
        <f t="shared" si="313"/>
        <v>10동1라인</v>
      </c>
      <c r="J413" s="92" t="s">
        <v>216</v>
      </c>
      <c r="L413" s="89">
        <v>2</v>
      </c>
      <c r="M413" s="78">
        <f t="shared" si="307"/>
        <v>5</v>
      </c>
      <c r="N413" s="78"/>
      <c r="O413" s="78">
        <f t="shared" si="312"/>
        <v>10</v>
      </c>
    </row>
    <row r="414" spans="1:16" ht="18" customHeight="1">
      <c r="A414" s="104"/>
      <c r="B414" s="93"/>
      <c r="C414" s="87"/>
      <c r="D414" s="88">
        <v>438</v>
      </c>
      <c r="E414" s="88">
        <v>270</v>
      </c>
      <c r="F414" s="89">
        <f t="shared" si="309"/>
        <v>10</v>
      </c>
      <c r="G414" s="90">
        <f t="shared" si="310"/>
        <v>12.881090089206941</v>
      </c>
      <c r="H414" s="90">
        <f t="shared" si="311"/>
        <v>28.32</v>
      </c>
      <c r="I414" s="91" t="str">
        <f t="shared" si="313"/>
        <v>10동1라인</v>
      </c>
      <c r="J414" s="92" t="s">
        <v>217</v>
      </c>
      <c r="L414" s="89">
        <v>2</v>
      </c>
      <c r="M414" s="78">
        <f t="shared" si="307"/>
        <v>5</v>
      </c>
      <c r="N414" s="78"/>
      <c r="O414" s="78">
        <f t="shared" si="312"/>
        <v>10</v>
      </c>
    </row>
    <row r="415" spans="1:16">
      <c r="A415" s="104"/>
      <c r="B415" s="87"/>
      <c r="C415" s="87"/>
      <c r="D415" s="325" t="s">
        <v>0</v>
      </c>
      <c r="E415" s="325"/>
      <c r="F415" s="171">
        <f>SUM(F409:F414)</f>
        <v>65</v>
      </c>
      <c r="G415" s="95">
        <f>SUM(G409:G414)</f>
        <v>605.92425579191593</v>
      </c>
      <c r="H415" s="95">
        <f>SUM(H409:H414)</f>
        <v>464.4</v>
      </c>
      <c r="I415" s="97"/>
      <c r="J415" s="98"/>
      <c r="L415" s="250"/>
      <c r="M415" s="250"/>
      <c r="N415" s="250"/>
      <c r="O415" s="250"/>
    </row>
    <row r="416" spans="1:16">
      <c r="A416" s="105"/>
      <c r="B416" s="9"/>
      <c r="C416" s="9"/>
      <c r="D416" s="51"/>
      <c r="E416" s="51"/>
      <c r="F416" s="51"/>
      <c r="G416" s="106"/>
      <c r="H416" s="106"/>
      <c r="I416" s="9"/>
      <c r="J416" s="107"/>
      <c r="L416" s="250"/>
      <c r="M416" s="250"/>
      <c r="N416" s="250"/>
      <c r="O416" s="250"/>
    </row>
    <row r="417" spans="1:16" ht="18" customHeight="1">
      <c r="A417" s="85"/>
      <c r="B417" s="163" t="s">
        <v>199</v>
      </c>
      <c r="C417" s="163">
        <v>22</v>
      </c>
      <c r="D417" s="88">
        <v>738</v>
      </c>
      <c r="E417" s="88">
        <v>1810</v>
      </c>
      <c r="F417" s="89">
        <f t="shared" ref="F417:F418" si="314">O417</f>
        <v>10</v>
      </c>
      <c r="G417" s="90">
        <f t="shared" ref="G417:G419" si="315">D417*E417/91809*F417</f>
        <v>145.4955396529752</v>
      </c>
      <c r="H417" s="90">
        <f t="shared" ref="H417:H419" si="316">(D417/1000)*4*F417+(E417/1000)*4*F417</f>
        <v>101.92</v>
      </c>
      <c r="I417" s="91" t="str">
        <f>I409</f>
        <v>10동1라인</v>
      </c>
      <c r="J417" s="92" t="s">
        <v>219</v>
      </c>
      <c r="L417" s="89">
        <v>2</v>
      </c>
      <c r="M417" s="78">
        <f>M414</f>
        <v>5</v>
      </c>
      <c r="N417" s="78"/>
      <c r="O417" s="78">
        <f t="shared" ref="O417:O418" si="317">L417*M417-N417*L417</f>
        <v>10</v>
      </c>
      <c r="P417" s="64"/>
    </row>
    <row r="418" spans="1:16" ht="18" customHeight="1">
      <c r="A418" s="85"/>
      <c r="B418" s="86"/>
      <c r="C418" s="87"/>
      <c r="D418" s="88">
        <v>250</v>
      </c>
      <c r="E418" s="88">
        <v>930</v>
      </c>
      <c r="F418" s="89">
        <f t="shared" si="314"/>
        <v>10</v>
      </c>
      <c r="G418" s="90">
        <f t="shared" si="315"/>
        <v>25.324314609678787</v>
      </c>
      <c r="H418" s="90">
        <f t="shared" si="316"/>
        <v>47.2</v>
      </c>
      <c r="I418" s="91" t="str">
        <f>I417</f>
        <v>10동1라인</v>
      </c>
      <c r="J418" s="92" t="s">
        <v>220</v>
      </c>
      <c r="L418" s="89">
        <v>2</v>
      </c>
      <c r="M418" s="78">
        <f t="shared" si="307"/>
        <v>5</v>
      </c>
      <c r="N418" s="78"/>
      <c r="O418" s="78">
        <f t="shared" si="317"/>
        <v>10</v>
      </c>
    </row>
    <row r="419" spans="1:16" ht="18" customHeight="1">
      <c r="A419" s="85"/>
      <c r="B419" s="86"/>
      <c r="C419" s="87"/>
      <c r="D419" s="88"/>
      <c r="E419" s="88"/>
      <c r="F419" s="89"/>
      <c r="G419" s="90">
        <f t="shared" si="315"/>
        <v>0</v>
      </c>
      <c r="H419" s="90">
        <f t="shared" si="316"/>
        <v>0</v>
      </c>
      <c r="I419" s="91"/>
      <c r="J419" s="92"/>
      <c r="L419" s="250"/>
      <c r="M419" s="250"/>
      <c r="N419" s="250"/>
      <c r="O419" s="250"/>
    </row>
    <row r="420" spans="1:16" ht="18" customHeight="1" thickBot="1">
      <c r="A420" s="222"/>
      <c r="B420" s="223"/>
      <c r="C420" s="224"/>
      <c r="D420" s="364" t="s">
        <v>0</v>
      </c>
      <c r="E420" s="364"/>
      <c r="F420" s="269">
        <f>SUM(F417:F419)</f>
        <v>20</v>
      </c>
      <c r="G420" s="270">
        <f>SUM(G417:G419)</f>
        <v>170.81985426265399</v>
      </c>
      <c r="H420" s="270">
        <f>SUM(H417:H419)</f>
        <v>149.12</v>
      </c>
      <c r="I420" s="271"/>
      <c r="J420" s="272"/>
      <c r="L420" s="250"/>
      <c r="M420" s="250"/>
      <c r="N420" s="250"/>
      <c r="O420" s="250"/>
    </row>
    <row r="421" spans="1:16" ht="18" customHeight="1">
      <c r="A421" s="273" t="s">
        <v>234</v>
      </c>
      <c r="B421" s="231" t="s">
        <v>195</v>
      </c>
      <c r="C421" s="232">
        <v>22</v>
      </c>
      <c r="D421" s="80">
        <v>761</v>
      </c>
      <c r="E421" s="80">
        <v>1810</v>
      </c>
      <c r="F421" s="233">
        <f>O421</f>
        <v>10</v>
      </c>
      <c r="G421" s="81">
        <f t="shared" ref="G421:G427" si="318">D421*E421/91809*F421</f>
        <v>150.02995349039855</v>
      </c>
      <c r="H421" s="81">
        <f t="shared" ref="H421:H427" si="319">(D421/1000)*4*F421+(E421/1000)*4*F421</f>
        <v>102.84</v>
      </c>
      <c r="I421" s="82" t="s">
        <v>261</v>
      </c>
      <c r="J421" s="83" t="s">
        <v>205</v>
      </c>
      <c r="L421" s="89">
        <v>2</v>
      </c>
      <c r="M421" s="78">
        <v>5</v>
      </c>
      <c r="N421" s="84"/>
      <c r="O421" s="78">
        <f>L421*M421-N421*L421</f>
        <v>10</v>
      </c>
      <c r="P421" s="64"/>
    </row>
    <row r="422" spans="1:16" ht="18" customHeight="1">
      <c r="A422" s="85"/>
      <c r="B422" s="86"/>
      <c r="C422" s="87"/>
      <c r="D422" s="88">
        <v>1688</v>
      </c>
      <c r="E422" s="88">
        <v>1810</v>
      </c>
      <c r="F422" s="89">
        <f t="shared" ref="F422:F427" si="320">O422</f>
        <v>5</v>
      </c>
      <c r="G422" s="90">
        <f t="shared" si="318"/>
        <v>166.39327299066539</v>
      </c>
      <c r="H422" s="90">
        <f t="shared" si="319"/>
        <v>69.960000000000008</v>
      </c>
      <c r="I422" s="91" t="str">
        <f>I421</f>
        <v>10동2라인</v>
      </c>
      <c r="J422" s="92" t="s">
        <v>206</v>
      </c>
      <c r="L422" s="89">
        <v>1</v>
      </c>
      <c r="M422" s="78">
        <f>M421</f>
        <v>5</v>
      </c>
      <c r="N422" s="84"/>
      <c r="O422" s="78">
        <f t="shared" ref="O422:O427" si="321">L422*M422-N422*L422</f>
        <v>5</v>
      </c>
    </row>
    <row r="423" spans="1:16" ht="18" customHeight="1">
      <c r="A423" s="85"/>
      <c r="B423" s="86"/>
      <c r="C423" s="87"/>
      <c r="D423" s="88">
        <v>738</v>
      </c>
      <c r="E423" s="88">
        <v>1310</v>
      </c>
      <c r="F423" s="89">
        <f t="shared" si="320"/>
        <v>20</v>
      </c>
      <c r="G423" s="90">
        <f t="shared" si="318"/>
        <v>210.6068032545829</v>
      </c>
      <c r="H423" s="90">
        <f t="shared" si="319"/>
        <v>163.84</v>
      </c>
      <c r="I423" s="91" t="str">
        <f t="shared" ref="I423:I427" si="322">I422</f>
        <v>10동2라인</v>
      </c>
      <c r="J423" s="92" t="s">
        <v>207</v>
      </c>
      <c r="L423" s="89">
        <v>4</v>
      </c>
      <c r="M423" s="78">
        <f t="shared" ref="M423:M426" si="323">M422</f>
        <v>5</v>
      </c>
      <c r="N423" s="78"/>
      <c r="O423" s="78">
        <f t="shared" si="321"/>
        <v>20</v>
      </c>
    </row>
    <row r="424" spans="1:16" ht="18" customHeight="1">
      <c r="A424" s="85"/>
      <c r="B424" s="86"/>
      <c r="C424" s="87"/>
      <c r="D424" s="88">
        <v>288</v>
      </c>
      <c r="E424" s="88">
        <v>910</v>
      </c>
      <c r="F424" s="89">
        <f t="shared" si="320"/>
        <v>10</v>
      </c>
      <c r="G424" s="90">
        <f t="shared" si="318"/>
        <v>28.546220958729535</v>
      </c>
      <c r="H424" s="90">
        <f t="shared" si="319"/>
        <v>47.92</v>
      </c>
      <c r="I424" s="91" t="str">
        <f t="shared" si="322"/>
        <v>10동2라인</v>
      </c>
      <c r="J424" s="92" t="s">
        <v>208</v>
      </c>
      <c r="L424" s="89">
        <v>2</v>
      </c>
      <c r="M424" s="78">
        <f t="shared" si="323"/>
        <v>5</v>
      </c>
      <c r="N424" s="78"/>
      <c r="O424" s="78">
        <f t="shared" si="321"/>
        <v>10</v>
      </c>
    </row>
    <row r="425" spans="1:16" ht="18" customHeight="1">
      <c r="A425" s="85"/>
      <c r="B425" s="86"/>
      <c r="C425" s="87"/>
      <c r="D425" s="88">
        <v>228</v>
      </c>
      <c r="E425" s="88">
        <v>910</v>
      </c>
      <c r="F425" s="89">
        <f t="shared" si="320"/>
        <v>10</v>
      </c>
      <c r="G425" s="90">
        <f t="shared" si="318"/>
        <v>22.59909159232755</v>
      </c>
      <c r="H425" s="90">
        <f t="shared" si="319"/>
        <v>45.519999999999996</v>
      </c>
      <c r="I425" s="91" t="str">
        <f t="shared" si="322"/>
        <v>10동2라인</v>
      </c>
      <c r="J425" s="92" t="s">
        <v>209</v>
      </c>
      <c r="L425" s="89">
        <v>2</v>
      </c>
      <c r="M425" s="78">
        <f t="shared" si="323"/>
        <v>5</v>
      </c>
      <c r="N425" s="78"/>
      <c r="O425" s="78">
        <f t="shared" si="321"/>
        <v>10</v>
      </c>
    </row>
    <row r="426" spans="1:16" ht="18" customHeight="1">
      <c r="A426" s="85"/>
      <c r="B426" s="86"/>
      <c r="C426" s="87"/>
      <c r="D426" s="88">
        <v>438</v>
      </c>
      <c r="E426" s="88">
        <v>270</v>
      </c>
      <c r="F426" s="89">
        <f t="shared" si="320"/>
        <v>10</v>
      </c>
      <c r="G426" s="90">
        <f t="shared" si="318"/>
        <v>12.881090089206941</v>
      </c>
      <c r="H426" s="90">
        <f t="shared" si="319"/>
        <v>28.32</v>
      </c>
      <c r="I426" s="91" t="str">
        <f t="shared" si="322"/>
        <v>10동2라인</v>
      </c>
      <c r="J426" s="92" t="s">
        <v>210</v>
      </c>
      <c r="L426" s="89">
        <v>2</v>
      </c>
      <c r="M426" s="78">
        <f t="shared" si="323"/>
        <v>5</v>
      </c>
      <c r="N426" s="78"/>
      <c r="O426" s="78">
        <f t="shared" si="321"/>
        <v>10</v>
      </c>
    </row>
    <row r="427" spans="1:16" ht="18" customHeight="1">
      <c r="A427" s="85"/>
      <c r="B427" s="86"/>
      <c r="C427" s="87"/>
      <c r="D427" s="88">
        <v>208</v>
      </c>
      <c r="E427" s="88">
        <v>910</v>
      </c>
      <c r="F427" s="89">
        <f t="shared" si="320"/>
        <v>10</v>
      </c>
      <c r="G427" s="90">
        <f t="shared" si="318"/>
        <v>20.616715136860222</v>
      </c>
      <c r="H427" s="90">
        <f t="shared" si="319"/>
        <v>44.72</v>
      </c>
      <c r="I427" s="91" t="str">
        <f t="shared" si="322"/>
        <v>10동2라인</v>
      </c>
      <c r="J427" s="92" t="s">
        <v>211</v>
      </c>
      <c r="L427" s="89">
        <v>2</v>
      </c>
      <c r="M427" s="78">
        <f>M426</f>
        <v>5</v>
      </c>
      <c r="N427" s="78"/>
      <c r="O427" s="78">
        <f t="shared" si="321"/>
        <v>10</v>
      </c>
    </row>
    <row r="428" spans="1:16" ht="18" customHeight="1">
      <c r="A428" s="85"/>
      <c r="B428" s="93"/>
      <c r="C428" s="87"/>
      <c r="D428" s="325" t="s">
        <v>0</v>
      </c>
      <c r="E428" s="325"/>
      <c r="F428" s="94">
        <f>SUM(F421:F427)</f>
        <v>75</v>
      </c>
      <c r="G428" s="95">
        <f>SUM(G421:G427)</f>
        <v>611.67314751277115</v>
      </c>
      <c r="H428" s="96">
        <f>SUM(H421:H427)</f>
        <v>503.12</v>
      </c>
      <c r="I428" s="97"/>
      <c r="J428" s="162"/>
    </row>
    <row r="429" spans="1:16" ht="18" customHeight="1">
      <c r="A429" s="85"/>
      <c r="B429" s="93"/>
      <c r="C429" s="87"/>
      <c r="D429" s="161"/>
      <c r="E429" s="161"/>
      <c r="F429" s="89"/>
      <c r="G429" s="100"/>
      <c r="H429" s="101"/>
      <c r="I429" s="102"/>
      <c r="J429" s="121"/>
      <c r="L429" s="78" t="s">
        <v>48</v>
      </c>
      <c r="M429" s="78" t="s">
        <v>54</v>
      </c>
      <c r="N429" s="78" t="s">
        <v>50</v>
      </c>
      <c r="O429" s="78" t="s">
        <v>55</v>
      </c>
    </row>
    <row r="430" spans="1:16" ht="18" customHeight="1">
      <c r="A430" s="85"/>
      <c r="B430" s="23" t="s">
        <v>197</v>
      </c>
      <c r="C430" s="24">
        <v>22</v>
      </c>
      <c r="D430" s="88">
        <v>761</v>
      </c>
      <c r="E430" s="88">
        <v>1810</v>
      </c>
      <c r="F430" s="89">
        <f t="shared" ref="F430:F436" si="324">O430</f>
        <v>10</v>
      </c>
      <c r="G430" s="90">
        <f t="shared" ref="G430:G436" si="325">D430*E430/91809*F430</f>
        <v>150.02995349039855</v>
      </c>
      <c r="H430" s="90">
        <f t="shared" ref="H430:H436" si="326">(D430/1000)*4*F430+(E430/1000)*4*F430</f>
        <v>102.84</v>
      </c>
      <c r="I430" s="91" t="str">
        <f t="shared" ref="I430:I436" si="327">I421</f>
        <v>10동2라인</v>
      </c>
      <c r="J430" s="92" t="s">
        <v>212</v>
      </c>
      <c r="L430" s="89">
        <v>2</v>
      </c>
      <c r="M430" s="78">
        <f>M421</f>
        <v>5</v>
      </c>
      <c r="N430" s="84"/>
      <c r="O430" s="78">
        <f>L430*M430-N430*L430</f>
        <v>10</v>
      </c>
    </row>
    <row r="431" spans="1:16" ht="18" customHeight="1">
      <c r="A431" s="85"/>
      <c r="B431" s="86"/>
      <c r="C431" s="87"/>
      <c r="D431" s="88">
        <v>1688</v>
      </c>
      <c r="E431" s="88">
        <v>1810</v>
      </c>
      <c r="F431" s="89">
        <f t="shared" si="324"/>
        <v>5</v>
      </c>
      <c r="G431" s="90">
        <f t="shared" si="325"/>
        <v>166.39327299066539</v>
      </c>
      <c r="H431" s="90">
        <f t="shared" si="326"/>
        <v>69.960000000000008</v>
      </c>
      <c r="I431" s="91" t="str">
        <f t="shared" si="327"/>
        <v>10동2라인</v>
      </c>
      <c r="J431" s="92" t="s">
        <v>213</v>
      </c>
      <c r="L431" s="89">
        <v>1</v>
      </c>
      <c r="M431" s="78">
        <f>M430</f>
        <v>5</v>
      </c>
      <c r="N431" s="84"/>
      <c r="O431" s="78">
        <f>L431*M431-N431*L431</f>
        <v>5</v>
      </c>
    </row>
    <row r="432" spans="1:16" ht="18" customHeight="1">
      <c r="A432" s="104"/>
      <c r="B432" s="93"/>
      <c r="C432" s="87"/>
      <c r="D432" s="88">
        <v>738</v>
      </c>
      <c r="E432" s="88">
        <v>1310</v>
      </c>
      <c r="F432" s="89">
        <f t="shared" si="324"/>
        <v>20</v>
      </c>
      <c r="G432" s="90">
        <f t="shared" si="325"/>
        <v>210.6068032545829</v>
      </c>
      <c r="H432" s="90">
        <f t="shared" si="326"/>
        <v>163.84</v>
      </c>
      <c r="I432" s="91" t="str">
        <f t="shared" si="327"/>
        <v>10동2라인</v>
      </c>
      <c r="J432" s="92" t="s">
        <v>214</v>
      </c>
      <c r="L432" s="89">
        <v>4</v>
      </c>
      <c r="M432" s="78">
        <f t="shared" ref="M432:M436" si="328">M431</f>
        <v>5</v>
      </c>
      <c r="N432" s="84"/>
      <c r="O432" s="78">
        <f t="shared" ref="O432:O436" si="329">L432*M432-N432*L432</f>
        <v>20</v>
      </c>
    </row>
    <row r="433" spans="1:16" ht="18" customHeight="1">
      <c r="A433" s="104"/>
      <c r="B433" s="93"/>
      <c r="C433" s="87"/>
      <c r="D433" s="88">
        <v>288</v>
      </c>
      <c r="E433" s="88">
        <v>910</v>
      </c>
      <c r="F433" s="89">
        <f t="shared" si="324"/>
        <v>10</v>
      </c>
      <c r="G433" s="90">
        <f t="shared" si="325"/>
        <v>28.546220958729535</v>
      </c>
      <c r="H433" s="90">
        <f t="shared" si="326"/>
        <v>47.92</v>
      </c>
      <c r="I433" s="91" t="str">
        <f t="shared" si="327"/>
        <v>10동2라인</v>
      </c>
      <c r="J433" s="92" t="s">
        <v>215</v>
      </c>
      <c r="L433" s="89">
        <v>2</v>
      </c>
      <c r="M433" s="78">
        <f t="shared" si="328"/>
        <v>5</v>
      </c>
      <c r="N433" s="78"/>
      <c r="O433" s="78">
        <f t="shared" si="329"/>
        <v>10</v>
      </c>
    </row>
    <row r="434" spans="1:16" ht="18" customHeight="1">
      <c r="A434" s="104"/>
      <c r="B434" s="93"/>
      <c r="C434" s="87"/>
      <c r="D434" s="88">
        <v>228</v>
      </c>
      <c r="E434" s="88">
        <v>910</v>
      </c>
      <c r="F434" s="89">
        <f t="shared" si="324"/>
        <v>10</v>
      </c>
      <c r="G434" s="90">
        <f t="shared" si="325"/>
        <v>22.59909159232755</v>
      </c>
      <c r="H434" s="90">
        <f t="shared" si="326"/>
        <v>45.519999999999996</v>
      </c>
      <c r="I434" s="91" t="str">
        <f t="shared" si="327"/>
        <v>10동2라인</v>
      </c>
      <c r="J434" s="92" t="s">
        <v>216</v>
      </c>
      <c r="L434" s="89">
        <v>2</v>
      </c>
      <c r="M434" s="78">
        <f t="shared" si="328"/>
        <v>5</v>
      </c>
      <c r="N434" s="78"/>
      <c r="O434" s="78">
        <f t="shared" si="329"/>
        <v>10</v>
      </c>
    </row>
    <row r="435" spans="1:16" ht="18" customHeight="1">
      <c r="A435" s="104"/>
      <c r="B435" s="93"/>
      <c r="C435" s="87"/>
      <c r="D435" s="88">
        <v>438</v>
      </c>
      <c r="E435" s="88">
        <v>270</v>
      </c>
      <c r="F435" s="89">
        <f t="shared" si="324"/>
        <v>10</v>
      </c>
      <c r="G435" s="90">
        <f t="shared" si="325"/>
        <v>12.881090089206941</v>
      </c>
      <c r="H435" s="90">
        <f t="shared" si="326"/>
        <v>28.32</v>
      </c>
      <c r="I435" s="91" t="str">
        <f t="shared" si="327"/>
        <v>10동2라인</v>
      </c>
      <c r="J435" s="92" t="s">
        <v>217</v>
      </c>
      <c r="L435" s="89">
        <v>2</v>
      </c>
      <c r="M435" s="78">
        <f t="shared" si="328"/>
        <v>5</v>
      </c>
      <c r="N435" s="78"/>
      <c r="O435" s="78">
        <f t="shared" si="329"/>
        <v>10</v>
      </c>
    </row>
    <row r="436" spans="1:16" ht="18" customHeight="1">
      <c r="A436" s="104"/>
      <c r="B436" s="93"/>
      <c r="C436" s="87"/>
      <c r="D436" s="88">
        <v>208</v>
      </c>
      <c r="E436" s="88">
        <v>910</v>
      </c>
      <c r="F436" s="89">
        <f t="shared" si="324"/>
        <v>10</v>
      </c>
      <c r="G436" s="90">
        <f t="shared" si="325"/>
        <v>20.616715136860222</v>
      </c>
      <c r="H436" s="90">
        <f t="shared" si="326"/>
        <v>44.72</v>
      </c>
      <c r="I436" s="91" t="str">
        <f t="shared" si="327"/>
        <v>10동2라인</v>
      </c>
      <c r="J436" s="92" t="s">
        <v>218</v>
      </c>
      <c r="L436" s="89">
        <v>2</v>
      </c>
      <c r="M436" s="78">
        <f t="shared" si="328"/>
        <v>5</v>
      </c>
      <c r="N436" s="78"/>
      <c r="O436" s="78">
        <f t="shared" si="329"/>
        <v>10</v>
      </c>
    </row>
    <row r="437" spans="1:16" ht="18" customHeight="1">
      <c r="A437" s="104"/>
      <c r="B437" s="87"/>
      <c r="C437" s="87"/>
      <c r="D437" s="325" t="s">
        <v>0</v>
      </c>
      <c r="E437" s="325"/>
      <c r="F437" s="171">
        <f>SUM(F430:F436)</f>
        <v>75</v>
      </c>
      <c r="G437" s="95">
        <f>SUM(G430:G436)</f>
        <v>611.67314751277115</v>
      </c>
      <c r="H437" s="95">
        <f>SUM(H430:H436)</f>
        <v>503.12</v>
      </c>
      <c r="I437" s="97"/>
      <c r="J437" s="98"/>
    </row>
    <row r="438" spans="1:16">
      <c r="A438" s="105"/>
      <c r="B438" s="9"/>
      <c r="C438" s="9"/>
      <c r="D438" s="51"/>
      <c r="E438" s="51"/>
      <c r="F438" s="51"/>
      <c r="G438" s="106"/>
      <c r="H438" s="106"/>
      <c r="I438" s="9"/>
      <c r="J438" s="107"/>
    </row>
    <row r="439" spans="1:16" ht="18" customHeight="1">
      <c r="A439" s="85"/>
      <c r="B439" s="163" t="s">
        <v>199</v>
      </c>
      <c r="C439" s="163">
        <v>22</v>
      </c>
      <c r="D439" s="88">
        <v>738</v>
      </c>
      <c r="E439" s="88">
        <v>1810</v>
      </c>
      <c r="F439" s="89">
        <f t="shared" ref="F439:F440" si="330">O439</f>
        <v>0</v>
      </c>
      <c r="G439" s="90">
        <f t="shared" ref="G439:G440" si="331">D439*E439/91809*F439</f>
        <v>0</v>
      </c>
      <c r="H439" s="90">
        <f t="shared" ref="H439:H440" si="332">(D439/1000)*4*F439+(E439/1000)*4*F439</f>
        <v>0</v>
      </c>
      <c r="I439" s="91" t="str">
        <f>I430</f>
        <v>10동2라인</v>
      </c>
      <c r="J439" s="92" t="s">
        <v>219</v>
      </c>
      <c r="L439" s="89">
        <v>2</v>
      </c>
      <c r="M439" s="78">
        <f>M421</f>
        <v>5</v>
      </c>
      <c r="N439" s="84">
        <v>5</v>
      </c>
      <c r="O439" s="78">
        <f>L439*M439-N439*L439</f>
        <v>0</v>
      </c>
      <c r="P439" s="64" t="s">
        <v>285</v>
      </c>
    </row>
    <row r="440" spans="1:16" ht="18" customHeight="1">
      <c r="A440" s="85"/>
      <c r="B440" s="86"/>
      <c r="C440" s="87"/>
      <c r="D440" s="88">
        <v>250</v>
      </c>
      <c r="E440" s="88">
        <v>930</v>
      </c>
      <c r="F440" s="89">
        <f t="shared" si="330"/>
        <v>10</v>
      </c>
      <c r="G440" s="90">
        <f t="shared" si="331"/>
        <v>25.324314609678787</v>
      </c>
      <c r="H440" s="90">
        <f t="shared" si="332"/>
        <v>47.2</v>
      </c>
      <c r="I440" s="91" t="str">
        <f>I439</f>
        <v>10동2라인</v>
      </c>
      <c r="J440" s="92" t="s">
        <v>220</v>
      </c>
      <c r="L440" s="89">
        <v>2</v>
      </c>
      <c r="M440" s="78">
        <f>M439</f>
        <v>5</v>
      </c>
      <c r="N440" s="84"/>
      <c r="O440" s="78">
        <f t="shared" ref="O440" si="333">L440*M440-N440*L440</f>
        <v>10</v>
      </c>
    </row>
    <row r="441" spans="1:16" ht="18" customHeight="1">
      <c r="A441" s="85"/>
      <c r="B441" s="93"/>
      <c r="C441" s="87"/>
      <c r="D441" s="325" t="s">
        <v>0</v>
      </c>
      <c r="E441" s="325"/>
      <c r="F441" s="94">
        <f>SUM(F439:F440)</f>
        <v>10</v>
      </c>
      <c r="G441" s="95">
        <f>SUM(G439:G440)</f>
        <v>25.324314609678787</v>
      </c>
      <c r="H441" s="95">
        <f>SUM(H439:H440)</f>
        <v>47.2</v>
      </c>
      <c r="I441" s="97"/>
      <c r="J441" s="98"/>
    </row>
    <row r="442" spans="1:16">
      <c r="A442" s="236"/>
      <c r="B442" s="237"/>
      <c r="C442" s="238"/>
      <c r="D442" s="362"/>
      <c r="E442" s="362"/>
      <c r="F442" s="239"/>
      <c r="G442" s="240"/>
      <c r="H442" s="241"/>
      <c r="I442" s="242"/>
      <c r="J442" s="243"/>
    </row>
    <row r="443" spans="1:16" ht="18" customHeight="1">
      <c r="A443" s="244" t="s">
        <v>234</v>
      </c>
      <c r="B443" s="23" t="s">
        <v>195</v>
      </c>
      <c r="C443" s="24">
        <v>22</v>
      </c>
      <c r="D443" s="88">
        <v>761</v>
      </c>
      <c r="E443" s="88">
        <v>1810</v>
      </c>
      <c r="F443" s="89">
        <f>O443</f>
        <v>10</v>
      </c>
      <c r="G443" s="90">
        <f t="shared" ref="G443:G449" si="334">D443*E443/91809*F443</f>
        <v>150.02995349039855</v>
      </c>
      <c r="H443" s="90">
        <f t="shared" ref="H443:H449" si="335">(D443/1000)*4*F443+(E443/1000)*4*F443</f>
        <v>102.84</v>
      </c>
      <c r="I443" s="91" t="s">
        <v>262</v>
      </c>
      <c r="J443" s="92" t="s">
        <v>205</v>
      </c>
      <c r="L443" s="89">
        <v>2</v>
      </c>
      <c r="M443" s="78">
        <v>5</v>
      </c>
      <c r="N443" s="84"/>
      <c r="O443" s="78">
        <f>L443*M443-N443*L443</f>
        <v>10</v>
      </c>
      <c r="P443" s="64"/>
    </row>
    <row r="444" spans="1:16" ht="18" customHeight="1">
      <c r="A444" s="85"/>
      <c r="B444" s="86"/>
      <c r="C444" s="87"/>
      <c r="D444" s="88">
        <v>1688</v>
      </c>
      <c r="E444" s="88">
        <v>1810</v>
      </c>
      <c r="F444" s="89">
        <f t="shared" ref="F444:F449" si="336">O444</f>
        <v>5</v>
      </c>
      <c r="G444" s="90">
        <f t="shared" si="334"/>
        <v>166.39327299066539</v>
      </c>
      <c r="H444" s="90">
        <f t="shared" si="335"/>
        <v>69.960000000000008</v>
      </c>
      <c r="I444" s="91" t="str">
        <f>I443</f>
        <v>10동3라인</v>
      </c>
      <c r="J444" s="92" t="s">
        <v>206</v>
      </c>
      <c r="L444" s="89">
        <v>1</v>
      </c>
      <c r="M444" s="78">
        <f>M443</f>
        <v>5</v>
      </c>
      <c r="N444" s="84"/>
      <c r="O444" s="78">
        <f t="shared" ref="O444:O449" si="337">L444*M444-N444*L444</f>
        <v>5</v>
      </c>
    </row>
    <row r="445" spans="1:16" ht="18" customHeight="1">
      <c r="A445" s="85"/>
      <c r="B445" s="86"/>
      <c r="C445" s="87"/>
      <c r="D445" s="88">
        <v>738</v>
      </c>
      <c r="E445" s="88">
        <v>1310</v>
      </c>
      <c r="F445" s="89">
        <f t="shared" si="336"/>
        <v>20</v>
      </c>
      <c r="G445" s="90">
        <f t="shared" si="334"/>
        <v>210.6068032545829</v>
      </c>
      <c r="H445" s="90">
        <f t="shared" si="335"/>
        <v>163.84</v>
      </c>
      <c r="I445" s="91" t="str">
        <f t="shared" ref="I445:I449" si="338">I444</f>
        <v>10동3라인</v>
      </c>
      <c r="J445" s="92" t="s">
        <v>207</v>
      </c>
      <c r="L445" s="89">
        <v>4</v>
      </c>
      <c r="M445" s="78">
        <f t="shared" ref="M445:M448" si="339">M444</f>
        <v>5</v>
      </c>
      <c r="N445" s="78"/>
      <c r="O445" s="78">
        <f t="shared" si="337"/>
        <v>20</v>
      </c>
    </row>
    <row r="446" spans="1:16" ht="18" customHeight="1">
      <c r="A446" s="85"/>
      <c r="B446" s="86"/>
      <c r="C446" s="87"/>
      <c r="D446" s="88">
        <v>288</v>
      </c>
      <c r="E446" s="88">
        <v>910</v>
      </c>
      <c r="F446" s="89">
        <f t="shared" si="336"/>
        <v>10</v>
      </c>
      <c r="G446" s="90">
        <f t="shared" si="334"/>
        <v>28.546220958729535</v>
      </c>
      <c r="H446" s="90">
        <f t="shared" si="335"/>
        <v>47.92</v>
      </c>
      <c r="I446" s="91" t="str">
        <f t="shared" si="338"/>
        <v>10동3라인</v>
      </c>
      <c r="J446" s="92" t="s">
        <v>208</v>
      </c>
      <c r="L446" s="89">
        <v>2</v>
      </c>
      <c r="M446" s="78">
        <f t="shared" si="339"/>
        <v>5</v>
      </c>
      <c r="N446" s="78"/>
      <c r="O446" s="78">
        <f t="shared" si="337"/>
        <v>10</v>
      </c>
    </row>
    <row r="447" spans="1:16" ht="18" customHeight="1">
      <c r="A447" s="85"/>
      <c r="B447" s="86"/>
      <c r="C447" s="87"/>
      <c r="D447" s="88">
        <v>228</v>
      </c>
      <c r="E447" s="88">
        <v>910</v>
      </c>
      <c r="F447" s="89">
        <f t="shared" si="336"/>
        <v>10</v>
      </c>
      <c r="G447" s="90">
        <f t="shared" si="334"/>
        <v>22.59909159232755</v>
      </c>
      <c r="H447" s="90">
        <f t="shared" si="335"/>
        <v>45.519999999999996</v>
      </c>
      <c r="I447" s="91" t="str">
        <f t="shared" si="338"/>
        <v>10동3라인</v>
      </c>
      <c r="J447" s="92" t="s">
        <v>209</v>
      </c>
      <c r="L447" s="89">
        <v>2</v>
      </c>
      <c r="M447" s="78">
        <f t="shared" si="339"/>
        <v>5</v>
      </c>
      <c r="N447" s="78"/>
      <c r="O447" s="78">
        <f t="shared" si="337"/>
        <v>10</v>
      </c>
    </row>
    <row r="448" spans="1:16" ht="18" customHeight="1">
      <c r="A448" s="85"/>
      <c r="B448" s="86"/>
      <c r="C448" s="87"/>
      <c r="D448" s="88">
        <v>438</v>
      </c>
      <c r="E448" s="88">
        <v>270</v>
      </c>
      <c r="F448" s="89">
        <f t="shared" si="336"/>
        <v>10</v>
      </c>
      <c r="G448" s="90">
        <f t="shared" si="334"/>
        <v>12.881090089206941</v>
      </c>
      <c r="H448" s="90">
        <f t="shared" si="335"/>
        <v>28.32</v>
      </c>
      <c r="I448" s="91" t="str">
        <f t="shared" si="338"/>
        <v>10동3라인</v>
      </c>
      <c r="J448" s="92" t="s">
        <v>210</v>
      </c>
      <c r="L448" s="89">
        <v>2</v>
      </c>
      <c r="M448" s="78">
        <f t="shared" si="339"/>
        <v>5</v>
      </c>
      <c r="N448" s="78"/>
      <c r="O448" s="78">
        <f t="shared" si="337"/>
        <v>10</v>
      </c>
    </row>
    <row r="449" spans="1:16" ht="18" customHeight="1">
      <c r="A449" s="85"/>
      <c r="B449" s="86"/>
      <c r="C449" s="87"/>
      <c r="D449" s="88">
        <v>208</v>
      </c>
      <c r="E449" s="88">
        <v>910</v>
      </c>
      <c r="F449" s="89">
        <f t="shared" si="336"/>
        <v>10</v>
      </c>
      <c r="G449" s="90">
        <f t="shared" si="334"/>
        <v>20.616715136860222</v>
      </c>
      <c r="H449" s="90">
        <f t="shared" si="335"/>
        <v>44.72</v>
      </c>
      <c r="I449" s="91" t="str">
        <f t="shared" si="338"/>
        <v>10동3라인</v>
      </c>
      <c r="J449" s="92" t="s">
        <v>211</v>
      </c>
      <c r="L449" s="89">
        <v>2</v>
      </c>
      <c r="M449" s="78">
        <f>M448</f>
        <v>5</v>
      </c>
      <c r="N449" s="78"/>
      <c r="O449" s="78">
        <f t="shared" si="337"/>
        <v>10</v>
      </c>
    </row>
    <row r="450" spans="1:16" ht="18" customHeight="1">
      <c r="A450" s="85"/>
      <c r="B450" s="93"/>
      <c r="C450" s="87"/>
      <c r="D450" s="325" t="s">
        <v>0</v>
      </c>
      <c r="E450" s="325"/>
      <c r="F450" s="94">
        <f>SUM(F443:F449)</f>
        <v>75</v>
      </c>
      <c r="G450" s="95">
        <f>SUM(G443:G449)</f>
        <v>611.67314751277115</v>
      </c>
      <c r="H450" s="96">
        <f>SUM(H443:H449)</f>
        <v>503.12</v>
      </c>
      <c r="I450" s="97"/>
      <c r="J450" s="162"/>
    </row>
    <row r="451" spans="1:16" ht="18" customHeight="1">
      <c r="A451" s="85"/>
      <c r="B451" s="93"/>
      <c r="C451" s="87"/>
      <c r="D451" s="161"/>
      <c r="E451" s="161"/>
      <c r="F451" s="89"/>
      <c r="G451" s="100"/>
      <c r="H451" s="101"/>
      <c r="I451" s="102"/>
      <c r="J451" s="121"/>
      <c r="L451" s="78" t="s">
        <v>48</v>
      </c>
      <c r="M451" s="78" t="s">
        <v>54</v>
      </c>
      <c r="N451" s="78" t="s">
        <v>50</v>
      </c>
      <c r="O451" s="78" t="s">
        <v>55</v>
      </c>
    </row>
    <row r="452" spans="1:16" ht="18" customHeight="1">
      <c r="A452" s="85"/>
      <c r="B452" s="23" t="s">
        <v>197</v>
      </c>
      <c r="C452" s="24">
        <v>22</v>
      </c>
      <c r="D452" s="88">
        <v>761</v>
      </c>
      <c r="E452" s="88">
        <v>1810</v>
      </c>
      <c r="F452" s="89">
        <f t="shared" ref="F452:F458" si="340">O452</f>
        <v>10</v>
      </c>
      <c r="G452" s="90">
        <f t="shared" ref="G452:G458" si="341">D452*E452/91809*F452</f>
        <v>150.02995349039855</v>
      </c>
      <c r="H452" s="90">
        <f t="shared" ref="H452:H458" si="342">(D452/1000)*4*F452+(E452/1000)*4*F452</f>
        <v>102.84</v>
      </c>
      <c r="I452" s="91" t="str">
        <f t="shared" ref="I452:I458" si="343">I443</f>
        <v>10동3라인</v>
      </c>
      <c r="J452" s="92" t="s">
        <v>212</v>
      </c>
      <c r="L452" s="89">
        <v>2</v>
      </c>
      <c r="M452" s="78">
        <f>M443</f>
        <v>5</v>
      </c>
      <c r="N452" s="84"/>
      <c r="O452" s="78">
        <f>L452*M452-N452*L452</f>
        <v>10</v>
      </c>
    </row>
    <row r="453" spans="1:16" ht="18" customHeight="1">
      <c r="A453" s="85"/>
      <c r="B453" s="86"/>
      <c r="C453" s="87"/>
      <c r="D453" s="88">
        <v>1688</v>
      </c>
      <c r="E453" s="88">
        <v>1810</v>
      </c>
      <c r="F453" s="89">
        <f t="shared" si="340"/>
        <v>5</v>
      </c>
      <c r="G453" s="90">
        <f t="shared" si="341"/>
        <v>166.39327299066539</v>
      </c>
      <c r="H453" s="90">
        <f t="shared" si="342"/>
        <v>69.960000000000008</v>
      </c>
      <c r="I453" s="91" t="str">
        <f t="shared" si="343"/>
        <v>10동3라인</v>
      </c>
      <c r="J453" s="92" t="s">
        <v>213</v>
      </c>
      <c r="L453" s="89">
        <v>1</v>
      </c>
      <c r="M453" s="78">
        <f>M452</f>
        <v>5</v>
      </c>
      <c r="N453" s="84"/>
      <c r="O453" s="78">
        <f>L453*M453-N453*L453</f>
        <v>5</v>
      </c>
    </row>
    <row r="454" spans="1:16" ht="18" customHeight="1">
      <c r="A454" s="104"/>
      <c r="B454" s="93"/>
      <c r="C454" s="87"/>
      <c r="D454" s="88">
        <v>738</v>
      </c>
      <c r="E454" s="88">
        <v>1310</v>
      </c>
      <c r="F454" s="89">
        <f t="shared" si="340"/>
        <v>20</v>
      </c>
      <c r="G454" s="90">
        <f t="shared" si="341"/>
        <v>210.6068032545829</v>
      </c>
      <c r="H454" s="90">
        <f t="shared" si="342"/>
        <v>163.84</v>
      </c>
      <c r="I454" s="91" t="str">
        <f t="shared" si="343"/>
        <v>10동3라인</v>
      </c>
      <c r="J454" s="92" t="s">
        <v>214</v>
      </c>
      <c r="L454" s="89">
        <v>4</v>
      </c>
      <c r="M454" s="78">
        <f t="shared" ref="M454:M458" si="344">M453</f>
        <v>5</v>
      </c>
      <c r="N454" s="84"/>
      <c r="O454" s="78">
        <f t="shared" ref="O454:O458" si="345">L454*M454-N454*L454</f>
        <v>20</v>
      </c>
    </row>
    <row r="455" spans="1:16" ht="18" customHeight="1">
      <c r="A455" s="104"/>
      <c r="B455" s="93"/>
      <c r="C455" s="87"/>
      <c r="D455" s="88">
        <v>288</v>
      </c>
      <c r="E455" s="88">
        <v>910</v>
      </c>
      <c r="F455" s="89">
        <f t="shared" si="340"/>
        <v>10</v>
      </c>
      <c r="G455" s="90">
        <f t="shared" si="341"/>
        <v>28.546220958729535</v>
      </c>
      <c r="H455" s="90">
        <f t="shared" si="342"/>
        <v>47.92</v>
      </c>
      <c r="I455" s="91" t="str">
        <f t="shared" si="343"/>
        <v>10동3라인</v>
      </c>
      <c r="J455" s="92" t="s">
        <v>215</v>
      </c>
      <c r="L455" s="89">
        <v>2</v>
      </c>
      <c r="M455" s="78">
        <f t="shared" si="344"/>
        <v>5</v>
      </c>
      <c r="N455" s="78"/>
      <c r="O455" s="78">
        <f t="shared" si="345"/>
        <v>10</v>
      </c>
    </row>
    <row r="456" spans="1:16" ht="18" customHeight="1">
      <c r="A456" s="104"/>
      <c r="B456" s="93"/>
      <c r="C456" s="87"/>
      <c r="D456" s="88">
        <v>228</v>
      </c>
      <c r="E456" s="88">
        <v>910</v>
      </c>
      <c r="F456" s="89">
        <f t="shared" si="340"/>
        <v>10</v>
      </c>
      <c r="G456" s="90">
        <f t="shared" si="341"/>
        <v>22.59909159232755</v>
      </c>
      <c r="H456" s="90">
        <f t="shared" si="342"/>
        <v>45.519999999999996</v>
      </c>
      <c r="I456" s="91" t="str">
        <f t="shared" si="343"/>
        <v>10동3라인</v>
      </c>
      <c r="J456" s="92" t="s">
        <v>216</v>
      </c>
      <c r="L456" s="89">
        <v>2</v>
      </c>
      <c r="M456" s="78">
        <f t="shared" si="344"/>
        <v>5</v>
      </c>
      <c r="N456" s="78"/>
      <c r="O456" s="78">
        <f t="shared" si="345"/>
        <v>10</v>
      </c>
    </row>
    <row r="457" spans="1:16" ht="18" customHeight="1">
      <c r="A457" s="104"/>
      <c r="B457" s="93"/>
      <c r="C457" s="87"/>
      <c r="D457" s="88">
        <v>438</v>
      </c>
      <c r="E457" s="88">
        <v>270</v>
      </c>
      <c r="F457" s="89">
        <f t="shared" si="340"/>
        <v>10</v>
      </c>
      <c r="G457" s="90">
        <f t="shared" si="341"/>
        <v>12.881090089206941</v>
      </c>
      <c r="H457" s="90">
        <f t="shared" si="342"/>
        <v>28.32</v>
      </c>
      <c r="I457" s="91" t="str">
        <f t="shared" si="343"/>
        <v>10동3라인</v>
      </c>
      <c r="J457" s="92" t="s">
        <v>217</v>
      </c>
      <c r="L457" s="89">
        <v>2</v>
      </c>
      <c r="M457" s="78">
        <f t="shared" si="344"/>
        <v>5</v>
      </c>
      <c r="N457" s="78"/>
      <c r="O457" s="78">
        <f t="shared" si="345"/>
        <v>10</v>
      </c>
    </row>
    <row r="458" spans="1:16" ht="18" customHeight="1">
      <c r="A458" s="104"/>
      <c r="B458" s="93"/>
      <c r="C458" s="87"/>
      <c r="D458" s="88">
        <v>208</v>
      </c>
      <c r="E458" s="88">
        <v>910</v>
      </c>
      <c r="F458" s="89">
        <f t="shared" si="340"/>
        <v>10</v>
      </c>
      <c r="G458" s="90">
        <f t="shared" si="341"/>
        <v>20.616715136860222</v>
      </c>
      <c r="H458" s="90">
        <f t="shared" si="342"/>
        <v>44.72</v>
      </c>
      <c r="I458" s="91" t="str">
        <f t="shared" si="343"/>
        <v>10동3라인</v>
      </c>
      <c r="J458" s="92" t="s">
        <v>218</v>
      </c>
      <c r="L458" s="89">
        <v>2</v>
      </c>
      <c r="M458" s="78">
        <f t="shared" si="344"/>
        <v>5</v>
      </c>
      <c r="N458" s="78"/>
      <c r="O458" s="78">
        <f t="shared" si="345"/>
        <v>10</v>
      </c>
    </row>
    <row r="459" spans="1:16" ht="18" customHeight="1">
      <c r="A459" s="104"/>
      <c r="B459" s="87"/>
      <c r="C459" s="87"/>
      <c r="D459" s="325" t="s">
        <v>0</v>
      </c>
      <c r="E459" s="325"/>
      <c r="F459" s="171">
        <f>SUM(F452:F458)</f>
        <v>75</v>
      </c>
      <c r="G459" s="95">
        <f>SUM(G452:G458)</f>
        <v>611.67314751277115</v>
      </c>
      <c r="H459" s="95">
        <f>SUM(H452:H458)</f>
        <v>503.12</v>
      </c>
      <c r="I459" s="97"/>
      <c r="J459" s="98"/>
    </row>
    <row r="460" spans="1:16">
      <c r="A460" s="105"/>
      <c r="B460" s="9"/>
      <c r="C460" s="9"/>
      <c r="D460" s="51"/>
      <c r="E460" s="51"/>
      <c r="F460" s="51"/>
      <c r="G460" s="106"/>
      <c r="H460" s="106"/>
      <c r="I460" s="9"/>
      <c r="J460" s="107"/>
    </row>
    <row r="461" spans="1:16" ht="18" customHeight="1">
      <c r="A461" s="85"/>
      <c r="B461" s="163" t="s">
        <v>199</v>
      </c>
      <c r="C461" s="163">
        <v>22</v>
      </c>
      <c r="D461" s="88">
        <v>738</v>
      </c>
      <c r="E461" s="88">
        <v>1810</v>
      </c>
      <c r="F461" s="89">
        <f t="shared" ref="F461:F462" si="346">O461</f>
        <v>10</v>
      </c>
      <c r="G461" s="90">
        <f t="shared" ref="G461:G462" si="347">D461*E461/91809*F461</f>
        <v>145.4955396529752</v>
      </c>
      <c r="H461" s="90">
        <f t="shared" ref="H461:H462" si="348">(D461/1000)*4*F461+(E461/1000)*4*F461</f>
        <v>101.92</v>
      </c>
      <c r="I461" s="91" t="str">
        <f>I452</f>
        <v>10동3라인</v>
      </c>
      <c r="J461" s="92" t="s">
        <v>219</v>
      </c>
      <c r="L461" s="89">
        <v>2</v>
      </c>
      <c r="M461" s="78">
        <f>M443</f>
        <v>5</v>
      </c>
      <c r="N461" s="84"/>
      <c r="O461" s="78">
        <f>L461*M461-N461*L461</f>
        <v>10</v>
      </c>
      <c r="P461" s="64"/>
    </row>
    <row r="462" spans="1:16" ht="18" customHeight="1">
      <c r="A462" s="85"/>
      <c r="B462" s="86"/>
      <c r="C462" s="87"/>
      <c r="D462" s="88">
        <v>250</v>
      </c>
      <c r="E462" s="88">
        <v>930</v>
      </c>
      <c r="F462" s="89">
        <f t="shared" si="346"/>
        <v>10</v>
      </c>
      <c r="G462" s="90">
        <f t="shared" si="347"/>
        <v>25.324314609678787</v>
      </c>
      <c r="H462" s="90">
        <f t="shared" si="348"/>
        <v>47.2</v>
      </c>
      <c r="I462" s="91" t="str">
        <f>I461</f>
        <v>10동3라인</v>
      </c>
      <c r="J462" s="92" t="s">
        <v>220</v>
      </c>
      <c r="L462" s="89">
        <v>2</v>
      </c>
      <c r="M462" s="78">
        <f>M461</f>
        <v>5</v>
      </c>
      <c r="N462" s="84"/>
      <c r="O462" s="78">
        <f t="shared" ref="O462" si="349">L462*M462-N462*L462</f>
        <v>10</v>
      </c>
    </row>
    <row r="463" spans="1:16" ht="18" customHeight="1" thickBot="1">
      <c r="A463" s="222"/>
      <c r="B463" s="223"/>
      <c r="C463" s="224"/>
      <c r="D463" s="364" t="s">
        <v>0</v>
      </c>
      <c r="E463" s="364"/>
      <c r="F463" s="269">
        <f>SUM(F461:F462)</f>
        <v>20</v>
      </c>
      <c r="G463" s="270">
        <f>SUM(G461:G462)</f>
        <v>170.81985426265399</v>
      </c>
      <c r="H463" s="270">
        <f>SUM(H461:H462)</f>
        <v>149.12</v>
      </c>
      <c r="I463" s="271"/>
      <c r="J463" s="272"/>
    </row>
    <row r="464" spans="1:16" ht="18" customHeight="1">
      <c r="A464" s="79" t="s">
        <v>235</v>
      </c>
      <c r="B464" s="231" t="s">
        <v>201</v>
      </c>
      <c r="C464" s="232">
        <v>22</v>
      </c>
      <c r="D464" s="80">
        <v>861</v>
      </c>
      <c r="E464" s="80">
        <v>1810</v>
      </c>
      <c r="F464" s="233">
        <f t="shared" ref="F464:F467" si="350">O464</f>
        <v>5</v>
      </c>
      <c r="G464" s="81">
        <f t="shared" ref="G464:G467" si="351">D464*E464/91809*F464</f>
        <v>84.872398130902198</v>
      </c>
      <c r="H464" s="81">
        <f t="shared" ref="H464:H467" si="352">(D464/1000)*4*F464+(E464/1000)*4*F464</f>
        <v>53.42</v>
      </c>
      <c r="I464" s="82" t="s">
        <v>263</v>
      </c>
      <c r="J464" s="83" t="s">
        <v>205</v>
      </c>
      <c r="L464" s="89">
        <v>1</v>
      </c>
      <c r="M464" s="78">
        <v>5</v>
      </c>
      <c r="N464" s="84"/>
      <c r="O464" s="78">
        <f>L464*M464-N464*L464</f>
        <v>5</v>
      </c>
      <c r="P464" s="64"/>
    </row>
    <row r="465" spans="1:16" ht="18" customHeight="1">
      <c r="A465" s="85"/>
      <c r="B465" s="86"/>
      <c r="C465" s="87"/>
      <c r="D465" s="88">
        <v>738</v>
      </c>
      <c r="E465" s="88">
        <v>1310</v>
      </c>
      <c r="F465" s="89">
        <f t="shared" si="350"/>
        <v>20</v>
      </c>
      <c r="G465" s="90">
        <f t="shared" si="351"/>
        <v>210.6068032545829</v>
      </c>
      <c r="H465" s="90">
        <f t="shared" si="352"/>
        <v>163.84</v>
      </c>
      <c r="I465" s="91" t="str">
        <f>I464</f>
        <v>10동4라인</v>
      </c>
      <c r="J465" s="92" t="s">
        <v>207</v>
      </c>
      <c r="L465" s="89">
        <v>4</v>
      </c>
      <c r="M465" s="78">
        <f>M464</f>
        <v>5</v>
      </c>
      <c r="N465" s="84"/>
      <c r="O465" s="78">
        <f t="shared" ref="O465:O467" si="353">L465*M465-N465*L465</f>
        <v>20</v>
      </c>
    </row>
    <row r="466" spans="1:16" ht="18" customHeight="1">
      <c r="A466" s="85"/>
      <c r="B466" s="86"/>
      <c r="C466" s="87"/>
      <c r="D466" s="88">
        <v>228</v>
      </c>
      <c r="E466" s="88">
        <v>910</v>
      </c>
      <c r="F466" s="89">
        <f t="shared" si="350"/>
        <v>10</v>
      </c>
      <c r="G466" s="90">
        <f t="shared" si="351"/>
        <v>22.59909159232755</v>
      </c>
      <c r="H466" s="90">
        <f t="shared" si="352"/>
        <v>45.519999999999996</v>
      </c>
      <c r="I466" s="91" t="str">
        <f t="shared" ref="I466:I467" si="354">I465</f>
        <v>10동4라인</v>
      </c>
      <c r="J466" s="92" t="s">
        <v>209</v>
      </c>
      <c r="L466" s="89">
        <v>2</v>
      </c>
      <c r="M466" s="78">
        <f t="shared" ref="M466:M467" si="355">M465</f>
        <v>5</v>
      </c>
      <c r="N466" s="78"/>
      <c r="O466" s="78">
        <f t="shared" si="353"/>
        <v>10</v>
      </c>
    </row>
    <row r="467" spans="1:16" ht="18" customHeight="1">
      <c r="A467" s="85"/>
      <c r="B467" s="86"/>
      <c r="C467" s="87"/>
      <c r="D467" s="88">
        <v>438</v>
      </c>
      <c r="E467" s="88">
        <v>270</v>
      </c>
      <c r="F467" s="89">
        <f t="shared" si="350"/>
        <v>10</v>
      </c>
      <c r="G467" s="90">
        <f t="shared" si="351"/>
        <v>12.881090089206941</v>
      </c>
      <c r="H467" s="90">
        <f t="shared" si="352"/>
        <v>28.32</v>
      </c>
      <c r="I467" s="91" t="str">
        <f t="shared" si="354"/>
        <v>10동4라인</v>
      </c>
      <c r="J467" s="92" t="s">
        <v>210</v>
      </c>
      <c r="L467" s="89">
        <v>2</v>
      </c>
      <c r="M467" s="78">
        <f t="shared" si="355"/>
        <v>5</v>
      </c>
      <c r="N467" s="78"/>
      <c r="O467" s="78">
        <f t="shared" si="353"/>
        <v>10</v>
      </c>
    </row>
    <row r="468" spans="1:16" ht="18" customHeight="1">
      <c r="A468" s="85"/>
      <c r="B468" s="93"/>
      <c r="C468" s="87"/>
      <c r="D468" s="325" t="s">
        <v>0</v>
      </c>
      <c r="E468" s="325"/>
      <c r="F468" s="94">
        <f>SUM(F464:F467)</f>
        <v>45</v>
      </c>
      <c r="G468" s="95">
        <f>SUM(G464:G467)</f>
        <v>330.95938306701964</v>
      </c>
      <c r="H468" s="96">
        <f>SUM(H464:H467)</f>
        <v>291.09999999999997</v>
      </c>
      <c r="I468" s="97"/>
      <c r="J468" s="162"/>
    </row>
    <row r="469" spans="1:16" ht="18" customHeight="1">
      <c r="A469" s="85"/>
      <c r="B469" s="93"/>
      <c r="C469" s="87"/>
      <c r="D469" s="161"/>
      <c r="E469" s="161"/>
      <c r="F469" s="89"/>
      <c r="G469" s="100"/>
      <c r="H469" s="101"/>
      <c r="I469" s="102"/>
      <c r="J469" s="121"/>
      <c r="L469" s="252"/>
      <c r="M469" s="252"/>
      <c r="N469" s="252"/>
      <c r="O469" s="252"/>
    </row>
    <row r="470" spans="1:16" ht="18" customHeight="1">
      <c r="A470" s="85"/>
      <c r="B470" s="23" t="s">
        <v>198</v>
      </c>
      <c r="C470" s="24">
        <v>22</v>
      </c>
      <c r="D470" s="88">
        <v>861</v>
      </c>
      <c r="E470" s="88">
        <v>1810</v>
      </c>
      <c r="F470" s="89">
        <f t="shared" ref="F470:F474" si="356">O470</f>
        <v>5</v>
      </c>
      <c r="G470" s="90">
        <f t="shared" ref="G470:G474" si="357">D470*E470/91809*F470</f>
        <v>84.872398130902198</v>
      </c>
      <c r="H470" s="90">
        <f t="shared" ref="H470:H474" si="358">(D470/1000)*4*F470+(E470/1000)*4*F470</f>
        <v>53.42</v>
      </c>
      <c r="I470" s="103" t="str">
        <f>I464</f>
        <v>10동4라인</v>
      </c>
      <c r="J470" s="92" t="s">
        <v>212</v>
      </c>
      <c r="L470" s="89">
        <v>1</v>
      </c>
      <c r="M470" s="78">
        <f>M464</f>
        <v>5</v>
      </c>
      <c r="N470" s="84"/>
      <c r="O470" s="78">
        <f>L470*M470-N470*L470</f>
        <v>5</v>
      </c>
    </row>
    <row r="471" spans="1:16" ht="18" customHeight="1">
      <c r="A471" s="85"/>
      <c r="B471" s="86"/>
      <c r="C471" s="87"/>
      <c r="D471" s="88">
        <v>2114</v>
      </c>
      <c r="E471" s="88">
        <v>1810</v>
      </c>
      <c r="F471" s="89">
        <f t="shared" si="356"/>
        <v>5</v>
      </c>
      <c r="G471" s="90">
        <f t="shared" si="357"/>
        <v>208.38588809375989</v>
      </c>
      <c r="H471" s="90">
        <f t="shared" si="358"/>
        <v>78.48</v>
      </c>
      <c r="I471" s="91" t="str">
        <f>I464</f>
        <v>10동4라인</v>
      </c>
      <c r="J471" s="92" t="s">
        <v>213</v>
      </c>
      <c r="L471" s="89">
        <v>1</v>
      </c>
      <c r="M471" s="78">
        <f>M470</f>
        <v>5</v>
      </c>
      <c r="N471" s="84"/>
      <c r="O471" s="78">
        <f>L471*M471-N471*L471</f>
        <v>5</v>
      </c>
    </row>
    <row r="472" spans="1:16" ht="18" customHeight="1">
      <c r="A472" s="104"/>
      <c r="B472" s="93"/>
      <c r="C472" s="87"/>
      <c r="D472" s="88">
        <v>738</v>
      </c>
      <c r="E472" s="88">
        <v>1310</v>
      </c>
      <c r="F472" s="89">
        <f t="shared" si="356"/>
        <v>20</v>
      </c>
      <c r="G472" s="90">
        <f t="shared" si="357"/>
        <v>210.6068032545829</v>
      </c>
      <c r="H472" s="90">
        <f t="shared" si="358"/>
        <v>163.84</v>
      </c>
      <c r="I472" s="91" t="str">
        <f>I471</f>
        <v>10동4라인</v>
      </c>
      <c r="J472" s="92" t="s">
        <v>214</v>
      </c>
      <c r="L472" s="89">
        <v>4</v>
      </c>
      <c r="M472" s="78">
        <f t="shared" ref="M472:M474" si="359">M471</f>
        <v>5</v>
      </c>
      <c r="N472" s="84"/>
      <c r="O472" s="78">
        <f t="shared" ref="O472:O474" si="360">L472*M472-N472*L472</f>
        <v>20</v>
      </c>
    </row>
    <row r="473" spans="1:16" ht="18" customHeight="1">
      <c r="A473" s="104"/>
      <c r="B473" s="93"/>
      <c r="C473" s="87"/>
      <c r="D473" s="88">
        <v>228</v>
      </c>
      <c r="E473" s="88">
        <v>910</v>
      </c>
      <c r="F473" s="89">
        <f t="shared" si="356"/>
        <v>10</v>
      </c>
      <c r="G473" s="90">
        <f t="shared" si="357"/>
        <v>22.59909159232755</v>
      </c>
      <c r="H473" s="90">
        <f t="shared" si="358"/>
        <v>45.519999999999996</v>
      </c>
      <c r="I473" s="91" t="str">
        <f t="shared" ref="I473:I474" si="361">I472</f>
        <v>10동4라인</v>
      </c>
      <c r="J473" s="92" t="s">
        <v>216</v>
      </c>
      <c r="L473" s="89">
        <v>2</v>
      </c>
      <c r="M473" s="78">
        <f t="shared" si="359"/>
        <v>5</v>
      </c>
      <c r="N473" s="78"/>
      <c r="O473" s="78">
        <f t="shared" si="360"/>
        <v>10</v>
      </c>
    </row>
    <row r="474" spans="1:16" ht="18" customHeight="1">
      <c r="A474" s="104"/>
      <c r="B474" s="93"/>
      <c r="C474" s="87"/>
      <c r="D474" s="88">
        <v>438</v>
      </c>
      <c r="E474" s="88">
        <v>270</v>
      </c>
      <c r="F474" s="89">
        <f t="shared" si="356"/>
        <v>10</v>
      </c>
      <c r="G474" s="90">
        <f t="shared" si="357"/>
        <v>12.881090089206941</v>
      </c>
      <c r="H474" s="90">
        <f t="shared" si="358"/>
        <v>28.32</v>
      </c>
      <c r="I474" s="91" t="str">
        <f t="shared" si="361"/>
        <v>10동4라인</v>
      </c>
      <c r="J474" s="92" t="s">
        <v>217</v>
      </c>
      <c r="L474" s="89">
        <v>2</v>
      </c>
      <c r="M474" s="78">
        <f t="shared" si="359"/>
        <v>5</v>
      </c>
      <c r="N474" s="78"/>
      <c r="O474" s="78">
        <f t="shared" si="360"/>
        <v>10</v>
      </c>
    </row>
    <row r="475" spans="1:16" ht="18" customHeight="1">
      <c r="A475" s="104"/>
      <c r="B475" s="87"/>
      <c r="C475" s="87"/>
      <c r="D475" s="325" t="s">
        <v>0</v>
      </c>
      <c r="E475" s="325"/>
      <c r="F475" s="171">
        <f>SUM(F470:F474)</f>
        <v>50</v>
      </c>
      <c r="G475" s="95">
        <f>SUM(G470:G474)</f>
        <v>539.34527116077948</v>
      </c>
      <c r="H475" s="95">
        <f>SUM(H470:H474)</f>
        <v>369.58</v>
      </c>
      <c r="I475" s="97"/>
      <c r="J475" s="98"/>
    </row>
    <row r="476" spans="1:16">
      <c r="A476" s="105"/>
      <c r="B476" s="9"/>
      <c r="C476" s="9"/>
      <c r="D476" s="51"/>
      <c r="E476" s="51"/>
      <c r="F476" s="51"/>
      <c r="G476" s="106"/>
      <c r="H476" s="106"/>
      <c r="I476" s="9"/>
      <c r="J476" s="107"/>
    </row>
    <row r="477" spans="1:16" ht="18" customHeight="1">
      <c r="A477" s="85"/>
      <c r="B477" s="23" t="s">
        <v>237</v>
      </c>
      <c r="C477" s="24">
        <v>22</v>
      </c>
      <c r="D477" s="88">
        <v>2114</v>
      </c>
      <c r="E477" s="88">
        <v>1810</v>
      </c>
      <c r="F477" s="89">
        <f t="shared" ref="F477" si="362">O477</f>
        <v>5</v>
      </c>
      <c r="G477" s="90">
        <f t="shared" ref="G477" si="363">D477*E477/91809*F477</f>
        <v>208.38588809375989</v>
      </c>
      <c r="H477" s="90">
        <f t="shared" ref="H477" si="364">(D477/1000)*4*F477+(E477/1000)*4*F477</f>
        <v>78.48</v>
      </c>
      <c r="I477" s="91" t="str">
        <f>I470</f>
        <v>10동4라인</v>
      </c>
      <c r="J477" s="92" t="s">
        <v>206</v>
      </c>
      <c r="L477" s="89">
        <v>1</v>
      </c>
      <c r="M477" s="78">
        <f>M464</f>
        <v>5</v>
      </c>
      <c r="N477" s="84"/>
      <c r="O477" s="78">
        <f>L477*M477-N477*L477</f>
        <v>5</v>
      </c>
    </row>
    <row r="478" spans="1:16" ht="18" customHeight="1">
      <c r="A478" s="85"/>
      <c r="B478" s="93"/>
      <c r="C478" s="87"/>
      <c r="D478" s="325" t="s">
        <v>0</v>
      </c>
      <c r="E478" s="325"/>
      <c r="F478" s="94">
        <f>SUM(F477:F477)</f>
        <v>5</v>
      </c>
      <c r="G478" s="95">
        <f>SUM(G477:G477)</f>
        <v>208.38588809375989</v>
      </c>
      <c r="H478" s="95">
        <f>SUM(H477:H477)</f>
        <v>78.48</v>
      </c>
      <c r="I478" s="97"/>
      <c r="J478" s="98"/>
    </row>
    <row r="479" spans="1:16" ht="18" customHeight="1">
      <c r="A479" s="218"/>
      <c r="B479" s="219"/>
      <c r="C479" s="220"/>
      <c r="D479" s="161"/>
      <c r="E479" s="161"/>
      <c r="F479" s="89"/>
      <c r="G479" s="100"/>
      <c r="H479" s="100"/>
      <c r="I479" s="102"/>
      <c r="J479" s="221"/>
    </row>
    <row r="480" spans="1:16" ht="18" customHeight="1">
      <c r="A480" s="85"/>
      <c r="B480" s="23" t="s">
        <v>203</v>
      </c>
      <c r="C480" s="24">
        <v>22</v>
      </c>
      <c r="D480" s="88">
        <v>738</v>
      </c>
      <c r="E480" s="88">
        <v>1810</v>
      </c>
      <c r="F480" s="89">
        <f t="shared" ref="F480:F481" si="365">O480</f>
        <v>0</v>
      </c>
      <c r="G480" s="90">
        <f t="shared" ref="G480:G481" si="366">D480*E480/91809*F480</f>
        <v>0</v>
      </c>
      <c r="H480" s="90">
        <f t="shared" ref="H480:H481" si="367">(D480/1000)*4*F480+(E480/1000)*4*F480</f>
        <v>0</v>
      </c>
      <c r="I480" s="91" t="str">
        <f>I477</f>
        <v>10동4라인</v>
      </c>
      <c r="J480" s="92" t="s">
        <v>219</v>
      </c>
      <c r="L480" s="89">
        <v>2</v>
      </c>
      <c r="M480" s="78">
        <f>M477</f>
        <v>5</v>
      </c>
      <c r="N480" s="84">
        <v>5</v>
      </c>
      <c r="O480" s="78">
        <f>L480*M480-N480*L480</f>
        <v>0</v>
      </c>
      <c r="P480" s="64" t="s">
        <v>286</v>
      </c>
    </row>
    <row r="481" spans="1:16" ht="18" customHeight="1">
      <c r="A481" s="85"/>
      <c r="B481" s="86"/>
      <c r="C481" s="87"/>
      <c r="D481" s="88">
        <v>250</v>
      </c>
      <c r="E481" s="88">
        <v>930</v>
      </c>
      <c r="F481" s="89">
        <f t="shared" si="365"/>
        <v>10</v>
      </c>
      <c r="G481" s="90">
        <f t="shared" si="366"/>
        <v>25.324314609678787</v>
      </c>
      <c r="H481" s="90">
        <f t="shared" si="367"/>
        <v>47.2</v>
      </c>
      <c r="I481" s="91" t="str">
        <f>I480</f>
        <v>10동4라인</v>
      </c>
      <c r="J481" s="92" t="s">
        <v>220</v>
      </c>
      <c r="L481" s="89">
        <v>2</v>
      </c>
      <c r="M481" s="78">
        <f>M480</f>
        <v>5</v>
      </c>
      <c r="N481" s="84"/>
      <c r="O481" s="78">
        <f t="shared" ref="O481" si="368">L481*M481-N481*L481</f>
        <v>10</v>
      </c>
    </row>
    <row r="482" spans="1:16" ht="18" customHeight="1">
      <c r="A482" s="85"/>
      <c r="B482" s="93"/>
      <c r="C482" s="87"/>
      <c r="D482" s="325" t="s">
        <v>0</v>
      </c>
      <c r="E482" s="325"/>
      <c r="F482" s="94">
        <f>SUM(F480:F481)</f>
        <v>10</v>
      </c>
      <c r="G482" s="95">
        <f>SUM(G480:G481)</f>
        <v>25.324314609678787</v>
      </c>
      <c r="H482" s="96">
        <f>SUM(H480:H481)</f>
        <v>47.2</v>
      </c>
      <c r="I482" s="97"/>
      <c r="J482" s="162"/>
    </row>
    <row r="483" spans="1:16">
      <c r="A483" s="236"/>
      <c r="B483" s="237"/>
      <c r="C483" s="238"/>
      <c r="D483" s="362"/>
      <c r="E483" s="362"/>
      <c r="F483" s="239"/>
      <c r="G483" s="240"/>
      <c r="H483" s="241"/>
      <c r="I483" s="242"/>
      <c r="J483" s="243"/>
    </row>
    <row r="484" spans="1:16" ht="18" customHeight="1">
      <c r="A484" s="262" t="s">
        <v>234</v>
      </c>
      <c r="B484" s="263" t="s">
        <v>195</v>
      </c>
      <c r="C484" s="264">
        <v>22</v>
      </c>
      <c r="D484" s="265">
        <v>761</v>
      </c>
      <c r="E484" s="265">
        <v>1810</v>
      </c>
      <c r="F484" s="251">
        <f>O484</f>
        <v>20</v>
      </c>
      <c r="G484" s="266">
        <f t="shared" ref="G484:G490" si="369">D484*E484/91809*F484</f>
        <v>300.05990698079711</v>
      </c>
      <c r="H484" s="266">
        <f t="shared" ref="H484:H490" si="370">(D484/1000)*4*F484+(E484/1000)*4*F484</f>
        <v>205.68</v>
      </c>
      <c r="I484" s="267" t="s">
        <v>265</v>
      </c>
      <c r="J484" s="268" t="s">
        <v>205</v>
      </c>
      <c r="L484" s="89">
        <v>2</v>
      </c>
      <c r="M484" s="78">
        <v>10</v>
      </c>
      <c r="N484" s="84"/>
      <c r="O484" s="78">
        <f>L484*M484-N484*L484</f>
        <v>20</v>
      </c>
      <c r="P484" s="64"/>
    </row>
    <row r="485" spans="1:16" ht="18" customHeight="1">
      <c r="A485" s="85"/>
      <c r="B485" s="86"/>
      <c r="C485" s="87"/>
      <c r="D485" s="88">
        <v>1688</v>
      </c>
      <c r="E485" s="88">
        <v>1810</v>
      </c>
      <c r="F485" s="89">
        <f t="shared" ref="F485:F490" si="371">O485</f>
        <v>10</v>
      </c>
      <c r="G485" s="90">
        <f t="shared" si="369"/>
        <v>332.78654598133079</v>
      </c>
      <c r="H485" s="90">
        <f t="shared" si="370"/>
        <v>139.92000000000002</v>
      </c>
      <c r="I485" s="91" t="str">
        <f>I484</f>
        <v>10동5,6라인</v>
      </c>
      <c r="J485" s="92" t="s">
        <v>206</v>
      </c>
      <c r="L485" s="89">
        <v>1</v>
      </c>
      <c r="M485" s="78">
        <f>M484</f>
        <v>10</v>
      </c>
      <c r="N485" s="84"/>
      <c r="O485" s="78">
        <f t="shared" ref="O485:O490" si="372">L485*M485-N485*L485</f>
        <v>10</v>
      </c>
    </row>
    <row r="486" spans="1:16" ht="18" customHeight="1">
      <c r="A486" s="85"/>
      <c r="B486" s="86"/>
      <c r="C486" s="87"/>
      <c r="D486" s="88">
        <v>738</v>
      </c>
      <c r="E486" s="88">
        <v>1310</v>
      </c>
      <c r="F486" s="89">
        <f t="shared" si="371"/>
        <v>40</v>
      </c>
      <c r="G486" s="90">
        <f t="shared" si="369"/>
        <v>421.2136065091658</v>
      </c>
      <c r="H486" s="90">
        <f t="shared" si="370"/>
        <v>327.68</v>
      </c>
      <c r="I486" s="91" t="str">
        <f t="shared" ref="I486:I490" si="373">I485</f>
        <v>10동5,6라인</v>
      </c>
      <c r="J486" s="92" t="s">
        <v>207</v>
      </c>
      <c r="L486" s="89">
        <v>4</v>
      </c>
      <c r="M486" s="78">
        <f t="shared" ref="M486:M489" si="374">M485</f>
        <v>10</v>
      </c>
      <c r="N486" s="78"/>
      <c r="O486" s="78">
        <f t="shared" si="372"/>
        <v>40</v>
      </c>
    </row>
    <row r="487" spans="1:16" ht="18" customHeight="1">
      <c r="A487" s="85"/>
      <c r="B487" s="86"/>
      <c r="C487" s="87"/>
      <c r="D487" s="88">
        <v>288</v>
      </c>
      <c r="E487" s="88">
        <v>910</v>
      </c>
      <c r="F487" s="89">
        <f t="shared" si="371"/>
        <v>20</v>
      </c>
      <c r="G487" s="90">
        <f t="shared" si="369"/>
        <v>57.09244191745907</v>
      </c>
      <c r="H487" s="90">
        <f t="shared" si="370"/>
        <v>95.84</v>
      </c>
      <c r="I487" s="91" t="str">
        <f t="shared" si="373"/>
        <v>10동5,6라인</v>
      </c>
      <c r="J487" s="92" t="s">
        <v>208</v>
      </c>
      <c r="L487" s="89">
        <v>2</v>
      </c>
      <c r="M487" s="78">
        <f t="shared" si="374"/>
        <v>10</v>
      </c>
      <c r="N487" s="78"/>
      <c r="O487" s="78">
        <f t="shared" si="372"/>
        <v>20</v>
      </c>
    </row>
    <row r="488" spans="1:16" ht="18" customHeight="1">
      <c r="A488" s="85"/>
      <c r="B488" s="86"/>
      <c r="C488" s="87"/>
      <c r="D488" s="88">
        <v>228</v>
      </c>
      <c r="E488" s="88">
        <v>910</v>
      </c>
      <c r="F488" s="89">
        <f t="shared" si="371"/>
        <v>20</v>
      </c>
      <c r="G488" s="90">
        <f t="shared" si="369"/>
        <v>45.1981831846551</v>
      </c>
      <c r="H488" s="90">
        <f t="shared" si="370"/>
        <v>91.039999999999992</v>
      </c>
      <c r="I488" s="91" t="str">
        <f t="shared" si="373"/>
        <v>10동5,6라인</v>
      </c>
      <c r="J488" s="92" t="s">
        <v>209</v>
      </c>
      <c r="L488" s="89">
        <v>2</v>
      </c>
      <c r="M488" s="78">
        <f t="shared" si="374"/>
        <v>10</v>
      </c>
      <c r="N488" s="78"/>
      <c r="O488" s="78">
        <f t="shared" si="372"/>
        <v>20</v>
      </c>
    </row>
    <row r="489" spans="1:16" ht="18" customHeight="1">
      <c r="A489" s="85"/>
      <c r="B489" s="86"/>
      <c r="C489" s="87"/>
      <c r="D489" s="88">
        <v>438</v>
      </c>
      <c r="E489" s="88">
        <v>270</v>
      </c>
      <c r="F489" s="89">
        <f t="shared" si="371"/>
        <v>20</v>
      </c>
      <c r="G489" s="90">
        <f t="shared" si="369"/>
        <v>25.762180178413882</v>
      </c>
      <c r="H489" s="90">
        <f t="shared" si="370"/>
        <v>56.64</v>
      </c>
      <c r="I489" s="91" t="str">
        <f t="shared" si="373"/>
        <v>10동5,6라인</v>
      </c>
      <c r="J489" s="92" t="s">
        <v>210</v>
      </c>
      <c r="L489" s="89">
        <v>2</v>
      </c>
      <c r="M489" s="78">
        <f t="shared" si="374"/>
        <v>10</v>
      </c>
      <c r="N489" s="78"/>
      <c r="O489" s="78">
        <f t="shared" si="372"/>
        <v>20</v>
      </c>
    </row>
    <row r="490" spans="1:16" ht="18" customHeight="1">
      <c r="A490" s="85"/>
      <c r="B490" s="86"/>
      <c r="C490" s="87"/>
      <c r="D490" s="88">
        <v>208</v>
      </c>
      <c r="E490" s="88">
        <v>910</v>
      </c>
      <c r="F490" s="89">
        <f t="shared" si="371"/>
        <v>20</v>
      </c>
      <c r="G490" s="90">
        <f t="shared" si="369"/>
        <v>41.233430273720444</v>
      </c>
      <c r="H490" s="90">
        <f t="shared" si="370"/>
        <v>89.44</v>
      </c>
      <c r="I490" s="91" t="str">
        <f t="shared" si="373"/>
        <v>10동5,6라인</v>
      </c>
      <c r="J490" s="92" t="s">
        <v>211</v>
      </c>
      <c r="L490" s="89">
        <v>2</v>
      </c>
      <c r="M490" s="78">
        <f>M489</f>
        <v>10</v>
      </c>
      <c r="N490" s="78"/>
      <c r="O490" s="78">
        <f t="shared" si="372"/>
        <v>20</v>
      </c>
    </row>
    <row r="491" spans="1:16" ht="18" customHeight="1">
      <c r="A491" s="85"/>
      <c r="B491" s="93"/>
      <c r="C491" s="87"/>
      <c r="D491" s="325" t="s">
        <v>0</v>
      </c>
      <c r="E491" s="325"/>
      <c r="F491" s="94">
        <f>SUM(F484:F490)</f>
        <v>150</v>
      </c>
      <c r="G491" s="95">
        <f>SUM(G484:G490)</f>
        <v>1223.3462950255423</v>
      </c>
      <c r="H491" s="96">
        <f>SUM(H484:H490)</f>
        <v>1006.24</v>
      </c>
      <c r="I491" s="97"/>
      <c r="J491" s="162"/>
    </row>
    <row r="492" spans="1:16" ht="18" customHeight="1">
      <c r="A492" s="85"/>
      <c r="B492" s="93"/>
      <c r="C492" s="87"/>
      <c r="D492" s="161"/>
      <c r="E492" s="161"/>
      <c r="F492" s="89"/>
      <c r="G492" s="100"/>
      <c r="H492" s="101"/>
      <c r="I492" s="102"/>
      <c r="J492" s="121"/>
      <c r="L492" s="78" t="s">
        <v>48</v>
      </c>
      <c r="M492" s="78" t="s">
        <v>54</v>
      </c>
      <c r="N492" s="78" t="s">
        <v>50</v>
      </c>
      <c r="O492" s="78" t="s">
        <v>55</v>
      </c>
    </row>
    <row r="493" spans="1:16" ht="18" customHeight="1">
      <c r="A493" s="85"/>
      <c r="B493" s="23" t="s">
        <v>197</v>
      </c>
      <c r="C493" s="24">
        <v>22</v>
      </c>
      <c r="D493" s="88">
        <v>761</v>
      </c>
      <c r="E493" s="88">
        <v>1810</v>
      </c>
      <c r="F493" s="89">
        <f t="shared" ref="F493:F499" si="375">O493</f>
        <v>20</v>
      </c>
      <c r="G493" s="90">
        <f t="shared" ref="G493:G499" si="376">D493*E493/91809*F493</f>
        <v>300.05990698079711</v>
      </c>
      <c r="H493" s="90">
        <f t="shared" ref="H493:H499" si="377">(D493/1000)*4*F493+(E493/1000)*4*F493</f>
        <v>205.68</v>
      </c>
      <c r="I493" s="91" t="str">
        <f t="shared" ref="I493:I499" si="378">I484</f>
        <v>10동5,6라인</v>
      </c>
      <c r="J493" s="92" t="s">
        <v>212</v>
      </c>
      <c r="L493" s="89">
        <v>2</v>
      </c>
      <c r="M493" s="78">
        <f>M484</f>
        <v>10</v>
      </c>
      <c r="N493" s="84"/>
      <c r="O493" s="78">
        <f>L493*M493-N493*L493</f>
        <v>20</v>
      </c>
    </row>
    <row r="494" spans="1:16" ht="18" customHeight="1">
      <c r="A494" s="85"/>
      <c r="B494" s="86"/>
      <c r="C494" s="87"/>
      <c r="D494" s="88">
        <v>1688</v>
      </c>
      <c r="E494" s="88">
        <v>1810</v>
      </c>
      <c r="F494" s="89">
        <f t="shared" si="375"/>
        <v>10</v>
      </c>
      <c r="G494" s="90">
        <f t="shared" si="376"/>
        <v>332.78654598133079</v>
      </c>
      <c r="H494" s="90">
        <f t="shared" si="377"/>
        <v>139.92000000000002</v>
      </c>
      <c r="I494" s="91" t="str">
        <f t="shared" si="378"/>
        <v>10동5,6라인</v>
      </c>
      <c r="J494" s="92" t="s">
        <v>213</v>
      </c>
      <c r="L494" s="89">
        <v>1</v>
      </c>
      <c r="M494" s="78">
        <f>M493</f>
        <v>10</v>
      </c>
      <c r="N494" s="84"/>
      <c r="O494" s="78">
        <f>L494*M494-N494*L494</f>
        <v>10</v>
      </c>
    </row>
    <row r="495" spans="1:16" ht="18" customHeight="1">
      <c r="A495" s="104"/>
      <c r="B495" s="93"/>
      <c r="C495" s="87"/>
      <c r="D495" s="88">
        <v>738</v>
      </c>
      <c r="E495" s="88">
        <v>1310</v>
      </c>
      <c r="F495" s="89">
        <f t="shared" si="375"/>
        <v>40</v>
      </c>
      <c r="G495" s="90">
        <f t="shared" si="376"/>
        <v>421.2136065091658</v>
      </c>
      <c r="H495" s="90">
        <f t="shared" si="377"/>
        <v>327.68</v>
      </c>
      <c r="I495" s="91" t="str">
        <f t="shared" si="378"/>
        <v>10동5,6라인</v>
      </c>
      <c r="J495" s="92" t="s">
        <v>214</v>
      </c>
      <c r="L495" s="89">
        <v>4</v>
      </c>
      <c r="M495" s="78">
        <f t="shared" ref="M495:M499" si="379">M494</f>
        <v>10</v>
      </c>
      <c r="N495" s="84"/>
      <c r="O495" s="78">
        <f t="shared" ref="O495:O499" si="380">L495*M495-N495*L495</f>
        <v>40</v>
      </c>
    </row>
    <row r="496" spans="1:16" ht="18" customHeight="1">
      <c r="A496" s="104"/>
      <c r="B496" s="93"/>
      <c r="C496" s="87"/>
      <c r="D496" s="88">
        <v>288</v>
      </c>
      <c r="E496" s="88">
        <v>910</v>
      </c>
      <c r="F496" s="89">
        <f t="shared" si="375"/>
        <v>20</v>
      </c>
      <c r="G496" s="90">
        <f t="shared" si="376"/>
        <v>57.09244191745907</v>
      </c>
      <c r="H496" s="90">
        <f t="shared" si="377"/>
        <v>95.84</v>
      </c>
      <c r="I496" s="91" t="str">
        <f t="shared" si="378"/>
        <v>10동5,6라인</v>
      </c>
      <c r="J496" s="92" t="s">
        <v>215</v>
      </c>
      <c r="L496" s="89">
        <v>2</v>
      </c>
      <c r="M496" s="78">
        <f t="shared" si="379"/>
        <v>10</v>
      </c>
      <c r="N496" s="78"/>
      <c r="O496" s="78">
        <f t="shared" si="380"/>
        <v>20</v>
      </c>
    </row>
    <row r="497" spans="1:16" ht="18" customHeight="1">
      <c r="A497" s="104"/>
      <c r="B497" s="93"/>
      <c r="C497" s="87"/>
      <c r="D497" s="88">
        <v>228</v>
      </c>
      <c r="E497" s="88">
        <v>910</v>
      </c>
      <c r="F497" s="89">
        <f t="shared" si="375"/>
        <v>20</v>
      </c>
      <c r="G497" s="90">
        <f t="shared" si="376"/>
        <v>45.1981831846551</v>
      </c>
      <c r="H497" s="90">
        <f t="shared" si="377"/>
        <v>91.039999999999992</v>
      </c>
      <c r="I497" s="91" t="str">
        <f t="shared" si="378"/>
        <v>10동5,6라인</v>
      </c>
      <c r="J497" s="92" t="s">
        <v>216</v>
      </c>
      <c r="L497" s="89">
        <v>2</v>
      </c>
      <c r="M497" s="78">
        <f t="shared" si="379"/>
        <v>10</v>
      </c>
      <c r="N497" s="78"/>
      <c r="O497" s="78">
        <f t="shared" si="380"/>
        <v>20</v>
      </c>
    </row>
    <row r="498" spans="1:16" ht="18" customHeight="1">
      <c r="A498" s="104"/>
      <c r="B498" s="93"/>
      <c r="C498" s="87"/>
      <c r="D498" s="88">
        <v>438</v>
      </c>
      <c r="E498" s="88">
        <v>270</v>
      </c>
      <c r="F498" s="89">
        <f t="shared" si="375"/>
        <v>20</v>
      </c>
      <c r="G498" s="90">
        <f t="shared" si="376"/>
        <v>25.762180178413882</v>
      </c>
      <c r="H498" s="90">
        <f t="shared" si="377"/>
        <v>56.64</v>
      </c>
      <c r="I498" s="91" t="str">
        <f t="shared" si="378"/>
        <v>10동5,6라인</v>
      </c>
      <c r="J498" s="92" t="s">
        <v>217</v>
      </c>
      <c r="L498" s="89">
        <v>2</v>
      </c>
      <c r="M498" s="78">
        <f t="shared" si="379"/>
        <v>10</v>
      </c>
      <c r="N498" s="78"/>
      <c r="O498" s="78">
        <f t="shared" si="380"/>
        <v>20</v>
      </c>
    </row>
    <row r="499" spans="1:16" ht="18" customHeight="1">
      <c r="A499" s="104"/>
      <c r="B499" s="93"/>
      <c r="C499" s="87"/>
      <c r="D499" s="88">
        <v>208</v>
      </c>
      <c r="E499" s="88">
        <v>910</v>
      </c>
      <c r="F499" s="89">
        <f t="shared" si="375"/>
        <v>20</v>
      </c>
      <c r="G499" s="90">
        <f t="shared" si="376"/>
        <v>41.233430273720444</v>
      </c>
      <c r="H499" s="90">
        <f t="shared" si="377"/>
        <v>89.44</v>
      </c>
      <c r="I499" s="91" t="str">
        <f t="shared" si="378"/>
        <v>10동5,6라인</v>
      </c>
      <c r="J499" s="92" t="s">
        <v>218</v>
      </c>
      <c r="L499" s="89">
        <v>2</v>
      </c>
      <c r="M499" s="78">
        <f t="shared" si="379"/>
        <v>10</v>
      </c>
      <c r="N499" s="78"/>
      <c r="O499" s="78">
        <f t="shared" si="380"/>
        <v>20</v>
      </c>
    </row>
    <row r="500" spans="1:16" ht="18" customHeight="1">
      <c r="A500" s="104"/>
      <c r="B500" s="87"/>
      <c r="C500" s="87"/>
      <c r="D500" s="325" t="s">
        <v>0</v>
      </c>
      <c r="E500" s="325"/>
      <c r="F500" s="171">
        <f>SUM(F493:F499)</f>
        <v>150</v>
      </c>
      <c r="G500" s="95">
        <f>SUM(G493:G499)</f>
        <v>1223.3462950255423</v>
      </c>
      <c r="H500" s="95">
        <f>SUM(H493:H499)</f>
        <v>1006.24</v>
      </c>
      <c r="I500" s="97"/>
      <c r="J500" s="98"/>
    </row>
    <row r="501" spans="1:16">
      <c r="A501" s="105"/>
      <c r="B501" s="9"/>
      <c r="C501" s="9"/>
      <c r="D501" s="51"/>
      <c r="E501" s="51"/>
      <c r="F501" s="51"/>
      <c r="G501" s="106"/>
      <c r="H501" s="106"/>
      <c r="I501" s="9"/>
      <c r="J501" s="107"/>
    </row>
    <row r="502" spans="1:16" ht="18" customHeight="1">
      <c r="A502" s="85"/>
      <c r="B502" s="163" t="s">
        <v>199</v>
      </c>
      <c r="C502" s="163">
        <v>22</v>
      </c>
      <c r="D502" s="88">
        <v>738</v>
      </c>
      <c r="E502" s="88">
        <v>1810</v>
      </c>
      <c r="F502" s="89">
        <f t="shared" ref="F502:F503" si="381">O502</f>
        <v>20</v>
      </c>
      <c r="G502" s="90">
        <f t="shared" ref="G502:G503" si="382">D502*E502/91809*F502</f>
        <v>290.99107930595039</v>
      </c>
      <c r="H502" s="90">
        <f t="shared" ref="H502:H503" si="383">(D502/1000)*4*F502+(E502/1000)*4*F502</f>
        <v>203.84</v>
      </c>
      <c r="I502" s="91" t="str">
        <f>I493</f>
        <v>10동5,6라인</v>
      </c>
      <c r="J502" s="92" t="s">
        <v>219</v>
      </c>
      <c r="L502" s="89">
        <v>2</v>
      </c>
      <c r="M502" s="78">
        <f>M484</f>
        <v>10</v>
      </c>
      <c r="N502" s="84"/>
      <c r="O502" s="78">
        <f>L502*M502-N502*L502</f>
        <v>20</v>
      </c>
      <c r="P502" s="64"/>
    </row>
    <row r="503" spans="1:16" ht="18" customHeight="1">
      <c r="A503" s="85"/>
      <c r="B503" s="86"/>
      <c r="C503" s="87"/>
      <c r="D503" s="88">
        <v>250</v>
      </c>
      <c r="E503" s="88">
        <v>930</v>
      </c>
      <c r="F503" s="89">
        <f t="shared" si="381"/>
        <v>20</v>
      </c>
      <c r="G503" s="90">
        <f t="shared" si="382"/>
        <v>50.648629219357574</v>
      </c>
      <c r="H503" s="90">
        <f t="shared" si="383"/>
        <v>94.4</v>
      </c>
      <c r="I503" s="91" t="str">
        <f>I502</f>
        <v>10동5,6라인</v>
      </c>
      <c r="J503" s="92" t="s">
        <v>220</v>
      </c>
      <c r="L503" s="89">
        <v>2</v>
      </c>
      <c r="M503" s="78">
        <f>M502</f>
        <v>10</v>
      </c>
      <c r="N503" s="84"/>
      <c r="O503" s="78">
        <f t="shared" ref="O503" si="384">L503*M503-N503*L503</f>
        <v>20</v>
      </c>
    </row>
    <row r="504" spans="1:16" ht="18" customHeight="1">
      <c r="A504" s="85"/>
      <c r="B504" s="93"/>
      <c r="C504" s="87"/>
      <c r="D504" s="325" t="s">
        <v>0</v>
      </c>
      <c r="E504" s="325"/>
      <c r="F504" s="94">
        <f>SUM(F502:F503)</f>
        <v>40</v>
      </c>
      <c r="G504" s="95">
        <f>SUM(G502:G503)</f>
        <v>341.63970852530798</v>
      </c>
      <c r="H504" s="95">
        <f>SUM(H502:H503)</f>
        <v>298.24</v>
      </c>
      <c r="I504" s="97"/>
      <c r="J504" s="98"/>
    </row>
    <row r="505" spans="1:16">
      <c r="A505" s="166"/>
      <c r="B505" s="166"/>
      <c r="C505" s="166"/>
      <c r="D505" s="167"/>
      <c r="E505" s="167"/>
      <c r="F505" s="167"/>
      <c r="G505" s="168"/>
      <c r="H505" s="168"/>
      <c r="I505" s="166"/>
      <c r="J505" s="166"/>
    </row>
    <row r="506" spans="1:16" ht="18" customHeight="1">
      <c r="A506" s="85" t="s">
        <v>235</v>
      </c>
      <c r="B506" s="23" t="s">
        <v>201</v>
      </c>
      <c r="C506" s="24">
        <v>22</v>
      </c>
      <c r="D506" s="88">
        <v>861</v>
      </c>
      <c r="E506" s="88">
        <v>1810</v>
      </c>
      <c r="F506" s="89">
        <f t="shared" ref="F506:F509" si="385">O506</f>
        <v>5</v>
      </c>
      <c r="G506" s="90">
        <f t="shared" ref="G506:G509" si="386">D506*E506/91809*F506</f>
        <v>84.872398130902198</v>
      </c>
      <c r="H506" s="90">
        <f t="shared" ref="H506:H509" si="387">(D506/1000)*4*F506+(E506/1000)*4*F506</f>
        <v>53.42</v>
      </c>
      <c r="I506" s="91" t="s">
        <v>266</v>
      </c>
      <c r="J506" s="92" t="s">
        <v>205</v>
      </c>
      <c r="L506" s="89">
        <v>1</v>
      </c>
      <c r="M506" s="78">
        <v>5</v>
      </c>
      <c r="N506" s="84"/>
      <c r="O506" s="78">
        <f>L506*M506-N506*L506</f>
        <v>5</v>
      </c>
      <c r="P506" s="64"/>
    </row>
    <row r="507" spans="1:16" ht="18" customHeight="1">
      <c r="A507" s="85"/>
      <c r="B507" s="86"/>
      <c r="C507" s="87"/>
      <c r="D507" s="88">
        <v>738</v>
      </c>
      <c r="E507" s="88">
        <v>1310</v>
      </c>
      <c r="F507" s="89">
        <f t="shared" si="385"/>
        <v>20</v>
      </c>
      <c r="G507" s="90">
        <f t="shared" si="386"/>
        <v>210.6068032545829</v>
      </c>
      <c r="H507" s="90">
        <f t="shared" si="387"/>
        <v>163.84</v>
      </c>
      <c r="I507" s="91" t="str">
        <f>I506</f>
        <v>11동1라인</v>
      </c>
      <c r="J507" s="92" t="s">
        <v>207</v>
      </c>
      <c r="L507" s="89">
        <v>4</v>
      </c>
      <c r="M507" s="78">
        <f>M506</f>
        <v>5</v>
      </c>
      <c r="N507" s="84"/>
      <c r="O507" s="78">
        <f t="shared" ref="O507:O509" si="388">L507*M507-N507*L507</f>
        <v>20</v>
      </c>
    </row>
    <row r="508" spans="1:16" ht="18" customHeight="1">
      <c r="A508" s="85"/>
      <c r="B508" s="86"/>
      <c r="C508" s="87"/>
      <c r="D508" s="88">
        <v>228</v>
      </c>
      <c r="E508" s="88">
        <v>910</v>
      </c>
      <c r="F508" s="89">
        <f t="shared" si="385"/>
        <v>10</v>
      </c>
      <c r="G508" s="90">
        <f t="shared" si="386"/>
        <v>22.59909159232755</v>
      </c>
      <c r="H508" s="90">
        <f t="shared" si="387"/>
        <v>45.519999999999996</v>
      </c>
      <c r="I508" s="91" t="str">
        <f t="shared" ref="I508:I509" si="389">I507</f>
        <v>11동1라인</v>
      </c>
      <c r="J508" s="92" t="s">
        <v>209</v>
      </c>
      <c r="L508" s="89">
        <v>2</v>
      </c>
      <c r="M508" s="78">
        <f t="shared" ref="M508:M509" si="390">M507</f>
        <v>5</v>
      </c>
      <c r="N508" s="78"/>
      <c r="O508" s="78">
        <f t="shared" si="388"/>
        <v>10</v>
      </c>
    </row>
    <row r="509" spans="1:16" ht="18" customHeight="1">
      <c r="A509" s="85"/>
      <c r="B509" s="86"/>
      <c r="C509" s="87"/>
      <c r="D509" s="88">
        <v>438</v>
      </c>
      <c r="E509" s="88">
        <v>270</v>
      </c>
      <c r="F509" s="89">
        <f t="shared" si="385"/>
        <v>10</v>
      </c>
      <c r="G509" s="90">
        <f t="shared" si="386"/>
        <v>12.881090089206941</v>
      </c>
      <c r="H509" s="90">
        <f t="shared" si="387"/>
        <v>28.32</v>
      </c>
      <c r="I509" s="91" t="str">
        <f t="shared" si="389"/>
        <v>11동1라인</v>
      </c>
      <c r="J509" s="92" t="s">
        <v>210</v>
      </c>
      <c r="L509" s="89">
        <v>2</v>
      </c>
      <c r="M509" s="78">
        <f t="shared" si="390"/>
        <v>5</v>
      </c>
      <c r="N509" s="78"/>
      <c r="O509" s="78">
        <f t="shared" si="388"/>
        <v>10</v>
      </c>
    </row>
    <row r="510" spans="1:16" ht="18" customHeight="1">
      <c r="A510" s="85"/>
      <c r="B510" s="93"/>
      <c r="C510" s="87"/>
      <c r="D510" s="325" t="s">
        <v>0</v>
      </c>
      <c r="E510" s="325"/>
      <c r="F510" s="94">
        <f>SUM(F506:F509)</f>
        <v>45</v>
      </c>
      <c r="G510" s="95">
        <f>SUM(G506:G509)</f>
        <v>330.95938306701964</v>
      </c>
      <c r="H510" s="96">
        <f>SUM(H506:H509)</f>
        <v>291.09999999999997</v>
      </c>
      <c r="I510" s="97"/>
      <c r="J510" s="162"/>
    </row>
    <row r="511" spans="1:16" ht="18" customHeight="1">
      <c r="A511" s="85"/>
      <c r="B511" s="93"/>
      <c r="C511" s="87"/>
      <c r="D511" s="161"/>
      <c r="E511" s="161"/>
      <c r="F511" s="89"/>
      <c r="G511" s="100"/>
      <c r="H511" s="101"/>
      <c r="I511" s="102"/>
      <c r="J511" s="121"/>
      <c r="L511" s="252"/>
      <c r="M511" s="252"/>
      <c r="N511" s="252"/>
      <c r="O511" s="252"/>
    </row>
    <row r="512" spans="1:16" ht="18" customHeight="1">
      <c r="A512" s="85"/>
      <c r="B512" s="23" t="s">
        <v>198</v>
      </c>
      <c r="C512" s="24">
        <v>22</v>
      </c>
      <c r="D512" s="88">
        <v>861</v>
      </c>
      <c r="E512" s="88">
        <v>1810</v>
      </c>
      <c r="F512" s="89">
        <f t="shared" ref="F512:F516" si="391">O512</f>
        <v>5</v>
      </c>
      <c r="G512" s="90">
        <f t="shared" ref="G512:G516" si="392">D512*E512/91809*F512</f>
        <v>84.872398130902198</v>
      </c>
      <c r="H512" s="90">
        <f t="shared" ref="H512:H516" si="393">(D512/1000)*4*F512+(E512/1000)*4*F512</f>
        <v>53.42</v>
      </c>
      <c r="I512" s="103" t="str">
        <f>I506</f>
        <v>11동1라인</v>
      </c>
      <c r="J512" s="92" t="s">
        <v>212</v>
      </c>
      <c r="L512" s="89">
        <v>1</v>
      </c>
      <c r="M512" s="78">
        <f>M506</f>
        <v>5</v>
      </c>
      <c r="N512" s="84"/>
      <c r="O512" s="78">
        <f>L512*M512-N512*L512</f>
        <v>5</v>
      </c>
    </row>
    <row r="513" spans="1:16" ht="18" customHeight="1">
      <c r="A513" s="85"/>
      <c r="B513" s="86"/>
      <c r="C513" s="87"/>
      <c r="D513" s="88">
        <v>2114</v>
      </c>
      <c r="E513" s="88">
        <v>1810</v>
      </c>
      <c r="F513" s="89">
        <f t="shared" si="391"/>
        <v>5</v>
      </c>
      <c r="G513" s="90">
        <f t="shared" si="392"/>
        <v>208.38588809375989</v>
      </c>
      <c r="H513" s="90">
        <f t="shared" si="393"/>
        <v>78.48</v>
      </c>
      <c r="I513" s="91" t="str">
        <f>I506</f>
        <v>11동1라인</v>
      </c>
      <c r="J513" s="92" t="s">
        <v>213</v>
      </c>
      <c r="L513" s="89">
        <v>1</v>
      </c>
      <c r="M513" s="78">
        <f>M512</f>
        <v>5</v>
      </c>
      <c r="N513" s="84"/>
      <c r="O513" s="78">
        <f>L513*M513-N513*L513</f>
        <v>5</v>
      </c>
    </row>
    <row r="514" spans="1:16" ht="18" customHeight="1">
      <c r="A514" s="104"/>
      <c r="B514" s="93"/>
      <c r="C514" s="87"/>
      <c r="D514" s="88">
        <v>738</v>
      </c>
      <c r="E514" s="88">
        <v>1310</v>
      </c>
      <c r="F514" s="89">
        <f t="shared" si="391"/>
        <v>20</v>
      </c>
      <c r="G514" s="90">
        <f t="shared" si="392"/>
        <v>210.6068032545829</v>
      </c>
      <c r="H514" s="90">
        <f t="shared" si="393"/>
        <v>163.84</v>
      </c>
      <c r="I514" s="91" t="str">
        <f>I513</f>
        <v>11동1라인</v>
      </c>
      <c r="J514" s="92" t="s">
        <v>214</v>
      </c>
      <c r="L514" s="89">
        <v>4</v>
      </c>
      <c r="M514" s="78">
        <f t="shared" ref="M514:M516" si="394">M513</f>
        <v>5</v>
      </c>
      <c r="N514" s="84"/>
      <c r="O514" s="78">
        <f t="shared" ref="O514:O516" si="395">L514*M514-N514*L514</f>
        <v>20</v>
      </c>
    </row>
    <row r="515" spans="1:16" ht="18" customHeight="1">
      <c r="A515" s="104"/>
      <c r="B515" s="93"/>
      <c r="C515" s="87"/>
      <c r="D515" s="88">
        <v>228</v>
      </c>
      <c r="E515" s="88">
        <v>910</v>
      </c>
      <c r="F515" s="89">
        <f t="shared" si="391"/>
        <v>10</v>
      </c>
      <c r="G515" s="90">
        <f t="shared" si="392"/>
        <v>22.59909159232755</v>
      </c>
      <c r="H515" s="90">
        <f t="shared" si="393"/>
        <v>45.519999999999996</v>
      </c>
      <c r="I515" s="91" t="str">
        <f t="shared" ref="I515:I516" si="396">I514</f>
        <v>11동1라인</v>
      </c>
      <c r="J515" s="92" t="s">
        <v>216</v>
      </c>
      <c r="L515" s="89">
        <v>2</v>
      </c>
      <c r="M515" s="78">
        <f t="shared" si="394"/>
        <v>5</v>
      </c>
      <c r="N515" s="78"/>
      <c r="O515" s="78">
        <f t="shared" si="395"/>
        <v>10</v>
      </c>
    </row>
    <row r="516" spans="1:16" ht="18" customHeight="1">
      <c r="A516" s="104"/>
      <c r="B516" s="93"/>
      <c r="C516" s="87"/>
      <c r="D516" s="88">
        <v>438</v>
      </c>
      <c r="E516" s="88">
        <v>270</v>
      </c>
      <c r="F516" s="89">
        <f t="shared" si="391"/>
        <v>10</v>
      </c>
      <c r="G516" s="90">
        <f t="shared" si="392"/>
        <v>12.881090089206941</v>
      </c>
      <c r="H516" s="90">
        <f t="shared" si="393"/>
        <v>28.32</v>
      </c>
      <c r="I516" s="91" t="str">
        <f t="shared" si="396"/>
        <v>11동1라인</v>
      </c>
      <c r="J516" s="92" t="s">
        <v>217</v>
      </c>
      <c r="L516" s="89">
        <v>2</v>
      </c>
      <c r="M516" s="78">
        <f t="shared" si="394"/>
        <v>5</v>
      </c>
      <c r="N516" s="78"/>
      <c r="O516" s="78">
        <f t="shared" si="395"/>
        <v>10</v>
      </c>
    </row>
    <row r="517" spans="1:16" ht="18" customHeight="1">
      <c r="A517" s="104"/>
      <c r="B517" s="87"/>
      <c r="C517" s="87"/>
      <c r="D517" s="325" t="s">
        <v>0</v>
      </c>
      <c r="E517" s="325"/>
      <c r="F517" s="171">
        <f>SUM(F512:F516)</f>
        <v>50</v>
      </c>
      <c r="G517" s="95">
        <f>SUM(G512:G516)</f>
        <v>539.34527116077948</v>
      </c>
      <c r="H517" s="95">
        <f>SUM(H512:H516)</f>
        <v>369.58</v>
      </c>
      <c r="I517" s="97"/>
      <c r="J517" s="98"/>
    </row>
    <row r="518" spans="1:16">
      <c r="A518" s="105"/>
      <c r="B518" s="9"/>
      <c r="C518" s="9"/>
      <c r="D518" s="51"/>
      <c r="E518" s="51"/>
      <c r="F518" s="51"/>
      <c r="G518" s="106"/>
      <c r="H518" s="106"/>
      <c r="I518" s="9"/>
      <c r="J518" s="107"/>
    </row>
    <row r="519" spans="1:16" ht="18" customHeight="1">
      <c r="A519" s="85"/>
      <c r="B519" s="23" t="s">
        <v>237</v>
      </c>
      <c r="C519" s="24">
        <v>22</v>
      </c>
      <c r="D519" s="88">
        <v>2114</v>
      </c>
      <c r="E519" s="88">
        <v>1810</v>
      </c>
      <c r="F519" s="89">
        <f t="shared" ref="F519" si="397">O519</f>
        <v>5</v>
      </c>
      <c r="G519" s="90">
        <f t="shared" ref="G519" si="398">D519*E519/91809*F519</f>
        <v>208.38588809375989</v>
      </c>
      <c r="H519" s="90">
        <f t="shared" ref="H519" si="399">(D519/1000)*4*F519+(E519/1000)*4*F519</f>
        <v>78.48</v>
      </c>
      <c r="I519" s="91" t="str">
        <f>I512</f>
        <v>11동1라인</v>
      </c>
      <c r="J519" s="92" t="s">
        <v>206</v>
      </c>
      <c r="L519" s="89">
        <v>1</v>
      </c>
      <c r="M519" s="78">
        <f>M506</f>
        <v>5</v>
      </c>
      <c r="N519" s="84"/>
      <c r="O519" s="78">
        <f>L519*M519-N519*L519</f>
        <v>5</v>
      </c>
    </row>
    <row r="520" spans="1:16" ht="18" customHeight="1">
      <c r="A520" s="85"/>
      <c r="B520" s="93"/>
      <c r="C520" s="87"/>
      <c r="D520" s="325" t="s">
        <v>0</v>
      </c>
      <c r="E520" s="325"/>
      <c r="F520" s="94">
        <f>SUM(F519:F519)</f>
        <v>5</v>
      </c>
      <c r="G520" s="95">
        <f>SUM(G519:G519)</f>
        <v>208.38588809375989</v>
      </c>
      <c r="H520" s="95">
        <f>SUM(H519:H519)</f>
        <v>78.48</v>
      </c>
      <c r="I520" s="97"/>
      <c r="J520" s="98"/>
    </row>
    <row r="521" spans="1:16" ht="18" customHeight="1">
      <c r="A521" s="218"/>
      <c r="B521" s="219"/>
      <c r="C521" s="220"/>
      <c r="D521" s="161"/>
      <c r="E521" s="161"/>
      <c r="F521" s="89"/>
      <c r="G521" s="100"/>
      <c r="H521" s="100"/>
      <c r="I521" s="102"/>
      <c r="J521" s="221"/>
    </row>
    <row r="522" spans="1:16" ht="18" customHeight="1">
      <c r="A522" s="85"/>
      <c r="B522" s="23" t="s">
        <v>203</v>
      </c>
      <c r="C522" s="24">
        <v>22</v>
      </c>
      <c r="D522" s="88">
        <v>738</v>
      </c>
      <c r="E522" s="88">
        <v>1810</v>
      </c>
      <c r="F522" s="89">
        <f t="shared" ref="F522:F523" si="400">O522</f>
        <v>0</v>
      </c>
      <c r="G522" s="90">
        <f t="shared" ref="G522:G523" si="401">D522*E522/91809*F522</f>
        <v>0</v>
      </c>
      <c r="H522" s="90">
        <f t="shared" ref="H522:H523" si="402">(D522/1000)*4*F522+(E522/1000)*4*F522</f>
        <v>0</v>
      </c>
      <c r="I522" s="91" t="str">
        <f>I519</f>
        <v>11동1라인</v>
      </c>
      <c r="J522" s="92" t="s">
        <v>219</v>
      </c>
      <c r="L522" s="89">
        <v>2</v>
      </c>
      <c r="M522" s="78">
        <f>M519</f>
        <v>5</v>
      </c>
      <c r="N522" s="84">
        <v>5</v>
      </c>
      <c r="O522" s="78">
        <f>L522*M522-N522*L522</f>
        <v>0</v>
      </c>
      <c r="P522" s="64" t="s">
        <v>292</v>
      </c>
    </row>
    <row r="523" spans="1:16" ht="18" customHeight="1">
      <c r="A523" s="85"/>
      <c r="B523" s="86"/>
      <c r="C523" s="87"/>
      <c r="D523" s="88">
        <v>250</v>
      </c>
      <c r="E523" s="88">
        <v>930</v>
      </c>
      <c r="F523" s="89">
        <f t="shared" si="400"/>
        <v>10</v>
      </c>
      <c r="G523" s="90">
        <f t="shared" si="401"/>
        <v>25.324314609678787</v>
      </c>
      <c r="H523" s="90">
        <f t="shared" si="402"/>
        <v>47.2</v>
      </c>
      <c r="I523" s="91" t="str">
        <f>I522</f>
        <v>11동1라인</v>
      </c>
      <c r="J523" s="92" t="s">
        <v>220</v>
      </c>
      <c r="L523" s="89">
        <v>2</v>
      </c>
      <c r="M523" s="78">
        <f>M522</f>
        <v>5</v>
      </c>
      <c r="N523" s="84"/>
      <c r="O523" s="78">
        <f t="shared" ref="O523" si="403">L523*M523-N523*L523</f>
        <v>10</v>
      </c>
    </row>
    <row r="524" spans="1:16" ht="18" customHeight="1">
      <c r="A524" s="85"/>
      <c r="B524" s="93"/>
      <c r="C524" s="87"/>
      <c r="D524" s="325" t="s">
        <v>0</v>
      </c>
      <c r="E524" s="325"/>
      <c r="F524" s="94">
        <f>SUM(F522:F523)</f>
        <v>10</v>
      </c>
      <c r="G524" s="95">
        <f>SUM(G522:G523)</f>
        <v>25.324314609678787</v>
      </c>
      <c r="H524" s="96">
        <f>SUM(H522:H523)</f>
        <v>47.2</v>
      </c>
      <c r="I524" s="97"/>
      <c r="J524" s="162"/>
    </row>
    <row r="525" spans="1:16" ht="18" customHeight="1" thickBot="1">
      <c r="A525" s="222"/>
      <c r="B525" s="223"/>
      <c r="C525" s="224"/>
      <c r="D525" s="225"/>
      <c r="E525" s="225"/>
      <c r="F525" s="226"/>
      <c r="G525" s="227"/>
      <c r="H525" s="228"/>
      <c r="I525" s="229"/>
      <c r="J525" s="230"/>
      <c r="L525" s="78" t="s">
        <v>48</v>
      </c>
      <c r="M525" s="78" t="s">
        <v>49</v>
      </c>
      <c r="N525" s="78" t="s">
        <v>50</v>
      </c>
      <c r="O525" s="78" t="s">
        <v>55</v>
      </c>
    </row>
    <row r="526" spans="1:16" ht="18" customHeight="1">
      <c r="A526" s="79" t="s">
        <v>234</v>
      </c>
      <c r="B526" s="231" t="s">
        <v>195</v>
      </c>
      <c r="C526" s="232">
        <v>22</v>
      </c>
      <c r="D526" s="80">
        <v>761</v>
      </c>
      <c r="E526" s="80">
        <v>1810</v>
      </c>
      <c r="F526" s="233">
        <f>O526</f>
        <v>10</v>
      </c>
      <c r="G526" s="81">
        <f t="shared" ref="G526:G532" si="404">D526*E526/91809*F526</f>
        <v>150.02995349039855</v>
      </c>
      <c r="H526" s="81">
        <f t="shared" ref="H526:H532" si="405">(D526/1000)*4*F526+(E526/1000)*4*F526</f>
        <v>102.84</v>
      </c>
      <c r="I526" s="82" t="s">
        <v>267</v>
      </c>
      <c r="J526" s="83" t="s">
        <v>205</v>
      </c>
      <c r="L526" s="89">
        <v>2</v>
      </c>
      <c r="M526" s="78">
        <v>5</v>
      </c>
      <c r="N526" s="84"/>
      <c r="O526" s="78">
        <f>L526*M526-N526*L526</f>
        <v>10</v>
      </c>
      <c r="P526" s="64"/>
    </row>
    <row r="527" spans="1:16" ht="18" customHeight="1">
      <c r="A527" s="85"/>
      <c r="B527" s="86"/>
      <c r="C527" s="87"/>
      <c r="D527" s="88">
        <v>1688</v>
      </c>
      <c r="E527" s="88">
        <v>1810</v>
      </c>
      <c r="F527" s="89">
        <f t="shared" ref="F527:F532" si="406">O527</f>
        <v>5</v>
      </c>
      <c r="G527" s="90">
        <f t="shared" si="404"/>
        <v>166.39327299066539</v>
      </c>
      <c r="H527" s="90">
        <f t="shared" si="405"/>
        <v>69.960000000000008</v>
      </c>
      <c r="I527" s="91" t="str">
        <f>I526</f>
        <v>11동2라인</v>
      </c>
      <c r="J527" s="92" t="s">
        <v>206</v>
      </c>
      <c r="L527" s="89">
        <v>1</v>
      </c>
      <c r="M527" s="78">
        <f>M526</f>
        <v>5</v>
      </c>
      <c r="N527" s="84"/>
      <c r="O527" s="78">
        <f t="shared" ref="O527:O532" si="407">L527*M527-N527*L527</f>
        <v>5</v>
      </c>
    </row>
    <row r="528" spans="1:16" ht="18" customHeight="1">
      <c r="A528" s="85"/>
      <c r="B528" s="86"/>
      <c r="C528" s="87"/>
      <c r="D528" s="88">
        <v>738</v>
      </c>
      <c r="E528" s="88">
        <v>1310</v>
      </c>
      <c r="F528" s="89">
        <f t="shared" si="406"/>
        <v>20</v>
      </c>
      <c r="G528" s="90">
        <f t="shared" si="404"/>
        <v>210.6068032545829</v>
      </c>
      <c r="H528" s="90">
        <f t="shared" si="405"/>
        <v>163.84</v>
      </c>
      <c r="I528" s="91" t="str">
        <f t="shared" ref="I528:I532" si="408">I527</f>
        <v>11동2라인</v>
      </c>
      <c r="J528" s="92" t="s">
        <v>207</v>
      </c>
      <c r="L528" s="89">
        <v>4</v>
      </c>
      <c r="M528" s="78">
        <f t="shared" ref="M528:M531" si="409">M527</f>
        <v>5</v>
      </c>
      <c r="N528" s="78"/>
      <c r="O528" s="78">
        <f t="shared" si="407"/>
        <v>20</v>
      </c>
    </row>
    <row r="529" spans="1:16" ht="18" customHeight="1">
      <c r="A529" s="85"/>
      <c r="B529" s="86"/>
      <c r="C529" s="87"/>
      <c r="D529" s="88">
        <v>288</v>
      </c>
      <c r="E529" s="88">
        <v>910</v>
      </c>
      <c r="F529" s="89">
        <f t="shared" si="406"/>
        <v>10</v>
      </c>
      <c r="G529" s="90">
        <f t="shared" si="404"/>
        <v>28.546220958729535</v>
      </c>
      <c r="H529" s="90">
        <f t="shared" si="405"/>
        <v>47.92</v>
      </c>
      <c r="I529" s="91" t="str">
        <f t="shared" si="408"/>
        <v>11동2라인</v>
      </c>
      <c r="J529" s="92" t="s">
        <v>208</v>
      </c>
      <c r="L529" s="89">
        <v>2</v>
      </c>
      <c r="M529" s="78">
        <f t="shared" si="409"/>
        <v>5</v>
      </c>
      <c r="N529" s="78"/>
      <c r="O529" s="78">
        <f t="shared" si="407"/>
        <v>10</v>
      </c>
    </row>
    <row r="530" spans="1:16" ht="18" customHeight="1">
      <c r="A530" s="85"/>
      <c r="B530" s="86"/>
      <c r="C530" s="87"/>
      <c r="D530" s="88">
        <v>228</v>
      </c>
      <c r="E530" s="88">
        <v>910</v>
      </c>
      <c r="F530" s="89">
        <f t="shared" si="406"/>
        <v>10</v>
      </c>
      <c r="G530" s="90">
        <f t="shared" si="404"/>
        <v>22.59909159232755</v>
      </c>
      <c r="H530" s="90">
        <f t="shared" si="405"/>
        <v>45.519999999999996</v>
      </c>
      <c r="I530" s="91" t="str">
        <f t="shared" si="408"/>
        <v>11동2라인</v>
      </c>
      <c r="J530" s="92" t="s">
        <v>209</v>
      </c>
      <c r="L530" s="89">
        <v>2</v>
      </c>
      <c r="M530" s="78">
        <f t="shared" si="409"/>
        <v>5</v>
      </c>
      <c r="N530" s="78"/>
      <c r="O530" s="78">
        <f t="shared" si="407"/>
        <v>10</v>
      </c>
    </row>
    <row r="531" spans="1:16" ht="18" customHeight="1">
      <c r="A531" s="85"/>
      <c r="B531" s="86"/>
      <c r="C531" s="87"/>
      <c r="D531" s="88">
        <v>438</v>
      </c>
      <c r="E531" s="88">
        <v>270</v>
      </c>
      <c r="F531" s="89">
        <f t="shared" si="406"/>
        <v>10</v>
      </c>
      <c r="G531" s="90">
        <f t="shared" si="404"/>
        <v>12.881090089206941</v>
      </c>
      <c r="H531" s="90">
        <f t="shared" si="405"/>
        <v>28.32</v>
      </c>
      <c r="I531" s="91" t="str">
        <f t="shared" si="408"/>
        <v>11동2라인</v>
      </c>
      <c r="J531" s="92" t="s">
        <v>210</v>
      </c>
      <c r="L531" s="89">
        <v>2</v>
      </c>
      <c r="M531" s="78">
        <f t="shared" si="409"/>
        <v>5</v>
      </c>
      <c r="N531" s="78"/>
      <c r="O531" s="78">
        <f t="shared" si="407"/>
        <v>10</v>
      </c>
    </row>
    <row r="532" spans="1:16" ht="18" customHeight="1">
      <c r="A532" s="85"/>
      <c r="B532" s="86"/>
      <c r="C532" s="87"/>
      <c r="D532" s="88">
        <v>208</v>
      </c>
      <c r="E532" s="88">
        <v>910</v>
      </c>
      <c r="F532" s="89">
        <f t="shared" si="406"/>
        <v>10</v>
      </c>
      <c r="G532" s="90">
        <f t="shared" si="404"/>
        <v>20.616715136860222</v>
      </c>
      <c r="H532" s="90">
        <f t="shared" si="405"/>
        <v>44.72</v>
      </c>
      <c r="I532" s="91" t="str">
        <f t="shared" si="408"/>
        <v>11동2라인</v>
      </c>
      <c r="J532" s="92" t="s">
        <v>211</v>
      </c>
      <c r="L532" s="89">
        <v>2</v>
      </c>
      <c r="M532" s="78">
        <f>M531</f>
        <v>5</v>
      </c>
      <c r="N532" s="78"/>
      <c r="O532" s="78">
        <f t="shared" si="407"/>
        <v>10</v>
      </c>
    </row>
    <row r="533" spans="1:16" ht="18" customHeight="1">
      <c r="A533" s="85"/>
      <c r="B533" s="93"/>
      <c r="C533" s="87"/>
      <c r="D533" s="325" t="s">
        <v>0</v>
      </c>
      <c r="E533" s="325"/>
      <c r="F533" s="94">
        <f>SUM(F526:F532)</f>
        <v>75</v>
      </c>
      <c r="G533" s="95">
        <f>SUM(G526:G532)</f>
        <v>611.67314751277115</v>
      </c>
      <c r="H533" s="96">
        <f>SUM(H526:H532)</f>
        <v>503.12</v>
      </c>
      <c r="I533" s="97"/>
      <c r="J533" s="162"/>
    </row>
    <row r="534" spans="1:16" ht="18" customHeight="1">
      <c r="A534" s="85"/>
      <c r="B534" s="93"/>
      <c r="C534" s="87"/>
      <c r="D534" s="161"/>
      <c r="E534" s="161"/>
      <c r="F534" s="89"/>
      <c r="G534" s="100"/>
      <c r="H534" s="101"/>
      <c r="I534" s="102"/>
      <c r="J534" s="121"/>
      <c r="L534" s="78" t="s">
        <v>48</v>
      </c>
      <c r="M534" s="78" t="s">
        <v>54</v>
      </c>
      <c r="N534" s="78" t="s">
        <v>50</v>
      </c>
      <c r="O534" s="78" t="s">
        <v>55</v>
      </c>
    </row>
    <row r="535" spans="1:16" ht="18" customHeight="1">
      <c r="A535" s="85"/>
      <c r="B535" s="23" t="s">
        <v>197</v>
      </c>
      <c r="C535" s="24">
        <v>22</v>
      </c>
      <c r="D535" s="88">
        <v>761</v>
      </c>
      <c r="E535" s="88">
        <v>1810</v>
      </c>
      <c r="F535" s="89">
        <f t="shared" ref="F535:F541" si="410">O535</f>
        <v>10</v>
      </c>
      <c r="G535" s="90">
        <f t="shared" ref="G535:G541" si="411">D535*E535/91809*F535</f>
        <v>150.02995349039855</v>
      </c>
      <c r="H535" s="90">
        <f t="shared" ref="H535:H541" si="412">(D535/1000)*4*F535+(E535/1000)*4*F535</f>
        <v>102.84</v>
      </c>
      <c r="I535" s="91" t="str">
        <f t="shared" ref="I535:I541" si="413">I526</f>
        <v>11동2라인</v>
      </c>
      <c r="J535" s="92" t="s">
        <v>212</v>
      </c>
      <c r="L535" s="89">
        <v>2</v>
      </c>
      <c r="M535" s="78">
        <f>M526</f>
        <v>5</v>
      </c>
      <c r="N535" s="84"/>
      <c r="O535" s="78">
        <f>L535*M535-N535*L535</f>
        <v>10</v>
      </c>
    </row>
    <row r="536" spans="1:16" ht="18" customHeight="1">
      <c r="A536" s="85"/>
      <c r="B536" s="86"/>
      <c r="C536" s="87"/>
      <c r="D536" s="88">
        <v>1688</v>
      </c>
      <c r="E536" s="88">
        <v>1810</v>
      </c>
      <c r="F536" s="89">
        <f t="shared" si="410"/>
        <v>5</v>
      </c>
      <c r="G536" s="90">
        <f t="shared" si="411"/>
        <v>166.39327299066539</v>
      </c>
      <c r="H536" s="90">
        <f t="shared" si="412"/>
        <v>69.960000000000008</v>
      </c>
      <c r="I536" s="91" t="str">
        <f t="shared" si="413"/>
        <v>11동2라인</v>
      </c>
      <c r="J536" s="92" t="s">
        <v>213</v>
      </c>
      <c r="L536" s="89">
        <v>1</v>
      </c>
      <c r="M536" s="78">
        <f>M535</f>
        <v>5</v>
      </c>
      <c r="N536" s="84"/>
      <c r="O536" s="78">
        <f>L536*M536-N536*L536</f>
        <v>5</v>
      </c>
    </row>
    <row r="537" spans="1:16" ht="18" customHeight="1">
      <c r="A537" s="104"/>
      <c r="B537" s="93"/>
      <c r="C537" s="87"/>
      <c r="D537" s="88">
        <v>738</v>
      </c>
      <c r="E537" s="88">
        <v>1310</v>
      </c>
      <c r="F537" s="89">
        <f t="shared" si="410"/>
        <v>20</v>
      </c>
      <c r="G537" s="90">
        <f t="shared" si="411"/>
        <v>210.6068032545829</v>
      </c>
      <c r="H537" s="90">
        <f t="shared" si="412"/>
        <v>163.84</v>
      </c>
      <c r="I537" s="91" t="str">
        <f t="shared" si="413"/>
        <v>11동2라인</v>
      </c>
      <c r="J537" s="92" t="s">
        <v>214</v>
      </c>
      <c r="L537" s="89">
        <v>4</v>
      </c>
      <c r="M537" s="78">
        <f t="shared" ref="M537:M541" si="414">M536</f>
        <v>5</v>
      </c>
      <c r="N537" s="84"/>
      <c r="O537" s="78">
        <f t="shared" ref="O537:O541" si="415">L537*M537-N537*L537</f>
        <v>20</v>
      </c>
    </row>
    <row r="538" spans="1:16" ht="18" customHeight="1">
      <c r="A538" s="104"/>
      <c r="B538" s="93"/>
      <c r="C538" s="87"/>
      <c r="D538" s="88">
        <v>288</v>
      </c>
      <c r="E538" s="88">
        <v>910</v>
      </c>
      <c r="F538" s="89">
        <f t="shared" si="410"/>
        <v>10</v>
      </c>
      <c r="G538" s="90">
        <f t="shared" si="411"/>
        <v>28.546220958729535</v>
      </c>
      <c r="H538" s="90">
        <f t="shared" si="412"/>
        <v>47.92</v>
      </c>
      <c r="I538" s="91" t="str">
        <f t="shared" si="413"/>
        <v>11동2라인</v>
      </c>
      <c r="J538" s="92" t="s">
        <v>215</v>
      </c>
      <c r="L538" s="89">
        <v>2</v>
      </c>
      <c r="M538" s="78">
        <f t="shared" si="414"/>
        <v>5</v>
      </c>
      <c r="N538" s="78"/>
      <c r="O538" s="78">
        <f t="shared" si="415"/>
        <v>10</v>
      </c>
    </row>
    <row r="539" spans="1:16" ht="18" customHeight="1">
      <c r="A539" s="104"/>
      <c r="B539" s="93"/>
      <c r="C539" s="87"/>
      <c r="D539" s="88">
        <v>228</v>
      </c>
      <c r="E539" s="88">
        <v>910</v>
      </c>
      <c r="F539" s="89">
        <f t="shared" si="410"/>
        <v>10</v>
      </c>
      <c r="G539" s="90">
        <f t="shared" si="411"/>
        <v>22.59909159232755</v>
      </c>
      <c r="H539" s="90">
        <f t="shared" si="412"/>
        <v>45.519999999999996</v>
      </c>
      <c r="I539" s="91" t="str">
        <f t="shared" si="413"/>
        <v>11동2라인</v>
      </c>
      <c r="J539" s="92" t="s">
        <v>216</v>
      </c>
      <c r="L539" s="89">
        <v>2</v>
      </c>
      <c r="M539" s="78">
        <f t="shared" si="414"/>
        <v>5</v>
      </c>
      <c r="N539" s="78"/>
      <c r="O539" s="78">
        <f t="shared" si="415"/>
        <v>10</v>
      </c>
    </row>
    <row r="540" spans="1:16" ht="18" customHeight="1">
      <c r="A540" s="104"/>
      <c r="B540" s="93"/>
      <c r="C540" s="87"/>
      <c r="D540" s="88">
        <v>438</v>
      </c>
      <c r="E540" s="88">
        <v>270</v>
      </c>
      <c r="F540" s="89">
        <f t="shared" si="410"/>
        <v>10</v>
      </c>
      <c r="G540" s="90">
        <f t="shared" si="411"/>
        <v>12.881090089206941</v>
      </c>
      <c r="H540" s="90">
        <f t="shared" si="412"/>
        <v>28.32</v>
      </c>
      <c r="I540" s="91" t="str">
        <f t="shared" si="413"/>
        <v>11동2라인</v>
      </c>
      <c r="J540" s="92" t="s">
        <v>217</v>
      </c>
      <c r="L540" s="89">
        <v>2</v>
      </c>
      <c r="M540" s="78">
        <f t="shared" si="414"/>
        <v>5</v>
      </c>
      <c r="N540" s="78"/>
      <c r="O540" s="78">
        <f t="shared" si="415"/>
        <v>10</v>
      </c>
    </row>
    <row r="541" spans="1:16" ht="18" customHeight="1">
      <c r="A541" s="104"/>
      <c r="B541" s="93"/>
      <c r="C541" s="87"/>
      <c r="D541" s="88">
        <v>208</v>
      </c>
      <c r="E541" s="88">
        <v>910</v>
      </c>
      <c r="F541" s="89">
        <f t="shared" si="410"/>
        <v>10</v>
      </c>
      <c r="G541" s="90">
        <f t="shared" si="411"/>
        <v>20.616715136860222</v>
      </c>
      <c r="H541" s="90">
        <f t="shared" si="412"/>
        <v>44.72</v>
      </c>
      <c r="I541" s="91" t="str">
        <f t="shared" si="413"/>
        <v>11동2라인</v>
      </c>
      <c r="J541" s="92" t="s">
        <v>218</v>
      </c>
      <c r="L541" s="89">
        <v>2</v>
      </c>
      <c r="M541" s="78">
        <f t="shared" si="414"/>
        <v>5</v>
      </c>
      <c r="N541" s="78"/>
      <c r="O541" s="78">
        <f t="shared" si="415"/>
        <v>10</v>
      </c>
    </row>
    <row r="542" spans="1:16" ht="18" customHeight="1">
      <c r="A542" s="104"/>
      <c r="B542" s="87"/>
      <c r="C542" s="87"/>
      <c r="D542" s="325" t="s">
        <v>0</v>
      </c>
      <c r="E542" s="325"/>
      <c r="F542" s="171">
        <f>SUM(F535:F541)</f>
        <v>75</v>
      </c>
      <c r="G542" s="95">
        <f>SUM(G535:G541)</f>
        <v>611.67314751277115</v>
      </c>
      <c r="H542" s="95">
        <f>SUM(H535:H541)</f>
        <v>503.12</v>
      </c>
      <c r="I542" s="97"/>
      <c r="J542" s="98"/>
    </row>
    <row r="543" spans="1:16">
      <c r="A543" s="105"/>
      <c r="B543" s="9"/>
      <c r="C543" s="9"/>
      <c r="D543" s="51"/>
      <c r="E543" s="51"/>
      <c r="F543" s="51"/>
      <c r="G543" s="106"/>
      <c r="H543" s="106"/>
      <c r="I543" s="9"/>
      <c r="J543" s="107"/>
    </row>
    <row r="544" spans="1:16" ht="18" customHeight="1">
      <c r="A544" s="85"/>
      <c r="B544" s="163" t="s">
        <v>199</v>
      </c>
      <c r="C544" s="163">
        <v>22</v>
      </c>
      <c r="D544" s="88">
        <v>738</v>
      </c>
      <c r="E544" s="88">
        <v>1810</v>
      </c>
      <c r="F544" s="89">
        <f t="shared" ref="F544:F545" si="416">O544</f>
        <v>10</v>
      </c>
      <c r="G544" s="90">
        <f t="shared" ref="G544:G545" si="417">D544*E544/91809*F544</f>
        <v>145.4955396529752</v>
      </c>
      <c r="H544" s="90">
        <f t="shared" ref="H544:H545" si="418">(D544/1000)*4*F544+(E544/1000)*4*F544</f>
        <v>101.92</v>
      </c>
      <c r="I544" s="91" t="str">
        <f>I535</f>
        <v>11동2라인</v>
      </c>
      <c r="J544" s="92" t="s">
        <v>219</v>
      </c>
      <c r="L544" s="89">
        <v>2</v>
      </c>
      <c r="M544" s="78">
        <f>M526</f>
        <v>5</v>
      </c>
      <c r="N544" s="84"/>
      <c r="O544" s="78">
        <f>L544*M544-N544*L544</f>
        <v>10</v>
      </c>
      <c r="P544" s="64"/>
    </row>
    <row r="545" spans="1:16" ht="18" customHeight="1">
      <c r="A545" s="85"/>
      <c r="B545" s="86"/>
      <c r="C545" s="87"/>
      <c r="D545" s="88">
        <v>250</v>
      </c>
      <c r="E545" s="88">
        <v>930</v>
      </c>
      <c r="F545" s="89">
        <f t="shared" si="416"/>
        <v>10</v>
      </c>
      <c r="G545" s="90">
        <f t="shared" si="417"/>
        <v>25.324314609678787</v>
      </c>
      <c r="H545" s="90">
        <f t="shared" si="418"/>
        <v>47.2</v>
      </c>
      <c r="I545" s="91" t="str">
        <f>I544</f>
        <v>11동2라인</v>
      </c>
      <c r="J545" s="92" t="s">
        <v>220</v>
      </c>
      <c r="L545" s="89">
        <v>2</v>
      </c>
      <c r="M545" s="78">
        <f>M544</f>
        <v>5</v>
      </c>
      <c r="N545" s="84"/>
      <c r="O545" s="78">
        <f t="shared" ref="O545" si="419">L545*M545-N545*L545</f>
        <v>10</v>
      </c>
    </row>
    <row r="546" spans="1:16" ht="18" customHeight="1">
      <c r="A546" s="85"/>
      <c r="B546" s="93"/>
      <c r="C546" s="87"/>
      <c r="D546" s="325" t="s">
        <v>0</v>
      </c>
      <c r="E546" s="325"/>
      <c r="F546" s="94">
        <f>SUM(F544:F545)</f>
        <v>20</v>
      </c>
      <c r="G546" s="95">
        <f>SUM(G544:G545)</f>
        <v>170.81985426265399</v>
      </c>
      <c r="H546" s="95">
        <f>SUM(H544:H545)</f>
        <v>149.12</v>
      </c>
      <c r="I546" s="97"/>
      <c r="J546" s="98"/>
    </row>
    <row r="547" spans="1:16">
      <c r="A547" s="236"/>
      <c r="B547" s="237"/>
      <c r="C547" s="238"/>
      <c r="D547" s="362"/>
      <c r="E547" s="362"/>
      <c r="F547" s="239"/>
      <c r="G547" s="240"/>
      <c r="H547" s="241"/>
      <c r="I547" s="242"/>
      <c r="J547" s="243"/>
    </row>
    <row r="548" spans="1:16" ht="18" customHeight="1">
      <c r="A548" s="244" t="s">
        <v>234</v>
      </c>
      <c r="B548" s="23" t="s">
        <v>195</v>
      </c>
      <c r="C548" s="24">
        <v>22</v>
      </c>
      <c r="D548" s="88">
        <v>761</v>
      </c>
      <c r="E548" s="88">
        <v>1810</v>
      </c>
      <c r="F548" s="89">
        <f>O548</f>
        <v>20</v>
      </c>
      <c r="G548" s="90">
        <f t="shared" ref="G548:G554" si="420">D548*E548/91809*F548</f>
        <v>300.05990698079711</v>
      </c>
      <c r="H548" s="90">
        <f t="shared" ref="H548:H554" si="421">(D548/1000)*4*F548+(E548/1000)*4*F548</f>
        <v>205.68</v>
      </c>
      <c r="I548" s="91" t="s">
        <v>268</v>
      </c>
      <c r="J548" s="92" t="s">
        <v>205</v>
      </c>
      <c r="L548" s="89">
        <v>2</v>
      </c>
      <c r="M548" s="78">
        <v>10</v>
      </c>
      <c r="N548" s="84"/>
      <c r="O548" s="78">
        <f>L548*M548-N548*L548</f>
        <v>20</v>
      </c>
      <c r="P548" s="64"/>
    </row>
    <row r="549" spans="1:16" ht="18" customHeight="1">
      <c r="A549" s="85"/>
      <c r="B549" s="86"/>
      <c r="C549" s="87"/>
      <c r="D549" s="88">
        <v>1688</v>
      </c>
      <c r="E549" s="88">
        <v>1810</v>
      </c>
      <c r="F549" s="89">
        <f t="shared" ref="F549:F554" si="422">O549</f>
        <v>10</v>
      </c>
      <c r="G549" s="90">
        <f t="shared" si="420"/>
        <v>332.78654598133079</v>
      </c>
      <c r="H549" s="90">
        <f t="shared" si="421"/>
        <v>139.92000000000002</v>
      </c>
      <c r="I549" s="91" t="str">
        <f>I548</f>
        <v>11동3,5라인</v>
      </c>
      <c r="J549" s="92" t="s">
        <v>206</v>
      </c>
      <c r="L549" s="89">
        <v>1</v>
      </c>
      <c r="M549" s="78">
        <f>M548</f>
        <v>10</v>
      </c>
      <c r="N549" s="84"/>
      <c r="O549" s="78">
        <f t="shared" ref="O549:O554" si="423">L549*M549-N549*L549</f>
        <v>10</v>
      </c>
    </row>
    <row r="550" spans="1:16" ht="18" customHeight="1">
      <c r="A550" s="85"/>
      <c r="B550" s="86"/>
      <c r="C550" s="87"/>
      <c r="D550" s="88">
        <v>738</v>
      </c>
      <c r="E550" s="88">
        <v>1310</v>
      </c>
      <c r="F550" s="89">
        <f t="shared" si="422"/>
        <v>40</v>
      </c>
      <c r="G550" s="90">
        <f t="shared" si="420"/>
        <v>421.2136065091658</v>
      </c>
      <c r="H550" s="90">
        <f t="shared" si="421"/>
        <v>327.68</v>
      </c>
      <c r="I550" s="91" t="str">
        <f t="shared" ref="I550:I554" si="424">I549</f>
        <v>11동3,5라인</v>
      </c>
      <c r="J550" s="92" t="s">
        <v>207</v>
      </c>
      <c r="L550" s="89">
        <v>4</v>
      </c>
      <c r="M550" s="78">
        <f t="shared" ref="M550:M553" si="425">M549</f>
        <v>10</v>
      </c>
      <c r="N550" s="78"/>
      <c r="O550" s="78">
        <f t="shared" si="423"/>
        <v>40</v>
      </c>
    </row>
    <row r="551" spans="1:16" ht="18" customHeight="1">
      <c r="A551" s="85"/>
      <c r="B551" s="86"/>
      <c r="C551" s="87"/>
      <c r="D551" s="88">
        <v>288</v>
      </c>
      <c r="E551" s="88">
        <v>910</v>
      </c>
      <c r="F551" s="89">
        <f t="shared" si="422"/>
        <v>20</v>
      </c>
      <c r="G551" s="90">
        <f t="shared" si="420"/>
        <v>57.09244191745907</v>
      </c>
      <c r="H551" s="90">
        <f t="shared" si="421"/>
        <v>95.84</v>
      </c>
      <c r="I551" s="91" t="str">
        <f t="shared" si="424"/>
        <v>11동3,5라인</v>
      </c>
      <c r="J551" s="92" t="s">
        <v>208</v>
      </c>
      <c r="L551" s="89">
        <v>2</v>
      </c>
      <c r="M551" s="78">
        <f t="shared" si="425"/>
        <v>10</v>
      </c>
      <c r="N551" s="78"/>
      <c r="O551" s="78">
        <f t="shared" si="423"/>
        <v>20</v>
      </c>
    </row>
    <row r="552" spans="1:16" ht="18" customHeight="1">
      <c r="A552" s="85"/>
      <c r="B552" s="86"/>
      <c r="C552" s="87"/>
      <c r="D552" s="88">
        <v>228</v>
      </c>
      <c r="E552" s="88">
        <v>910</v>
      </c>
      <c r="F552" s="89">
        <f t="shared" si="422"/>
        <v>20</v>
      </c>
      <c r="G552" s="90">
        <f t="shared" si="420"/>
        <v>45.1981831846551</v>
      </c>
      <c r="H552" s="90">
        <f t="shared" si="421"/>
        <v>91.039999999999992</v>
      </c>
      <c r="I552" s="91" t="str">
        <f t="shared" si="424"/>
        <v>11동3,5라인</v>
      </c>
      <c r="J552" s="92" t="s">
        <v>209</v>
      </c>
      <c r="L552" s="89">
        <v>2</v>
      </c>
      <c r="M552" s="78">
        <f t="shared" si="425"/>
        <v>10</v>
      </c>
      <c r="N552" s="78"/>
      <c r="O552" s="78">
        <f t="shared" si="423"/>
        <v>20</v>
      </c>
    </row>
    <row r="553" spans="1:16" ht="18" customHeight="1">
      <c r="A553" s="85"/>
      <c r="B553" s="86"/>
      <c r="C553" s="87"/>
      <c r="D553" s="88">
        <v>438</v>
      </c>
      <c r="E553" s="88">
        <v>270</v>
      </c>
      <c r="F553" s="89">
        <f t="shared" si="422"/>
        <v>20</v>
      </c>
      <c r="G553" s="90">
        <f t="shared" si="420"/>
        <v>25.762180178413882</v>
      </c>
      <c r="H553" s="90">
        <f t="shared" si="421"/>
        <v>56.64</v>
      </c>
      <c r="I553" s="91" t="str">
        <f t="shared" si="424"/>
        <v>11동3,5라인</v>
      </c>
      <c r="J553" s="92" t="s">
        <v>210</v>
      </c>
      <c r="L553" s="89">
        <v>2</v>
      </c>
      <c r="M553" s="78">
        <f t="shared" si="425"/>
        <v>10</v>
      </c>
      <c r="N553" s="78"/>
      <c r="O553" s="78">
        <f t="shared" si="423"/>
        <v>20</v>
      </c>
    </row>
    <row r="554" spans="1:16" ht="18" customHeight="1">
      <c r="A554" s="85"/>
      <c r="B554" s="86"/>
      <c r="C554" s="87"/>
      <c r="D554" s="88">
        <v>208</v>
      </c>
      <c r="E554" s="88">
        <v>910</v>
      </c>
      <c r="F554" s="89">
        <f t="shared" si="422"/>
        <v>20</v>
      </c>
      <c r="G554" s="90">
        <f t="shared" si="420"/>
        <v>41.233430273720444</v>
      </c>
      <c r="H554" s="90">
        <f t="shared" si="421"/>
        <v>89.44</v>
      </c>
      <c r="I554" s="91" t="str">
        <f t="shared" si="424"/>
        <v>11동3,5라인</v>
      </c>
      <c r="J554" s="92" t="s">
        <v>211</v>
      </c>
      <c r="L554" s="89">
        <v>2</v>
      </c>
      <c r="M554" s="78">
        <f>M553</f>
        <v>10</v>
      </c>
      <c r="N554" s="78"/>
      <c r="O554" s="78">
        <f t="shared" si="423"/>
        <v>20</v>
      </c>
    </row>
    <row r="555" spans="1:16" ht="18" customHeight="1">
      <c r="A555" s="85"/>
      <c r="B555" s="93"/>
      <c r="C555" s="87"/>
      <c r="D555" s="325" t="s">
        <v>0</v>
      </c>
      <c r="E555" s="325"/>
      <c r="F555" s="94">
        <f>SUM(F548:F554)</f>
        <v>150</v>
      </c>
      <c r="G555" s="95">
        <f>SUM(G548:G554)</f>
        <v>1223.3462950255423</v>
      </c>
      <c r="H555" s="96">
        <f>SUM(H548:H554)</f>
        <v>1006.24</v>
      </c>
      <c r="I555" s="97"/>
      <c r="J555" s="162"/>
    </row>
    <row r="556" spans="1:16" ht="18" customHeight="1">
      <c r="A556" s="85"/>
      <c r="B556" s="93"/>
      <c r="C556" s="87"/>
      <c r="D556" s="161"/>
      <c r="E556" s="161"/>
      <c r="F556" s="89"/>
      <c r="G556" s="100"/>
      <c r="H556" s="101"/>
      <c r="I556" s="102"/>
      <c r="J556" s="121"/>
      <c r="L556" s="78" t="s">
        <v>48</v>
      </c>
      <c r="M556" s="78" t="s">
        <v>54</v>
      </c>
      <c r="N556" s="78" t="s">
        <v>50</v>
      </c>
      <c r="O556" s="78" t="s">
        <v>55</v>
      </c>
    </row>
    <row r="557" spans="1:16" ht="18" customHeight="1">
      <c r="A557" s="85"/>
      <c r="B557" s="23" t="s">
        <v>197</v>
      </c>
      <c r="C557" s="24">
        <v>22</v>
      </c>
      <c r="D557" s="88">
        <v>761</v>
      </c>
      <c r="E557" s="88">
        <v>1810</v>
      </c>
      <c r="F557" s="89">
        <f t="shared" ref="F557:F563" si="426">O557</f>
        <v>20</v>
      </c>
      <c r="G557" s="90">
        <f t="shared" ref="G557:G563" si="427">D557*E557/91809*F557</f>
        <v>300.05990698079711</v>
      </c>
      <c r="H557" s="90">
        <f t="shared" ref="H557:H563" si="428">(D557/1000)*4*F557+(E557/1000)*4*F557</f>
        <v>205.68</v>
      </c>
      <c r="I557" s="91" t="str">
        <f t="shared" ref="I557:I563" si="429">I548</f>
        <v>11동3,5라인</v>
      </c>
      <c r="J557" s="92" t="s">
        <v>212</v>
      </c>
      <c r="L557" s="89">
        <v>2</v>
      </c>
      <c r="M557" s="78">
        <f>M548</f>
        <v>10</v>
      </c>
      <c r="N557" s="84"/>
      <c r="O557" s="78">
        <f>L557*M557-N557*L557</f>
        <v>20</v>
      </c>
    </row>
    <row r="558" spans="1:16" ht="18" customHeight="1">
      <c r="A558" s="85"/>
      <c r="B558" s="86"/>
      <c r="C558" s="87"/>
      <c r="D558" s="88">
        <v>1688</v>
      </c>
      <c r="E558" s="88">
        <v>1810</v>
      </c>
      <c r="F558" s="89">
        <f t="shared" si="426"/>
        <v>10</v>
      </c>
      <c r="G558" s="90">
        <f t="shared" si="427"/>
        <v>332.78654598133079</v>
      </c>
      <c r="H558" s="90">
        <f t="shared" si="428"/>
        <v>139.92000000000002</v>
      </c>
      <c r="I558" s="91" t="str">
        <f t="shared" si="429"/>
        <v>11동3,5라인</v>
      </c>
      <c r="J558" s="92" t="s">
        <v>213</v>
      </c>
      <c r="L558" s="89">
        <v>1</v>
      </c>
      <c r="M558" s="78">
        <f>M557</f>
        <v>10</v>
      </c>
      <c r="N558" s="84"/>
      <c r="O558" s="78">
        <f>L558*M558-N558*L558</f>
        <v>10</v>
      </c>
    </row>
    <row r="559" spans="1:16" ht="18" customHeight="1">
      <c r="A559" s="104"/>
      <c r="B559" s="93"/>
      <c r="C559" s="87"/>
      <c r="D559" s="88">
        <v>738</v>
      </c>
      <c r="E559" s="88">
        <v>1310</v>
      </c>
      <c r="F559" s="89">
        <f t="shared" si="426"/>
        <v>40</v>
      </c>
      <c r="G559" s="90">
        <f t="shared" si="427"/>
        <v>421.2136065091658</v>
      </c>
      <c r="H559" s="90">
        <f t="shared" si="428"/>
        <v>327.68</v>
      </c>
      <c r="I559" s="91" t="str">
        <f t="shared" si="429"/>
        <v>11동3,5라인</v>
      </c>
      <c r="J559" s="92" t="s">
        <v>214</v>
      </c>
      <c r="L559" s="89">
        <v>4</v>
      </c>
      <c r="M559" s="78">
        <f t="shared" ref="M559:M563" si="430">M558</f>
        <v>10</v>
      </c>
      <c r="N559" s="84"/>
      <c r="O559" s="78">
        <f t="shared" ref="O559:O563" si="431">L559*M559-N559*L559</f>
        <v>40</v>
      </c>
    </row>
    <row r="560" spans="1:16" ht="18" customHeight="1">
      <c r="A560" s="104"/>
      <c r="B560" s="93"/>
      <c r="C560" s="87"/>
      <c r="D560" s="88">
        <v>288</v>
      </c>
      <c r="E560" s="88">
        <v>910</v>
      </c>
      <c r="F560" s="89">
        <f t="shared" si="426"/>
        <v>20</v>
      </c>
      <c r="G560" s="90">
        <f t="shared" si="427"/>
        <v>57.09244191745907</v>
      </c>
      <c r="H560" s="90">
        <f t="shared" si="428"/>
        <v>95.84</v>
      </c>
      <c r="I560" s="91" t="str">
        <f t="shared" si="429"/>
        <v>11동3,5라인</v>
      </c>
      <c r="J560" s="92" t="s">
        <v>215</v>
      </c>
      <c r="L560" s="89">
        <v>2</v>
      </c>
      <c r="M560" s="78">
        <f t="shared" si="430"/>
        <v>10</v>
      </c>
      <c r="N560" s="78"/>
      <c r="O560" s="78">
        <f t="shared" si="431"/>
        <v>20</v>
      </c>
    </row>
    <row r="561" spans="1:16" ht="18" customHeight="1">
      <c r="A561" s="104"/>
      <c r="B561" s="93"/>
      <c r="C561" s="87"/>
      <c r="D561" s="88">
        <v>228</v>
      </c>
      <c r="E561" s="88">
        <v>910</v>
      </c>
      <c r="F561" s="89">
        <f t="shared" si="426"/>
        <v>20</v>
      </c>
      <c r="G561" s="90">
        <f t="shared" si="427"/>
        <v>45.1981831846551</v>
      </c>
      <c r="H561" s="90">
        <f t="shared" si="428"/>
        <v>91.039999999999992</v>
      </c>
      <c r="I561" s="91" t="str">
        <f t="shared" si="429"/>
        <v>11동3,5라인</v>
      </c>
      <c r="J561" s="92" t="s">
        <v>216</v>
      </c>
      <c r="L561" s="89">
        <v>2</v>
      </c>
      <c r="M561" s="78">
        <f t="shared" si="430"/>
        <v>10</v>
      </c>
      <c r="N561" s="78"/>
      <c r="O561" s="78">
        <f t="shared" si="431"/>
        <v>20</v>
      </c>
    </row>
    <row r="562" spans="1:16" ht="18" customHeight="1">
      <c r="A562" s="104"/>
      <c r="B562" s="93"/>
      <c r="C562" s="87"/>
      <c r="D562" s="88">
        <v>438</v>
      </c>
      <c r="E562" s="88">
        <v>270</v>
      </c>
      <c r="F562" s="89">
        <f t="shared" si="426"/>
        <v>20</v>
      </c>
      <c r="G562" s="90">
        <f t="shared" si="427"/>
        <v>25.762180178413882</v>
      </c>
      <c r="H562" s="90">
        <f t="shared" si="428"/>
        <v>56.64</v>
      </c>
      <c r="I562" s="91" t="str">
        <f t="shared" si="429"/>
        <v>11동3,5라인</v>
      </c>
      <c r="J562" s="92" t="s">
        <v>217</v>
      </c>
      <c r="L562" s="89">
        <v>2</v>
      </c>
      <c r="M562" s="78">
        <f t="shared" si="430"/>
        <v>10</v>
      </c>
      <c r="N562" s="78"/>
      <c r="O562" s="78">
        <f t="shared" si="431"/>
        <v>20</v>
      </c>
    </row>
    <row r="563" spans="1:16" ht="18" customHeight="1">
      <c r="A563" s="104"/>
      <c r="B563" s="93"/>
      <c r="C563" s="87"/>
      <c r="D563" s="88">
        <v>208</v>
      </c>
      <c r="E563" s="88">
        <v>910</v>
      </c>
      <c r="F563" s="89">
        <f t="shared" si="426"/>
        <v>20</v>
      </c>
      <c r="G563" s="90">
        <f t="shared" si="427"/>
        <v>41.233430273720444</v>
      </c>
      <c r="H563" s="90">
        <f t="shared" si="428"/>
        <v>89.44</v>
      </c>
      <c r="I563" s="91" t="str">
        <f t="shared" si="429"/>
        <v>11동3,5라인</v>
      </c>
      <c r="J563" s="92" t="s">
        <v>218</v>
      </c>
      <c r="L563" s="89">
        <v>2</v>
      </c>
      <c r="M563" s="78">
        <f t="shared" si="430"/>
        <v>10</v>
      </c>
      <c r="N563" s="78"/>
      <c r="O563" s="78">
        <f t="shared" si="431"/>
        <v>20</v>
      </c>
    </row>
    <row r="564" spans="1:16" ht="18" customHeight="1">
      <c r="A564" s="104"/>
      <c r="B564" s="87"/>
      <c r="C564" s="87"/>
      <c r="D564" s="325" t="s">
        <v>0</v>
      </c>
      <c r="E564" s="325"/>
      <c r="F564" s="171">
        <f>SUM(F557:F563)</f>
        <v>150</v>
      </c>
      <c r="G564" s="95">
        <f>SUM(G557:G563)</f>
        <v>1223.3462950255423</v>
      </c>
      <c r="H564" s="95">
        <f>SUM(H557:H563)</f>
        <v>1006.24</v>
      </c>
      <c r="I564" s="97"/>
      <c r="J564" s="98"/>
    </row>
    <row r="565" spans="1:16">
      <c r="A565" s="105"/>
      <c r="B565" s="9"/>
      <c r="C565" s="9"/>
      <c r="D565" s="51"/>
      <c r="E565" s="51"/>
      <c r="F565" s="51"/>
      <c r="G565" s="106"/>
      <c r="H565" s="106"/>
      <c r="I565" s="9"/>
      <c r="J565" s="107"/>
    </row>
    <row r="566" spans="1:16" ht="18" customHeight="1">
      <c r="A566" s="85"/>
      <c r="B566" s="163" t="s">
        <v>199</v>
      </c>
      <c r="C566" s="163">
        <v>22</v>
      </c>
      <c r="D566" s="88">
        <v>738</v>
      </c>
      <c r="E566" s="88">
        <v>1810</v>
      </c>
      <c r="F566" s="89">
        <f t="shared" ref="F566:F567" si="432">O566</f>
        <v>20</v>
      </c>
      <c r="G566" s="90">
        <f t="shared" ref="G566:G567" si="433">D566*E566/91809*F566</f>
        <v>290.99107930595039</v>
      </c>
      <c r="H566" s="90">
        <f t="shared" ref="H566:H567" si="434">(D566/1000)*4*F566+(E566/1000)*4*F566</f>
        <v>203.84</v>
      </c>
      <c r="I566" s="91" t="str">
        <f>I557</f>
        <v>11동3,5라인</v>
      </c>
      <c r="J566" s="92" t="s">
        <v>219</v>
      </c>
      <c r="L566" s="89">
        <v>2</v>
      </c>
      <c r="M566" s="78">
        <f>M548</f>
        <v>10</v>
      </c>
      <c r="N566" s="84"/>
      <c r="O566" s="78">
        <f>L566*M566-N566*L566</f>
        <v>20</v>
      </c>
      <c r="P566" s="64"/>
    </row>
    <row r="567" spans="1:16" ht="18" customHeight="1">
      <c r="A567" s="85"/>
      <c r="B567" s="86"/>
      <c r="C567" s="87"/>
      <c r="D567" s="88">
        <v>250</v>
      </c>
      <c r="E567" s="88">
        <v>930</v>
      </c>
      <c r="F567" s="89">
        <f t="shared" si="432"/>
        <v>20</v>
      </c>
      <c r="G567" s="90">
        <f t="shared" si="433"/>
        <v>50.648629219357574</v>
      </c>
      <c r="H567" s="90">
        <f t="shared" si="434"/>
        <v>94.4</v>
      </c>
      <c r="I567" s="91" t="str">
        <f>I566</f>
        <v>11동3,5라인</v>
      </c>
      <c r="J567" s="92" t="s">
        <v>220</v>
      </c>
      <c r="L567" s="89">
        <v>2</v>
      </c>
      <c r="M567" s="78">
        <f>M566</f>
        <v>10</v>
      </c>
      <c r="N567" s="84"/>
      <c r="O567" s="78">
        <f t="shared" ref="O567" si="435">L567*M567-N567*L567</f>
        <v>20</v>
      </c>
    </row>
    <row r="568" spans="1:16" ht="18" customHeight="1" thickBot="1">
      <c r="A568" s="222"/>
      <c r="B568" s="223"/>
      <c r="C568" s="224"/>
      <c r="D568" s="364" t="s">
        <v>0</v>
      </c>
      <c r="E568" s="364"/>
      <c r="F568" s="269">
        <f>SUM(F566:F567)</f>
        <v>40</v>
      </c>
      <c r="G568" s="270">
        <f>SUM(G566:G567)</f>
        <v>341.63970852530798</v>
      </c>
      <c r="H568" s="270">
        <f>SUM(H566:H567)</f>
        <v>298.24</v>
      </c>
      <c r="I568" s="271"/>
      <c r="J568" s="272"/>
    </row>
    <row r="569" spans="1:16" ht="18" customHeight="1">
      <c r="A569" s="79" t="s">
        <v>235</v>
      </c>
      <c r="B569" s="231" t="s">
        <v>201</v>
      </c>
      <c r="C569" s="232">
        <v>22</v>
      </c>
      <c r="D569" s="80">
        <v>861</v>
      </c>
      <c r="E569" s="80">
        <v>1810</v>
      </c>
      <c r="F569" s="233">
        <f t="shared" ref="F569:F572" si="436">O569</f>
        <v>5</v>
      </c>
      <c r="G569" s="81">
        <f t="shared" ref="G569:G572" si="437">D569*E569/91809*F569</f>
        <v>84.872398130902198</v>
      </c>
      <c r="H569" s="81">
        <f t="shared" ref="H569:H572" si="438">(D569/1000)*4*F569+(E569/1000)*4*F569</f>
        <v>53.42</v>
      </c>
      <c r="I569" s="82" t="s">
        <v>269</v>
      </c>
      <c r="J569" s="83" t="s">
        <v>205</v>
      </c>
      <c r="L569" s="89">
        <v>1</v>
      </c>
      <c r="M569" s="78">
        <v>5</v>
      </c>
      <c r="N569" s="84"/>
      <c r="O569" s="78">
        <f>L569*M569-N569*L569</f>
        <v>5</v>
      </c>
      <c r="P569" s="64"/>
    </row>
    <row r="570" spans="1:16" ht="18" customHeight="1">
      <c r="A570" s="85"/>
      <c r="B570" s="86"/>
      <c r="C570" s="87"/>
      <c r="D570" s="88">
        <v>738</v>
      </c>
      <c r="E570" s="88">
        <v>1310</v>
      </c>
      <c r="F570" s="89">
        <f t="shared" si="436"/>
        <v>20</v>
      </c>
      <c r="G570" s="90">
        <f t="shared" si="437"/>
        <v>210.6068032545829</v>
      </c>
      <c r="H570" s="90">
        <f t="shared" si="438"/>
        <v>163.84</v>
      </c>
      <c r="I570" s="91" t="str">
        <f>I569</f>
        <v>11동4라인</v>
      </c>
      <c r="J570" s="92" t="s">
        <v>207</v>
      </c>
      <c r="L570" s="89">
        <v>4</v>
      </c>
      <c r="M570" s="78">
        <f>M569</f>
        <v>5</v>
      </c>
      <c r="N570" s="84"/>
      <c r="O570" s="78">
        <f t="shared" ref="O570:O572" si="439">L570*M570-N570*L570</f>
        <v>20</v>
      </c>
    </row>
    <row r="571" spans="1:16" ht="18" customHeight="1">
      <c r="A571" s="85"/>
      <c r="B571" s="86"/>
      <c r="C571" s="87"/>
      <c r="D571" s="88">
        <v>228</v>
      </c>
      <c r="E571" s="88">
        <v>910</v>
      </c>
      <c r="F571" s="89">
        <f t="shared" si="436"/>
        <v>10</v>
      </c>
      <c r="G571" s="90">
        <f t="shared" si="437"/>
        <v>22.59909159232755</v>
      </c>
      <c r="H571" s="90">
        <f t="shared" si="438"/>
        <v>45.519999999999996</v>
      </c>
      <c r="I571" s="91" t="str">
        <f t="shared" ref="I571:I572" si="440">I570</f>
        <v>11동4라인</v>
      </c>
      <c r="J571" s="92" t="s">
        <v>209</v>
      </c>
      <c r="L571" s="89">
        <v>2</v>
      </c>
      <c r="M571" s="78">
        <f t="shared" ref="M571:M572" si="441">M570</f>
        <v>5</v>
      </c>
      <c r="N571" s="78"/>
      <c r="O571" s="78">
        <f t="shared" si="439"/>
        <v>10</v>
      </c>
    </row>
    <row r="572" spans="1:16" ht="18" customHeight="1">
      <c r="A572" s="85"/>
      <c r="B572" s="86"/>
      <c r="C572" s="87"/>
      <c r="D572" s="88">
        <v>438</v>
      </c>
      <c r="E572" s="88">
        <v>270</v>
      </c>
      <c r="F572" s="89">
        <f t="shared" si="436"/>
        <v>10</v>
      </c>
      <c r="G572" s="90">
        <f t="shared" si="437"/>
        <v>12.881090089206941</v>
      </c>
      <c r="H572" s="90">
        <f t="shared" si="438"/>
        <v>28.32</v>
      </c>
      <c r="I572" s="91" t="str">
        <f t="shared" si="440"/>
        <v>11동4라인</v>
      </c>
      <c r="J572" s="92" t="s">
        <v>210</v>
      </c>
      <c r="L572" s="89">
        <v>2</v>
      </c>
      <c r="M572" s="78">
        <f t="shared" si="441"/>
        <v>5</v>
      </c>
      <c r="N572" s="78"/>
      <c r="O572" s="78">
        <f t="shared" si="439"/>
        <v>10</v>
      </c>
    </row>
    <row r="573" spans="1:16" ht="18" customHeight="1">
      <c r="A573" s="85"/>
      <c r="B573" s="93"/>
      <c r="C573" s="87"/>
      <c r="D573" s="325" t="s">
        <v>0</v>
      </c>
      <c r="E573" s="325"/>
      <c r="F573" s="94">
        <f>SUM(F569:F572)</f>
        <v>45</v>
      </c>
      <c r="G573" s="95">
        <f>SUM(G569:G572)</f>
        <v>330.95938306701964</v>
      </c>
      <c r="H573" s="96">
        <f>SUM(H569:H572)</f>
        <v>291.09999999999997</v>
      </c>
      <c r="I573" s="97"/>
      <c r="J573" s="162"/>
    </row>
    <row r="574" spans="1:16" ht="18" customHeight="1">
      <c r="A574" s="85"/>
      <c r="B574" s="93"/>
      <c r="C574" s="87"/>
      <c r="D574" s="161"/>
      <c r="E574" s="161"/>
      <c r="F574" s="89"/>
      <c r="G574" s="100"/>
      <c r="H574" s="101"/>
      <c r="I574" s="102"/>
      <c r="J574" s="121"/>
      <c r="L574" s="252"/>
      <c r="M574" s="252"/>
      <c r="N574" s="252"/>
      <c r="O574" s="252"/>
    </row>
    <row r="575" spans="1:16" ht="18" customHeight="1">
      <c r="A575" s="85"/>
      <c r="B575" s="23" t="s">
        <v>198</v>
      </c>
      <c r="C575" s="24">
        <v>22</v>
      </c>
      <c r="D575" s="88">
        <v>861</v>
      </c>
      <c r="E575" s="88">
        <v>1810</v>
      </c>
      <c r="F575" s="89">
        <f t="shared" ref="F575:F579" si="442">O575</f>
        <v>5</v>
      </c>
      <c r="G575" s="90">
        <f t="shared" ref="G575:G579" si="443">D575*E575/91809*F575</f>
        <v>84.872398130902198</v>
      </c>
      <c r="H575" s="90">
        <f t="shared" ref="H575:H579" si="444">(D575/1000)*4*F575+(E575/1000)*4*F575</f>
        <v>53.42</v>
      </c>
      <c r="I575" s="91" t="str">
        <f>I569</f>
        <v>11동4라인</v>
      </c>
      <c r="J575" s="92" t="s">
        <v>212</v>
      </c>
      <c r="L575" s="89">
        <v>1</v>
      </c>
      <c r="M575" s="78">
        <f>M569</f>
        <v>5</v>
      </c>
      <c r="N575" s="84"/>
      <c r="O575" s="78">
        <f>L575*M575-N575*L575</f>
        <v>5</v>
      </c>
    </row>
    <row r="576" spans="1:16" ht="18" customHeight="1">
      <c r="A576" s="85"/>
      <c r="B576" s="86"/>
      <c r="C576" s="87"/>
      <c r="D576" s="88">
        <v>2114</v>
      </c>
      <c r="E576" s="88">
        <v>1810</v>
      </c>
      <c r="F576" s="89">
        <f t="shared" si="442"/>
        <v>5</v>
      </c>
      <c r="G576" s="90">
        <f t="shared" si="443"/>
        <v>208.38588809375989</v>
      </c>
      <c r="H576" s="90">
        <f t="shared" si="444"/>
        <v>78.48</v>
      </c>
      <c r="I576" s="91" t="str">
        <f>I569</f>
        <v>11동4라인</v>
      </c>
      <c r="J576" s="92" t="s">
        <v>213</v>
      </c>
      <c r="L576" s="89">
        <v>1</v>
      </c>
      <c r="M576" s="78">
        <f>M575</f>
        <v>5</v>
      </c>
      <c r="N576" s="84"/>
      <c r="O576" s="78">
        <f>L576*M576-N576*L576</f>
        <v>5</v>
      </c>
    </row>
    <row r="577" spans="1:16" ht="18" customHeight="1">
      <c r="A577" s="104"/>
      <c r="B577" s="93"/>
      <c r="C577" s="87"/>
      <c r="D577" s="88">
        <v>738</v>
      </c>
      <c r="E577" s="88">
        <v>1310</v>
      </c>
      <c r="F577" s="89">
        <f t="shared" si="442"/>
        <v>20</v>
      </c>
      <c r="G577" s="90">
        <f t="shared" si="443"/>
        <v>210.6068032545829</v>
      </c>
      <c r="H577" s="90">
        <f t="shared" si="444"/>
        <v>163.84</v>
      </c>
      <c r="I577" s="91" t="str">
        <f>I576</f>
        <v>11동4라인</v>
      </c>
      <c r="J577" s="92" t="s">
        <v>214</v>
      </c>
      <c r="L577" s="89">
        <v>4</v>
      </c>
      <c r="M577" s="78">
        <f t="shared" ref="M577:M579" si="445">M576</f>
        <v>5</v>
      </c>
      <c r="N577" s="84"/>
      <c r="O577" s="78">
        <f t="shared" ref="O577:O579" si="446">L577*M577-N577*L577</f>
        <v>20</v>
      </c>
    </row>
    <row r="578" spans="1:16" ht="18" customHeight="1">
      <c r="A578" s="104"/>
      <c r="B578" s="93"/>
      <c r="C578" s="87"/>
      <c r="D578" s="88">
        <v>228</v>
      </c>
      <c r="E578" s="88">
        <v>910</v>
      </c>
      <c r="F578" s="89">
        <f t="shared" si="442"/>
        <v>10</v>
      </c>
      <c r="G578" s="90">
        <f t="shared" si="443"/>
        <v>22.59909159232755</v>
      </c>
      <c r="H578" s="90">
        <f t="shared" si="444"/>
        <v>45.519999999999996</v>
      </c>
      <c r="I578" s="91" t="str">
        <f t="shared" ref="I578:I579" si="447">I577</f>
        <v>11동4라인</v>
      </c>
      <c r="J578" s="92" t="s">
        <v>216</v>
      </c>
      <c r="L578" s="89">
        <v>2</v>
      </c>
      <c r="M578" s="78">
        <f t="shared" si="445"/>
        <v>5</v>
      </c>
      <c r="N578" s="78"/>
      <c r="O578" s="78">
        <f t="shared" si="446"/>
        <v>10</v>
      </c>
    </row>
    <row r="579" spans="1:16" ht="18" customHeight="1">
      <c r="A579" s="104"/>
      <c r="B579" s="93"/>
      <c r="C579" s="87"/>
      <c r="D579" s="88">
        <v>438</v>
      </c>
      <c r="E579" s="88">
        <v>270</v>
      </c>
      <c r="F579" s="89">
        <f t="shared" si="442"/>
        <v>10</v>
      </c>
      <c r="G579" s="90">
        <f t="shared" si="443"/>
        <v>12.881090089206941</v>
      </c>
      <c r="H579" s="90">
        <f t="shared" si="444"/>
        <v>28.32</v>
      </c>
      <c r="I579" s="91" t="str">
        <f t="shared" si="447"/>
        <v>11동4라인</v>
      </c>
      <c r="J579" s="92" t="s">
        <v>217</v>
      </c>
      <c r="L579" s="89">
        <v>2</v>
      </c>
      <c r="M579" s="78">
        <f t="shared" si="445"/>
        <v>5</v>
      </c>
      <c r="N579" s="78"/>
      <c r="O579" s="78">
        <f t="shared" si="446"/>
        <v>10</v>
      </c>
    </row>
    <row r="580" spans="1:16" ht="18" customHeight="1">
      <c r="A580" s="104"/>
      <c r="B580" s="87"/>
      <c r="C580" s="87"/>
      <c r="D580" s="325" t="s">
        <v>0</v>
      </c>
      <c r="E580" s="325"/>
      <c r="F580" s="171">
        <f>SUM(F575:F579)</f>
        <v>50</v>
      </c>
      <c r="G580" s="95">
        <f>SUM(G575:G579)</f>
        <v>539.34527116077948</v>
      </c>
      <c r="H580" s="95">
        <f>SUM(H575:H579)</f>
        <v>369.58</v>
      </c>
      <c r="I580" s="97"/>
      <c r="J580" s="98"/>
    </row>
    <row r="581" spans="1:16">
      <c r="A581" s="105"/>
      <c r="B581" s="9"/>
      <c r="C581" s="9"/>
      <c r="D581" s="51"/>
      <c r="E581" s="51"/>
      <c r="F581" s="51"/>
      <c r="G581" s="106"/>
      <c r="H581" s="106"/>
      <c r="I581" s="9"/>
      <c r="J581" s="107"/>
    </row>
    <row r="582" spans="1:16" ht="18" customHeight="1">
      <c r="A582" s="85"/>
      <c r="B582" s="23" t="s">
        <v>237</v>
      </c>
      <c r="C582" s="24">
        <v>22</v>
      </c>
      <c r="D582" s="88">
        <v>2114</v>
      </c>
      <c r="E582" s="88">
        <v>1810</v>
      </c>
      <c r="F582" s="89">
        <f t="shared" ref="F582" si="448">O582</f>
        <v>5</v>
      </c>
      <c r="G582" s="90">
        <f t="shared" ref="G582" si="449">D582*E582/91809*F582</f>
        <v>208.38588809375989</v>
      </c>
      <c r="H582" s="90">
        <f t="shared" ref="H582" si="450">(D582/1000)*4*F582+(E582/1000)*4*F582</f>
        <v>78.48</v>
      </c>
      <c r="I582" s="91" t="str">
        <f>I575</f>
        <v>11동4라인</v>
      </c>
      <c r="J582" s="92" t="s">
        <v>206</v>
      </c>
      <c r="L582" s="89">
        <v>1</v>
      </c>
      <c r="M582" s="78">
        <f>M569</f>
        <v>5</v>
      </c>
      <c r="N582" s="84"/>
      <c r="O582" s="78">
        <f>L582*M582-N582*L582</f>
        <v>5</v>
      </c>
    </row>
    <row r="583" spans="1:16" ht="18" customHeight="1">
      <c r="A583" s="85"/>
      <c r="B583" s="93"/>
      <c r="C583" s="87"/>
      <c r="D583" s="325" t="s">
        <v>0</v>
      </c>
      <c r="E583" s="325"/>
      <c r="F583" s="94">
        <f>SUM(F582:F582)</f>
        <v>5</v>
      </c>
      <c r="G583" s="95">
        <f>SUM(G582:G582)</f>
        <v>208.38588809375989</v>
      </c>
      <c r="H583" s="95">
        <f>SUM(H582:H582)</f>
        <v>78.48</v>
      </c>
      <c r="I583" s="97"/>
      <c r="J583" s="98"/>
    </row>
    <row r="584" spans="1:16" ht="18" customHeight="1">
      <c r="A584" s="218"/>
      <c r="B584" s="219"/>
      <c r="C584" s="220"/>
      <c r="D584" s="161"/>
      <c r="E584" s="161"/>
      <c r="F584" s="89"/>
      <c r="G584" s="100"/>
      <c r="H584" s="100"/>
      <c r="I584" s="102"/>
      <c r="J584" s="221"/>
    </row>
    <row r="585" spans="1:16" ht="18" customHeight="1">
      <c r="A585" s="85"/>
      <c r="B585" s="23" t="s">
        <v>203</v>
      </c>
      <c r="C585" s="24">
        <v>22</v>
      </c>
      <c r="D585" s="88">
        <v>738</v>
      </c>
      <c r="E585" s="88">
        <v>1810</v>
      </c>
      <c r="F585" s="89">
        <f t="shared" ref="F585:F586" si="451">O585</f>
        <v>0</v>
      </c>
      <c r="G585" s="90">
        <f t="shared" ref="G585:G586" si="452">D585*E585/91809*F585</f>
        <v>0</v>
      </c>
      <c r="H585" s="90">
        <f t="shared" ref="H585:H586" si="453">(D585/1000)*4*F585+(E585/1000)*4*F585</f>
        <v>0</v>
      </c>
      <c r="I585" s="91" t="str">
        <f>I582</f>
        <v>11동4라인</v>
      </c>
      <c r="J585" s="92" t="s">
        <v>219</v>
      </c>
      <c r="L585" s="89">
        <v>2</v>
      </c>
      <c r="M585" s="78">
        <f>M582</f>
        <v>5</v>
      </c>
      <c r="N585" s="84">
        <v>5</v>
      </c>
      <c r="O585" s="78">
        <f>L585*M585-N585*L585</f>
        <v>0</v>
      </c>
      <c r="P585" s="64" t="s">
        <v>289</v>
      </c>
    </row>
    <row r="586" spans="1:16" ht="18" customHeight="1">
      <c r="A586" s="85"/>
      <c r="B586" s="86"/>
      <c r="C586" s="87"/>
      <c r="D586" s="88">
        <v>250</v>
      </c>
      <c r="E586" s="88">
        <v>930</v>
      </c>
      <c r="F586" s="89">
        <f t="shared" si="451"/>
        <v>10</v>
      </c>
      <c r="G586" s="90">
        <f t="shared" si="452"/>
        <v>25.324314609678787</v>
      </c>
      <c r="H586" s="90">
        <f t="shared" si="453"/>
        <v>47.2</v>
      </c>
      <c r="I586" s="91" t="str">
        <f>I585</f>
        <v>11동4라인</v>
      </c>
      <c r="J586" s="92" t="s">
        <v>220</v>
      </c>
      <c r="L586" s="89">
        <v>2</v>
      </c>
      <c r="M586" s="78">
        <f>M585</f>
        <v>5</v>
      </c>
      <c r="N586" s="84"/>
      <c r="O586" s="78">
        <f t="shared" ref="O586" si="454">L586*M586-N586*L586</f>
        <v>10</v>
      </c>
    </row>
    <row r="587" spans="1:16" ht="18" customHeight="1">
      <c r="A587" s="85"/>
      <c r="B587" s="93"/>
      <c r="C587" s="87"/>
      <c r="D587" s="325" t="s">
        <v>0</v>
      </c>
      <c r="E587" s="325"/>
      <c r="F587" s="94">
        <f>SUM(F585:F586)</f>
        <v>10</v>
      </c>
      <c r="G587" s="95">
        <f>SUM(G585:G586)</f>
        <v>25.324314609678787</v>
      </c>
      <c r="H587" s="96">
        <f>SUM(H585:H586)</f>
        <v>47.2</v>
      </c>
      <c r="I587" s="97"/>
      <c r="J587" s="162"/>
    </row>
    <row r="588" spans="1:16">
      <c r="A588" s="253"/>
      <c r="B588" s="254"/>
      <c r="C588" s="255"/>
      <c r="D588" s="361"/>
      <c r="E588" s="361"/>
      <c r="F588" s="256"/>
      <c r="G588" s="257"/>
      <c r="H588" s="258"/>
      <c r="I588" s="259"/>
      <c r="J588" s="260"/>
    </row>
    <row r="589" spans="1:16">
      <c r="A589" s="9"/>
      <c r="B589" s="9"/>
      <c r="C589" s="9"/>
      <c r="D589" s="51"/>
      <c r="E589" s="51"/>
      <c r="F589" s="51"/>
      <c r="G589" s="106"/>
      <c r="H589" s="106"/>
      <c r="I589" s="9"/>
      <c r="J589" s="9"/>
    </row>
    <row r="590" spans="1:16">
      <c r="A590" s="9"/>
      <c r="B590" s="9"/>
      <c r="C590" s="9"/>
      <c r="D590" s="51"/>
      <c r="E590" s="51"/>
      <c r="F590" s="51"/>
      <c r="G590" s="106"/>
      <c r="H590" s="106"/>
      <c r="I590" s="9"/>
      <c r="J590" s="9"/>
    </row>
    <row r="591" spans="1:16">
      <c r="A591" s="9"/>
      <c r="B591" s="9"/>
      <c r="C591" s="9"/>
      <c r="D591" s="51"/>
      <c r="E591" s="51"/>
      <c r="F591" s="51"/>
      <c r="G591" s="106"/>
      <c r="H591" s="106"/>
      <c r="I591" s="9"/>
      <c r="J591" s="9"/>
    </row>
    <row r="592" spans="1:16">
      <c r="A592" s="9"/>
      <c r="B592" s="9"/>
      <c r="C592" s="9"/>
      <c r="D592" s="51"/>
      <c r="E592" s="51"/>
      <c r="F592" s="51"/>
      <c r="G592" s="106"/>
      <c r="H592" s="106"/>
      <c r="I592" s="9"/>
      <c r="J592" s="9"/>
    </row>
    <row r="593" spans="1:23">
      <c r="A593" s="9"/>
      <c r="B593" s="9"/>
      <c r="C593" s="9"/>
      <c r="D593" s="51"/>
      <c r="E593" s="51"/>
      <c r="F593" s="51"/>
      <c r="G593" s="106"/>
      <c r="H593" s="106"/>
      <c r="I593" s="9"/>
      <c r="J593" s="9"/>
      <c r="P593" s="365" t="s">
        <v>378</v>
      </c>
      <c r="Q593" s="365"/>
      <c r="S593" s="365" t="s">
        <v>379</v>
      </c>
      <c r="T593" s="365"/>
      <c r="V593" s="365" t="s">
        <v>380</v>
      </c>
      <c r="W593" s="365"/>
    </row>
    <row r="594" spans="1:23">
      <c r="A594" s="44" t="s">
        <v>59</v>
      </c>
      <c r="B594" s="23" t="s">
        <v>201</v>
      </c>
      <c r="C594" s="24">
        <v>22</v>
      </c>
      <c r="D594" s="51"/>
      <c r="E594" s="51"/>
      <c r="F594" s="51">
        <f>F573+F555+F533+F510+F491+F468+F450+F428+F407+F386+F365+F343+F320+F301+F279+F257+F234+F213+F193+F171+F148+F127+F107+F86+F64+F41+F22</f>
        <v>2305</v>
      </c>
      <c r="G594" s="51">
        <f t="shared" ref="G594:H594" si="455">G573+G555+G533+G510+G491+G468+G450+G428+G407+G386+G365+G343+G320+G301+G279+G257+G234+G213+G193+G171+G148+G127+G107+G86+G64+G41+G22</f>
        <v>18417.646962716073</v>
      </c>
      <c r="H594" s="51">
        <f t="shared" si="455"/>
        <v>15352.500000000002</v>
      </c>
      <c r="I594" s="9"/>
      <c r="J594" s="9"/>
      <c r="P594" s="78" t="s">
        <v>376</v>
      </c>
      <c r="Q594" s="9" t="s">
        <v>377</v>
      </c>
      <c r="S594" s="78" t="s">
        <v>376</v>
      </c>
      <c r="T594" s="9" t="s">
        <v>377</v>
      </c>
      <c r="V594" s="78" t="s">
        <v>376</v>
      </c>
      <c r="W594" s="9" t="s">
        <v>377</v>
      </c>
    </row>
    <row r="595" spans="1:23">
      <c r="A595" s="44" t="s">
        <v>60</v>
      </c>
      <c r="B595" s="23" t="s">
        <v>198</v>
      </c>
      <c r="C595" s="24">
        <v>22</v>
      </c>
      <c r="D595" s="51"/>
      <c r="E595" s="51"/>
      <c r="F595" s="51">
        <f>F580+F564+F542+F517+F500+F475++F459+F437+F415+F394+F374+F352+F327+F310+F288+F266++F241+F221+F202+F180+F155+F135+F115+F95+F73+F48+F31</f>
        <v>2360</v>
      </c>
      <c r="G595" s="51">
        <f t="shared" ref="G595:H595" si="456">G580+G564+G542+G517+G500+G475++G459+G437+G415+G394+G374+G352+G327+G310+G288+G266++G241+G221+G202+G180+G155+G135+G115+G95+G73+G48+G31</f>
        <v>20709.89173174743</v>
      </c>
      <c r="H595" s="51">
        <f t="shared" si="456"/>
        <v>16215.78</v>
      </c>
      <c r="I595" s="9"/>
      <c r="J595" s="9"/>
      <c r="P595" s="78" t="s">
        <v>370</v>
      </c>
      <c r="Q595" s="291">
        <v>46245</v>
      </c>
      <c r="S595" s="78" t="s">
        <v>370</v>
      </c>
      <c r="T595" s="291">
        <v>46261</v>
      </c>
      <c r="V595" s="78" t="s">
        <v>370</v>
      </c>
      <c r="W595" s="291">
        <v>46275</v>
      </c>
    </row>
    <row r="596" spans="1:23">
      <c r="A596" s="44" t="s">
        <v>109</v>
      </c>
      <c r="B596" s="23" t="s">
        <v>238</v>
      </c>
      <c r="C596" s="24">
        <v>22</v>
      </c>
      <c r="D596" s="51"/>
      <c r="E596" s="51"/>
      <c r="F596" s="51">
        <f>F583+F520+F478+F330+F244++F158+F51+F224++F138</f>
        <v>55</v>
      </c>
      <c r="G596" s="51">
        <f t="shared" ref="G596:H596" si="457">G583+G520+G478+G330+G244++G158+G51+G224++G138</f>
        <v>2292.2447690313584</v>
      </c>
      <c r="H596" s="51">
        <f t="shared" si="457"/>
        <v>863.28000000000009</v>
      </c>
      <c r="I596" s="9"/>
      <c r="J596" s="9"/>
      <c r="P596" s="78" t="s">
        <v>371</v>
      </c>
      <c r="Q596" s="291">
        <v>46247</v>
      </c>
      <c r="S596" s="78" t="s">
        <v>371</v>
      </c>
      <c r="T596" s="291">
        <v>46263</v>
      </c>
      <c r="V596" s="78" t="s">
        <v>371</v>
      </c>
      <c r="W596" s="291">
        <v>46277</v>
      </c>
    </row>
    <row r="597" spans="1:23">
      <c r="A597" s="44" t="s">
        <v>110</v>
      </c>
      <c r="B597" s="23" t="s">
        <v>203</v>
      </c>
      <c r="C597" s="24">
        <v>22</v>
      </c>
      <c r="D597" s="51"/>
      <c r="E597" s="51"/>
      <c r="F597" s="51">
        <f>F587+F568+F546+F524+F504+F482+F463+F441+F420+F399+F378+F356+F334+F314+F292+F270+F248+F228+F206+F184+F162+F142+F120+F99+F77+F55+F35</f>
        <v>600</v>
      </c>
      <c r="G597" s="51">
        <f t="shared" ref="G597:H597" si="458">G587+G568+G546+G524+G504+G482+G463+G441+G420+G399+G378+G356+G334+G314+G292+G270+G248+G228+G206+G184+G162+G142+G120+G99+G77+G55+G35</f>
        <v>4484.3098171203264</v>
      </c>
      <c r="H597" s="51">
        <f t="shared" si="458"/>
        <v>4191.9999999999991</v>
      </c>
      <c r="I597" s="9"/>
      <c r="J597" s="9"/>
      <c r="P597" s="78" t="s">
        <v>372</v>
      </c>
      <c r="Q597" s="291">
        <v>46249</v>
      </c>
      <c r="S597" s="78" t="s">
        <v>372</v>
      </c>
      <c r="T597" s="291">
        <v>46266</v>
      </c>
      <c r="V597" s="78" t="s">
        <v>372</v>
      </c>
      <c r="W597" s="291">
        <v>46280</v>
      </c>
    </row>
    <row r="598" spans="1:23">
      <c r="A598" s="44" t="s">
        <v>111</v>
      </c>
      <c r="B598" s="23" t="s">
        <v>90</v>
      </c>
      <c r="C598" s="24">
        <v>22</v>
      </c>
      <c r="D598" s="51"/>
      <c r="E598" s="51"/>
      <c r="F598" s="51"/>
      <c r="G598" s="106"/>
      <c r="H598" s="106"/>
      <c r="I598" s="9"/>
      <c r="J598" s="9"/>
      <c r="P598" s="78" t="s">
        <v>373</v>
      </c>
      <c r="Q598" s="291">
        <v>46252</v>
      </c>
      <c r="S598" s="78" t="s">
        <v>373</v>
      </c>
      <c r="T598" s="291">
        <v>46268</v>
      </c>
      <c r="V598" s="78" t="s">
        <v>373</v>
      </c>
      <c r="W598" s="291">
        <v>46282</v>
      </c>
    </row>
    <row r="599" spans="1:23">
      <c r="A599" s="9"/>
      <c r="B599" s="9"/>
      <c r="C599" s="9"/>
      <c r="D599" s="51"/>
      <c r="E599" s="51"/>
      <c r="F599" s="47">
        <f>SUM(F594:F598)</f>
        <v>5320</v>
      </c>
      <c r="G599" s="106">
        <f t="shared" ref="G599:H599" si="459">SUM(G594:G598)</f>
        <v>45904.093280615183</v>
      </c>
      <c r="H599" s="106">
        <f t="shared" si="459"/>
        <v>36623.56</v>
      </c>
      <c r="I599" s="9"/>
      <c r="J599" s="9"/>
      <c r="P599" s="78" t="s">
        <v>374</v>
      </c>
      <c r="Q599" s="291">
        <v>46254</v>
      </c>
      <c r="S599" s="78" t="s">
        <v>374</v>
      </c>
      <c r="T599" s="291">
        <v>46270</v>
      </c>
      <c r="V599" s="78" t="s">
        <v>374</v>
      </c>
      <c r="W599" s="291">
        <v>46284</v>
      </c>
    </row>
    <row r="600" spans="1:23">
      <c r="A600" s="9"/>
      <c r="B600" s="9"/>
      <c r="C600" s="9"/>
      <c r="D600" s="51"/>
      <c r="E600" s="51"/>
      <c r="F600" s="51"/>
      <c r="G600" s="106"/>
      <c r="H600" s="106"/>
      <c r="I600" s="9"/>
      <c r="J600" s="9"/>
      <c r="P600" s="78" t="s">
        <v>375</v>
      </c>
      <c r="Q600" s="291">
        <v>46256</v>
      </c>
      <c r="S600" s="78" t="s">
        <v>375</v>
      </c>
      <c r="T600" s="291">
        <v>46273</v>
      </c>
      <c r="V600" s="78" t="s">
        <v>375</v>
      </c>
      <c r="W600" s="291">
        <v>46286</v>
      </c>
    </row>
    <row r="601" spans="1:23">
      <c r="A601" s="9"/>
      <c r="B601" s="9"/>
      <c r="C601" s="9"/>
      <c r="D601" s="51"/>
      <c r="E601" s="51"/>
      <c r="F601" s="51"/>
      <c r="G601" s="106"/>
      <c r="H601" s="106"/>
      <c r="I601" s="9"/>
      <c r="J601" s="9"/>
    </row>
  </sheetData>
  <mergeCells count="121">
    <mergeCell ref="D573:E573"/>
    <mergeCell ref="D580:E580"/>
    <mergeCell ref="D583:E583"/>
    <mergeCell ref="D587:E587"/>
    <mergeCell ref="D588:E588"/>
    <mergeCell ref="D542:E542"/>
    <mergeCell ref="D546:E546"/>
    <mergeCell ref="D547:E547"/>
    <mergeCell ref="D555:E555"/>
    <mergeCell ref="D564:E564"/>
    <mergeCell ref="D568:E568"/>
    <mergeCell ref="D504:E504"/>
    <mergeCell ref="D510:E510"/>
    <mergeCell ref="D517:E517"/>
    <mergeCell ref="D520:E520"/>
    <mergeCell ref="D524:E524"/>
    <mergeCell ref="D533:E533"/>
    <mergeCell ref="D475:E475"/>
    <mergeCell ref="D478:E478"/>
    <mergeCell ref="D482:E482"/>
    <mergeCell ref="D483:E483"/>
    <mergeCell ref="D491:E491"/>
    <mergeCell ref="D500:E500"/>
    <mergeCell ref="D441:E441"/>
    <mergeCell ref="D442:E442"/>
    <mergeCell ref="D450:E450"/>
    <mergeCell ref="D459:E459"/>
    <mergeCell ref="D463:E463"/>
    <mergeCell ref="D468:E468"/>
    <mergeCell ref="D400:E400"/>
    <mergeCell ref="D407:E407"/>
    <mergeCell ref="D415:E415"/>
    <mergeCell ref="D420:E420"/>
    <mergeCell ref="D428:E428"/>
    <mergeCell ref="D437:E437"/>
    <mergeCell ref="D365:E365"/>
    <mergeCell ref="D374:E374"/>
    <mergeCell ref="D378:E378"/>
    <mergeCell ref="D386:E386"/>
    <mergeCell ref="D394:E394"/>
    <mergeCell ref="D399:E399"/>
    <mergeCell ref="D330:E330"/>
    <mergeCell ref="D334:E334"/>
    <mergeCell ref="D343:E343"/>
    <mergeCell ref="D352:E352"/>
    <mergeCell ref="D356:E356"/>
    <mergeCell ref="D357:E357"/>
    <mergeCell ref="D292:E292"/>
    <mergeCell ref="D301:E301"/>
    <mergeCell ref="D310:E310"/>
    <mergeCell ref="D314:E314"/>
    <mergeCell ref="D320:E320"/>
    <mergeCell ref="D327:E327"/>
    <mergeCell ref="D257:E257"/>
    <mergeCell ref="D266:E266"/>
    <mergeCell ref="D270:E270"/>
    <mergeCell ref="D271:E271"/>
    <mergeCell ref="D279:E279"/>
    <mergeCell ref="D288:E288"/>
    <mergeCell ref="D224:E224"/>
    <mergeCell ref="D228:E228"/>
    <mergeCell ref="D234:E234"/>
    <mergeCell ref="D241:E241"/>
    <mergeCell ref="D244:E244"/>
    <mergeCell ref="D248:E248"/>
    <mergeCell ref="D193:E193"/>
    <mergeCell ref="D202:E202"/>
    <mergeCell ref="D206:E206"/>
    <mergeCell ref="D207:E207"/>
    <mergeCell ref="D213:E213"/>
    <mergeCell ref="D221:E221"/>
    <mergeCell ref="D158:E158"/>
    <mergeCell ref="D162:E162"/>
    <mergeCell ref="D171:E171"/>
    <mergeCell ref="D180:E180"/>
    <mergeCell ref="D184:E184"/>
    <mergeCell ref="D185:E185"/>
    <mergeCell ref="D127:E127"/>
    <mergeCell ref="D135:E135"/>
    <mergeCell ref="D138:E138"/>
    <mergeCell ref="D142:E142"/>
    <mergeCell ref="D148:E148"/>
    <mergeCell ref="D155:E155"/>
    <mergeCell ref="H13:H14"/>
    <mergeCell ref="I13:J14"/>
    <mergeCell ref="D95:E95"/>
    <mergeCell ref="D99:E99"/>
    <mergeCell ref="D107:E107"/>
    <mergeCell ref="D115:E115"/>
    <mergeCell ref="D120:E120"/>
    <mergeCell ref="D121:E121"/>
    <mergeCell ref="D55:E55"/>
    <mergeCell ref="D64:E64"/>
    <mergeCell ref="D73:E73"/>
    <mergeCell ref="D77:E77"/>
    <mergeCell ref="D78:E78"/>
    <mergeCell ref="D86:E86"/>
    <mergeCell ref="P593:Q593"/>
    <mergeCell ref="S593:T593"/>
    <mergeCell ref="V593:W593"/>
    <mergeCell ref="A1:G3"/>
    <mergeCell ref="B4:F4"/>
    <mergeCell ref="H4:J4"/>
    <mergeCell ref="B5:E5"/>
    <mergeCell ref="G5:J5"/>
    <mergeCell ref="B6:E6"/>
    <mergeCell ref="G6:J6"/>
    <mergeCell ref="D22:E22"/>
    <mergeCell ref="D31:E31"/>
    <mergeCell ref="D35:E35"/>
    <mergeCell ref="D41:E41"/>
    <mergeCell ref="D48:E48"/>
    <mergeCell ref="D51:E51"/>
    <mergeCell ref="B7:E7"/>
    <mergeCell ref="G7:J7"/>
    <mergeCell ref="A10:J10"/>
    <mergeCell ref="A13:A14"/>
    <mergeCell ref="B13:B14"/>
    <mergeCell ref="C13:E13"/>
    <mergeCell ref="F13:F14"/>
    <mergeCell ref="G13:G14"/>
  </mergeCells>
  <phoneticPr fontId="4" type="noConversion"/>
  <pageMargins left="0.17" right="0.17" top="0.75" bottom="0.75" header="0.3" footer="0.3"/>
  <pageSetup paperSize="9" scale="87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P601"/>
  <sheetViews>
    <sheetView topLeftCell="A476" workbookViewId="0">
      <selection activeCell="Q23" sqref="Q23"/>
    </sheetView>
  </sheetViews>
  <sheetFormatPr defaultRowHeight="16.5"/>
  <cols>
    <col min="1" max="1" width="11" customWidth="1"/>
    <col min="2" max="2" width="18.625" customWidth="1"/>
    <col min="3" max="3" width="8.125" customWidth="1"/>
    <col min="4" max="4" width="11" style="122" customWidth="1"/>
    <col min="5" max="5" width="11.5" style="122" customWidth="1"/>
    <col min="6" max="6" width="6.875" style="122" customWidth="1"/>
    <col min="7" max="8" width="10.375" style="13" customWidth="1"/>
    <col min="9" max="10" width="9.375" customWidth="1"/>
  </cols>
  <sheetData>
    <row r="1" spans="1:16" ht="15" customHeight="1">
      <c r="A1" s="350" t="s">
        <v>28</v>
      </c>
      <c r="B1" s="350"/>
      <c r="C1" s="350"/>
      <c r="D1" s="350"/>
      <c r="E1" s="350"/>
      <c r="F1" s="350"/>
      <c r="G1" s="350"/>
      <c r="H1" s="55" t="s">
        <v>29</v>
      </c>
      <c r="I1" s="56"/>
      <c r="J1" s="57"/>
    </row>
    <row r="2" spans="1:16" ht="15" customHeight="1">
      <c r="A2" s="350"/>
      <c r="B2" s="350"/>
      <c r="C2" s="350"/>
      <c r="D2" s="350"/>
      <c r="E2" s="350"/>
      <c r="F2" s="350"/>
      <c r="G2" s="350"/>
      <c r="H2" s="58" t="s">
        <v>304</v>
      </c>
      <c r="I2" s="59"/>
      <c r="J2" s="57"/>
    </row>
    <row r="3" spans="1:16" ht="15" customHeight="1" thickBot="1">
      <c r="A3" s="351"/>
      <c r="B3" s="351"/>
      <c r="C3" s="351"/>
      <c r="D3" s="351"/>
      <c r="E3" s="351"/>
      <c r="F3" s="351"/>
      <c r="G3" s="351"/>
      <c r="H3" s="60"/>
      <c r="I3" s="61"/>
      <c r="J3" s="61"/>
    </row>
    <row r="4" spans="1:16" ht="23.1" customHeight="1">
      <c r="A4" s="62" t="s">
        <v>30</v>
      </c>
      <c r="B4" s="352" t="s">
        <v>113</v>
      </c>
      <c r="C4" s="353"/>
      <c r="D4" s="353"/>
      <c r="E4" s="353"/>
      <c r="F4" s="354"/>
      <c r="G4" s="63" t="s">
        <v>31</v>
      </c>
      <c r="H4" s="355" t="s">
        <v>228</v>
      </c>
      <c r="I4" s="356"/>
      <c r="J4" s="357"/>
      <c r="K4" s="64"/>
    </row>
    <row r="5" spans="1:16" ht="23.1" customHeight="1">
      <c r="A5" s="65" t="s">
        <v>32</v>
      </c>
      <c r="B5" s="358"/>
      <c r="C5" s="359"/>
      <c r="D5" s="359"/>
      <c r="E5" s="360"/>
      <c r="F5" s="66" t="s">
        <v>33</v>
      </c>
      <c r="G5" s="347"/>
      <c r="H5" s="348"/>
      <c r="I5" s="348"/>
      <c r="J5" s="349"/>
    </row>
    <row r="6" spans="1:16" ht="23.1" customHeight="1">
      <c r="A6" s="65" t="s">
        <v>34</v>
      </c>
      <c r="B6" s="346" t="s">
        <v>303</v>
      </c>
      <c r="C6" s="346"/>
      <c r="D6" s="346"/>
      <c r="E6" s="346"/>
      <c r="F6" s="67" t="s">
        <v>35</v>
      </c>
      <c r="G6" s="347"/>
      <c r="H6" s="348"/>
      <c r="I6" s="348"/>
      <c r="J6" s="349"/>
    </row>
    <row r="7" spans="1:16" ht="23.1" customHeight="1" thickBot="1">
      <c r="A7" s="68" t="s">
        <v>36</v>
      </c>
      <c r="B7" s="326" t="s">
        <v>357</v>
      </c>
      <c r="C7" s="326"/>
      <c r="D7" s="326"/>
      <c r="E7" s="326"/>
      <c r="F7" s="69" t="s">
        <v>37</v>
      </c>
      <c r="G7" s="327" t="s">
        <v>226</v>
      </c>
      <c r="H7" s="328"/>
      <c r="I7" s="328"/>
      <c r="J7" s="329"/>
    </row>
    <row r="8" spans="1:16" ht="3" customHeight="1">
      <c r="A8" s="70"/>
      <c r="B8" s="70"/>
      <c r="C8" s="70"/>
      <c r="D8" s="71"/>
      <c r="E8" s="71"/>
      <c r="F8" s="71"/>
      <c r="G8" s="72"/>
      <c r="H8" s="72"/>
      <c r="I8" s="70"/>
      <c r="J8" s="70"/>
    </row>
    <row r="9" spans="1:16" ht="0.75" customHeight="1" thickBot="1">
      <c r="A9" s="70"/>
      <c r="B9" s="70"/>
      <c r="C9" s="70"/>
      <c r="D9" s="71"/>
      <c r="E9" s="71"/>
      <c r="F9" s="71"/>
      <c r="G9" s="72"/>
      <c r="H9" s="72"/>
      <c r="I9" s="70"/>
      <c r="J9" s="70"/>
    </row>
    <row r="10" spans="1:16" ht="30.75" customHeight="1">
      <c r="A10" s="330" t="s">
        <v>38</v>
      </c>
      <c r="B10" s="331"/>
      <c r="C10" s="331"/>
      <c r="D10" s="331"/>
      <c r="E10" s="331"/>
      <c r="F10" s="331"/>
      <c r="G10" s="331"/>
      <c r="H10" s="331"/>
      <c r="I10" s="331"/>
      <c r="J10" s="332"/>
    </row>
    <row r="11" spans="1:16" ht="30.75" customHeight="1">
      <c r="A11" s="274" t="s">
        <v>307</v>
      </c>
      <c r="B11" s="275"/>
      <c r="C11" s="275"/>
      <c r="D11" s="275"/>
      <c r="E11" s="275"/>
      <c r="F11" s="275"/>
      <c r="G11" s="275"/>
      <c r="H11" s="275"/>
      <c r="I11" s="275"/>
      <c r="J11" s="289" t="s">
        <v>309</v>
      </c>
    </row>
    <row r="12" spans="1:16" ht="30.75" customHeight="1" thickBot="1">
      <c r="A12" s="73" t="s">
        <v>232</v>
      </c>
      <c r="B12" s="74"/>
      <c r="C12" s="74"/>
      <c r="D12" s="74"/>
      <c r="E12" s="74"/>
      <c r="F12" s="74"/>
      <c r="G12" s="75"/>
      <c r="H12" s="75"/>
      <c r="I12" s="74"/>
      <c r="J12" s="179" t="s">
        <v>115</v>
      </c>
      <c r="L12" t="s">
        <v>327</v>
      </c>
    </row>
    <row r="13" spans="1:16" ht="18" customHeight="1">
      <c r="A13" s="333" t="s">
        <v>39</v>
      </c>
      <c r="B13" s="335" t="s">
        <v>40</v>
      </c>
      <c r="C13" s="337" t="s">
        <v>7</v>
      </c>
      <c r="D13" s="337"/>
      <c r="E13" s="337"/>
      <c r="F13" s="338" t="s">
        <v>41</v>
      </c>
      <c r="G13" s="340" t="s">
        <v>42</v>
      </c>
      <c r="H13" s="340" t="s">
        <v>43</v>
      </c>
      <c r="I13" s="342" t="s">
        <v>44</v>
      </c>
      <c r="J13" s="343"/>
    </row>
    <row r="14" spans="1:16" ht="18" customHeight="1" thickBot="1">
      <c r="A14" s="334"/>
      <c r="B14" s="336"/>
      <c r="C14" s="76" t="s">
        <v>45</v>
      </c>
      <c r="D14" s="286" t="s">
        <v>46</v>
      </c>
      <c r="E14" s="286" t="s">
        <v>47</v>
      </c>
      <c r="F14" s="339"/>
      <c r="G14" s="341"/>
      <c r="H14" s="341"/>
      <c r="I14" s="344"/>
      <c r="J14" s="345"/>
      <c r="L14" s="78" t="s">
        <v>48</v>
      </c>
      <c r="M14" s="78" t="s">
        <v>49</v>
      </c>
      <c r="N14" s="78" t="s">
        <v>50</v>
      </c>
      <c r="O14" s="78" t="s">
        <v>51</v>
      </c>
    </row>
    <row r="15" spans="1:16" ht="18" customHeight="1">
      <c r="A15" s="79" t="s">
        <v>234</v>
      </c>
      <c r="B15" s="23" t="s">
        <v>195</v>
      </c>
      <c r="C15" s="24">
        <v>22</v>
      </c>
      <c r="D15" s="80">
        <v>761</v>
      </c>
      <c r="E15" s="80">
        <v>1810</v>
      </c>
      <c r="F15" s="89">
        <f>O15</f>
        <v>20</v>
      </c>
      <c r="G15" s="81">
        <f t="shared" ref="G15:G21" si="0">D15*E15/91809*F15</f>
        <v>300.05990698079711</v>
      </c>
      <c r="H15" s="81">
        <f t="shared" ref="H15:H21" si="1">(D15/1000)*4*F15+(E15/1000)*4*F15</f>
        <v>205.68</v>
      </c>
      <c r="I15" s="91" t="s">
        <v>233</v>
      </c>
      <c r="J15" s="92" t="s">
        <v>205</v>
      </c>
      <c r="L15" s="89">
        <v>2</v>
      </c>
      <c r="M15" s="78">
        <v>10</v>
      </c>
      <c r="N15" s="84"/>
      <c r="O15" s="78">
        <f>L15*M15-N15*L15</f>
        <v>20</v>
      </c>
      <c r="P15" s="64"/>
    </row>
    <row r="16" spans="1:16" ht="18" customHeight="1">
      <c r="A16" s="85"/>
      <c r="B16" s="86"/>
      <c r="C16" s="87"/>
      <c r="D16" s="88">
        <v>1688</v>
      </c>
      <c r="E16" s="88">
        <v>1810</v>
      </c>
      <c r="F16" s="89">
        <f t="shared" ref="F16:F21" si="2">O16</f>
        <v>10</v>
      </c>
      <c r="G16" s="90">
        <f t="shared" si="0"/>
        <v>332.78654598133079</v>
      </c>
      <c r="H16" s="90">
        <f t="shared" si="1"/>
        <v>139.92000000000002</v>
      </c>
      <c r="I16" s="91" t="str">
        <f>I15</f>
        <v>1동1,2라인</v>
      </c>
      <c r="J16" s="92" t="s">
        <v>206</v>
      </c>
      <c r="L16" s="89">
        <v>1</v>
      </c>
      <c r="M16" s="78">
        <f>M15</f>
        <v>10</v>
      </c>
      <c r="N16" s="84"/>
      <c r="O16" s="78">
        <f t="shared" ref="O16:O21" si="3">L16*M16-N16*L16</f>
        <v>10</v>
      </c>
    </row>
    <row r="17" spans="1:15" ht="18" customHeight="1">
      <c r="A17" s="85"/>
      <c r="B17" s="86"/>
      <c r="C17" s="87"/>
      <c r="D17" s="88">
        <v>738</v>
      </c>
      <c r="E17" s="88">
        <v>1310</v>
      </c>
      <c r="F17" s="89">
        <f t="shared" si="2"/>
        <v>40</v>
      </c>
      <c r="G17" s="90">
        <f t="shared" si="0"/>
        <v>421.2136065091658</v>
      </c>
      <c r="H17" s="90">
        <f t="shared" si="1"/>
        <v>327.68</v>
      </c>
      <c r="I17" s="91" t="str">
        <f t="shared" ref="I17:I21" si="4">I16</f>
        <v>1동1,2라인</v>
      </c>
      <c r="J17" s="92" t="s">
        <v>207</v>
      </c>
      <c r="L17" s="89">
        <v>4</v>
      </c>
      <c r="M17" s="78">
        <f t="shared" ref="M17:M20" si="5">M16</f>
        <v>10</v>
      </c>
      <c r="N17" s="78"/>
      <c r="O17" s="78">
        <f t="shared" si="3"/>
        <v>40</v>
      </c>
    </row>
    <row r="18" spans="1:15" ht="18" customHeight="1">
      <c r="A18" s="85"/>
      <c r="B18" s="86"/>
      <c r="C18" s="87"/>
      <c r="D18" s="88">
        <v>288</v>
      </c>
      <c r="E18" s="88">
        <v>910</v>
      </c>
      <c r="F18" s="89">
        <f t="shared" si="2"/>
        <v>20</v>
      </c>
      <c r="G18" s="90">
        <f t="shared" si="0"/>
        <v>57.09244191745907</v>
      </c>
      <c r="H18" s="90">
        <f t="shared" si="1"/>
        <v>95.84</v>
      </c>
      <c r="I18" s="91" t="str">
        <f t="shared" si="4"/>
        <v>1동1,2라인</v>
      </c>
      <c r="J18" s="92" t="s">
        <v>208</v>
      </c>
      <c r="L18" s="89">
        <v>2</v>
      </c>
      <c r="M18" s="78">
        <f t="shared" si="5"/>
        <v>10</v>
      </c>
      <c r="N18" s="78"/>
      <c r="O18" s="78">
        <f t="shared" si="3"/>
        <v>20</v>
      </c>
    </row>
    <row r="19" spans="1:15" ht="18" customHeight="1">
      <c r="A19" s="85"/>
      <c r="B19" s="86"/>
      <c r="C19" s="87"/>
      <c r="D19" s="88">
        <v>228</v>
      </c>
      <c r="E19" s="88">
        <v>910</v>
      </c>
      <c r="F19" s="89">
        <f t="shared" si="2"/>
        <v>20</v>
      </c>
      <c r="G19" s="90">
        <f t="shared" si="0"/>
        <v>45.1981831846551</v>
      </c>
      <c r="H19" s="90">
        <f t="shared" si="1"/>
        <v>91.039999999999992</v>
      </c>
      <c r="I19" s="91" t="str">
        <f t="shared" si="4"/>
        <v>1동1,2라인</v>
      </c>
      <c r="J19" s="92" t="s">
        <v>209</v>
      </c>
      <c r="L19" s="89">
        <v>2</v>
      </c>
      <c r="M19" s="78">
        <f t="shared" si="5"/>
        <v>10</v>
      </c>
      <c r="N19" s="78"/>
      <c r="O19" s="78">
        <f t="shared" si="3"/>
        <v>20</v>
      </c>
    </row>
    <row r="20" spans="1:15" ht="18" customHeight="1">
      <c r="A20" s="85"/>
      <c r="B20" s="86"/>
      <c r="C20" s="87"/>
      <c r="D20" s="88">
        <v>438</v>
      </c>
      <c r="E20" s="88">
        <v>270</v>
      </c>
      <c r="F20" s="89">
        <f t="shared" si="2"/>
        <v>20</v>
      </c>
      <c r="G20" s="90">
        <f t="shared" si="0"/>
        <v>25.762180178413882</v>
      </c>
      <c r="H20" s="90">
        <f t="shared" si="1"/>
        <v>56.64</v>
      </c>
      <c r="I20" s="91" t="str">
        <f t="shared" si="4"/>
        <v>1동1,2라인</v>
      </c>
      <c r="J20" s="92" t="s">
        <v>210</v>
      </c>
      <c r="L20" s="89">
        <v>2</v>
      </c>
      <c r="M20" s="78">
        <f t="shared" si="5"/>
        <v>10</v>
      </c>
      <c r="N20" s="78"/>
      <c r="O20" s="78">
        <f t="shared" si="3"/>
        <v>20</v>
      </c>
    </row>
    <row r="21" spans="1:15" ht="18" customHeight="1">
      <c r="A21" s="85"/>
      <c r="B21" s="86"/>
      <c r="C21" s="87"/>
      <c r="D21" s="88">
        <v>208</v>
      </c>
      <c r="E21" s="88">
        <v>910</v>
      </c>
      <c r="F21" s="89">
        <f t="shared" si="2"/>
        <v>20</v>
      </c>
      <c r="G21" s="90">
        <f t="shared" si="0"/>
        <v>41.233430273720444</v>
      </c>
      <c r="H21" s="90">
        <f t="shared" si="1"/>
        <v>89.44</v>
      </c>
      <c r="I21" s="91" t="str">
        <f t="shared" si="4"/>
        <v>1동1,2라인</v>
      </c>
      <c r="J21" s="92" t="s">
        <v>211</v>
      </c>
      <c r="L21" s="89">
        <v>2</v>
      </c>
      <c r="M21" s="78">
        <f>M20</f>
        <v>10</v>
      </c>
      <c r="N21" s="78"/>
      <c r="O21" s="78">
        <f t="shared" si="3"/>
        <v>20</v>
      </c>
    </row>
    <row r="22" spans="1:15" ht="18" customHeight="1">
      <c r="A22" s="85"/>
      <c r="B22" s="93"/>
      <c r="C22" s="87"/>
      <c r="D22" s="325" t="s">
        <v>0</v>
      </c>
      <c r="E22" s="325"/>
      <c r="F22" s="94">
        <f>SUM(F15:F21)</f>
        <v>150</v>
      </c>
      <c r="G22" s="95">
        <f>SUM(G15:G21)</f>
        <v>1223.3462950255423</v>
      </c>
      <c r="H22" s="96">
        <f>SUM(H15:H21)</f>
        <v>1006.24</v>
      </c>
      <c r="I22" s="97"/>
      <c r="J22" s="162"/>
    </row>
    <row r="23" spans="1:15" ht="18" customHeight="1">
      <c r="A23" s="85"/>
      <c r="B23" s="93"/>
      <c r="C23" s="87"/>
      <c r="D23" s="161"/>
      <c r="E23" s="161"/>
      <c r="F23" s="89"/>
      <c r="G23" s="100"/>
      <c r="H23" s="101"/>
      <c r="I23" s="102"/>
      <c r="J23" s="121"/>
      <c r="L23" s="78" t="s">
        <v>48</v>
      </c>
      <c r="M23" s="78" t="s">
        <v>54</v>
      </c>
      <c r="N23" s="78" t="s">
        <v>50</v>
      </c>
      <c r="O23" s="78" t="s">
        <v>55</v>
      </c>
    </row>
    <row r="24" spans="1:15" ht="18" customHeight="1">
      <c r="A24" s="85"/>
      <c r="B24" s="23" t="s">
        <v>197</v>
      </c>
      <c r="C24" s="24">
        <v>22</v>
      </c>
      <c r="D24" s="88">
        <v>761</v>
      </c>
      <c r="E24" s="88">
        <v>1810</v>
      </c>
      <c r="F24" s="89">
        <f t="shared" ref="F24:F30" si="6">O24</f>
        <v>20</v>
      </c>
      <c r="G24" s="90">
        <f t="shared" ref="G24:G30" si="7">D24*E24/91809*F24</f>
        <v>300.05990698079711</v>
      </c>
      <c r="H24" s="90">
        <f t="shared" ref="H24:H30" si="8">(D24/1000)*4*F24+(E24/1000)*4*F24</f>
        <v>205.68</v>
      </c>
      <c r="I24" s="91" t="str">
        <f t="shared" ref="I24:I30" si="9">I15</f>
        <v>1동1,2라인</v>
      </c>
      <c r="J24" s="92" t="s">
        <v>212</v>
      </c>
      <c r="L24" s="89">
        <v>2</v>
      </c>
      <c r="M24" s="78">
        <f>M15</f>
        <v>10</v>
      </c>
      <c r="N24" s="84"/>
      <c r="O24" s="78">
        <f>L24*M24-N24*L24</f>
        <v>20</v>
      </c>
    </row>
    <row r="25" spans="1:15" ht="18" customHeight="1">
      <c r="A25" s="85"/>
      <c r="B25" s="86"/>
      <c r="C25" s="87"/>
      <c r="D25" s="88">
        <v>1688</v>
      </c>
      <c r="E25" s="88">
        <v>1810</v>
      </c>
      <c r="F25" s="89">
        <f t="shared" si="6"/>
        <v>10</v>
      </c>
      <c r="G25" s="90">
        <f t="shared" si="7"/>
        <v>332.78654598133079</v>
      </c>
      <c r="H25" s="90">
        <f t="shared" si="8"/>
        <v>139.92000000000002</v>
      </c>
      <c r="I25" s="91" t="str">
        <f t="shared" si="9"/>
        <v>1동1,2라인</v>
      </c>
      <c r="J25" s="92" t="s">
        <v>213</v>
      </c>
      <c r="L25" s="89">
        <v>1</v>
      </c>
      <c r="M25" s="78">
        <f>M24</f>
        <v>10</v>
      </c>
      <c r="N25" s="84"/>
      <c r="O25" s="78">
        <f>L25*M25-N25*L25</f>
        <v>10</v>
      </c>
    </row>
    <row r="26" spans="1:15" ht="18" customHeight="1">
      <c r="A26" s="104"/>
      <c r="B26" s="93"/>
      <c r="C26" s="87"/>
      <c r="D26" s="88">
        <v>738</v>
      </c>
      <c r="E26" s="88">
        <v>1310</v>
      </c>
      <c r="F26" s="89">
        <f t="shared" si="6"/>
        <v>40</v>
      </c>
      <c r="G26" s="90">
        <f t="shared" si="7"/>
        <v>421.2136065091658</v>
      </c>
      <c r="H26" s="90">
        <f t="shared" si="8"/>
        <v>327.68</v>
      </c>
      <c r="I26" s="91" t="str">
        <f t="shared" si="9"/>
        <v>1동1,2라인</v>
      </c>
      <c r="J26" s="92" t="s">
        <v>214</v>
      </c>
      <c r="L26" s="89">
        <v>4</v>
      </c>
      <c r="M26" s="78">
        <f t="shared" ref="M26:M30" si="10">M25</f>
        <v>10</v>
      </c>
      <c r="N26" s="84"/>
      <c r="O26" s="78">
        <f t="shared" ref="O26:O30" si="11">L26*M26-N26*L26</f>
        <v>40</v>
      </c>
    </row>
    <row r="27" spans="1:15" ht="18" customHeight="1">
      <c r="A27" s="104"/>
      <c r="B27" s="93"/>
      <c r="C27" s="87"/>
      <c r="D27" s="88">
        <v>288</v>
      </c>
      <c r="E27" s="88">
        <v>910</v>
      </c>
      <c r="F27" s="89">
        <f t="shared" si="6"/>
        <v>20</v>
      </c>
      <c r="G27" s="90">
        <f t="shared" si="7"/>
        <v>57.09244191745907</v>
      </c>
      <c r="H27" s="90">
        <f t="shared" si="8"/>
        <v>95.84</v>
      </c>
      <c r="I27" s="91" t="str">
        <f t="shared" si="9"/>
        <v>1동1,2라인</v>
      </c>
      <c r="J27" s="92" t="s">
        <v>215</v>
      </c>
      <c r="L27" s="89">
        <v>2</v>
      </c>
      <c r="M27" s="78">
        <f t="shared" si="10"/>
        <v>10</v>
      </c>
      <c r="N27" s="78"/>
      <c r="O27" s="78">
        <f t="shared" si="11"/>
        <v>20</v>
      </c>
    </row>
    <row r="28" spans="1:15" ht="18" customHeight="1">
      <c r="A28" s="104"/>
      <c r="B28" s="93"/>
      <c r="C28" s="87"/>
      <c r="D28" s="88">
        <v>228</v>
      </c>
      <c r="E28" s="88">
        <v>910</v>
      </c>
      <c r="F28" s="89">
        <f t="shared" si="6"/>
        <v>20</v>
      </c>
      <c r="G28" s="90">
        <f t="shared" si="7"/>
        <v>45.1981831846551</v>
      </c>
      <c r="H28" s="90">
        <f t="shared" si="8"/>
        <v>91.039999999999992</v>
      </c>
      <c r="I28" s="91" t="str">
        <f t="shared" si="9"/>
        <v>1동1,2라인</v>
      </c>
      <c r="J28" s="92" t="s">
        <v>216</v>
      </c>
      <c r="L28" s="89">
        <v>2</v>
      </c>
      <c r="M28" s="78">
        <f t="shared" si="10"/>
        <v>10</v>
      </c>
      <c r="N28" s="78"/>
      <c r="O28" s="78">
        <f t="shared" si="11"/>
        <v>20</v>
      </c>
    </row>
    <row r="29" spans="1:15" ht="18" customHeight="1">
      <c r="A29" s="104"/>
      <c r="B29" s="93"/>
      <c r="C29" s="87"/>
      <c r="D29" s="88">
        <v>438</v>
      </c>
      <c r="E29" s="88">
        <v>270</v>
      </c>
      <c r="F29" s="89">
        <f t="shared" si="6"/>
        <v>20</v>
      </c>
      <c r="G29" s="90">
        <f t="shared" si="7"/>
        <v>25.762180178413882</v>
      </c>
      <c r="H29" s="90">
        <f t="shared" si="8"/>
        <v>56.64</v>
      </c>
      <c r="I29" s="91" t="str">
        <f t="shared" si="9"/>
        <v>1동1,2라인</v>
      </c>
      <c r="J29" s="92" t="s">
        <v>217</v>
      </c>
      <c r="L29" s="89">
        <v>2</v>
      </c>
      <c r="M29" s="78">
        <f t="shared" si="10"/>
        <v>10</v>
      </c>
      <c r="N29" s="78"/>
      <c r="O29" s="78">
        <f t="shared" si="11"/>
        <v>20</v>
      </c>
    </row>
    <row r="30" spans="1:15" ht="18" customHeight="1">
      <c r="A30" s="104"/>
      <c r="B30" s="93"/>
      <c r="C30" s="87"/>
      <c r="D30" s="88">
        <v>208</v>
      </c>
      <c r="E30" s="88">
        <v>910</v>
      </c>
      <c r="F30" s="89">
        <f t="shared" si="6"/>
        <v>20</v>
      </c>
      <c r="G30" s="90">
        <f t="shared" si="7"/>
        <v>41.233430273720444</v>
      </c>
      <c r="H30" s="90">
        <f t="shared" si="8"/>
        <v>89.44</v>
      </c>
      <c r="I30" s="91" t="str">
        <f t="shared" si="9"/>
        <v>1동1,2라인</v>
      </c>
      <c r="J30" s="92" t="s">
        <v>218</v>
      </c>
      <c r="L30" s="89">
        <v>2</v>
      </c>
      <c r="M30" s="78">
        <f t="shared" si="10"/>
        <v>10</v>
      </c>
      <c r="N30" s="78"/>
      <c r="O30" s="78">
        <f t="shared" si="11"/>
        <v>20</v>
      </c>
    </row>
    <row r="31" spans="1:15" ht="18" customHeight="1">
      <c r="A31" s="104"/>
      <c r="B31" s="87"/>
      <c r="C31" s="87"/>
      <c r="D31" s="325" t="s">
        <v>0</v>
      </c>
      <c r="E31" s="325"/>
      <c r="F31" s="171">
        <f>SUM(F24:F30)</f>
        <v>150</v>
      </c>
      <c r="G31" s="95">
        <f>SUM(G24:G30)</f>
        <v>1223.3462950255423</v>
      </c>
      <c r="H31" s="95">
        <f>SUM(H24:H30)</f>
        <v>1006.24</v>
      </c>
      <c r="I31" s="97"/>
      <c r="J31" s="98"/>
    </row>
    <row r="32" spans="1:15">
      <c r="A32" s="105"/>
      <c r="B32" s="9"/>
      <c r="C32" s="9"/>
      <c r="D32" s="51"/>
      <c r="E32" s="51"/>
      <c r="F32" s="51"/>
      <c r="G32" s="106"/>
      <c r="H32" s="106"/>
      <c r="I32" s="9"/>
      <c r="J32" s="107"/>
    </row>
    <row r="33" spans="1:16" ht="18" customHeight="1">
      <c r="A33" s="85"/>
      <c r="B33" s="163" t="s">
        <v>199</v>
      </c>
      <c r="C33" s="163">
        <v>22</v>
      </c>
      <c r="D33" s="88">
        <v>738</v>
      </c>
      <c r="E33" s="88">
        <v>1810</v>
      </c>
      <c r="F33" s="89">
        <f t="shared" ref="F33:F34" si="12">O33</f>
        <v>10</v>
      </c>
      <c r="G33" s="90">
        <f t="shared" ref="G33:G34" si="13">D33*E33/91809*F33</f>
        <v>145.4955396529752</v>
      </c>
      <c r="H33" s="90">
        <f t="shared" ref="H33:H34" si="14">(D33/1000)*4*F33+(E33/1000)*4*F33</f>
        <v>101.92</v>
      </c>
      <c r="I33" s="91" t="str">
        <f>I24</f>
        <v>1동1,2라인</v>
      </c>
      <c r="J33" s="92" t="s">
        <v>219</v>
      </c>
      <c r="L33" s="89">
        <v>2</v>
      </c>
      <c r="M33" s="78">
        <f>M15</f>
        <v>10</v>
      </c>
      <c r="N33" s="84">
        <v>5</v>
      </c>
      <c r="O33" s="78">
        <f>L33*M33-N33*L33</f>
        <v>10</v>
      </c>
      <c r="P33" s="64" t="s">
        <v>244</v>
      </c>
    </row>
    <row r="34" spans="1:16" ht="18" customHeight="1">
      <c r="A34" s="85"/>
      <c r="B34" s="86"/>
      <c r="C34" s="87"/>
      <c r="D34" s="88">
        <v>250</v>
      </c>
      <c r="E34" s="88">
        <v>930</v>
      </c>
      <c r="F34" s="89">
        <f t="shared" si="12"/>
        <v>20</v>
      </c>
      <c r="G34" s="90">
        <f t="shared" si="13"/>
        <v>50.648629219357574</v>
      </c>
      <c r="H34" s="90">
        <f t="shared" si="14"/>
        <v>94.4</v>
      </c>
      <c r="I34" s="91" t="str">
        <f>I33</f>
        <v>1동1,2라인</v>
      </c>
      <c r="J34" s="92" t="s">
        <v>220</v>
      </c>
      <c r="L34" s="89">
        <v>2</v>
      </c>
      <c r="M34" s="78">
        <f>M33</f>
        <v>10</v>
      </c>
      <c r="N34" s="84"/>
      <c r="O34" s="78">
        <f t="shared" ref="O34" si="15">L34*M34-N34*L34</f>
        <v>20</v>
      </c>
    </row>
    <row r="35" spans="1:16" ht="18" customHeight="1">
      <c r="A35" s="85"/>
      <c r="B35" s="93"/>
      <c r="C35" s="87"/>
      <c r="D35" s="325" t="s">
        <v>0</v>
      </c>
      <c r="E35" s="325"/>
      <c r="F35" s="94">
        <f>SUM(F33:F34)</f>
        <v>30</v>
      </c>
      <c r="G35" s="95">
        <f>SUM(G33:G34)</f>
        <v>196.14416887233278</v>
      </c>
      <c r="H35" s="95">
        <f>SUM(H33:H34)</f>
        <v>196.32</v>
      </c>
      <c r="I35" s="97"/>
      <c r="J35" s="98"/>
    </row>
    <row r="36" spans="1:16" ht="18" customHeight="1">
      <c r="A36" s="108"/>
      <c r="B36" s="164"/>
      <c r="C36" s="109"/>
      <c r="D36" s="287"/>
      <c r="E36" s="287"/>
      <c r="F36" s="110"/>
      <c r="G36" s="111"/>
      <c r="H36" s="111"/>
      <c r="I36" s="112"/>
      <c r="J36" s="113"/>
    </row>
    <row r="37" spans="1:16" ht="18" customHeight="1">
      <c r="A37" s="85" t="s">
        <v>235</v>
      </c>
      <c r="B37" s="23" t="s">
        <v>196</v>
      </c>
      <c r="C37" s="24">
        <v>22</v>
      </c>
      <c r="D37" s="88">
        <v>861</v>
      </c>
      <c r="E37" s="88">
        <v>1810</v>
      </c>
      <c r="F37" s="89">
        <f t="shared" ref="F37:F40" si="16">O37</f>
        <v>5</v>
      </c>
      <c r="G37" s="90">
        <f t="shared" ref="G37:G40" si="17">D37*E37/91809*F37</f>
        <v>84.872398130902198</v>
      </c>
      <c r="H37" s="90">
        <f t="shared" ref="H37:H40" si="18">(D37/1000)*4*F37+(E37/1000)*4*F37</f>
        <v>53.42</v>
      </c>
      <c r="I37" s="91" t="s">
        <v>239</v>
      </c>
      <c r="J37" s="92" t="s">
        <v>205</v>
      </c>
      <c r="L37" s="89">
        <v>1</v>
      </c>
      <c r="M37" s="78">
        <v>5</v>
      </c>
      <c r="N37" s="84"/>
      <c r="O37" s="78">
        <f>L37*M37-N37*L37</f>
        <v>5</v>
      </c>
      <c r="P37" s="64"/>
    </row>
    <row r="38" spans="1:16" ht="18" customHeight="1">
      <c r="A38" s="85"/>
      <c r="B38" s="86"/>
      <c r="C38" s="87"/>
      <c r="D38" s="88">
        <v>738</v>
      </c>
      <c r="E38" s="88">
        <v>1310</v>
      </c>
      <c r="F38" s="89">
        <f t="shared" si="16"/>
        <v>20</v>
      </c>
      <c r="G38" s="90">
        <f t="shared" si="17"/>
        <v>210.6068032545829</v>
      </c>
      <c r="H38" s="90">
        <f t="shared" si="18"/>
        <v>163.84</v>
      </c>
      <c r="I38" s="91" t="str">
        <f>I37</f>
        <v>1동3라인</v>
      </c>
      <c r="J38" s="92" t="s">
        <v>207</v>
      </c>
      <c r="L38" s="89">
        <v>4</v>
      </c>
      <c r="M38" s="78">
        <f>M37</f>
        <v>5</v>
      </c>
      <c r="N38" s="84"/>
      <c r="O38" s="78">
        <f t="shared" ref="O38:O40" si="19">L38*M38-N38*L38</f>
        <v>20</v>
      </c>
    </row>
    <row r="39" spans="1:16" ht="18" customHeight="1">
      <c r="A39" s="85"/>
      <c r="B39" s="86"/>
      <c r="C39" s="87"/>
      <c r="D39" s="88">
        <v>228</v>
      </c>
      <c r="E39" s="88">
        <v>910</v>
      </c>
      <c r="F39" s="89">
        <f t="shared" si="16"/>
        <v>10</v>
      </c>
      <c r="G39" s="90">
        <f t="shared" si="17"/>
        <v>22.59909159232755</v>
      </c>
      <c r="H39" s="90">
        <f t="shared" si="18"/>
        <v>45.519999999999996</v>
      </c>
      <c r="I39" s="91" t="str">
        <f t="shared" ref="I39:I40" si="20">I38</f>
        <v>1동3라인</v>
      </c>
      <c r="J39" s="92" t="s">
        <v>209</v>
      </c>
      <c r="L39" s="89">
        <v>2</v>
      </c>
      <c r="M39" s="78">
        <f t="shared" ref="M39:M40" si="21">M38</f>
        <v>5</v>
      </c>
      <c r="N39" s="78"/>
      <c r="O39" s="78">
        <f t="shared" si="19"/>
        <v>10</v>
      </c>
    </row>
    <row r="40" spans="1:16" ht="18" customHeight="1">
      <c r="A40" s="85"/>
      <c r="B40" s="86"/>
      <c r="C40" s="87"/>
      <c r="D40" s="88">
        <v>438</v>
      </c>
      <c r="E40" s="88">
        <v>270</v>
      </c>
      <c r="F40" s="89">
        <f t="shared" si="16"/>
        <v>10</v>
      </c>
      <c r="G40" s="90">
        <f t="shared" si="17"/>
        <v>12.881090089206941</v>
      </c>
      <c r="H40" s="90">
        <f t="shared" si="18"/>
        <v>28.32</v>
      </c>
      <c r="I40" s="91" t="str">
        <f t="shared" si="20"/>
        <v>1동3라인</v>
      </c>
      <c r="J40" s="92" t="s">
        <v>210</v>
      </c>
      <c r="L40" s="89">
        <v>2</v>
      </c>
      <c r="M40" s="78">
        <f t="shared" si="21"/>
        <v>5</v>
      </c>
      <c r="N40" s="78"/>
      <c r="O40" s="78">
        <f t="shared" si="19"/>
        <v>10</v>
      </c>
    </row>
    <row r="41" spans="1:16" ht="18" customHeight="1">
      <c r="A41" s="85"/>
      <c r="B41" s="93"/>
      <c r="C41" s="87"/>
      <c r="D41" s="325" t="s">
        <v>0</v>
      </c>
      <c r="E41" s="325"/>
      <c r="F41" s="94">
        <f>SUM(F37:F40)</f>
        <v>45</v>
      </c>
      <c r="G41" s="95">
        <f>SUM(G37:G40)</f>
        <v>330.95938306701964</v>
      </c>
      <c r="H41" s="96">
        <f>SUM(H37:H40)</f>
        <v>291.09999999999997</v>
      </c>
      <c r="I41" s="97"/>
      <c r="J41" s="162"/>
    </row>
    <row r="42" spans="1:16" ht="18" customHeight="1">
      <c r="A42" s="85"/>
      <c r="B42" s="93"/>
      <c r="C42" s="87"/>
      <c r="D42" s="161"/>
      <c r="E42" s="161"/>
      <c r="F42" s="89"/>
      <c r="G42" s="100"/>
      <c r="H42" s="101"/>
      <c r="I42" s="102"/>
      <c r="J42" s="121"/>
      <c r="L42" s="252"/>
      <c r="M42" s="252"/>
      <c r="N42" s="252"/>
      <c r="O42" s="252"/>
    </row>
    <row r="43" spans="1:16" ht="18" customHeight="1">
      <c r="A43" s="85"/>
      <c r="B43" s="23" t="s">
        <v>198</v>
      </c>
      <c r="C43" s="24">
        <v>22</v>
      </c>
      <c r="D43" s="88">
        <v>861</v>
      </c>
      <c r="E43" s="88">
        <v>1810</v>
      </c>
      <c r="F43" s="89">
        <f t="shared" ref="F43:F47" si="22">O43</f>
        <v>5</v>
      </c>
      <c r="G43" s="90">
        <f t="shared" ref="G43:G47" si="23">D43*E43/91809*F43</f>
        <v>84.872398130902198</v>
      </c>
      <c r="H43" s="90">
        <f t="shared" ref="H43:H47" si="24">(D43/1000)*4*F43+(E43/1000)*4*F43</f>
        <v>53.42</v>
      </c>
      <c r="I43" s="103" t="str">
        <f>I37</f>
        <v>1동3라인</v>
      </c>
      <c r="J43" s="92" t="s">
        <v>212</v>
      </c>
      <c r="L43" s="89">
        <v>1</v>
      </c>
      <c r="M43" s="78">
        <f>M37</f>
        <v>5</v>
      </c>
      <c r="N43" s="84"/>
      <c r="O43" s="78">
        <f>L43*M43-N43*L43</f>
        <v>5</v>
      </c>
    </row>
    <row r="44" spans="1:16" ht="18" customHeight="1">
      <c r="A44" s="85"/>
      <c r="B44" s="86"/>
      <c r="C44" s="87"/>
      <c r="D44" s="88">
        <v>2114</v>
      </c>
      <c r="E44" s="88">
        <v>1810</v>
      </c>
      <c r="F44" s="89">
        <f t="shared" si="22"/>
        <v>5</v>
      </c>
      <c r="G44" s="90">
        <f t="shared" si="23"/>
        <v>208.38588809375989</v>
      </c>
      <c r="H44" s="90">
        <f t="shared" si="24"/>
        <v>78.48</v>
      </c>
      <c r="I44" s="91" t="str">
        <f>I37</f>
        <v>1동3라인</v>
      </c>
      <c r="J44" s="92" t="s">
        <v>213</v>
      </c>
      <c r="L44" s="89">
        <v>1</v>
      </c>
      <c r="M44" s="78">
        <f>M43</f>
        <v>5</v>
      </c>
      <c r="N44" s="84"/>
      <c r="O44" s="78">
        <f>L44*M44-N44*L44</f>
        <v>5</v>
      </c>
    </row>
    <row r="45" spans="1:16" ht="18" customHeight="1">
      <c r="A45" s="104"/>
      <c r="B45" s="93"/>
      <c r="C45" s="87"/>
      <c r="D45" s="88">
        <v>738</v>
      </c>
      <c r="E45" s="88">
        <v>1310</v>
      </c>
      <c r="F45" s="89">
        <f t="shared" si="22"/>
        <v>20</v>
      </c>
      <c r="G45" s="90">
        <f t="shared" si="23"/>
        <v>210.6068032545829</v>
      </c>
      <c r="H45" s="90">
        <f t="shared" si="24"/>
        <v>163.84</v>
      </c>
      <c r="I45" s="91" t="str">
        <f>I44</f>
        <v>1동3라인</v>
      </c>
      <c r="J45" s="92" t="s">
        <v>214</v>
      </c>
      <c r="L45" s="89">
        <v>4</v>
      </c>
      <c r="M45" s="78">
        <f t="shared" ref="M45:M47" si="25">M44</f>
        <v>5</v>
      </c>
      <c r="N45" s="84"/>
      <c r="O45" s="78">
        <f t="shared" ref="O45:O47" si="26">L45*M45-N45*L45</f>
        <v>20</v>
      </c>
    </row>
    <row r="46" spans="1:16" ht="18" customHeight="1">
      <c r="A46" s="104"/>
      <c r="B46" s="93"/>
      <c r="C46" s="87"/>
      <c r="D46" s="88">
        <v>228</v>
      </c>
      <c r="E46" s="88">
        <v>910</v>
      </c>
      <c r="F46" s="89">
        <f t="shared" si="22"/>
        <v>10</v>
      </c>
      <c r="G46" s="90">
        <f t="shared" si="23"/>
        <v>22.59909159232755</v>
      </c>
      <c r="H46" s="90">
        <f t="shared" si="24"/>
        <v>45.519999999999996</v>
      </c>
      <c r="I46" s="91" t="str">
        <f t="shared" ref="I46:I47" si="27">I45</f>
        <v>1동3라인</v>
      </c>
      <c r="J46" s="92" t="s">
        <v>216</v>
      </c>
      <c r="L46" s="89">
        <v>2</v>
      </c>
      <c r="M46" s="78">
        <f t="shared" si="25"/>
        <v>5</v>
      </c>
      <c r="N46" s="78"/>
      <c r="O46" s="78">
        <f t="shared" si="26"/>
        <v>10</v>
      </c>
    </row>
    <row r="47" spans="1:16" ht="18" customHeight="1">
      <c r="A47" s="104"/>
      <c r="B47" s="93"/>
      <c r="C47" s="87"/>
      <c r="D47" s="88">
        <v>438</v>
      </c>
      <c r="E47" s="88">
        <v>270</v>
      </c>
      <c r="F47" s="89">
        <f t="shared" si="22"/>
        <v>10</v>
      </c>
      <c r="G47" s="90">
        <f t="shared" si="23"/>
        <v>12.881090089206941</v>
      </c>
      <c r="H47" s="90">
        <f t="shared" si="24"/>
        <v>28.32</v>
      </c>
      <c r="I47" s="91" t="str">
        <f t="shared" si="27"/>
        <v>1동3라인</v>
      </c>
      <c r="J47" s="92" t="s">
        <v>217</v>
      </c>
      <c r="L47" s="89">
        <v>2</v>
      </c>
      <c r="M47" s="78">
        <f t="shared" si="25"/>
        <v>5</v>
      </c>
      <c r="N47" s="78"/>
      <c r="O47" s="78">
        <f t="shared" si="26"/>
        <v>10</v>
      </c>
    </row>
    <row r="48" spans="1:16" ht="18" customHeight="1">
      <c r="A48" s="104"/>
      <c r="B48" s="87"/>
      <c r="C48" s="87"/>
      <c r="D48" s="325" t="s">
        <v>0</v>
      </c>
      <c r="E48" s="325"/>
      <c r="F48" s="171">
        <f>SUM(F43:F47)</f>
        <v>50</v>
      </c>
      <c r="G48" s="95">
        <f>SUM(G43:G47)</f>
        <v>539.34527116077948</v>
      </c>
      <c r="H48" s="95">
        <f>SUM(H43:H47)</f>
        <v>369.58</v>
      </c>
      <c r="I48" s="97"/>
      <c r="J48" s="98"/>
    </row>
    <row r="49" spans="1:16">
      <c r="A49" s="105"/>
      <c r="B49" s="9"/>
      <c r="C49" s="9"/>
      <c r="D49" s="51"/>
      <c r="E49" s="51"/>
      <c r="F49" s="51"/>
      <c r="G49" s="106"/>
      <c r="H49" s="106"/>
      <c r="I49" s="9"/>
      <c r="J49" s="107"/>
    </row>
    <row r="50" spans="1:16" ht="18" customHeight="1">
      <c r="A50" s="85"/>
      <c r="B50" s="23" t="s">
        <v>237</v>
      </c>
      <c r="C50" s="24">
        <v>22</v>
      </c>
      <c r="D50" s="88">
        <v>2114</v>
      </c>
      <c r="E50" s="88">
        <v>1810</v>
      </c>
      <c r="F50" s="89">
        <f t="shared" ref="F50" si="28">O50</f>
        <v>5</v>
      </c>
      <c r="G50" s="90">
        <f t="shared" ref="G50" si="29">D50*E50/91809*F50</f>
        <v>208.38588809375989</v>
      </c>
      <c r="H50" s="90">
        <f t="shared" ref="H50" si="30">(D50/1000)*4*F50+(E50/1000)*4*F50</f>
        <v>78.48</v>
      </c>
      <c r="I50" s="91" t="str">
        <f>I43</f>
        <v>1동3라인</v>
      </c>
      <c r="J50" s="92" t="s">
        <v>206</v>
      </c>
      <c r="L50" s="89">
        <v>1</v>
      </c>
      <c r="M50" s="78">
        <f>M37</f>
        <v>5</v>
      </c>
      <c r="N50" s="84"/>
      <c r="O50" s="78">
        <f>L50*M50-N50*L50</f>
        <v>5</v>
      </c>
    </row>
    <row r="51" spans="1:16" ht="18" customHeight="1">
      <c r="A51" s="85"/>
      <c r="B51" s="93"/>
      <c r="C51" s="87"/>
      <c r="D51" s="325" t="s">
        <v>0</v>
      </c>
      <c r="E51" s="325"/>
      <c r="F51" s="94">
        <f>SUM(F50:F50)</f>
        <v>5</v>
      </c>
      <c r="G51" s="95">
        <f>SUM(G50:G50)</f>
        <v>208.38588809375989</v>
      </c>
      <c r="H51" s="95">
        <f>SUM(H50:H50)</f>
        <v>78.48</v>
      </c>
      <c r="I51" s="97"/>
      <c r="J51" s="98"/>
    </row>
    <row r="52" spans="1:16" ht="18" customHeight="1">
      <c r="A52" s="218"/>
      <c r="B52" s="219"/>
      <c r="C52" s="220"/>
      <c r="D52" s="161"/>
      <c r="E52" s="161"/>
      <c r="F52" s="89"/>
      <c r="G52" s="100"/>
      <c r="H52" s="100"/>
      <c r="I52" s="102"/>
      <c r="J52" s="221"/>
    </row>
    <row r="53" spans="1:16" ht="18" customHeight="1">
      <c r="A53" s="85"/>
      <c r="B53" s="23" t="s">
        <v>200</v>
      </c>
      <c r="C53" s="24">
        <v>22</v>
      </c>
      <c r="D53" s="88">
        <v>738</v>
      </c>
      <c r="E53" s="88">
        <v>1810</v>
      </c>
      <c r="F53" s="89">
        <f t="shared" ref="F53:F54" si="31">O53</f>
        <v>10</v>
      </c>
      <c r="G53" s="90">
        <f t="shared" ref="G53:G54" si="32">D53*E53/91809*F53</f>
        <v>145.4955396529752</v>
      </c>
      <c r="H53" s="90">
        <f t="shared" ref="H53:H54" si="33">(D53/1000)*4*F53+(E53/1000)*4*F53</f>
        <v>101.92</v>
      </c>
      <c r="I53" s="91" t="str">
        <f>I50</f>
        <v>1동3라인</v>
      </c>
      <c r="J53" s="92" t="s">
        <v>219</v>
      </c>
      <c r="L53" s="89">
        <v>2</v>
      </c>
      <c r="M53" s="78">
        <f>M50</f>
        <v>5</v>
      </c>
      <c r="N53" s="84"/>
      <c r="O53" s="78">
        <f>L53*M53-N53*L53</f>
        <v>10</v>
      </c>
      <c r="P53" s="64"/>
    </row>
    <row r="54" spans="1:16" ht="18" customHeight="1">
      <c r="A54" s="85"/>
      <c r="B54" s="86"/>
      <c r="C54" s="87"/>
      <c r="D54" s="88">
        <v>250</v>
      </c>
      <c r="E54" s="88">
        <v>930</v>
      </c>
      <c r="F54" s="89">
        <f t="shared" si="31"/>
        <v>10</v>
      </c>
      <c r="G54" s="90">
        <f t="shared" si="32"/>
        <v>25.324314609678787</v>
      </c>
      <c r="H54" s="90">
        <f t="shared" si="33"/>
        <v>47.2</v>
      </c>
      <c r="I54" s="91" t="str">
        <f>I53</f>
        <v>1동3라인</v>
      </c>
      <c r="J54" s="92" t="s">
        <v>220</v>
      </c>
      <c r="L54" s="89">
        <v>2</v>
      </c>
      <c r="M54" s="78">
        <f>M53</f>
        <v>5</v>
      </c>
      <c r="N54" s="84"/>
      <c r="O54" s="78">
        <f t="shared" ref="O54" si="34">L54*M54-N54*L54</f>
        <v>10</v>
      </c>
    </row>
    <row r="55" spans="1:16" ht="18" customHeight="1">
      <c r="A55" s="85"/>
      <c r="B55" s="93"/>
      <c r="C55" s="87"/>
      <c r="D55" s="325" t="s">
        <v>0</v>
      </c>
      <c r="E55" s="325"/>
      <c r="F55" s="94">
        <f>SUM(F53:F54)</f>
        <v>20</v>
      </c>
      <c r="G55" s="95">
        <f>SUM(G53:G54)</f>
        <v>170.81985426265399</v>
      </c>
      <c r="H55" s="96">
        <f>SUM(H53:H54)</f>
        <v>149.12</v>
      </c>
      <c r="I55" s="97"/>
      <c r="J55" s="162"/>
    </row>
    <row r="56" spans="1:16" ht="18" customHeight="1" thickBot="1">
      <c r="A56" s="222"/>
      <c r="B56" s="223"/>
      <c r="C56" s="224"/>
      <c r="D56" s="225"/>
      <c r="E56" s="225"/>
      <c r="F56" s="226"/>
      <c r="G56" s="227"/>
      <c r="H56" s="228"/>
      <c r="I56" s="229"/>
      <c r="J56" s="230"/>
      <c r="L56" s="78" t="s">
        <v>48</v>
      </c>
      <c r="M56" s="78" t="s">
        <v>49</v>
      </c>
      <c r="N56" s="78" t="s">
        <v>50</v>
      </c>
      <c r="O56" s="78" t="s">
        <v>55</v>
      </c>
    </row>
    <row r="57" spans="1:16" ht="18" customHeight="1">
      <c r="A57" s="79" t="s">
        <v>234</v>
      </c>
      <c r="B57" s="231" t="s">
        <v>195</v>
      </c>
      <c r="C57" s="232">
        <v>22</v>
      </c>
      <c r="D57" s="80">
        <v>761</v>
      </c>
      <c r="E57" s="80">
        <v>1810</v>
      </c>
      <c r="F57" s="233">
        <f>O57</f>
        <v>10</v>
      </c>
      <c r="G57" s="81">
        <f t="shared" ref="G57:G63" si="35">D57*E57/91809*F57</f>
        <v>150.02995349039855</v>
      </c>
      <c r="H57" s="81">
        <f t="shared" ref="H57:H63" si="36">(D57/1000)*4*F57+(E57/1000)*4*F57</f>
        <v>102.84</v>
      </c>
      <c r="I57" s="82" t="s">
        <v>240</v>
      </c>
      <c r="J57" s="83" t="s">
        <v>205</v>
      </c>
      <c r="L57" s="89">
        <v>2</v>
      </c>
      <c r="M57" s="78">
        <v>5</v>
      </c>
      <c r="N57" s="84"/>
      <c r="O57" s="78">
        <f>L57*M57-N57*L57</f>
        <v>10</v>
      </c>
      <c r="P57" s="64"/>
    </row>
    <row r="58" spans="1:16" ht="18" customHeight="1">
      <c r="A58" s="85"/>
      <c r="B58" s="86"/>
      <c r="C58" s="87"/>
      <c r="D58" s="88">
        <v>1688</v>
      </c>
      <c r="E58" s="88">
        <v>1810</v>
      </c>
      <c r="F58" s="89">
        <f t="shared" ref="F58:F63" si="37">O58</f>
        <v>5</v>
      </c>
      <c r="G58" s="90">
        <f t="shared" si="35"/>
        <v>166.39327299066539</v>
      </c>
      <c r="H58" s="90">
        <f t="shared" si="36"/>
        <v>69.960000000000008</v>
      </c>
      <c r="I58" s="91" t="str">
        <f>I57</f>
        <v>1동4라인</v>
      </c>
      <c r="J58" s="92" t="s">
        <v>206</v>
      </c>
      <c r="L58" s="89">
        <v>1</v>
      </c>
      <c r="M58" s="78">
        <f>M57</f>
        <v>5</v>
      </c>
      <c r="N58" s="84"/>
      <c r="O58" s="78">
        <f t="shared" ref="O58:O63" si="38">L58*M58-N58*L58</f>
        <v>5</v>
      </c>
    </row>
    <row r="59" spans="1:16" ht="18" customHeight="1">
      <c r="A59" s="85"/>
      <c r="B59" s="86"/>
      <c r="C59" s="87"/>
      <c r="D59" s="88">
        <v>738</v>
      </c>
      <c r="E59" s="88">
        <v>1310</v>
      </c>
      <c r="F59" s="89">
        <f t="shared" si="37"/>
        <v>20</v>
      </c>
      <c r="G59" s="90">
        <f t="shared" si="35"/>
        <v>210.6068032545829</v>
      </c>
      <c r="H59" s="90">
        <f t="shared" si="36"/>
        <v>163.84</v>
      </c>
      <c r="I59" s="91" t="str">
        <f t="shared" ref="I59:I63" si="39">I58</f>
        <v>1동4라인</v>
      </c>
      <c r="J59" s="92" t="s">
        <v>207</v>
      </c>
      <c r="L59" s="89">
        <v>4</v>
      </c>
      <c r="M59" s="78">
        <f t="shared" ref="M59:M62" si="40">M58</f>
        <v>5</v>
      </c>
      <c r="N59" s="78"/>
      <c r="O59" s="78">
        <f t="shared" si="38"/>
        <v>20</v>
      </c>
    </row>
    <row r="60" spans="1:16" ht="18" customHeight="1">
      <c r="A60" s="85"/>
      <c r="B60" s="86"/>
      <c r="C60" s="87"/>
      <c r="D60" s="88">
        <v>288</v>
      </c>
      <c r="E60" s="88">
        <v>910</v>
      </c>
      <c r="F60" s="89">
        <f t="shared" si="37"/>
        <v>10</v>
      </c>
      <c r="G60" s="90">
        <f t="shared" si="35"/>
        <v>28.546220958729535</v>
      </c>
      <c r="H60" s="90">
        <f t="shared" si="36"/>
        <v>47.92</v>
      </c>
      <c r="I60" s="91" t="str">
        <f t="shared" si="39"/>
        <v>1동4라인</v>
      </c>
      <c r="J60" s="92" t="s">
        <v>208</v>
      </c>
      <c r="L60" s="89">
        <v>2</v>
      </c>
      <c r="M60" s="78">
        <f t="shared" si="40"/>
        <v>5</v>
      </c>
      <c r="N60" s="78"/>
      <c r="O60" s="78">
        <f t="shared" si="38"/>
        <v>10</v>
      </c>
    </row>
    <row r="61" spans="1:16" ht="18" customHeight="1">
      <c r="A61" s="85"/>
      <c r="B61" s="86"/>
      <c r="C61" s="87"/>
      <c r="D61" s="88">
        <v>228</v>
      </c>
      <c r="E61" s="88">
        <v>910</v>
      </c>
      <c r="F61" s="89">
        <f t="shared" si="37"/>
        <v>10</v>
      </c>
      <c r="G61" s="90">
        <f t="shared" si="35"/>
        <v>22.59909159232755</v>
      </c>
      <c r="H61" s="90">
        <f t="shared" si="36"/>
        <v>45.519999999999996</v>
      </c>
      <c r="I61" s="91" t="str">
        <f t="shared" si="39"/>
        <v>1동4라인</v>
      </c>
      <c r="J61" s="92" t="s">
        <v>209</v>
      </c>
      <c r="L61" s="89">
        <v>2</v>
      </c>
      <c r="M61" s="78">
        <f t="shared" si="40"/>
        <v>5</v>
      </c>
      <c r="N61" s="78"/>
      <c r="O61" s="78">
        <f t="shared" si="38"/>
        <v>10</v>
      </c>
    </row>
    <row r="62" spans="1:16" ht="18" customHeight="1">
      <c r="A62" s="85"/>
      <c r="B62" s="86"/>
      <c r="C62" s="87"/>
      <c r="D62" s="88">
        <v>438</v>
      </c>
      <c r="E62" s="88">
        <v>270</v>
      </c>
      <c r="F62" s="89">
        <f t="shared" si="37"/>
        <v>10</v>
      </c>
      <c r="G62" s="90">
        <f t="shared" si="35"/>
        <v>12.881090089206941</v>
      </c>
      <c r="H62" s="90">
        <f t="shared" si="36"/>
        <v>28.32</v>
      </c>
      <c r="I62" s="91" t="str">
        <f t="shared" si="39"/>
        <v>1동4라인</v>
      </c>
      <c r="J62" s="92" t="s">
        <v>210</v>
      </c>
      <c r="L62" s="89">
        <v>2</v>
      </c>
      <c r="M62" s="78">
        <f t="shared" si="40"/>
        <v>5</v>
      </c>
      <c r="N62" s="78"/>
      <c r="O62" s="78">
        <f t="shared" si="38"/>
        <v>10</v>
      </c>
    </row>
    <row r="63" spans="1:16" ht="18" customHeight="1">
      <c r="A63" s="85"/>
      <c r="B63" s="86"/>
      <c r="C63" s="87"/>
      <c r="D63" s="88">
        <v>208</v>
      </c>
      <c r="E63" s="88">
        <v>910</v>
      </c>
      <c r="F63" s="89">
        <f t="shared" si="37"/>
        <v>10</v>
      </c>
      <c r="G63" s="90">
        <f t="shared" si="35"/>
        <v>20.616715136860222</v>
      </c>
      <c r="H63" s="90">
        <f t="shared" si="36"/>
        <v>44.72</v>
      </c>
      <c r="I63" s="91" t="str">
        <f t="shared" si="39"/>
        <v>1동4라인</v>
      </c>
      <c r="J63" s="92" t="s">
        <v>211</v>
      </c>
      <c r="L63" s="89">
        <v>2</v>
      </c>
      <c r="M63" s="78">
        <f>M62</f>
        <v>5</v>
      </c>
      <c r="N63" s="78"/>
      <c r="O63" s="78">
        <f t="shared" si="38"/>
        <v>10</v>
      </c>
    </row>
    <row r="64" spans="1:16" ht="18" customHeight="1">
      <c r="A64" s="85"/>
      <c r="B64" s="93"/>
      <c r="C64" s="87"/>
      <c r="D64" s="325" t="s">
        <v>0</v>
      </c>
      <c r="E64" s="325"/>
      <c r="F64" s="94">
        <f>SUM(F57:F63)</f>
        <v>75</v>
      </c>
      <c r="G64" s="95">
        <f>SUM(G57:G63)</f>
        <v>611.67314751277115</v>
      </c>
      <c r="H64" s="96">
        <f>SUM(H57:H63)</f>
        <v>503.12</v>
      </c>
      <c r="I64" s="97"/>
      <c r="J64" s="162"/>
    </row>
    <row r="65" spans="1:16" ht="18" customHeight="1">
      <c r="A65" s="85"/>
      <c r="B65" s="93"/>
      <c r="C65" s="87"/>
      <c r="D65" s="161"/>
      <c r="E65" s="161"/>
      <c r="F65" s="89"/>
      <c r="G65" s="100"/>
      <c r="H65" s="101"/>
      <c r="I65" s="102"/>
      <c r="J65" s="121"/>
      <c r="L65" s="78" t="s">
        <v>48</v>
      </c>
      <c r="M65" s="78" t="s">
        <v>54</v>
      </c>
      <c r="N65" s="78" t="s">
        <v>50</v>
      </c>
      <c r="O65" s="78" t="s">
        <v>55</v>
      </c>
    </row>
    <row r="66" spans="1:16" ht="18" customHeight="1">
      <c r="A66" s="85"/>
      <c r="B66" s="23" t="s">
        <v>197</v>
      </c>
      <c r="C66" s="24">
        <v>22</v>
      </c>
      <c r="D66" s="88">
        <v>761</v>
      </c>
      <c r="E66" s="88">
        <v>1810</v>
      </c>
      <c r="F66" s="89">
        <f t="shared" ref="F66:F72" si="41">O66</f>
        <v>10</v>
      </c>
      <c r="G66" s="90">
        <f t="shared" ref="G66:G72" si="42">D66*E66/91809*F66</f>
        <v>150.02995349039855</v>
      </c>
      <c r="H66" s="90">
        <f t="shared" ref="H66:H72" si="43">(D66/1000)*4*F66+(E66/1000)*4*F66</f>
        <v>102.84</v>
      </c>
      <c r="I66" s="91" t="str">
        <f t="shared" ref="I66:I72" si="44">I57</f>
        <v>1동4라인</v>
      </c>
      <c r="J66" s="92" t="s">
        <v>212</v>
      </c>
      <c r="L66" s="89">
        <v>2</v>
      </c>
      <c r="M66" s="78">
        <f>M57</f>
        <v>5</v>
      </c>
      <c r="N66" s="84"/>
      <c r="O66" s="78">
        <f>L66*M66-N66*L66</f>
        <v>10</v>
      </c>
    </row>
    <row r="67" spans="1:16" ht="18" customHeight="1">
      <c r="A67" s="85"/>
      <c r="B67" s="86"/>
      <c r="C67" s="87"/>
      <c r="D67" s="88">
        <v>1688</v>
      </c>
      <c r="E67" s="88">
        <v>1810</v>
      </c>
      <c r="F67" s="89">
        <f t="shared" si="41"/>
        <v>5</v>
      </c>
      <c r="G67" s="90">
        <f t="shared" si="42"/>
        <v>166.39327299066539</v>
      </c>
      <c r="H67" s="90">
        <f t="shared" si="43"/>
        <v>69.960000000000008</v>
      </c>
      <c r="I67" s="91" t="str">
        <f t="shared" si="44"/>
        <v>1동4라인</v>
      </c>
      <c r="J67" s="92" t="s">
        <v>213</v>
      </c>
      <c r="L67" s="89">
        <v>1</v>
      </c>
      <c r="M67" s="78">
        <f>M66</f>
        <v>5</v>
      </c>
      <c r="N67" s="84"/>
      <c r="O67" s="78">
        <f>L67*M67-N67*L67</f>
        <v>5</v>
      </c>
    </row>
    <row r="68" spans="1:16" ht="18" customHeight="1">
      <c r="A68" s="104"/>
      <c r="B68" s="93"/>
      <c r="C68" s="87"/>
      <c r="D68" s="88">
        <v>738</v>
      </c>
      <c r="E68" s="88">
        <v>1310</v>
      </c>
      <c r="F68" s="89">
        <f t="shared" si="41"/>
        <v>20</v>
      </c>
      <c r="G68" s="90">
        <f t="shared" si="42"/>
        <v>210.6068032545829</v>
      </c>
      <c r="H68" s="90">
        <f t="shared" si="43"/>
        <v>163.84</v>
      </c>
      <c r="I68" s="91" t="str">
        <f t="shared" si="44"/>
        <v>1동4라인</v>
      </c>
      <c r="J68" s="92" t="s">
        <v>214</v>
      </c>
      <c r="L68" s="89">
        <v>4</v>
      </c>
      <c r="M68" s="78">
        <f t="shared" ref="M68:M72" si="45">M67</f>
        <v>5</v>
      </c>
      <c r="N68" s="84"/>
      <c r="O68" s="78">
        <f t="shared" ref="O68:O72" si="46">L68*M68-N68*L68</f>
        <v>20</v>
      </c>
    </row>
    <row r="69" spans="1:16" ht="18" customHeight="1">
      <c r="A69" s="104"/>
      <c r="B69" s="93"/>
      <c r="C69" s="87"/>
      <c r="D69" s="88">
        <v>288</v>
      </c>
      <c r="E69" s="88">
        <v>910</v>
      </c>
      <c r="F69" s="89">
        <f t="shared" si="41"/>
        <v>10</v>
      </c>
      <c r="G69" s="90">
        <f t="shared" si="42"/>
        <v>28.546220958729535</v>
      </c>
      <c r="H69" s="90">
        <f t="shared" si="43"/>
        <v>47.92</v>
      </c>
      <c r="I69" s="91" t="str">
        <f t="shared" si="44"/>
        <v>1동4라인</v>
      </c>
      <c r="J69" s="92" t="s">
        <v>215</v>
      </c>
      <c r="L69" s="89">
        <v>2</v>
      </c>
      <c r="M69" s="78">
        <f t="shared" si="45"/>
        <v>5</v>
      </c>
      <c r="N69" s="78"/>
      <c r="O69" s="78">
        <f t="shared" si="46"/>
        <v>10</v>
      </c>
    </row>
    <row r="70" spans="1:16" ht="18" customHeight="1">
      <c r="A70" s="104"/>
      <c r="B70" s="93"/>
      <c r="C70" s="87"/>
      <c r="D70" s="88">
        <v>228</v>
      </c>
      <c r="E70" s="88">
        <v>910</v>
      </c>
      <c r="F70" s="89">
        <f t="shared" si="41"/>
        <v>10</v>
      </c>
      <c r="G70" s="90">
        <f t="shared" si="42"/>
        <v>22.59909159232755</v>
      </c>
      <c r="H70" s="90">
        <f t="shared" si="43"/>
        <v>45.519999999999996</v>
      </c>
      <c r="I70" s="91" t="str">
        <f t="shared" si="44"/>
        <v>1동4라인</v>
      </c>
      <c r="J70" s="92" t="s">
        <v>216</v>
      </c>
      <c r="L70" s="89">
        <v>2</v>
      </c>
      <c r="M70" s="78">
        <f t="shared" si="45"/>
        <v>5</v>
      </c>
      <c r="N70" s="78"/>
      <c r="O70" s="78">
        <f t="shared" si="46"/>
        <v>10</v>
      </c>
    </row>
    <row r="71" spans="1:16" ht="18" customHeight="1">
      <c r="A71" s="104"/>
      <c r="B71" s="93"/>
      <c r="C71" s="87"/>
      <c r="D71" s="88">
        <v>438</v>
      </c>
      <c r="E71" s="88">
        <v>270</v>
      </c>
      <c r="F71" s="89">
        <f t="shared" si="41"/>
        <v>10</v>
      </c>
      <c r="G71" s="90">
        <f t="shared" si="42"/>
        <v>12.881090089206941</v>
      </c>
      <c r="H71" s="90">
        <f t="shared" si="43"/>
        <v>28.32</v>
      </c>
      <c r="I71" s="91" t="str">
        <f t="shared" si="44"/>
        <v>1동4라인</v>
      </c>
      <c r="J71" s="92" t="s">
        <v>217</v>
      </c>
      <c r="L71" s="89">
        <v>2</v>
      </c>
      <c r="M71" s="78">
        <f t="shared" si="45"/>
        <v>5</v>
      </c>
      <c r="N71" s="78"/>
      <c r="O71" s="78">
        <f t="shared" si="46"/>
        <v>10</v>
      </c>
    </row>
    <row r="72" spans="1:16" ht="18" customHeight="1">
      <c r="A72" s="104"/>
      <c r="B72" s="93"/>
      <c r="C72" s="87"/>
      <c r="D72" s="88">
        <v>208</v>
      </c>
      <c r="E72" s="88">
        <v>910</v>
      </c>
      <c r="F72" s="89">
        <f t="shared" si="41"/>
        <v>10</v>
      </c>
      <c r="G72" s="90">
        <f t="shared" si="42"/>
        <v>20.616715136860222</v>
      </c>
      <c r="H72" s="90">
        <f t="shared" si="43"/>
        <v>44.72</v>
      </c>
      <c r="I72" s="91" t="str">
        <f t="shared" si="44"/>
        <v>1동4라인</v>
      </c>
      <c r="J72" s="92" t="s">
        <v>218</v>
      </c>
      <c r="L72" s="89">
        <v>2</v>
      </c>
      <c r="M72" s="78">
        <f t="shared" si="45"/>
        <v>5</v>
      </c>
      <c r="N72" s="78"/>
      <c r="O72" s="78">
        <f t="shared" si="46"/>
        <v>10</v>
      </c>
    </row>
    <row r="73" spans="1:16" ht="18" customHeight="1">
      <c r="A73" s="104"/>
      <c r="B73" s="87"/>
      <c r="C73" s="87"/>
      <c r="D73" s="325" t="s">
        <v>0</v>
      </c>
      <c r="E73" s="325"/>
      <c r="F73" s="171">
        <f>SUM(F66:F72)</f>
        <v>75</v>
      </c>
      <c r="G73" s="95">
        <f>SUM(G66:G72)</f>
        <v>611.67314751277115</v>
      </c>
      <c r="H73" s="95">
        <f>SUM(H66:H72)</f>
        <v>503.12</v>
      </c>
      <c r="I73" s="97"/>
      <c r="J73" s="98"/>
    </row>
    <row r="74" spans="1:16">
      <c r="A74" s="105"/>
      <c r="B74" s="9"/>
      <c r="C74" s="9"/>
      <c r="D74" s="51"/>
      <c r="E74" s="51"/>
      <c r="F74" s="51"/>
      <c r="G74" s="106"/>
      <c r="H74" s="106"/>
      <c r="I74" s="9"/>
      <c r="J74" s="107"/>
    </row>
    <row r="75" spans="1:16" ht="18" customHeight="1">
      <c r="A75" s="85"/>
      <c r="B75" s="163" t="s">
        <v>199</v>
      </c>
      <c r="C75" s="163">
        <v>22</v>
      </c>
      <c r="D75" s="88">
        <v>738</v>
      </c>
      <c r="E75" s="88">
        <v>1810</v>
      </c>
      <c r="F75" s="89">
        <f t="shared" ref="F75:F76" si="47">O75</f>
        <v>10</v>
      </c>
      <c r="G75" s="90">
        <f t="shared" ref="G75:G76" si="48">D75*E75/91809*F75</f>
        <v>145.4955396529752</v>
      </c>
      <c r="H75" s="90">
        <f t="shared" ref="H75:H76" si="49">(D75/1000)*4*F75+(E75/1000)*4*F75</f>
        <v>101.92</v>
      </c>
      <c r="I75" s="91" t="str">
        <f>I66</f>
        <v>1동4라인</v>
      </c>
      <c r="J75" s="92" t="s">
        <v>219</v>
      </c>
      <c r="L75" s="89">
        <v>2</v>
      </c>
      <c r="M75" s="78">
        <f>M57</f>
        <v>5</v>
      </c>
      <c r="N75" s="84"/>
      <c r="O75" s="78">
        <f>L75*M75-N75*L75</f>
        <v>10</v>
      </c>
      <c r="P75" s="64"/>
    </row>
    <row r="76" spans="1:16" ht="18" customHeight="1">
      <c r="A76" s="85"/>
      <c r="B76" s="86"/>
      <c r="C76" s="87"/>
      <c r="D76" s="88">
        <v>250</v>
      </c>
      <c r="E76" s="88">
        <v>930</v>
      </c>
      <c r="F76" s="89">
        <f t="shared" si="47"/>
        <v>10</v>
      </c>
      <c r="G76" s="90">
        <f t="shared" si="48"/>
        <v>25.324314609678787</v>
      </c>
      <c r="H76" s="90">
        <f t="shared" si="49"/>
        <v>47.2</v>
      </c>
      <c r="I76" s="91" t="str">
        <f>I75</f>
        <v>1동4라인</v>
      </c>
      <c r="J76" s="92" t="s">
        <v>220</v>
      </c>
      <c r="L76" s="89">
        <v>2</v>
      </c>
      <c r="M76" s="78">
        <f>M75</f>
        <v>5</v>
      </c>
      <c r="N76" s="84"/>
      <c r="O76" s="78">
        <f t="shared" ref="O76" si="50">L76*M76-N76*L76</f>
        <v>10</v>
      </c>
    </row>
    <row r="77" spans="1:16" ht="18" customHeight="1">
      <c r="A77" s="85"/>
      <c r="B77" s="93"/>
      <c r="C77" s="87"/>
      <c r="D77" s="325" t="s">
        <v>0</v>
      </c>
      <c r="E77" s="325"/>
      <c r="F77" s="94">
        <f>SUM(F75:F76)</f>
        <v>20</v>
      </c>
      <c r="G77" s="95">
        <f>SUM(G75:G76)</f>
        <v>170.81985426265399</v>
      </c>
      <c r="H77" s="95">
        <f>SUM(H75:H76)</f>
        <v>149.12</v>
      </c>
      <c r="I77" s="97"/>
      <c r="J77" s="98"/>
    </row>
    <row r="78" spans="1:16" ht="18" customHeight="1">
      <c r="A78" s="236"/>
      <c r="B78" s="237"/>
      <c r="C78" s="238"/>
      <c r="D78" s="362"/>
      <c r="E78" s="362"/>
      <c r="F78" s="239"/>
      <c r="G78" s="240"/>
      <c r="H78" s="241"/>
      <c r="I78" s="242"/>
      <c r="J78" s="243"/>
    </row>
    <row r="79" spans="1:16" ht="18" customHeight="1">
      <c r="A79" s="244" t="s">
        <v>234</v>
      </c>
      <c r="B79" s="23" t="s">
        <v>195</v>
      </c>
      <c r="C79" s="24">
        <v>22</v>
      </c>
      <c r="D79" s="88">
        <v>761</v>
      </c>
      <c r="E79" s="88">
        <v>1810</v>
      </c>
      <c r="F79" s="89">
        <f>O79</f>
        <v>10</v>
      </c>
      <c r="G79" s="90">
        <f t="shared" ref="G79:G85" si="51">D79*E79/91809*F79</f>
        <v>150.02995349039855</v>
      </c>
      <c r="H79" s="90">
        <f t="shared" ref="H79:H85" si="52">(D79/1000)*4*F79+(E79/1000)*4*F79</f>
        <v>102.84</v>
      </c>
      <c r="I79" s="91" t="s">
        <v>241</v>
      </c>
      <c r="J79" s="163" t="s">
        <v>205</v>
      </c>
      <c r="L79" s="89">
        <v>2</v>
      </c>
      <c r="M79" s="78">
        <v>5</v>
      </c>
      <c r="N79" s="84"/>
      <c r="O79" s="78">
        <f>L79*M79-N79*L79</f>
        <v>10</v>
      </c>
      <c r="P79" s="64"/>
    </row>
    <row r="80" spans="1:16" ht="18" customHeight="1">
      <c r="A80" s="85"/>
      <c r="B80" s="86"/>
      <c r="C80" s="87"/>
      <c r="D80" s="88">
        <v>1688</v>
      </c>
      <c r="E80" s="88">
        <v>1810</v>
      </c>
      <c r="F80" s="89">
        <f t="shared" ref="F80:F85" si="53">O80</f>
        <v>5</v>
      </c>
      <c r="G80" s="90">
        <f t="shared" si="51"/>
        <v>166.39327299066539</v>
      </c>
      <c r="H80" s="90">
        <f t="shared" si="52"/>
        <v>69.960000000000008</v>
      </c>
      <c r="I80" s="91" t="str">
        <f>I79</f>
        <v>1동5라인</v>
      </c>
      <c r="J80" s="92" t="s">
        <v>206</v>
      </c>
      <c r="L80" s="89">
        <v>1</v>
      </c>
      <c r="M80" s="78">
        <f>M79</f>
        <v>5</v>
      </c>
      <c r="N80" s="84"/>
      <c r="O80" s="78">
        <f t="shared" ref="O80:O85" si="54">L80*M80-N80*L80</f>
        <v>5</v>
      </c>
    </row>
    <row r="81" spans="1:15" ht="18" customHeight="1">
      <c r="A81" s="85"/>
      <c r="B81" s="86"/>
      <c r="C81" s="87"/>
      <c r="D81" s="88">
        <v>738</v>
      </c>
      <c r="E81" s="88">
        <v>1310</v>
      </c>
      <c r="F81" s="89">
        <f t="shared" si="53"/>
        <v>20</v>
      </c>
      <c r="G81" s="90">
        <f t="shared" si="51"/>
        <v>210.6068032545829</v>
      </c>
      <c r="H81" s="90">
        <f t="shared" si="52"/>
        <v>163.84</v>
      </c>
      <c r="I81" s="91" t="str">
        <f t="shared" ref="I81:I85" si="55">I80</f>
        <v>1동5라인</v>
      </c>
      <c r="J81" s="92" t="s">
        <v>207</v>
      </c>
      <c r="L81" s="89">
        <v>4</v>
      </c>
      <c r="M81" s="78">
        <f t="shared" ref="M81:M84" si="56">M80</f>
        <v>5</v>
      </c>
      <c r="N81" s="78"/>
      <c r="O81" s="78">
        <f t="shared" si="54"/>
        <v>20</v>
      </c>
    </row>
    <row r="82" spans="1:15" ht="18" customHeight="1">
      <c r="A82" s="85"/>
      <c r="B82" s="86"/>
      <c r="C82" s="87"/>
      <c r="D82" s="88">
        <v>288</v>
      </c>
      <c r="E82" s="88">
        <v>910</v>
      </c>
      <c r="F82" s="89">
        <f t="shared" si="53"/>
        <v>10</v>
      </c>
      <c r="G82" s="90">
        <f t="shared" si="51"/>
        <v>28.546220958729535</v>
      </c>
      <c r="H82" s="90">
        <f t="shared" si="52"/>
        <v>47.92</v>
      </c>
      <c r="I82" s="91" t="str">
        <f t="shared" si="55"/>
        <v>1동5라인</v>
      </c>
      <c r="J82" s="92" t="s">
        <v>208</v>
      </c>
      <c r="L82" s="89">
        <v>2</v>
      </c>
      <c r="M82" s="78">
        <f t="shared" si="56"/>
        <v>5</v>
      </c>
      <c r="N82" s="78"/>
      <c r="O82" s="78">
        <f t="shared" si="54"/>
        <v>10</v>
      </c>
    </row>
    <row r="83" spans="1:15" ht="18" customHeight="1">
      <c r="A83" s="85"/>
      <c r="B83" s="86"/>
      <c r="C83" s="87"/>
      <c r="D83" s="88">
        <v>228</v>
      </c>
      <c r="E83" s="88">
        <v>910</v>
      </c>
      <c r="F83" s="89">
        <f t="shared" si="53"/>
        <v>10</v>
      </c>
      <c r="G83" s="90">
        <f t="shared" si="51"/>
        <v>22.59909159232755</v>
      </c>
      <c r="H83" s="90">
        <f t="shared" si="52"/>
        <v>45.519999999999996</v>
      </c>
      <c r="I83" s="91" t="str">
        <f t="shared" si="55"/>
        <v>1동5라인</v>
      </c>
      <c r="J83" s="92" t="s">
        <v>209</v>
      </c>
      <c r="L83" s="89">
        <v>2</v>
      </c>
      <c r="M83" s="78">
        <f t="shared" si="56"/>
        <v>5</v>
      </c>
      <c r="N83" s="78"/>
      <c r="O83" s="78">
        <f t="shared" si="54"/>
        <v>10</v>
      </c>
    </row>
    <row r="84" spans="1:15" ht="18" customHeight="1">
      <c r="A84" s="85"/>
      <c r="B84" s="86"/>
      <c r="C84" s="87"/>
      <c r="D84" s="88">
        <v>438</v>
      </c>
      <c r="E84" s="88">
        <v>270</v>
      </c>
      <c r="F84" s="89">
        <f t="shared" si="53"/>
        <v>10</v>
      </c>
      <c r="G84" s="90">
        <f t="shared" si="51"/>
        <v>12.881090089206941</v>
      </c>
      <c r="H84" s="90">
        <f t="shared" si="52"/>
        <v>28.32</v>
      </c>
      <c r="I84" s="91" t="str">
        <f t="shared" si="55"/>
        <v>1동5라인</v>
      </c>
      <c r="J84" s="92" t="s">
        <v>210</v>
      </c>
      <c r="L84" s="89">
        <v>2</v>
      </c>
      <c r="M84" s="78">
        <f t="shared" si="56"/>
        <v>5</v>
      </c>
      <c r="N84" s="78"/>
      <c r="O84" s="78">
        <f t="shared" si="54"/>
        <v>10</v>
      </c>
    </row>
    <row r="85" spans="1:15" ht="18" customHeight="1">
      <c r="A85" s="85"/>
      <c r="B85" s="86"/>
      <c r="C85" s="87"/>
      <c r="D85" s="88">
        <v>208</v>
      </c>
      <c r="E85" s="88">
        <v>910</v>
      </c>
      <c r="F85" s="89">
        <f t="shared" si="53"/>
        <v>10</v>
      </c>
      <c r="G85" s="90">
        <f t="shared" si="51"/>
        <v>20.616715136860222</v>
      </c>
      <c r="H85" s="90">
        <f t="shared" si="52"/>
        <v>44.72</v>
      </c>
      <c r="I85" s="91" t="str">
        <f t="shared" si="55"/>
        <v>1동5라인</v>
      </c>
      <c r="J85" s="92" t="s">
        <v>211</v>
      </c>
      <c r="L85" s="89">
        <v>2</v>
      </c>
      <c r="M85" s="78">
        <f>M84</f>
        <v>5</v>
      </c>
      <c r="N85" s="78"/>
      <c r="O85" s="78">
        <f t="shared" si="54"/>
        <v>10</v>
      </c>
    </row>
    <row r="86" spans="1:15" ht="18" customHeight="1">
      <c r="A86" s="85"/>
      <c r="B86" s="93"/>
      <c r="C86" s="87"/>
      <c r="D86" s="325" t="s">
        <v>0</v>
      </c>
      <c r="E86" s="325"/>
      <c r="F86" s="94">
        <f>SUM(F79:F85)</f>
        <v>75</v>
      </c>
      <c r="G86" s="95">
        <f>SUM(G79:G85)</f>
        <v>611.67314751277115</v>
      </c>
      <c r="H86" s="96">
        <f>SUM(H79:H85)</f>
        <v>503.12</v>
      </c>
      <c r="I86" s="97"/>
      <c r="J86" s="162"/>
    </row>
    <row r="87" spans="1:15" ht="18" customHeight="1">
      <c r="A87" s="85"/>
      <c r="B87" s="93"/>
      <c r="C87" s="87"/>
      <c r="D87" s="161"/>
      <c r="E87" s="161"/>
      <c r="F87" s="89"/>
      <c r="G87" s="100"/>
      <c r="H87" s="101"/>
      <c r="I87" s="102"/>
      <c r="J87" s="121"/>
      <c r="L87" s="78" t="s">
        <v>48</v>
      </c>
      <c r="M87" s="78" t="s">
        <v>54</v>
      </c>
      <c r="N87" s="78" t="s">
        <v>50</v>
      </c>
      <c r="O87" s="78" t="s">
        <v>55</v>
      </c>
    </row>
    <row r="88" spans="1:15" ht="18" customHeight="1">
      <c r="A88" s="85"/>
      <c r="B88" s="23" t="s">
        <v>197</v>
      </c>
      <c r="C88" s="24">
        <v>22</v>
      </c>
      <c r="D88" s="88">
        <v>761</v>
      </c>
      <c r="E88" s="88">
        <v>1810</v>
      </c>
      <c r="F88" s="89">
        <f t="shared" ref="F88:F94" si="57">O88</f>
        <v>10</v>
      </c>
      <c r="G88" s="90">
        <f t="shared" ref="G88:G94" si="58">D88*E88/91809*F88</f>
        <v>150.02995349039855</v>
      </c>
      <c r="H88" s="90">
        <f t="shared" ref="H88:H94" si="59">(D88/1000)*4*F88+(E88/1000)*4*F88</f>
        <v>102.84</v>
      </c>
      <c r="I88" s="91" t="str">
        <f t="shared" ref="I88:I94" si="60">I79</f>
        <v>1동5라인</v>
      </c>
      <c r="J88" s="92" t="s">
        <v>212</v>
      </c>
      <c r="L88" s="89">
        <v>2</v>
      </c>
      <c r="M88" s="78">
        <f>M79</f>
        <v>5</v>
      </c>
      <c r="N88" s="84"/>
      <c r="O88" s="78">
        <f>L88*M88-N88*L88</f>
        <v>10</v>
      </c>
    </row>
    <row r="89" spans="1:15" ht="18" customHeight="1">
      <c r="A89" s="85"/>
      <c r="B89" s="86"/>
      <c r="C89" s="87"/>
      <c r="D89" s="88">
        <v>1688</v>
      </c>
      <c r="E89" s="88">
        <v>1810</v>
      </c>
      <c r="F89" s="89">
        <f t="shared" si="57"/>
        <v>5</v>
      </c>
      <c r="G89" s="90">
        <f t="shared" si="58"/>
        <v>166.39327299066539</v>
      </c>
      <c r="H89" s="90">
        <f t="shared" si="59"/>
        <v>69.960000000000008</v>
      </c>
      <c r="I89" s="91" t="str">
        <f t="shared" si="60"/>
        <v>1동5라인</v>
      </c>
      <c r="J89" s="92" t="s">
        <v>213</v>
      </c>
      <c r="L89" s="89">
        <v>1</v>
      </c>
      <c r="M89" s="78">
        <f>M88</f>
        <v>5</v>
      </c>
      <c r="N89" s="84"/>
      <c r="O89" s="78">
        <f>L89*M89-N89*L89</f>
        <v>5</v>
      </c>
    </row>
    <row r="90" spans="1:15" ht="18" customHeight="1">
      <c r="A90" s="104"/>
      <c r="B90" s="93"/>
      <c r="C90" s="87"/>
      <c r="D90" s="88">
        <v>738</v>
      </c>
      <c r="E90" s="88">
        <v>1310</v>
      </c>
      <c r="F90" s="89">
        <f t="shared" si="57"/>
        <v>20</v>
      </c>
      <c r="G90" s="90">
        <f t="shared" si="58"/>
        <v>210.6068032545829</v>
      </c>
      <c r="H90" s="90">
        <f t="shared" si="59"/>
        <v>163.84</v>
      </c>
      <c r="I90" s="91" t="str">
        <f t="shared" si="60"/>
        <v>1동5라인</v>
      </c>
      <c r="J90" s="92" t="s">
        <v>214</v>
      </c>
      <c r="L90" s="89">
        <v>4</v>
      </c>
      <c r="M90" s="78">
        <f t="shared" ref="M90:M94" si="61">M89</f>
        <v>5</v>
      </c>
      <c r="N90" s="84"/>
      <c r="O90" s="78">
        <f t="shared" ref="O90:O94" si="62">L90*M90-N90*L90</f>
        <v>20</v>
      </c>
    </row>
    <row r="91" spans="1:15" ht="18" customHeight="1">
      <c r="A91" s="104"/>
      <c r="B91" s="93"/>
      <c r="C91" s="87"/>
      <c r="D91" s="88">
        <v>288</v>
      </c>
      <c r="E91" s="88">
        <v>910</v>
      </c>
      <c r="F91" s="89">
        <f t="shared" si="57"/>
        <v>10</v>
      </c>
      <c r="G91" s="90">
        <f t="shared" si="58"/>
        <v>28.546220958729535</v>
      </c>
      <c r="H91" s="90">
        <f t="shared" si="59"/>
        <v>47.92</v>
      </c>
      <c r="I91" s="91" t="str">
        <f t="shared" si="60"/>
        <v>1동5라인</v>
      </c>
      <c r="J91" s="92" t="s">
        <v>215</v>
      </c>
      <c r="L91" s="89">
        <v>2</v>
      </c>
      <c r="M91" s="78">
        <f t="shared" si="61"/>
        <v>5</v>
      </c>
      <c r="N91" s="78"/>
      <c r="O91" s="78">
        <f t="shared" si="62"/>
        <v>10</v>
      </c>
    </row>
    <row r="92" spans="1:15" ht="18" customHeight="1">
      <c r="A92" s="104"/>
      <c r="B92" s="93"/>
      <c r="C92" s="87"/>
      <c r="D92" s="88">
        <v>228</v>
      </c>
      <c r="E92" s="88">
        <v>910</v>
      </c>
      <c r="F92" s="89">
        <f t="shared" si="57"/>
        <v>10</v>
      </c>
      <c r="G92" s="90">
        <f t="shared" si="58"/>
        <v>22.59909159232755</v>
      </c>
      <c r="H92" s="90">
        <f t="shared" si="59"/>
        <v>45.519999999999996</v>
      </c>
      <c r="I92" s="91" t="str">
        <f t="shared" si="60"/>
        <v>1동5라인</v>
      </c>
      <c r="J92" s="92" t="s">
        <v>216</v>
      </c>
      <c r="L92" s="89">
        <v>2</v>
      </c>
      <c r="M92" s="78">
        <f t="shared" si="61"/>
        <v>5</v>
      </c>
      <c r="N92" s="78"/>
      <c r="O92" s="78">
        <f t="shared" si="62"/>
        <v>10</v>
      </c>
    </row>
    <row r="93" spans="1:15" ht="18" customHeight="1">
      <c r="A93" s="104"/>
      <c r="B93" s="93"/>
      <c r="C93" s="87"/>
      <c r="D93" s="88">
        <v>438</v>
      </c>
      <c r="E93" s="88">
        <v>270</v>
      </c>
      <c r="F93" s="89">
        <f t="shared" si="57"/>
        <v>10</v>
      </c>
      <c r="G93" s="90">
        <f t="shared" si="58"/>
        <v>12.881090089206941</v>
      </c>
      <c r="H93" s="90">
        <f t="shared" si="59"/>
        <v>28.32</v>
      </c>
      <c r="I93" s="91" t="str">
        <f t="shared" si="60"/>
        <v>1동5라인</v>
      </c>
      <c r="J93" s="92" t="s">
        <v>217</v>
      </c>
      <c r="L93" s="89">
        <v>2</v>
      </c>
      <c r="M93" s="78">
        <f t="shared" si="61"/>
        <v>5</v>
      </c>
      <c r="N93" s="78"/>
      <c r="O93" s="78">
        <f t="shared" si="62"/>
        <v>10</v>
      </c>
    </row>
    <row r="94" spans="1:15" ht="18" customHeight="1">
      <c r="A94" s="104"/>
      <c r="B94" s="93"/>
      <c r="C94" s="87"/>
      <c r="D94" s="88">
        <v>208</v>
      </c>
      <c r="E94" s="88">
        <v>910</v>
      </c>
      <c r="F94" s="89">
        <f t="shared" si="57"/>
        <v>10</v>
      </c>
      <c r="G94" s="90">
        <f t="shared" si="58"/>
        <v>20.616715136860222</v>
      </c>
      <c r="H94" s="90">
        <f t="shared" si="59"/>
        <v>44.72</v>
      </c>
      <c r="I94" s="91" t="str">
        <f t="shared" si="60"/>
        <v>1동5라인</v>
      </c>
      <c r="J94" s="92" t="s">
        <v>218</v>
      </c>
      <c r="L94" s="89">
        <v>2</v>
      </c>
      <c r="M94" s="78">
        <f t="shared" si="61"/>
        <v>5</v>
      </c>
      <c r="N94" s="78"/>
      <c r="O94" s="78">
        <f t="shared" si="62"/>
        <v>10</v>
      </c>
    </row>
    <row r="95" spans="1:15" ht="18" customHeight="1">
      <c r="A95" s="104"/>
      <c r="B95" s="87"/>
      <c r="C95" s="87"/>
      <c r="D95" s="325" t="s">
        <v>0</v>
      </c>
      <c r="E95" s="325"/>
      <c r="F95" s="171">
        <f>SUM(F88:F94)</f>
        <v>75</v>
      </c>
      <c r="G95" s="95">
        <f>SUM(G88:G94)</f>
        <v>611.67314751277115</v>
      </c>
      <c r="H95" s="95">
        <f>SUM(H88:H94)</f>
        <v>503.12</v>
      </c>
      <c r="I95" s="97"/>
      <c r="J95" s="98"/>
    </row>
    <row r="96" spans="1:15">
      <c r="A96" s="105"/>
      <c r="B96" s="9"/>
      <c r="C96" s="9"/>
      <c r="D96" s="51"/>
      <c r="E96" s="51"/>
      <c r="F96" s="51"/>
      <c r="G96" s="106"/>
      <c r="H96" s="106"/>
      <c r="I96" s="9"/>
      <c r="J96" s="107"/>
    </row>
    <row r="97" spans="1:16" ht="18" customHeight="1">
      <c r="A97" s="85"/>
      <c r="B97" s="163" t="s">
        <v>199</v>
      </c>
      <c r="C97" s="163">
        <v>22</v>
      </c>
      <c r="D97" s="88">
        <v>738</v>
      </c>
      <c r="E97" s="88">
        <v>1810</v>
      </c>
      <c r="F97" s="89">
        <f t="shared" ref="F97:F98" si="63">O97</f>
        <v>10</v>
      </c>
      <c r="G97" s="90">
        <f t="shared" ref="G97:G98" si="64">D97*E97/91809*F97</f>
        <v>145.4955396529752</v>
      </c>
      <c r="H97" s="90">
        <f t="shared" ref="H97:H98" si="65">(D97/1000)*4*F97+(E97/1000)*4*F97</f>
        <v>101.92</v>
      </c>
      <c r="I97" s="91" t="str">
        <f>I88</f>
        <v>1동5라인</v>
      </c>
      <c r="J97" s="92" t="s">
        <v>219</v>
      </c>
      <c r="L97" s="89">
        <v>2</v>
      </c>
      <c r="M97" s="78">
        <f>M79</f>
        <v>5</v>
      </c>
      <c r="N97" s="84"/>
      <c r="O97" s="78">
        <f>L97*M97-N97*L97</f>
        <v>10</v>
      </c>
      <c r="P97" s="64"/>
    </row>
    <row r="98" spans="1:16" ht="18" customHeight="1">
      <c r="A98" s="85"/>
      <c r="B98" s="86"/>
      <c r="C98" s="87"/>
      <c r="D98" s="88">
        <v>250</v>
      </c>
      <c r="E98" s="88">
        <v>930</v>
      </c>
      <c r="F98" s="89">
        <f t="shared" si="63"/>
        <v>10</v>
      </c>
      <c r="G98" s="90">
        <f t="shared" si="64"/>
        <v>25.324314609678787</v>
      </c>
      <c r="H98" s="90">
        <f t="shared" si="65"/>
        <v>47.2</v>
      </c>
      <c r="I98" s="91" t="str">
        <f>I97</f>
        <v>1동5라인</v>
      </c>
      <c r="J98" s="92" t="s">
        <v>220</v>
      </c>
      <c r="L98" s="89">
        <v>2</v>
      </c>
      <c r="M98" s="78">
        <f>M97</f>
        <v>5</v>
      </c>
      <c r="N98" s="84"/>
      <c r="O98" s="78">
        <f t="shared" ref="O98" si="66">L98*M98-N98*L98</f>
        <v>10</v>
      </c>
    </row>
    <row r="99" spans="1:16" ht="18" customHeight="1">
      <c r="A99" s="85"/>
      <c r="B99" s="93"/>
      <c r="C99" s="87"/>
      <c r="D99" s="325" t="s">
        <v>0</v>
      </c>
      <c r="E99" s="325"/>
      <c r="F99" s="94">
        <f>SUM(F97:F98)</f>
        <v>20</v>
      </c>
      <c r="G99" s="95">
        <f>SUM(G97:G98)</f>
        <v>170.81985426265399</v>
      </c>
      <c r="H99" s="95">
        <f>SUM(H97:H98)</f>
        <v>149.12</v>
      </c>
      <c r="I99" s="97"/>
      <c r="J99" s="98"/>
    </row>
    <row r="100" spans="1:16" ht="18" customHeight="1" thickBot="1">
      <c r="A100" s="222"/>
      <c r="B100" s="245"/>
      <c r="C100" s="224"/>
      <c r="D100" s="246"/>
      <c r="E100" s="246"/>
      <c r="F100" s="226"/>
      <c r="G100" s="247"/>
      <c r="H100" s="247"/>
      <c r="I100" s="248"/>
      <c r="J100" s="249"/>
      <c r="L100" s="250"/>
      <c r="M100" s="250"/>
      <c r="N100" s="250"/>
      <c r="O100" s="250"/>
    </row>
    <row r="101" spans="1:16" ht="18" customHeight="1">
      <c r="A101" s="79" t="s">
        <v>242</v>
      </c>
      <c r="B101" s="231" t="s">
        <v>195</v>
      </c>
      <c r="C101" s="232">
        <v>22</v>
      </c>
      <c r="D101" s="80">
        <v>761</v>
      </c>
      <c r="E101" s="80">
        <v>1810</v>
      </c>
      <c r="F101" s="233">
        <f t="shared" ref="F101:F106" si="67">O101</f>
        <v>10</v>
      </c>
      <c r="G101" s="81">
        <f t="shared" ref="G101:G106" si="68">D101*E101/91809*F101</f>
        <v>150.02995349039855</v>
      </c>
      <c r="H101" s="81">
        <f t="shared" ref="H101:H106" si="69">(D101/1000)*4*F101+(E101/1000)*4*F101</f>
        <v>102.84</v>
      </c>
      <c r="I101" s="82" t="s">
        <v>243</v>
      </c>
      <c r="J101" s="83" t="s">
        <v>205</v>
      </c>
      <c r="L101" s="89">
        <v>2</v>
      </c>
      <c r="M101" s="78">
        <v>5</v>
      </c>
      <c r="N101" s="78"/>
      <c r="O101" s="78">
        <f t="shared" ref="O101:O106" si="70">L101*M101-N101*L101</f>
        <v>10</v>
      </c>
    </row>
    <row r="102" spans="1:16" ht="18" customHeight="1">
      <c r="A102" s="85"/>
      <c r="B102" s="86"/>
      <c r="C102" s="87"/>
      <c r="D102" s="88">
        <v>1688</v>
      </c>
      <c r="E102" s="88">
        <v>1810</v>
      </c>
      <c r="F102" s="89">
        <f t="shared" si="67"/>
        <v>5</v>
      </c>
      <c r="G102" s="90">
        <f t="shared" si="68"/>
        <v>166.39327299066539</v>
      </c>
      <c r="H102" s="90">
        <f t="shared" si="69"/>
        <v>69.960000000000008</v>
      </c>
      <c r="I102" s="91" t="str">
        <f>I101</f>
        <v>1동6라인</v>
      </c>
      <c r="J102" s="92" t="s">
        <v>206</v>
      </c>
      <c r="L102" s="89">
        <v>1</v>
      </c>
      <c r="M102" s="78">
        <f t="shared" ref="M102:M118" si="71">M101</f>
        <v>5</v>
      </c>
      <c r="N102" s="78"/>
      <c r="O102" s="78">
        <f t="shared" si="70"/>
        <v>5</v>
      </c>
    </row>
    <row r="103" spans="1:16" ht="18" customHeight="1">
      <c r="A103" s="85"/>
      <c r="B103" s="86"/>
      <c r="C103" s="87"/>
      <c r="D103" s="88">
        <v>738</v>
      </c>
      <c r="E103" s="88">
        <v>1310</v>
      </c>
      <c r="F103" s="89">
        <f t="shared" si="67"/>
        <v>20</v>
      </c>
      <c r="G103" s="90">
        <f t="shared" si="68"/>
        <v>210.6068032545829</v>
      </c>
      <c r="H103" s="90">
        <f t="shared" si="69"/>
        <v>163.84</v>
      </c>
      <c r="I103" s="91" t="str">
        <f t="shared" ref="I103:I106" si="72">I102</f>
        <v>1동6라인</v>
      </c>
      <c r="J103" s="92" t="s">
        <v>207</v>
      </c>
      <c r="L103" s="89">
        <v>4</v>
      </c>
      <c r="M103" s="78">
        <f t="shared" si="71"/>
        <v>5</v>
      </c>
      <c r="N103" s="78"/>
      <c r="O103" s="78">
        <f t="shared" si="70"/>
        <v>20</v>
      </c>
    </row>
    <row r="104" spans="1:16" ht="18" customHeight="1">
      <c r="A104" s="85"/>
      <c r="B104" s="86"/>
      <c r="C104" s="87"/>
      <c r="D104" s="88">
        <v>438</v>
      </c>
      <c r="E104" s="88">
        <v>910</v>
      </c>
      <c r="F104" s="89">
        <f t="shared" si="67"/>
        <v>10</v>
      </c>
      <c r="G104" s="90">
        <f t="shared" si="68"/>
        <v>43.414044374734502</v>
      </c>
      <c r="H104" s="90">
        <f t="shared" si="69"/>
        <v>53.92</v>
      </c>
      <c r="I104" s="91" t="str">
        <f t="shared" si="72"/>
        <v>1동6라인</v>
      </c>
      <c r="J104" s="92" t="s">
        <v>223</v>
      </c>
      <c r="L104" s="89">
        <v>2</v>
      </c>
      <c r="M104" s="78">
        <f t="shared" si="71"/>
        <v>5</v>
      </c>
      <c r="N104" s="78"/>
      <c r="O104" s="78">
        <f t="shared" si="70"/>
        <v>10</v>
      </c>
    </row>
    <row r="105" spans="1:16" ht="18" customHeight="1">
      <c r="A105" s="85"/>
      <c r="B105" s="86"/>
      <c r="C105" s="87"/>
      <c r="D105" s="88">
        <v>228</v>
      </c>
      <c r="E105" s="88">
        <v>910</v>
      </c>
      <c r="F105" s="89">
        <f t="shared" si="67"/>
        <v>10</v>
      </c>
      <c r="G105" s="90">
        <f t="shared" si="68"/>
        <v>22.59909159232755</v>
      </c>
      <c r="H105" s="90">
        <f t="shared" si="69"/>
        <v>45.519999999999996</v>
      </c>
      <c r="I105" s="91" t="str">
        <f t="shared" si="72"/>
        <v>1동6라인</v>
      </c>
      <c r="J105" s="92" t="s">
        <v>209</v>
      </c>
      <c r="L105" s="89">
        <v>2</v>
      </c>
      <c r="M105" s="78">
        <f t="shared" si="71"/>
        <v>5</v>
      </c>
      <c r="N105" s="78"/>
      <c r="O105" s="78">
        <f t="shared" si="70"/>
        <v>10</v>
      </c>
    </row>
    <row r="106" spans="1:16" ht="18" customHeight="1">
      <c r="A106" s="85"/>
      <c r="B106" s="86"/>
      <c r="C106" s="87"/>
      <c r="D106" s="88">
        <v>438</v>
      </c>
      <c r="E106" s="88">
        <v>270</v>
      </c>
      <c r="F106" s="89">
        <f t="shared" si="67"/>
        <v>10</v>
      </c>
      <c r="G106" s="90">
        <f t="shared" si="68"/>
        <v>12.881090089206941</v>
      </c>
      <c r="H106" s="90">
        <f t="shared" si="69"/>
        <v>28.32</v>
      </c>
      <c r="I106" s="91" t="str">
        <f t="shared" si="72"/>
        <v>1동6라인</v>
      </c>
      <c r="J106" s="92" t="s">
        <v>210</v>
      </c>
      <c r="L106" s="89">
        <v>2</v>
      </c>
      <c r="M106" s="78">
        <f t="shared" si="71"/>
        <v>5</v>
      </c>
      <c r="N106" s="78"/>
      <c r="O106" s="78">
        <f t="shared" si="70"/>
        <v>10</v>
      </c>
    </row>
    <row r="107" spans="1:16" ht="18" customHeight="1">
      <c r="A107" s="85"/>
      <c r="B107" s="93"/>
      <c r="C107" s="87"/>
      <c r="D107" s="325" t="s">
        <v>0</v>
      </c>
      <c r="E107" s="325"/>
      <c r="F107" s="94">
        <f>SUM(F101:F106)</f>
        <v>65</v>
      </c>
      <c r="G107" s="95">
        <f>SUM(G101:G106)</f>
        <v>605.92425579191593</v>
      </c>
      <c r="H107" s="96">
        <f>SUM(H101:H106)</f>
        <v>464.4</v>
      </c>
      <c r="I107" s="97"/>
      <c r="J107" s="162"/>
      <c r="L107" s="250"/>
      <c r="M107" s="250"/>
      <c r="N107" s="250"/>
      <c r="O107" s="250"/>
    </row>
    <row r="108" spans="1:16" ht="18" customHeight="1">
      <c r="A108" s="85"/>
      <c r="B108" s="93"/>
      <c r="C108" s="87"/>
      <c r="D108" s="161"/>
      <c r="E108" s="161"/>
      <c r="F108" s="89"/>
      <c r="G108" s="100"/>
      <c r="H108" s="101"/>
      <c r="I108" s="102"/>
      <c r="J108" s="121"/>
      <c r="L108" s="250"/>
      <c r="M108" s="250"/>
      <c r="N108" s="250"/>
      <c r="O108" s="250"/>
    </row>
    <row r="109" spans="1:16" ht="18" customHeight="1">
      <c r="A109" s="85"/>
      <c r="B109" s="23" t="s">
        <v>197</v>
      </c>
      <c r="C109" s="24">
        <v>22</v>
      </c>
      <c r="D109" s="88">
        <v>761</v>
      </c>
      <c r="E109" s="88">
        <v>1810</v>
      </c>
      <c r="F109" s="89">
        <f t="shared" ref="F109:F114" si="73">O109</f>
        <v>10</v>
      </c>
      <c r="G109" s="90">
        <f t="shared" ref="G109:G114" si="74">D109*E109/91809*F109</f>
        <v>150.02995349039855</v>
      </c>
      <c r="H109" s="90">
        <f t="shared" ref="H109:H114" si="75">(D109/1000)*4*F109+(E109/1000)*4*F109</f>
        <v>102.84</v>
      </c>
      <c r="I109" s="91" t="str">
        <f>I101</f>
        <v>1동6라인</v>
      </c>
      <c r="J109" s="92" t="s">
        <v>212</v>
      </c>
      <c r="L109" s="89">
        <v>2</v>
      </c>
      <c r="M109" s="78">
        <f>M106</f>
        <v>5</v>
      </c>
      <c r="N109" s="78"/>
      <c r="O109" s="78">
        <f t="shared" ref="O109:O118" si="76">L109*M109-N109*L109</f>
        <v>10</v>
      </c>
    </row>
    <row r="110" spans="1:16" ht="18" customHeight="1">
      <c r="A110" s="85"/>
      <c r="B110" s="86"/>
      <c r="C110" s="87"/>
      <c r="D110" s="88">
        <v>1688</v>
      </c>
      <c r="E110" s="88">
        <v>1810</v>
      </c>
      <c r="F110" s="89">
        <f t="shared" si="73"/>
        <v>5</v>
      </c>
      <c r="G110" s="90">
        <f t="shared" si="74"/>
        <v>166.39327299066539</v>
      </c>
      <c r="H110" s="90">
        <f t="shared" si="75"/>
        <v>69.960000000000008</v>
      </c>
      <c r="I110" s="91" t="str">
        <f>I101</f>
        <v>1동6라인</v>
      </c>
      <c r="J110" s="92" t="s">
        <v>213</v>
      </c>
      <c r="L110" s="89">
        <v>1</v>
      </c>
      <c r="M110" s="78">
        <f t="shared" si="71"/>
        <v>5</v>
      </c>
      <c r="N110" s="78"/>
      <c r="O110" s="78">
        <f t="shared" si="76"/>
        <v>5</v>
      </c>
    </row>
    <row r="111" spans="1:16">
      <c r="A111" s="104"/>
      <c r="B111" s="93"/>
      <c r="C111" s="87"/>
      <c r="D111" s="88">
        <v>738</v>
      </c>
      <c r="E111" s="88">
        <v>1310</v>
      </c>
      <c r="F111" s="89">
        <f t="shared" si="73"/>
        <v>20</v>
      </c>
      <c r="G111" s="90">
        <f t="shared" si="74"/>
        <v>210.6068032545829</v>
      </c>
      <c r="H111" s="90">
        <f t="shared" si="75"/>
        <v>163.84</v>
      </c>
      <c r="I111" s="91" t="str">
        <f>I110</f>
        <v>1동6라인</v>
      </c>
      <c r="J111" s="92" t="s">
        <v>214</v>
      </c>
      <c r="L111" s="89">
        <v>4</v>
      </c>
      <c r="M111" s="78">
        <f t="shared" si="71"/>
        <v>5</v>
      </c>
      <c r="N111" s="78"/>
      <c r="O111" s="78">
        <f t="shared" si="76"/>
        <v>20</v>
      </c>
    </row>
    <row r="112" spans="1:16" ht="18" customHeight="1">
      <c r="A112" s="104"/>
      <c r="B112" s="93"/>
      <c r="C112" s="87"/>
      <c r="D112" s="88">
        <v>438</v>
      </c>
      <c r="E112" s="88">
        <v>910</v>
      </c>
      <c r="F112" s="89">
        <f t="shared" si="73"/>
        <v>10</v>
      </c>
      <c r="G112" s="90">
        <f t="shared" si="74"/>
        <v>43.414044374734502</v>
      </c>
      <c r="H112" s="90">
        <f t="shared" si="75"/>
        <v>53.92</v>
      </c>
      <c r="I112" s="91" t="str">
        <f t="shared" ref="I112:I114" si="77">I111</f>
        <v>1동6라인</v>
      </c>
      <c r="J112" s="92" t="s">
        <v>225</v>
      </c>
      <c r="L112" s="89">
        <v>2</v>
      </c>
      <c r="M112" s="78">
        <f t="shared" si="71"/>
        <v>5</v>
      </c>
      <c r="N112" s="78"/>
      <c r="O112" s="78">
        <f t="shared" si="76"/>
        <v>10</v>
      </c>
      <c r="P112" s="64"/>
    </row>
    <row r="113" spans="1:16" ht="18" customHeight="1">
      <c r="A113" s="104"/>
      <c r="B113" s="93"/>
      <c r="C113" s="87"/>
      <c r="D113" s="88">
        <v>228</v>
      </c>
      <c r="E113" s="88">
        <v>910</v>
      </c>
      <c r="F113" s="89">
        <f t="shared" si="73"/>
        <v>10</v>
      </c>
      <c r="G113" s="90">
        <f t="shared" si="74"/>
        <v>22.59909159232755</v>
      </c>
      <c r="H113" s="90">
        <f t="shared" si="75"/>
        <v>45.519999999999996</v>
      </c>
      <c r="I113" s="91" t="str">
        <f t="shared" si="77"/>
        <v>1동6라인</v>
      </c>
      <c r="J113" s="92" t="s">
        <v>216</v>
      </c>
      <c r="L113" s="89">
        <v>2</v>
      </c>
      <c r="M113" s="78">
        <f t="shared" si="71"/>
        <v>5</v>
      </c>
      <c r="N113" s="78"/>
      <c r="O113" s="78">
        <f t="shared" si="76"/>
        <v>10</v>
      </c>
    </row>
    <row r="114" spans="1:16" ht="18" customHeight="1">
      <c r="A114" s="104"/>
      <c r="B114" s="93"/>
      <c r="C114" s="87"/>
      <c r="D114" s="88">
        <v>438</v>
      </c>
      <c r="E114" s="88">
        <v>270</v>
      </c>
      <c r="F114" s="89">
        <f t="shared" si="73"/>
        <v>10</v>
      </c>
      <c r="G114" s="90">
        <f t="shared" si="74"/>
        <v>12.881090089206941</v>
      </c>
      <c r="H114" s="90">
        <f t="shared" si="75"/>
        <v>28.32</v>
      </c>
      <c r="I114" s="91" t="str">
        <f t="shared" si="77"/>
        <v>1동6라인</v>
      </c>
      <c r="J114" s="92" t="s">
        <v>217</v>
      </c>
      <c r="L114" s="89">
        <v>2</v>
      </c>
      <c r="M114" s="78">
        <f t="shared" si="71"/>
        <v>5</v>
      </c>
      <c r="N114" s="78"/>
      <c r="O114" s="78">
        <f t="shared" si="76"/>
        <v>10</v>
      </c>
    </row>
    <row r="115" spans="1:16">
      <c r="A115" s="104"/>
      <c r="B115" s="87"/>
      <c r="C115" s="87"/>
      <c r="D115" s="325" t="s">
        <v>0</v>
      </c>
      <c r="E115" s="325"/>
      <c r="F115" s="171">
        <f>SUM(F109:F114)</f>
        <v>65</v>
      </c>
      <c r="G115" s="95">
        <f>SUM(G109:G114)</f>
        <v>605.92425579191593</v>
      </c>
      <c r="H115" s="95">
        <f>SUM(H109:H114)</f>
        <v>464.4</v>
      </c>
      <c r="I115" s="97"/>
      <c r="J115" s="98"/>
      <c r="L115" s="250"/>
      <c r="M115" s="250"/>
      <c r="N115" s="250"/>
      <c r="O115" s="250"/>
    </row>
    <row r="116" spans="1:16">
      <c r="A116" s="105"/>
      <c r="B116" s="9"/>
      <c r="C116" s="9"/>
      <c r="D116" s="51"/>
      <c r="E116" s="51"/>
      <c r="F116" s="51"/>
      <c r="G116" s="106"/>
      <c r="H116" s="106"/>
      <c r="I116" s="9"/>
      <c r="J116" s="107"/>
      <c r="L116" s="250"/>
      <c r="M116" s="250"/>
      <c r="N116" s="250"/>
      <c r="O116" s="250"/>
    </row>
    <row r="117" spans="1:16" ht="18" customHeight="1">
      <c r="A117" s="85"/>
      <c r="B117" s="163" t="s">
        <v>199</v>
      </c>
      <c r="C117" s="163">
        <v>22</v>
      </c>
      <c r="D117" s="88">
        <v>738</v>
      </c>
      <c r="E117" s="88">
        <v>1810</v>
      </c>
      <c r="F117" s="89">
        <f t="shared" ref="F117:F118" si="78">O117</f>
        <v>0</v>
      </c>
      <c r="G117" s="90">
        <f t="shared" ref="G117:G119" si="79">D117*E117/91809*F117</f>
        <v>0</v>
      </c>
      <c r="H117" s="90">
        <f t="shared" ref="H117:H119" si="80">(D117/1000)*4*F117+(E117/1000)*4*F117</f>
        <v>0</v>
      </c>
      <c r="I117" s="91" t="str">
        <f>I109</f>
        <v>1동6라인</v>
      </c>
      <c r="J117" s="92" t="s">
        <v>219</v>
      </c>
      <c r="L117" s="89">
        <v>2</v>
      </c>
      <c r="M117" s="78">
        <f>M114</f>
        <v>5</v>
      </c>
      <c r="N117" s="84">
        <v>5</v>
      </c>
      <c r="O117" s="78">
        <f t="shared" si="76"/>
        <v>0</v>
      </c>
      <c r="P117" s="64" t="s">
        <v>245</v>
      </c>
    </row>
    <row r="118" spans="1:16" ht="18" customHeight="1">
      <c r="A118" s="85"/>
      <c r="B118" s="86"/>
      <c r="C118" s="87"/>
      <c r="D118" s="88">
        <v>250</v>
      </c>
      <c r="E118" s="88">
        <v>930</v>
      </c>
      <c r="F118" s="89">
        <f t="shared" si="78"/>
        <v>10</v>
      </c>
      <c r="G118" s="90">
        <f t="shared" si="79"/>
        <v>25.324314609678787</v>
      </c>
      <c r="H118" s="90">
        <f t="shared" si="80"/>
        <v>47.2</v>
      </c>
      <c r="I118" s="91" t="str">
        <f>I117</f>
        <v>1동6라인</v>
      </c>
      <c r="J118" s="92" t="s">
        <v>220</v>
      </c>
      <c r="L118" s="89">
        <v>2</v>
      </c>
      <c r="M118" s="78">
        <f t="shared" si="71"/>
        <v>5</v>
      </c>
      <c r="N118" s="78"/>
      <c r="O118" s="78">
        <f t="shared" si="76"/>
        <v>10</v>
      </c>
    </row>
    <row r="119" spans="1:16" ht="18" customHeight="1">
      <c r="A119" s="85"/>
      <c r="B119" s="86"/>
      <c r="C119" s="87"/>
      <c r="D119" s="88"/>
      <c r="E119" s="88"/>
      <c r="F119" s="89"/>
      <c r="G119" s="90">
        <f t="shared" si="79"/>
        <v>0</v>
      </c>
      <c r="H119" s="90">
        <f t="shared" si="80"/>
        <v>0</v>
      </c>
      <c r="I119" s="91"/>
      <c r="J119" s="92"/>
      <c r="L119" s="250"/>
      <c r="M119" s="250"/>
      <c r="N119" s="250"/>
      <c r="O119" s="250"/>
    </row>
    <row r="120" spans="1:16" ht="18" customHeight="1">
      <c r="A120" s="85"/>
      <c r="B120" s="93"/>
      <c r="C120" s="87"/>
      <c r="D120" s="325" t="s">
        <v>0</v>
      </c>
      <c r="E120" s="325"/>
      <c r="F120" s="94">
        <f>SUM(F117:F119)</f>
        <v>10</v>
      </c>
      <c r="G120" s="95">
        <f>SUM(G117:G119)</f>
        <v>25.324314609678787</v>
      </c>
      <c r="H120" s="95">
        <f>SUM(H117:H119)</f>
        <v>47.2</v>
      </c>
      <c r="I120" s="97"/>
      <c r="J120" s="98"/>
      <c r="L120" s="250"/>
      <c r="M120" s="250"/>
      <c r="N120" s="250"/>
      <c r="O120" s="250"/>
    </row>
    <row r="121" spans="1:16" ht="18" customHeight="1">
      <c r="A121" s="253"/>
      <c r="B121" s="254"/>
      <c r="C121" s="255"/>
      <c r="D121" s="361"/>
      <c r="E121" s="361"/>
      <c r="F121" s="256"/>
      <c r="G121" s="257"/>
      <c r="H121" s="258"/>
      <c r="I121" s="259"/>
      <c r="J121" s="260"/>
      <c r="L121" s="250"/>
      <c r="M121" s="250"/>
      <c r="N121" s="250"/>
      <c r="O121" s="250"/>
    </row>
    <row r="122" spans="1:16" ht="18" customHeight="1">
      <c r="A122" s="85">
        <v>74</v>
      </c>
      <c r="B122" s="23" t="s">
        <v>196</v>
      </c>
      <c r="C122" s="24">
        <v>22</v>
      </c>
      <c r="D122" s="88">
        <v>861</v>
      </c>
      <c r="E122" s="88">
        <v>1810</v>
      </c>
      <c r="F122" s="89">
        <f t="shared" ref="F122:F126" si="81">O122</f>
        <v>10</v>
      </c>
      <c r="G122" s="90">
        <f t="shared" ref="G122:G126" si="82">D122*E122/91809*F122</f>
        <v>169.7447962618044</v>
      </c>
      <c r="H122" s="90">
        <f t="shared" ref="H122:H126" si="83">(D122/1000)*4*F122+(E122/1000)*4*F122</f>
        <v>106.84</v>
      </c>
      <c r="I122" s="91" t="s">
        <v>246</v>
      </c>
      <c r="J122" s="92" t="s">
        <v>205</v>
      </c>
      <c r="L122" s="89">
        <v>1</v>
      </c>
      <c r="M122" s="78">
        <v>10</v>
      </c>
      <c r="N122" s="84"/>
      <c r="O122" s="78">
        <f>L122*M122-N122*L122</f>
        <v>10</v>
      </c>
      <c r="P122" s="64"/>
    </row>
    <row r="123" spans="1:16" ht="18" customHeight="1">
      <c r="A123" s="85"/>
      <c r="B123" s="86"/>
      <c r="C123" s="87"/>
      <c r="D123" s="88">
        <v>738</v>
      </c>
      <c r="E123" s="88">
        <v>1310</v>
      </c>
      <c r="F123" s="89">
        <f t="shared" si="81"/>
        <v>40</v>
      </c>
      <c r="G123" s="90">
        <f t="shared" si="82"/>
        <v>421.2136065091658</v>
      </c>
      <c r="H123" s="90">
        <f t="shared" si="83"/>
        <v>327.68</v>
      </c>
      <c r="I123" s="91" t="str">
        <f>I122</f>
        <v>2동1,2라인</v>
      </c>
      <c r="J123" s="92" t="s">
        <v>207</v>
      </c>
      <c r="L123" s="89">
        <v>4</v>
      </c>
      <c r="M123" s="78">
        <f>M122</f>
        <v>10</v>
      </c>
      <c r="N123" s="84"/>
      <c r="O123" s="78">
        <f t="shared" ref="O123:O126" si="84">L123*M123-N123*L123</f>
        <v>40</v>
      </c>
    </row>
    <row r="124" spans="1:16" ht="18" customHeight="1">
      <c r="A124" s="85"/>
      <c r="B124" s="86"/>
      <c r="C124" s="87"/>
      <c r="D124" s="88">
        <v>288</v>
      </c>
      <c r="E124" s="88">
        <v>910</v>
      </c>
      <c r="F124" s="89">
        <f t="shared" si="81"/>
        <v>20</v>
      </c>
      <c r="G124" s="90">
        <f t="shared" si="82"/>
        <v>57.09244191745907</v>
      </c>
      <c r="H124" s="90">
        <f t="shared" si="83"/>
        <v>95.84</v>
      </c>
      <c r="I124" s="91" t="str">
        <f t="shared" ref="I124:I125" si="85">I123</f>
        <v>2동1,2라인</v>
      </c>
      <c r="J124" s="92" t="s">
        <v>208</v>
      </c>
      <c r="L124" s="89">
        <v>2</v>
      </c>
      <c r="M124" s="78">
        <f t="shared" ref="M124" si="86">M123</f>
        <v>10</v>
      </c>
      <c r="N124" s="78"/>
      <c r="O124" s="78">
        <f t="shared" si="84"/>
        <v>20</v>
      </c>
    </row>
    <row r="125" spans="1:16" ht="18" customHeight="1">
      <c r="A125" s="85"/>
      <c r="B125" s="86"/>
      <c r="C125" s="87"/>
      <c r="D125" s="88">
        <v>228</v>
      </c>
      <c r="E125" s="88">
        <v>910</v>
      </c>
      <c r="F125" s="89">
        <f t="shared" si="81"/>
        <v>20</v>
      </c>
      <c r="G125" s="90">
        <f t="shared" si="82"/>
        <v>45.1981831846551</v>
      </c>
      <c r="H125" s="90">
        <f t="shared" si="83"/>
        <v>91.039999999999992</v>
      </c>
      <c r="I125" s="91" t="str">
        <f t="shared" si="85"/>
        <v>2동1,2라인</v>
      </c>
      <c r="J125" s="92" t="s">
        <v>209</v>
      </c>
      <c r="L125" s="89">
        <v>2</v>
      </c>
      <c r="M125" s="78">
        <f>M124</f>
        <v>10</v>
      </c>
      <c r="N125" s="78"/>
      <c r="O125" s="78">
        <f t="shared" si="84"/>
        <v>20</v>
      </c>
    </row>
    <row r="126" spans="1:16" ht="18" customHeight="1">
      <c r="A126" s="85"/>
      <c r="B126" s="86"/>
      <c r="C126" s="87"/>
      <c r="D126" s="88">
        <v>438</v>
      </c>
      <c r="E126" s="88">
        <v>270</v>
      </c>
      <c r="F126" s="89">
        <f t="shared" si="81"/>
        <v>20</v>
      </c>
      <c r="G126" s="90">
        <f t="shared" si="82"/>
        <v>25.762180178413882</v>
      </c>
      <c r="H126" s="90">
        <f t="shared" si="83"/>
        <v>56.64</v>
      </c>
      <c r="I126" s="91" t="str">
        <f>I124</f>
        <v>2동1,2라인</v>
      </c>
      <c r="J126" s="92" t="s">
        <v>210</v>
      </c>
      <c r="L126" s="89">
        <v>2</v>
      </c>
      <c r="M126" s="78">
        <f>M124</f>
        <v>10</v>
      </c>
      <c r="N126" s="78"/>
      <c r="O126" s="78">
        <f t="shared" si="84"/>
        <v>20</v>
      </c>
    </row>
    <row r="127" spans="1:16" ht="18" customHeight="1">
      <c r="A127" s="85"/>
      <c r="B127" s="93"/>
      <c r="C127" s="87"/>
      <c r="D127" s="325" t="s">
        <v>0</v>
      </c>
      <c r="E127" s="325"/>
      <c r="F127" s="94">
        <f>SUM(F122:F126)</f>
        <v>110</v>
      </c>
      <c r="G127" s="95">
        <f>SUM(G122:G126)</f>
        <v>719.01120805149833</v>
      </c>
      <c r="H127" s="96">
        <f>SUM(H122:H126)</f>
        <v>678.04</v>
      </c>
      <c r="I127" s="97"/>
      <c r="J127" s="162"/>
    </row>
    <row r="128" spans="1:16" ht="18" customHeight="1">
      <c r="A128" s="85"/>
      <c r="B128" s="93"/>
      <c r="C128" s="87"/>
      <c r="D128" s="161"/>
      <c r="E128" s="161"/>
      <c r="F128" s="89"/>
      <c r="G128" s="100"/>
      <c r="H128" s="101"/>
      <c r="I128" s="102"/>
      <c r="J128" s="121"/>
      <c r="L128" s="252"/>
      <c r="M128" s="252"/>
      <c r="N128" s="252"/>
      <c r="O128" s="252"/>
    </row>
    <row r="129" spans="1:16" ht="18" customHeight="1">
      <c r="A129" s="85"/>
      <c r="B129" s="23" t="s">
        <v>198</v>
      </c>
      <c r="C129" s="24">
        <v>22</v>
      </c>
      <c r="D129" s="88">
        <v>861</v>
      </c>
      <c r="E129" s="88">
        <v>1810</v>
      </c>
      <c r="F129" s="89">
        <f t="shared" ref="F129:F134" si="87">O129</f>
        <v>10</v>
      </c>
      <c r="G129" s="90">
        <f t="shared" ref="G129:G134" si="88">D129*E129/91809*F129</f>
        <v>169.7447962618044</v>
      </c>
      <c r="H129" s="90">
        <f t="shared" ref="H129:H134" si="89">(D129/1000)*4*F129+(E129/1000)*4*F129</f>
        <v>106.84</v>
      </c>
      <c r="I129" s="91" t="str">
        <f>I122</f>
        <v>2동1,2라인</v>
      </c>
      <c r="J129" s="92" t="s">
        <v>212</v>
      </c>
      <c r="L129" s="89">
        <v>1</v>
      </c>
      <c r="M129" s="78">
        <f>M122</f>
        <v>10</v>
      </c>
      <c r="N129" s="84"/>
      <c r="O129" s="78">
        <f>L129*M129-N129*L129</f>
        <v>10</v>
      </c>
    </row>
    <row r="130" spans="1:16" ht="18" customHeight="1">
      <c r="A130" s="85"/>
      <c r="B130" s="86"/>
      <c r="C130" s="87"/>
      <c r="D130" s="88">
        <v>2114</v>
      </c>
      <c r="E130" s="88">
        <v>1810</v>
      </c>
      <c r="F130" s="89">
        <f t="shared" si="87"/>
        <v>10</v>
      </c>
      <c r="G130" s="90">
        <f t="shared" si="88"/>
        <v>416.77177618751978</v>
      </c>
      <c r="H130" s="90">
        <f t="shared" si="89"/>
        <v>156.96</v>
      </c>
      <c r="I130" s="91" t="str">
        <f>I122</f>
        <v>2동1,2라인</v>
      </c>
      <c r="J130" s="92" t="s">
        <v>213</v>
      </c>
      <c r="L130" s="89">
        <v>1</v>
      </c>
      <c r="M130" s="78">
        <f>M129</f>
        <v>10</v>
      </c>
      <c r="N130" s="84"/>
      <c r="O130" s="78">
        <f>L130*M130-N130*L130</f>
        <v>10</v>
      </c>
    </row>
    <row r="131" spans="1:16" ht="18" customHeight="1">
      <c r="A131" s="104"/>
      <c r="B131" s="93"/>
      <c r="C131" s="87"/>
      <c r="D131" s="88">
        <v>738</v>
      </c>
      <c r="E131" s="88">
        <v>1310</v>
      </c>
      <c r="F131" s="89">
        <f t="shared" si="87"/>
        <v>40</v>
      </c>
      <c r="G131" s="90">
        <f t="shared" si="88"/>
        <v>421.2136065091658</v>
      </c>
      <c r="H131" s="90">
        <f t="shared" si="89"/>
        <v>327.68</v>
      </c>
      <c r="I131" s="91" t="str">
        <f>I130</f>
        <v>2동1,2라인</v>
      </c>
      <c r="J131" s="92" t="s">
        <v>214</v>
      </c>
      <c r="L131" s="89">
        <v>4</v>
      </c>
      <c r="M131" s="78">
        <f t="shared" ref="M131:M134" si="90">M130</f>
        <v>10</v>
      </c>
      <c r="N131" s="84"/>
      <c r="O131" s="78">
        <f t="shared" ref="O131:O134" si="91">L131*M131-N131*L131</f>
        <v>40</v>
      </c>
    </row>
    <row r="132" spans="1:16" ht="18" customHeight="1">
      <c r="A132" s="104"/>
      <c r="B132" s="93"/>
      <c r="C132" s="87"/>
      <c r="D132" s="88">
        <v>288</v>
      </c>
      <c r="E132" s="88">
        <v>910</v>
      </c>
      <c r="F132" s="89">
        <f t="shared" si="87"/>
        <v>20</v>
      </c>
      <c r="G132" s="90">
        <f t="shared" si="88"/>
        <v>57.09244191745907</v>
      </c>
      <c r="H132" s="90">
        <f t="shared" si="89"/>
        <v>95.84</v>
      </c>
      <c r="I132" s="91" t="str">
        <f>I131</f>
        <v>2동1,2라인</v>
      </c>
      <c r="J132" s="92" t="s">
        <v>215</v>
      </c>
      <c r="L132" s="89">
        <v>2</v>
      </c>
      <c r="M132" s="78">
        <f>M131</f>
        <v>10</v>
      </c>
      <c r="N132" s="84"/>
      <c r="O132" s="78">
        <f t="shared" si="91"/>
        <v>20</v>
      </c>
    </row>
    <row r="133" spans="1:16" ht="18" customHeight="1">
      <c r="A133" s="104"/>
      <c r="B133" s="93"/>
      <c r="C133" s="87"/>
      <c r="D133" s="88">
        <v>228</v>
      </c>
      <c r="E133" s="88">
        <v>910</v>
      </c>
      <c r="F133" s="89">
        <f t="shared" si="87"/>
        <v>20</v>
      </c>
      <c r="G133" s="90">
        <f t="shared" si="88"/>
        <v>45.1981831846551</v>
      </c>
      <c r="H133" s="90">
        <f t="shared" si="89"/>
        <v>91.039999999999992</v>
      </c>
      <c r="I133" s="91" t="str">
        <f>I131</f>
        <v>2동1,2라인</v>
      </c>
      <c r="J133" s="92" t="s">
        <v>216</v>
      </c>
      <c r="L133" s="89">
        <v>2</v>
      </c>
      <c r="M133" s="78">
        <f>M131</f>
        <v>10</v>
      </c>
      <c r="N133" s="78"/>
      <c r="O133" s="78">
        <f t="shared" si="91"/>
        <v>20</v>
      </c>
    </row>
    <row r="134" spans="1:16" ht="18" customHeight="1">
      <c r="A134" s="104"/>
      <c r="B134" s="93"/>
      <c r="C134" s="87"/>
      <c r="D134" s="88">
        <v>438</v>
      </c>
      <c r="E134" s="88">
        <v>270</v>
      </c>
      <c r="F134" s="89">
        <f t="shared" si="87"/>
        <v>20</v>
      </c>
      <c r="G134" s="90">
        <f t="shared" si="88"/>
        <v>25.762180178413882</v>
      </c>
      <c r="H134" s="90">
        <f t="shared" si="89"/>
        <v>56.64</v>
      </c>
      <c r="I134" s="91" t="str">
        <f t="shared" ref="I134" si="92">I133</f>
        <v>2동1,2라인</v>
      </c>
      <c r="J134" s="92" t="s">
        <v>217</v>
      </c>
      <c r="L134" s="89">
        <v>2</v>
      </c>
      <c r="M134" s="78">
        <f t="shared" si="90"/>
        <v>10</v>
      </c>
      <c r="N134" s="78"/>
      <c r="O134" s="78">
        <f t="shared" si="91"/>
        <v>20</v>
      </c>
    </row>
    <row r="135" spans="1:16" ht="18" customHeight="1">
      <c r="A135" s="104"/>
      <c r="B135" s="87"/>
      <c r="C135" s="87"/>
      <c r="D135" s="325" t="s">
        <v>0</v>
      </c>
      <c r="E135" s="325"/>
      <c r="F135" s="171">
        <f>SUM(F129:F134)</f>
        <v>120</v>
      </c>
      <c r="G135" s="95">
        <f>SUM(G129:G134)</f>
        <v>1135.7829842390181</v>
      </c>
      <c r="H135" s="95">
        <f>SUM(H129:H134)</f>
        <v>835</v>
      </c>
      <c r="I135" s="97"/>
      <c r="J135" s="98"/>
    </row>
    <row r="136" spans="1:16">
      <c r="A136" s="105"/>
      <c r="B136" s="9"/>
      <c r="C136" s="9"/>
      <c r="D136" s="51"/>
      <c r="E136" s="51"/>
      <c r="F136" s="51"/>
      <c r="G136" s="106"/>
      <c r="H136" s="106"/>
      <c r="I136" s="9"/>
      <c r="J136" s="107"/>
    </row>
    <row r="137" spans="1:16" ht="18" customHeight="1">
      <c r="A137" s="85"/>
      <c r="B137" s="23" t="s">
        <v>237</v>
      </c>
      <c r="C137" s="24">
        <v>22</v>
      </c>
      <c r="D137" s="88">
        <v>2114</v>
      </c>
      <c r="E137" s="88">
        <v>1810</v>
      </c>
      <c r="F137" s="89">
        <f t="shared" ref="F137" si="93">O137</f>
        <v>10</v>
      </c>
      <c r="G137" s="90">
        <f t="shared" ref="G137" si="94">D137*E137/91809*F137</f>
        <v>416.77177618751978</v>
      </c>
      <c r="H137" s="90">
        <f t="shared" ref="H137" si="95">(D137/1000)*4*F137+(E137/1000)*4*F137</f>
        <v>156.96</v>
      </c>
      <c r="I137" s="91" t="str">
        <f>I129</f>
        <v>2동1,2라인</v>
      </c>
      <c r="J137" s="92" t="s">
        <v>206</v>
      </c>
      <c r="L137" s="89">
        <v>1</v>
      </c>
      <c r="M137" s="78">
        <f>M122</f>
        <v>10</v>
      </c>
      <c r="N137" s="84"/>
      <c r="O137" s="78">
        <f>L137*M137-N137*L137</f>
        <v>10</v>
      </c>
    </row>
    <row r="138" spans="1:16" ht="18" customHeight="1">
      <c r="A138" s="85"/>
      <c r="B138" s="93"/>
      <c r="C138" s="87"/>
      <c r="D138" s="325" t="s">
        <v>0</v>
      </c>
      <c r="E138" s="325"/>
      <c r="F138" s="94">
        <f>SUM(F137:F137)</f>
        <v>10</v>
      </c>
      <c r="G138" s="95">
        <f>SUM(G137:G137)</f>
        <v>416.77177618751978</v>
      </c>
      <c r="H138" s="95">
        <f>SUM(H137:H137)</f>
        <v>156.96</v>
      </c>
      <c r="I138" s="97"/>
      <c r="J138" s="98"/>
    </row>
    <row r="139" spans="1:16" ht="18" customHeight="1">
      <c r="A139" s="218"/>
      <c r="B139" s="219"/>
      <c r="C139" s="220"/>
      <c r="D139" s="161"/>
      <c r="E139" s="161"/>
      <c r="F139" s="89"/>
      <c r="G139" s="100"/>
      <c r="H139" s="100"/>
      <c r="I139" s="102"/>
      <c r="J139" s="221"/>
    </row>
    <row r="140" spans="1:16" ht="18" customHeight="1">
      <c r="A140" s="85"/>
      <c r="B140" s="23" t="s">
        <v>200</v>
      </c>
      <c r="C140" s="24">
        <v>22</v>
      </c>
      <c r="D140" s="88">
        <v>638</v>
      </c>
      <c r="E140" s="88">
        <v>1810</v>
      </c>
      <c r="F140" s="89">
        <f t="shared" ref="F140:F141" si="96">O140</f>
        <v>10</v>
      </c>
      <c r="G140" s="90">
        <f t="shared" ref="G140:G141" si="97">D140*E140/91809*F140</f>
        <v>125.78069688156936</v>
      </c>
      <c r="H140" s="90">
        <f t="shared" ref="H140:H141" si="98">(D140/1000)*4*F140+(E140/1000)*4*F140</f>
        <v>97.92</v>
      </c>
      <c r="I140" s="91" t="str">
        <f>I137</f>
        <v>2동1,2라인</v>
      </c>
      <c r="J140" s="92" t="s">
        <v>219</v>
      </c>
      <c r="L140" s="89">
        <v>2</v>
      </c>
      <c r="M140" s="78">
        <f>M137</f>
        <v>10</v>
      </c>
      <c r="N140" s="84">
        <v>5</v>
      </c>
      <c r="O140" s="78">
        <f>L140*M140-N140*L140</f>
        <v>10</v>
      </c>
      <c r="P140" s="64" t="s">
        <v>247</v>
      </c>
    </row>
    <row r="141" spans="1:16" ht="18" customHeight="1">
      <c r="A141" s="85"/>
      <c r="B141" s="86"/>
      <c r="C141" s="87"/>
      <c r="D141" s="88">
        <v>250</v>
      </c>
      <c r="E141" s="88">
        <v>930</v>
      </c>
      <c r="F141" s="89">
        <f t="shared" si="96"/>
        <v>20</v>
      </c>
      <c r="G141" s="90">
        <f t="shared" si="97"/>
        <v>50.648629219357574</v>
      </c>
      <c r="H141" s="90">
        <f t="shared" si="98"/>
        <v>94.4</v>
      </c>
      <c r="I141" s="91" t="str">
        <f>I140</f>
        <v>2동1,2라인</v>
      </c>
      <c r="J141" s="92" t="s">
        <v>220</v>
      </c>
      <c r="L141" s="89">
        <v>2</v>
      </c>
      <c r="M141" s="78">
        <f>M140</f>
        <v>10</v>
      </c>
      <c r="N141" s="84"/>
      <c r="O141" s="78">
        <f t="shared" ref="O141" si="99">L141*M141-N141*L141</f>
        <v>20</v>
      </c>
    </row>
    <row r="142" spans="1:16" ht="18" customHeight="1">
      <c r="A142" s="85"/>
      <c r="B142" s="93"/>
      <c r="C142" s="87"/>
      <c r="D142" s="325" t="s">
        <v>0</v>
      </c>
      <c r="E142" s="325"/>
      <c r="F142" s="94">
        <f>SUM(F140:F141)</f>
        <v>30</v>
      </c>
      <c r="G142" s="95">
        <f>SUM(G140:G141)</f>
        <v>176.42932610092691</v>
      </c>
      <c r="H142" s="96">
        <f>SUM(H140:H141)</f>
        <v>192.32</v>
      </c>
      <c r="I142" s="97"/>
      <c r="J142" s="162"/>
    </row>
    <row r="143" spans="1:16">
      <c r="A143" s="16"/>
      <c r="B143" s="16"/>
      <c r="C143" s="16"/>
      <c r="D143" s="261"/>
      <c r="E143" s="261"/>
      <c r="F143" s="261"/>
      <c r="G143" s="19"/>
      <c r="H143" s="19"/>
      <c r="I143" s="16"/>
      <c r="J143" s="16"/>
    </row>
    <row r="144" spans="1:16" ht="18" customHeight="1">
      <c r="A144" s="85" t="s">
        <v>235</v>
      </c>
      <c r="B144" s="23" t="s">
        <v>196</v>
      </c>
      <c r="C144" s="24">
        <v>22</v>
      </c>
      <c r="D144" s="88">
        <v>861</v>
      </c>
      <c r="E144" s="88">
        <v>1810</v>
      </c>
      <c r="F144" s="89">
        <f t="shared" ref="F144:F147" si="100">O144</f>
        <v>5</v>
      </c>
      <c r="G144" s="90">
        <f t="shared" ref="G144:G147" si="101">D144*E144/91809*F144</f>
        <v>84.872398130902198</v>
      </c>
      <c r="H144" s="90">
        <f t="shared" ref="H144:H147" si="102">(D144/1000)*4*F144+(E144/1000)*4*F144</f>
        <v>53.42</v>
      </c>
      <c r="I144" s="91" t="s">
        <v>248</v>
      </c>
      <c r="J144" s="92" t="s">
        <v>205</v>
      </c>
      <c r="L144" s="89">
        <v>1</v>
      </c>
      <c r="M144" s="78">
        <v>5</v>
      </c>
      <c r="N144" s="84"/>
      <c r="O144" s="78">
        <f>L144*M144-N144*L144</f>
        <v>5</v>
      </c>
      <c r="P144" s="64"/>
    </row>
    <row r="145" spans="1:16" ht="18" customHeight="1">
      <c r="A145" s="85"/>
      <c r="B145" s="86"/>
      <c r="C145" s="87"/>
      <c r="D145" s="88">
        <v>738</v>
      </c>
      <c r="E145" s="88">
        <v>1310</v>
      </c>
      <c r="F145" s="89">
        <f t="shared" si="100"/>
        <v>20</v>
      </c>
      <c r="G145" s="90">
        <f t="shared" si="101"/>
        <v>210.6068032545829</v>
      </c>
      <c r="H145" s="90">
        <f t="shared" si="102"/>
        <v>163.84</v>
      </c>
      <c r="I145" s="91" t="str">
        <f>I144</f>
        <v>2동3라인</v>
      </c>
      <c r="J145" s="92" t="s">
        <v>207</v>
      </c>
      <c r="L145" s="89">
        <v>4</v>
      </c>
      <c r="M145" s="78">
        <f>M144</f>
        <v>5</v>
      </c>
      <c r="N145" s="84"/>
      <c r="O145" s="78">
        <f t="shared" ref="O145:O147" si="103">L145*M145-N145*L145</f>
        <v>20</v>
      </c>
    </row>
    <row r="146" spans="1:16" ht="18" customHeight="1">
      <c r="A146" s="85"/>
      <c r="B146" s="86"/>
      <c r="C146" s="87"/>
      <c r="D146" s="88">
        <v>228</v>
      </c>
      <c r="E146" s="88">
        <v>910</v>
      </c>
      <c r="F146" s="89">
        <f t="shared" si="100"/>
        <v>10</v>
      </c>
      <c r="G146" s="90">
        <f t="shared" si="101"/>
        <v>22.59909159232755</v>
      </c>
      <c r="H146" s="90">
        <f t="shared" si="102"/>
        <v>45.519999999999996</v>
      </c>
      <c r="I146" s="91" t="str">
        <f t="shared" ref="I146:I147" si="104">I145</f>
        <v>2동3라인</v>
      </c>
      <c r="J146" s="92" t="s">
        <v>209</v>
      </c>
      <c r="L146" s="89">
        <v>2</v>
      </c>
      <c r="M146" s="78">
        <f t="shared" ref="M146:M147" si="105">M145</f>
        <v>5</v>
      </c>
      <c r="N146" s="78"/>
      <c r="O146" s="78">
        <f t="shared" si="103"/>
        <v>10</v>
      </c>
    </row>
    <row r="147" spans="1:16" ht="18" customHeight="1">
      <c r="A147" s="85"/>
      <c r="B147" s="86"/>
      <c r="C147" s="87"/>
      <c r="D147" s="88">
        <v>438</v>
      </c>
      <c r="E147" s="88">
        <v>270</v>
      </c>
      <c r="F147" s="89">
        <f t="shared" si="100"/>
        <v>10</v>
      </c>
      <c r="G147" s="90">
        <f t="shared" si="101"/>
        <v>12.881090089206941</v>
      </c>
      <c r="H147" s="90">
        <f t="shared" si="102"/>
        <v>28.32</v>
      </c>
      <c r="I147" s="91" t="str">
        <f t="shared" si="104"/>
        <v>2동3라인</v>
      </c>
      <c r="J147" s="92" t="s">
        <v>210</v>
      </c>
      <c r="L147" s="89">
        <v>2</v>
      </c>
      <c r="M147" s="78">
        <f t="shared" si="105"/>
        <v>5</v>
      </c>
      <c r="N147" s="78"/>
      <c r="O147" s="78">
        <f t="shared" si="103"/>
        <v>10</v>
      </c>
    </row>
    <row r="148" spans="1:16" ht="18" customHeight="1">
      <c r="A148" s="85"/>
      <c r="B148" s="93"/>
      <c r="C148" s="87"/>
      <c r="D148" s="325" t="s">
        <v>0</v>
      </c>
      <c r="E148" s="325"/>
      <c r="F148" s="94">
        <f>SUM(F144:F147)</f>
        <v>45</v>
      </c>
      <c r="G148" s="95">
        <f>SUM(G144:G147)</f>
        <v>330.95938306701964</v>
      </c>
      <c r="H148" s="96">
        <f>SUM(H144:H147)</f>
        <v>291.09999999999997</v>
      </c>
      <c r="I148" s="97"/>
      <c r="J148" s="162"/>
    </row>
    <row r="149" spans="1:16" ht="18" customHeight="1">
      <c r="A149" s="85"/>
      <c r="B149" s="93"/>
      <c r="C149" s="87"/>
      <c r="D149" s="161"/>
      <c r="E149" s="161"/>
      <c r="F149" s="89"/>
      <c r="G149" s="100"/>
      <c r="H149" s="101"/>
      <c r="I149" s="102"/>
      <c r="J149" s="121"/>
      <c r="L149" s="252"/>
      <c r="M149" s="252"/>
      <c r="N149" s="252"/>
      <c r="O149" s="252"/>
    </row>
    <row r="150" spans="1:16" ht="18" customHeight="1">
      <c r="A150" s="85"/>
      <c r="B150" s="23" t="s">
        <v>198</v>
      </c>
      <c r="C150" s="24">
        <v>22</v>
      </c>
      <c r="D150" s="88">
        <v>861</v>
      </c>
      <c r="E150" s="88">
        <v>1810</v>
      </c>
      <c r="F150" s="89">
        <f t="shared" ref="F150:F154" si="106">O150</f>
        <v>5</v>
      </c>
      <c r="G150" s="90">
        <f t="shared" ref="G150:G154" si="107">D150*E150/91809*F150</f>
        <v>84.872398130902198</v>
      </c>
      <c r="H150" s="90">
        <f t="shared" ref="H150:H154" si="108">(D150/1000)*4*F150+(E150/1000)*4*F150</f>
        <v>53.42</v>
      </c>
      <c r="I150" s="91" t="str">
        <f>I144</f>
        <v>2동3라인</v>
      </c>
      <c r="J150" s="92" t="s">
        <v>212</v>
      </c>
      <c r="L150" s="89">
        <v>1</v>
      </c>
      <c r="M150" s="78">
        <f>M144</f>
        <v>5</v>
      </c>
      <c r="N150" s="84"/>
      <c r="O150" s="78">
        <f>L150*M150-N150*L150</f>
        <v>5</v>
      </c>
    </row>
    <row r="151" spans="1:16" ht="18" customHeight="1">
      <c r="A151" s="85"/>
      <c r="B151" s="86"/>
      <c r="C151" s="87"/>
      <c r="D151" s="88">
        <v>2114</v>
      </c>
      <c r="E151" s="88">
        <v>1810</v>
      </c>
      <c r="F151" s="89">
        <f t="shared" si="106"/>
        <v>5</v>
      </c>
      <c r="G151" s="90">
        <f t="shared" si="107"/>
        <v>208.38588809375989</v>
      </c>
      <c r="H151" s="90">
        <f t="shared" si="108"/>
        <v>78.48</v>
      </c>
      <c r="I151" s="91" t="str">
        <f>I144</f>
        <v>2동3라인</v>
      </c>
      <c r="J151" s="92" t="s">
        <v>213</v>
      </c>
      <c r="L151" s="89">
        <v>1</v>
      </c>
      <c r="M151" s="78">
        <f>M150</f>
        <v>5</v>
      </c>
      <c r="N151" s="84"/>
      <c r="O151" s="78">
        <f>L151*M151-N151*L151</f>
        <v>5</v>
      </c>
    </row>
    <row r="152" spans="1:16" ht="18" customHeight="1">
      <c r="A152" s="104"/>
      <c r="B152" s="93"/>
      <c r="C152" s="87"/>
      <c r="D152" s="88">
        <v>738</v>
      </c>
      <c r="E152" s="88">
        <v>1310</v>
      </c>
      <c r="F152" s="89">
        <f t="shared" si="106"/>
        <v>20</v>
      </c>
      <c r="G152" s="90">
        <f t="shared" si="107"/>
        <v>210.6068032545829</v>
      </c>
      <c r="H152" s="90">
        <f t="shared" si="108"/>
        <v>163.84</v>
      </c>
      <c r="I152" s="91" t="str">
        <f>I151</f>
        <v>2동3라인</v>
      </c>
      <c r="J152" s="92" t="s">
        <v>214</v>
      </c>
      <c r="L152" s="89">
        <v>4</v>
      </c>
      <c r="M152" s="78">
        <f t="shared" ref="M152:M154" si="109">M151</f>
        <v>5</v>
      </c>
      <c r="N152" s="84"/>
      <c r="O152" s="78">
        <f t="shared" ref="O152:O154" si="110">L152*M152-N152*L152</f>
        <v>20</v>
      </c>
    </row>
    <row r="153" spans="1:16" ht="18" customHeight="1">
      <c r="A153" s="104"/>
      <c r="B153" s="93"/>
      <c r="C153" s="87"/>
      <c r="D153" s="88">
        <v>228</v>
      </c>
      <c r="E153" s="88">
        <v>910</v>
      </c>
      <c r="F153" s="89">
        <f t="shared" si="106"/>
        <v>10</v>
      </c>
      <c r="G153" s="90">
        <f t="shared" si="107"/>
        <v>22.59909159232755</v>
      </c>
      <c r="H153" s="90">
        <f t="shared" si="108"/>
        <v>45.519999999999996</v>
      </c>
      <c r="I153" s="91" t="str">
        <f t="shared" ref="I153:I154" si="111">I152</f>
        <v>2동3라인</v>
      </c>
      <c r="J153" s="92" t="s">
        <v>216</v>
      </c>
      <c r="L153" s="89">
        <v>2</v>
      </c>
      <c r="M153" s="78">
        <f t="shared" si="109"/>
        <v>5</v>
      </c>
      <c r="N153" s="78"/>
      <c r="O153" s="78">
        <f t="shared" si="110"/>
        <v>10</v>
      </c>
    </row>
    <row r="154" spans="1:16" ht="18" customHeight="1">
      <c r="A154" s="104"/>
      <c r="B154" s="93"/>
      <c r="C154" s="87"/>
      <c r="D154" s="88">
        <v>438</v>
      </c>
      <c r="E154" s="88">
        <v>270</v>
      </c>
      <c r="F154" s="89">
        <f t="shared" si="106"/>
        <v>10</v>
      </c>
      <c r="G154" s="90">
        <f t="shared" si="107"/>
        <v>12.881090089206941</v>
      </c>
      <c r="H154" s="90">
        <f t="shared" si="108"/>
        <v>28.32</v>
      </c>
      <c r="I154" s="91" t="str">
        <f t="shared" si="111"/>
        <v>2동3라인</v>
      </c>
      <c r="J154" s="92" t="s">
        <v>217</v>
      </c>
      <c r="L154" s="89">
        <v>2</v>
      </c>
      <c r="M154" s="78">
        <f t="shared" si="109"/>
        <v>5</v>
      </c>
      <c r="N154" s="78"/>
      <c r="O154" s="78">
        <f t="shared" si="110"/>
        <v>10</v>
      </c>
    </row>
    <row r="155" spans="1:16" ht="18" customHeight="1">
      <c r="A155" s="104"/>
      <c r="B155" s="87"/>
      <c r="C155" s="87"/>
      <c r="D155" s="325" t="s">
        <v>0</v>
      </c>
      <c r="E155" s="325"/>
      <c r="F155" s="171">
        <f>SUM(F150:F154)</f>
        <v>50</v>
      </c>
      <c r="G155" s="95">
        <f>SUM(G150:G154)</f>
        <v>539.34527116077948</v>
      </c>
      <c r="H155" s="95">
        <f>SUM(H150:H154)</f>
        <v>369.58</v>
      </c>
      <c r="I155" s="97"/>
      <c r="J155" s="98"/>
    </row>
    <row r="156" spans="1:16">
      <c r="A156" s="105"/>
      <c r="B156" s="9"/>
      <c r="C156" s="9"/>
      <c r="D156" s="51"/>
      <c r="E156" s="51"/>
      <c r="F156" s="51"/>
      <c r="G156" s="106"/>
      <c r="H156" s="106"/>
      <c r="I156" s="9"/>
      <c r="J156" s="107"/>
    </row>
    <row r="157" spans="1:16" ht="18" customHeight="1">
      <c r="A157" s="85"/>
      <c r="B157" s="23" t="s">
        <v>237</v>
      </c>
      <c r="C157" s="24">
        <v>22</v>
      </c>
      <c r="D157" s="88">
        <v>2114</v>
      </c>
      <c r="E157" s="88">
        <v>1810</v>
      </c>
      <c r="F157" s="89">
        <f t="shared" ref="F157" si="112">O157</f>
        <v>5</v>
      </c>
      <c r="G157" s="90">
        <f t="shared" ref="G157" si="113">D157*E157/91809*F157</f>
        <v>208.38588809375989</v>
      </c>
      <c r="H157" s="90">
        <f t="shared" ref="H157" si="114">(D157/1000)*4*F157+(E157/1000)*4*F157</f>
        <v>78.48</v>
      </c>
      <c r="I157" s="91" t="str">
        <f>I150</f>
        <v>2동3라인</v>
      </c>
      <c r="J157" s="92" t="s">
        <v>206</v>
      </c>
      <c r="L157" s="89">
        <v>1</v>
      </c>
      <c r="M157" s="78">
        <f>M144</f>
        <v>5</v>
      </c>
      <c r="N157" s="84"/>
      <c r="O157" s="78">
        <f>L157*M157-N157*L157</f>
        <v>5</v>
      </c>
    </row>
    <row r="158" spans="1:16" ht="18" customHeight="1">
      <c r="A158" s="85"/>
      <c r="B158" s="93"/>
      <c r="C158" s="87"/>
      <c r="D158" s="325" t="s">
        <v>0</v>
      </c>
      <c r="E158" s="325"/>
      <c r="F158" s="94">
        <f>SUM(F157:F157)</f>
        <v>5</v>
      </c>
      <c r="G158" s="95">
        <f>SUM(G157:G157)</f>
        <v>208.38588809375989</v>
      </c>
      <c r="H158" s="95">
        <f>SUM(H157:H157)</f>
        <v>78.48</v>
      </c>
      <c r="I158" s="97"/>
      <c r="J158" s="98"/>
    </row>
    <row r="159" spans="1:16" ht="18" customHeight="1">
      <c r="A159" s="218"/>
      <c r="B159" s="219"/>
      <c r="C159" s="220"/>
      <c r="D159" s="161"/>
      <c r="E159" s="161"/>
      <c r="F159" s="89"/>
      <c r="G159" s="100"/>
      <c r="H159" s="100"/>
      <c r="I159" s="102"/>
      <c r="J159" s="221"/>
    </row>
    <row r="160" spans="1:16" ht="18" customHeight="1">
      <c r="A160" s="85"/>
      <c r="B160" s="23" t="s">
        <v>200</v>
      </c>
      <c r="C160" s="24">
        <v>22</v>
      </c>
      <c r="D160" s="88">
        <v>738</v>
      </c>
      <c r="E160" s="88">
        <v>1810</v>
      </c>
      <c r="F160" s="89">
        <f t="shared" ref="F160:F161" si="115">O160</f>
        <v>0</v>
      </c>
      <c r="G160" s="90">
        <f t="shared" ref="G160:G161" si="116">D160*E160/91809*F160</f>
        <v>0</v>
      </c>
      <c r="H160" s="90">
        <f t="shared" ref="H160:H161" si="117">(D160/1000)*4*F160+(E160/1000)*4*F160</f>
        <v>0</v>
      </c>
      <c r="I160" s="91" t="str">
        <f>I157</f>
        <v>2동3라인</v>
      </c>
      <c r="J160" s="92" t="s">
        <v>219</v>
      </c>
      <c r="L160" s="89">
        <v>2</v>
      </c>
      <c r="M160" s="78">
        <f>M157</f>
        <v>5</v>
      </c>
      <c r="N160" s="84">
        <v>5</v>
      </c>
      <c r="O160" s="78">
        <f>L160*M160-N160*L160</f>
        <v>0</v>
      </c>
      <c r="P160" s="64" t="s">
        <v>279</v>
      </c>
    </row>
    <row r="161" spans="1:16" ht="18" customHeight="1">
      <c r="A161" s="85"/>
      <c r="B161" s="86"/>
      <c r="C161" s="87"/>
      <c r="D161" s="88">
        <v>250</v>
      </c>
      <c r="E161" s="88">
        <v>930</v>
      </c>
      <c r="F161" s="89">
        <f t="shared" si="115"/>
        <v>10</v>
      </c>
      <c r="G161" s="90">
        <f t="shared" si="116"/>
        <v>25.324314609678787</v>
      </c>
      <c r="H161" s="90">
        <f t="shared" si="117"/>
        <v>47.2</v>
      </c>
      <c r="I161" s="91" t="str">
        <f>I160</f>
        <v>2동3라인</v>
      </c>
      <c r="J161" s="92" t="s">
        <v>220</v>
      </c>
      <c r="L161" s="89">
        <v>2</v>
      </c>
      <c r="M161" s="78">
        <f>M160</f>
        <v>5</v>
      </c>
      <c r="N161" s="84"/>
      <c r="O161" s="78">
        <f t="shared" ref="O161" si="118">L161*M161-N161*L161</f>
        <v>10</v>
      </c>
    </row>
    <row r="162" spans="1:16" ht="18" customHeight="1">
      <c r="A162" s="85"/>
      <c r="B162" s="93"/>
      <c r="C162" s="87"/>
      <c r="D162" s="325" t="s">
        <v>0</v>
      </c>
      <c r="E162" s="325"/>
      <c r="F162" s="94">
        <f>SUM(F160:F161)</f>
        <v>10</v>
      </c>
      <c r="G162" s="95">
        <f>SUM(G160:G161)</f>
        <v>25.324314609678787</v>
      </c>
      <c r="H162" s="96">
        <f>SUM(H160:H161)</f>
        <v>47.2</v>
      </c>
      <c r="I162" s="97"/>
      <c r="J162" s="162"/>
    </row>
    <row r="163" spans="1:16" ht="18" customHeight="1" thickBot="1">
      <c r="A163" s="222"/>
      <c r="B163" s="223"/>
      <c r="C163" s="224"/>
      <c r="D163" s="225"/>
      <c r="E163" s="225"/>
      <c r="F163" s="226"/>
      <c r="G163" s="227"/>
      <c r="H163" s="228"/>
      <c r="I163" s="229"/>
      <c r="J163" s="230"/>
      <c r="L163" s="78" t="s">
        <v>48</v>
      </c>
      <c r="M163" s="78" t="s">
        <v>49</v>
      </c>
      <c r="N163" s="78" t="s">
        <v>50</v>
      </c>
      <c r="O163" s="78" t="s">
        <v>55</v>
      </c>
    </row>
    <row r="164" spans="1:16" ht="18" customHeight="1">
      <c r="A164" s="79" t="s">
        <v>234</v>
      </c>
      <c r="B164" s="231" t="s">
        <v>195</v>
      </c>
      <c r="C164" s="232">
        <v>22</v>
      </c>
      <c r="D164" s="80">
        <v>761</v>
      </c>
      <c r="E164" s="80">
        <v>1810</v>
      </c>
      <c r="F164" s="233">
        <f>O164</f>
        <v>10</v>
      </c>
      <c r="G164" s="81">
        <f t="shared" ref="G164:G170" si="119">D164*E164/91809*F164</f>
        <v>150.02995349039855</v>
      </c>
      <c r="H164" s="81">
        <f t="shared" ref="H164:H170" si="120">(D164/1000)*4*F164+(E164/1000)*4*F164</f>
        <v>102.84</v>
      </c>
      <c r="I164" s="82" t="s">
        <v>249</v>
      </c>
      <c r="J164" s="83" t="s">
        <v>205</v>
      </c>
      <c r="L164" s="89">
        <v>2</v>
      </c>
      <c r="M164" s="78">
        <v>5</v>
      </c>
      <c r="N164" s="84"/>
      <c r="O164" s="78">
        <f>L164*M164-N164*L164</f>
        <v>10</v>
      </c>
      <c r="P164" s="64"/>
    </row>
    <row r="165" spans="1:16" ht="18" customHeight="1">
      <c r="A165" s="85"/>
      <c r="B165" s="86"/>
      <c r="C165" s="87"/>
      <c r="D165" s="88">
        <v>1688</v>
      </c>
      <c r="E165" s="88">
        <v>1810</v>
      </c>
      <c r="F165" s="89">
        <f t="shared" ref="F165:F170" si="121">O165</f>
        <v>5</v>
      </c>
      <c r="G165" s="90">
        <f t="shared" si="119"/>
        <v>166.39327299066539</v>
      </c>
      <c r="H165" s="90">
        <f t="shared" si="120"/>
        <v>69.960000000000008</v>
      </c>
      <c r="I165" s="91" t="str">
        <f>I164</f>
        <v>2동4라인</v>
      </c>
      <c r="J165" s="92" t="s">
        <v>206</v>
      </c>
      <c r="L165" s="89">
        <v>1</v>
      </c>
      <c r="M165" s="78">
        <f>M164</f>
        <v>5</v>
      </c>
      <c r="N165" s="84"/>
      <c r="O165" s="78">
        <f t="shared" ref="O165:O170" si="122">L165*M165-N165*L165</f>
        <v>5</v>
      </c>
    </row>
    <row r="166" spans="1:16" ht="18" customHeight="1">
      <c r="A166" s="85"/>
      <c r="B166" s="86"/>
      <c r="C166" s="87"/>
      <c r="D166" s="88">
        <v>738</v>
      </c>
      <c r="E166" s="88">
        <v>1310</v>
      </c>
      <c r="F166" s="89">
        <f t="shared" si="121"/>
        <v>20</v>
      </c>
      <c r="G166" s="90">
        <f t="shared" si="119"/>
        <v>210.6068032545829</v>
      </c>
      <c r="H166" s="90">
        <f t="shared" si="120"/>
        <v>163.84</v>
      </c>
      <c r="I166" s="91" t="str">
        <f t="shared" ref="I166:I170" si="123">I165</f>
        <v>2동4라인</v>
      </c>
      <c r="J166" s="92" t="s">
        <v>207</v>
      </c>
      <c r="L166" s="89">
        <v>4</v>
      </c>
      <c r="M166" s="78">
        <f t="shared" ref="M166:M169" si="124">M165</f>
        <v>5</v>
      </c>
      <c r="N166" s="78"/>
      <c r="O166" s="78">
        <f t="shared" si="122"/>
        <v>20</v>
      </c>
    </row>
    <row r="167" spans="1:16" ht="18" customHeight="1">
      <c r="A167" s="85"/>
      <c r="B167" s="86"/>
      <c r="C167" s="87"/>
      <c r="D167" s="88">
        <v>288</v>
      </c>
      <c r="E167" s="88">
        <v>910</v>
      </c>
      <c r="F167" s="89">
        <f t="shared" si="121"/>
        <v>10</v>
      </c>
      <c r="G167" s="90">
        <f t="shared" si="119"/>
        <v>28.546220958729535</v>
      </c>
      <c r="H167" s="90">
        <f t="shared" si="120"/>
        <v>47.92</v>
      </c>
      <c r="I167" s="91" t="str">
        <f t="shared" si="123"/>
        <v>2동4라인</v>
      </c>
      <c r="J167" s="92" t="s">
        <v>208</v>
      </c>
      <c r="L167" s="89">
        <v>2</v>
      </c>
      <c r="M167" s="78">
        <f t="shared" si="124"/>
        <v>5</v>
      </c>
      <c r="N167" s="78"/>
      <c r="O167" s="78">
        <f t="shared" si="122"/>
        <v>10</v>
      </c>
    </row>
    <row r="168" spans="1:16" ht="18" customHeight="1">
      <c r="A168" s="85"/>
      <c r="B168" s="86"/>
      <c r="C168" s="87"/>
      <c r="D168" s="88">
        <v>228</v>
      </c>
      <c r="E168" s="88">
        <v>910</v>
      </c>
      <c r="F168" s="89">
        <f t="shared" si="121"/>
        <v>10</v>
      </c>
      <c r="G168" s="90">
        <f t="shared" si="119"/>
        <v>22.59909159232755</v>
      </c>
      <c r="H168" s="90">
        <f t="shared" si="120"/>
        <v>45.519999999999996</v>
      </c>
      <c r="I168" s="91" t="str">
        <f t="shared" si="123"/>
        <v>2동4라인</v>
      </c>
      <c r="J168" s="92" t="s">
        <v>209</v>
      </c>
      <c r="L168" s="89">
        <v>2</v>
      </c>
      <c r="M168" s="78">
        <f t="shared" si="124"/>
        <v>5</v>
      </c>
      <c r="N168" s="78"/>
      <c r="O168" s="78">
        <f t="shared" si="122"/>
        <v>10</v>
      </c>
    </row>
    <row r="169" spans="1:16" ht="18" customHeight="1">
      <c r="A169" s="85"/>
      <c r="B169" s="86"/>
      <c r="C169" s="87"/>
      <c r="D169" s="88">
        <v>438</v>
      </c>
      <c r="E169" s="88">
        <v>270</v>
      </c>
      <c r="F169" s="89">
        <f t="shared" si="121"/>
        <v>10</v>
      </c>
      <c r="G169" s="90">
        <f t="shared" si="119"/>
        <v>12.881090089206941</v>
      </c>
      <c r="H169" s="90">
        <f t="shared" si="120"/>
        <v>28.32</v>
      </c>
      <c r="I169" s="91" t="str">
        <f t="shared" si="123"/>
        <v>2동4라인</v>
      </c>
      <c r="J169" s="92" t="s">
        <v>210</v>
      </c>
      <c r="L169" s="89">
        <v>2</v>
      </c>
      <c r="M169" s="78">
        <f t="shared" si="124"/>
        <v>5</v>
      </c>
      <c r="N169" s="78"/>
      <c r="O169" s="78">
        <f t="shared" si="122"/>
        <v>10</v>
      </c>
    </row>
    <row r="170" spans="1:16" ht="18" customHeight="1">
      <c r="A170" s="85"/>
      <c r="B170" s="86"/>
      <c r="C170" s="87"/>
      <c r="D170" s="88">
        <v>208</v>
      </c>
      <c r="E170" s="88">
        <v>910</v>
      </c>
      <c r="F170" s="89">
        <f t="shared" si="121"/>
        <v>10</v>
      </c>
      <c r="G170" s="90">
        <f t="shared" si="119"/>
        <v>20.616715136860222</v>
      </c>
      <c r="H170" s="90">
        <f t="shared" si="120"/>
        <v>44.72</v>
      </c>
      <c r="I170" s="91" t="str">
        <f t="shared" si="123"/>
        <v>2동4라인</v>
      </c>
      <c r="J170" s="92" t="s">
        <v>211</v>
      </c>
      <c r="L170" s="89">
        <v>2</v>
      </c>
      <c r="M170" s="78">
        <f>M169</f>
        <v>5</v>
      </c>
      <c r="N170" s="78"/>
      <c r="O170" s="78">
        <f t="shared" si="122"/>
        <v>10</v>
      </c>
    </row>
    <row r="171" spans="1:16" ht="18" customHeight="1">
      <c r="A171" s="85"/>
      <c r="B171" s="93"/>
      <c r="C171" s="87"/>
      <c r="D171" s="325" t="s">
        <v>0</v>
      </c>
      <c r="E171" s="325"/>
      <c r="F171" s="94">
        <f>SUM(F164:F170)</f>
        <v>75</v>
      </c>
      <c r="G171" s="95">
        <f>SUM(G164:G170)</f>
        <v>611.67314751277115</v>
      </c>
      <c r="H171" s="96">
        <f>SUM(H164:H170)</f>
        <v>503.12</v>
      </c>
      <c r="I171" s="97"/>
      <c r="J171" s="162"/>
    </row>
    <row r="172" spans="1:16" ht="18" customHeight="1">
      <c r="A172" s="85"/>
      <c r="B172" s="93"/>
      <c r="C172" s="87"/>
      <c r="D172" s="161"/>
      <c r="E172" s="161"/>
      <c r="F172" s="89"/>
      <c r="G172" s="100"/>
      <c r="H172" s="101"/>
      <c r="I172" s="102"/>
      <c r="J172" s="121"/>
      <c r="L172" s="78" t="s">
        <v>48</v>
      </c>
      <c r="M172" s="78" t="s">
        <v>54</v>
      </c>
      <c r="N172" s="78" t="s">
        <v>50</v>
      </c>
      <c r="O172" s="78" t="s">
        <v>55</v>
      </c>
    </row>
    <row r="173" spans="1:16" ht="18" customHeight="1">
      <c r="A173" s="85"/>
      <c r="B173" s="23" t="s">
        <v>197</v>
      </c>
      <c r="C173" s="24">
        <v>22</v>
      </c>
      <c r="D173" s="88">
        <v>761</v>
      </c>
      <c r="E173" s="88">
        <v>1810</v>
      </c>
      <c r="F173" s="89">
        <f t="shared" ref="F173:F179" si="125">O173</f>
        <v>10</v>
      </c>
      <c r="G173" s="90">
        <f t="shared" ref="G173:G179" si="126">D173*E173/91809*F173</f>
        <v>150.02995349039855</v>
      </c>
      <c r="H173" s="90">
        <f t="shared" ref="H173:H179" si="127">(D173/1000)*4*F173+(E173/1000)*4*F173</f>
        <v>102.84</v>
      </c>
      <c r="I173" s="91" t="str">
        <f t="shared" ref="I173:I179" si="128">I164</f>
        <v>2동4라인</v>
      </c>
      <c r="J173" s="92" t="s">
        <v>212</v>
      </c>
      <c r="L173" s="89">
        <v>2</v>
      </c>
      <c r="M173" s="78">
        <f>M164</f>
        <v>5</v>
      </c>
      <c r="N173" s="84"/>
      <c r="O173" s="78">
        <f>L173*M173-N173*L173</f>
        <v>10</v>
      </c>
    </row>
    <row r="174" spans="1:16" ht="18" customHeight="1">
      <c r="A174" s="85"/>
      <c r="B174" s="86"/>
      <c r="C174" s="87"/>
      <c r="D174" s="88">
        <v>1688</v>
      </c>
      <c r="E174" s="88">
        <v>1810</v>
      </c>
      <c r="F174" s="89">
        <f t="shared" si="125"/>
        <v>5</v>
      </c>
      <c r="G174" s="90">
        <f t="shared" si="126"/>
        <v>166.39327299066539</v>
      </c>
      <c r="H174" s="90">
        <f t="shared" si="127"/>
        <v>69.960000000000008</v>
      </c>
      <c r="I174" s="91" t="str">
        <f t="shared" si="128"/>
        <v>2동4라인</v>
      </c>
      <c r="J174" s="92" t="s">
        <v>213</v>
      </c>
      <c r="L174" s="89">
        <v>1</v>
      </c>
      <c r="M174" s="78">
        <f>M173</f>
        <v>5</v>
      </c>
      <c r="N174" s="84"/>
      <c r="O174" s="78">
        <f>L174*M174-N174*L174</f>
        <v>5</v>
      </c>
    </row>
    <row r="175" spans="1:16" ht="18" customHeight="1">
      <c r="A175" s="104"/>
      <c r="B175" s="93"/>
      <c r="C175" s="87"/>
      <c r="D175" s="88">
        <v>738</v>
      </c>
      <c r="E175" s="88">
        <v>1310</v>
      </c>
      <c r="F175" s="89">
        <f t="shared" si="125"/>
        <v>20</v>
      </c>
      <c r="G175" s="90">
        <f t="shared" si="126"/>
        <v>210.6068032545829</v>
      </c>
      <c r="H175" s="90">
        <f t="shared" si="127"/>
        <v>163.84</v>
      </c>
      <c r="I175" s="91" t="str">
        <f t="shared" si="128"/>
        <v>2동4라인</v>
      </c>
      <c r="J175" s="92" t="s">
        <v>214</v>
      </c>
      <c r="L175" s="89">
        <v>4</v>
      </c>
      <c r="M175" s="78">
        <f t="shared" ref="M175:M179" si="129">M174</f>
        <v>5</v>
      </c>
      <c r="N175" s="84"/>
      <c r="O175" s="78">
        <f t="shared" ref="O175:O179" si="130">L175*M175-N175*L175</f>
        <v>20</v>
      </c>
    </row>
    <row r="176" spans="1:16" ht="18" customHeight="1">
      <c r="A176" s="104"/>
      <c r="B176" s="93"/>
      <c r="C176" s="87"/>
      <c r="D176" s="88">
        <v>288</v>
      </c>
      <c r="E176" s="88">
        <v>910</v>
      </c>
      <c r="F176" s="89">
        <f t="shared" si="125"/>
        <v>10</v>
      </c>
      <c r="G176" s="90">
        <f t="shared" si="126"/>
        <v>28.546220958729535</v>
      </c>
      <c r="H176" s="90">
        <f t="shared" si="127"/>
        <v>47.92</v>
      </c>
      <c r="I176" s="91" t="str">
        <f t="shared" si="128"/>
        <v>2동4라인</v>
      </c>
      <c r="J176" s="92" t="s">
        <v>215</v>
      </c>
      <c r="L176" s="89">
        <v>2</v>
      </c>
      <c r="M176" s="78">
        <f t="shared" si="129"/>
        <v>5</v>
      </c>
      <c r="N176" s="78"/>
      <c r="O176" s="78">
        <f t="shared" si="130"/>
        <v>10</v>
      </c>
    </row>
    <row r="177" spans="1:16" ht="18" customHeight="1">
      <c r="A177" s="104"/>
      <c r="B177" s="93"/>
      <c r="C177" s="87"/>
      <c r="D177" s="88">
        <v>228</v>
      </c>
      <c r="E177" s="88">
        <v>910</v>
      </c>
      <c r="F177" s="89">
        <f t="shared" si="125"/>
        <v>10</v>
      </c>
      <c r="G177" s="90">
        <f t="shared" si="126"/>
        <v>22.59909159232755</v>
      </c>
      <c r="H177" s="90">
        <f t="shared" si="127"/>
        <v>45.519999999999996</v>
      </c>
      <c r="I177" s="91" t="str">
        <f t="shared" si="128"/>
        <v>2동4라인</v>
      </c>
      <c r="J177" s="92" t="s">
        <v>216</v>
      </c>
      <c r="L177" s="89">
        <v>2</v>
      </c>
      <c r="M177" s="78">
        <f t="shared" si="129"/>
        <v>5</v>
      </c>
      <c r="N177" s="78"/>
      <c r="O177" s="78">
        <f t="shared" si="130"/>
        <v>10</v>
      </c>
    </row>
    <row r="178" spans="1:16" ht="18" customHeight="1">
      <c r="A178" s="104"/>
      <c r="B178" s="93"/>
      <c r="C178" s="87"/>
      <c r="D178" s="88">
        <v>438</v>
      </c>
      <c r="E178" s="88">
        <v>270</v>
      </c>
      <c r="F178" s="89">
        <f t="shared" si="125"/>
        <v>10</v>
      </c>
      <c r="G178" s="90">
        <f t="shared" si="126"/>
        <v>12.881090089206941</v>
      </c>
      <c r="H178" s="90">
        <f t="shared" si="127"/>
        <v>28.32</v>
      </c>
      <c r="I178" s="91" t="str">
        <f t="shared" si="128"/>
        <v>2동4라인</v>
      </c>
      <c r="J178" s="92" t="s">
        <v>217</v>
      </c>
      <c r="L178" s="89">
        <v>2</v>
      </c>
      <c r="M178" s="78">
        <f t="shared" si="129"/>
        <v>5</v>
      </c>
      <c r="N178" s="78"/>
      <c r="O178" s="78">
        <f t="shared" si="130"/>
        <v>10</v>
      </c>
    </row>
    <row r="179" spans="1:16" ht="18" customHeight="1">
      <c r="A179" s="104"/>
      <c r="B179" s="93"/>
      <c r="C179" s="87"/>
      <c r="D179" s="88">
        <v>208</v>
      </c>
      <c r="E179" s="88">
        <v>910</v>
      </c>
      <c r="F179" s="89">
        <f t="shared" si="125"/>
        <v>10</v>
      </c>
      <c r="G179" s="90">
        <f t="shared" si="126"/>
        <v>20.616715136860222</v>
      </c>
      <c r="H179" s="90">
        <f t="shared" si="127"/>
        <v>44.72</v>
      </c>
      <c r="I179" s="91" t="str">
        <f t="shared" si="128"/>
        <v>2동4라인</v>
      </c>
      <c r="J179" s="92" t="s">
        <v>218</v>
      </c>
      <c r="L179" s="89">
        <v>2</v>
      </c>
      <c r="M179" s="78">
        <f t="shared" si="129"/>
        <v>5</v>
      </c>
      <c r="N179" s="78"/>
      <c r="O179" s="78">
        <f t="shared" si="130"/>
        <v>10</v>
      </c>
    </row>
    <row r="180" spans="1:16" ht="18" customHeight="1">
      <c r="A180" s="104"/>
      <c r="B180" s="87"/>
      <c r="C180" s="87"/>
      <c r="D180" s="325" t="s">
        <v>0</v>
      </c>
      <c r="E180" s="325"/>
      <c r="F180" s="171">
        <f>SUM(F173:F179)</f>
        <v>75</v>
      </c>
      <c r="G180" s="95">
        <f>SUM(G173:G179)</f>
        <v>611.67314751277115</v>
      </c>
      <c r="H180" s="95">
        <f>SUM(H173:H179)</f>
        <v>503.12</v>
      </c>
      <c r="I180" s="97"/>
      <c r="J180" s="98"/>
    </row>
    <row r="181" spans="1:16">
      <c r="A181" s="105"/>
      <c r="B181" s="9"/>
      <c r="C181" s="9"/>
      <c r="D181" s="51"/>
      <c r="E181" s="51"/>
      <c r="F181" s="51"/>
      <c r="G181" s="106"/>
      <c r="H181" s="106"/>
      <c r="I181" s="9"/>
      <c r="J181" s="107"/>
    </row>
    <row r="182" spans="1:16" ht="18" customHeight="1">
      <c r="A182" s="85"/>
      <c r="B182" s="163" t="s">
        <v>199</v>
      </c>
      <c r="C182" s="163">
        <v>22</v>
      </c>
      <c r="D182" s="88">
        <v>738</v>
      </c>
      <c r="E182" s="88">
        <v>1810</v>
      </c>
      <c r="F182" s="89">
        <f t="shared" ref="F182:F183" si="131">O182</f>
        <v>10</v>
      </c>
      <c r="G182" s="90">
        <f t="shared" ref="G182:G183" si="132">D182*E182/91809*F182</f>
        <v>145.4955396529752</v>
      </c>
      <c r="H182" s="90">
        <f t="shared" ref="H182:H183" si="133">(D182/1000)*4*F182+(E182/1000)*4*F182</f>
        <v>101.92</v>
      </c>
      <c r="I182" s="91" t="str">
        <f>I173</f>
        <v>2동4라인</v>
      </c>
      <c r="J182" s="92" t="s">
        <v>219</v>
      </c>
      <c r="L182" s="89">
        <v>2</v>
      </c>
      <c r="M182" s="78">
        <f>M164</f>
        <v>5</v>
      </c>
      <c r="N182" s="84"/>
      <c r="O182" s="78">
        <f>L182*M182-N182*L182</f>
        <v>10</v>
      </c>
      <c r="P182" s="64"/>
    </row>
    <row r="183" spans="1:16" ht="18" customHeight="1">
      <c r="A183" s="85"/>
      <c r="B183" s="86"/>
      <c r="C183" s="87"/>
      <c r="D183" s="88">
        <v>250</v>
      </c>
      <c r="E183" s="88">
        <v>930</v>
      </c>
      <c r="F183" s="89">
        <f t="shared" si="131"/>
        <v>10</v>
      </c>
      <c r="G183" s="90">
        <f t="shared" si="132"/>
        <v>25.324314609678787</v>
      </c>
      <c r="H183" s="90">
        <f t="shared" si="133"/>
        <v>47.2</v>
      </c>
      <c r="I183" s="91" t="str">
        <f>I182</f>
        <v>2동4라인</v>
      </c>
      <c r="J183" s="92" t="s">
        <v>220</v>
      </c>
      <c r="L183" s="89">
        <v>2</v>
      </c>
      <c r="M183" s="78">
        <f>M182</f>
        <v>5</v>
      </c>
      <c r="N183" s="84"/>
      <c r="O183" s="78">
        <f t="shared" ref="O183" si="134">L183*M183-N183*L183</f>
        <v>10</v>
      </c>
    </row>
    <row r="184" spans="1:16" ht="18" customHeight="1">
      <c r="A184" s="85"/>
      <c r="B184" s="93"/>
      <c r="C184" s="87"/>
      <c r="D184" s="325" t="s">
        <v>0</v>
      </c>
      <c r="E184" s="325"/>
      <c r="F184" s="94">
        <f>SUM(F182:F183)</f>
        <v>20</v>
      </c>
      <c r="G184" s="95">
        <f>SUM(G182:G183)</f>
        <v>170.81985426265399</v>
      </c>
      <c r="H184" s="95">
        <f>SUM(H182:H183)</f>
        <v>149.12</v>
      </c>
      <c r="I184" s="97"/>
      <c r="J184" s="98"/>
    </row>
    <row r="185" spans="1:16" ht="18" customHeight="1">
      <c r="A185" s="108"/>
      <c r="B185" s="164"/>
      <c r="C185" s="109"/>
      <c r="D185" s="363"/>
      <c r="E185" s="363"/>
      <c r="F185" s="110"/>
      <c r="G185" s="111"/>
      <c r="H185" s="234"/>
      <c r="I185" s="112"/>
      <c r="J185" s="235"/>
    </row>
    <row r="186" spans="1:16" ht="18" customHeight="1">
      <c r="A186" s="262" t="s">
        <v>234</v>
      </c>
      <c r="B186" s="263" t="s">
        <v>195</v>
      </c>
      <c r="C186" s="264">
        <v>22</v>
      </c>
      <c r="D186" s="265">
        <v>761</v>
      </c>
      <c r="E186" s="265">
        <v>1810</v>
      </c>
      <c r="F186" s="251">
        <f>O186</f>
        <v>20</v>
      </c>
      <c r="G186" s="266">
        <f t="shared" ref="G186:G192" si="135">D186*E186/91809*F186</f>
        <v>300.05990698079711</v>
      </c>
      <c r="H186" s="266">
        <f t="shared" ref="H186:H192" si="136">(D186/1000)*4*F186+(E186/1000)*4*F186</f>
        <v>205.68</v>
      </c>
      <c r="I186" s="267" t="s">
        <v>250</v>
      </c>
      <c r="J186" s="268" t="s">
        <v>205</v>
      </c>
      <c r="L186" s="89">
        <v>2</v>
      </c>
      <c r="M186" s="78">
        <v>10</v>
      </c>
      <c r="N186" s="84"/>
      <c r="O186" s="78">
        <f>L186*M186-N186*L186</f>
        <v>20</v>
      </c>
      <c r="P186" s="64"/>
    </row>
    <row r="187" spans="1:16" ht="18" customHeight="1">
      <c r="A187" s="85"/>
      <c r="B187" s="86"/>
      <c r="C187" s="87"/>
      <c r="D187" s="88">
        <v>1688</v>
      </c>
      <c r="E187" s="88">
        <v>1810</v>
      </c>
      <c r="F187" s="89">
        <f t="shared" ref="F187:F192" si="137">O187</f>
        <v>10</v>
      </c>
      <c r="G187" s="90">
        <f t="shared" si="135"/>
        <v>332.78654598133079</v>
      </c>
      <c r="H187" s="90">
        <f t="shared" si="136"/>
        <v>139.92000000000002</v>
      </c>
      <c r="I187" s="91" t="str">
        <f>I186</f>
        <v>2동5,6라인</v>
      </c>
      <c r="J187" s="92" t="s">
        <v>206</v>
      </c>
      <c r="L187" s="89">
        <v>1</v>
      </c>
      <c r="M187" s="78">
        <f>M186</f>
        <v>10</v>
      </c>
      <c r="N187" s="84"/>
      <c r="O187" s="78">
        <f t="shared" ref="O187:O192" si="138">L187*M187-N187*L187</f>
        <v>10</v>
      </c>
    </row>
    <row r="188" spans="1:16" ht="18" customHeight="1">
      <c r="A188" s="85"/>
      <c r="B188" s="86"/>
      <c r="C188" s="87"/>
      <c r="D188" s="88">
        <v>738</v>
      </c>
      <c r="E188" s="88">
        <v>1310</v>
      </c>
      <c r="F188" s="89">
        <f t="shared" si="137"/>
        <v>40</v>
      </c>
      <c r="G188" s="90">
        <f t="shared" si="135"/>
        <v>421.2136065091658</v>
      </c>
      <c r="H188" s="90">
        <f t="shared" si="136"/>
        <v>327.68</v>
      </c>
      <c r="I188" s="91" t="str">
        <f t="shared" ref="I188:I192" si="139">I187</f>
        <v>2동5,6라인</v>
      </c>
      <c r="J188" s="92" t="s">
        <v>207</v>
      </c>
      <c r="L188" s="89">
        <v>4</v>
      </c>
      <c r="M188" s="78">
        <f t="shared" ref="M188:M191" si="140">M187</f>
        <v>10</v>
      </c>
      <c r="N188" s="78"/>
      <c r="O188" s="78">
        <f t="shared" si="138"/>
        <v>40</v>
      </c>
    </row>
    <row r="189" spans="1:16" ht="18" customHeight="1">
      <c r="A189" s="85"/>
      <c r="B189" s="86"/>
      <c r="C189" s="87"/>
      <c r="D189" s="88">
        <v>288</v>
      </c>
      <c r="E189" s="88">
        <v>910</v>
      </c>
      <c r="F189" s="89">
        <f t="shared" si="137"/>
        <v>20</v>
      </c>
      <c r="G189" s="90">
        <f t="shared" si="135"/>
        <v>57.09244191745907</v>
      </c>
      <c r="H189" s="90">
        <f t="shared" si="136"/>
        <v>95.84</v>
      </c>
      <c r="I189" s="91" t="str">
        <f t="shared" si="139"/>
        <v>2동5,6라인</v>
      </c>
      <c r="J189" s="92" t="s">
        <v>208</v>
      </c>
      <c r="L189" s="89">
        <v>2</v>
      </c>
      <c r="M189" s="78">
        <f t="shared" si="140"/>
        <v>10</v>
      </c>
      <c r="N189" s="78"/>
      <c r="O189" s="78">
        <f t="shared" si="138"/>
        <v>20</v>
      </c>
    </row>
    <row r="190" spans="1:16" ht="18" customHeight="1">
      <c r="A190" s="85"/>
      <c r="B190" s="86"/>
      <c r="C190" s="87"/>
      <c r="D190" s="88">
        <v>228</v>
      </c>
      <c r="E190" s="88">
        <v>910</v>
      </c>
      <c r="F190" s="89">
        <f t="shared" si="137"/>
        <v>20</v>
      </c>
      <c r="G190" s="90">
        <f t="shared" si="135"/>
        <v>45.1981831846551</v>
      </c>
      <c r="H190" s="90">
        <f t="shared" si="136"/>
        <v>91.039999999999992</v>
      </c>
      <c r="I190" s="91" t="str">
        <f t="shared" si="139"/>
        <v>2동5,6라인</v>
      </c>
      <c r="J190" s="92" t="s">
        <v>209</v>
      </c>
      <c r="L190" s="89">
        <v>2</v>
      </c>
      <c r="M190" s="78">
        <f t="shared" si="140"/>
        <v>10</v>
      </c>
      <c r="N190" s="78"/>
      <c r="O190" s="78">
        <f t="shared" si="138"/>
        <v>20</v>
      </c>
    </row>
    <row r="191" spans="1:16" ht="18" customHeight="1">
      <c r="A191" s="85"/>
      <c r="B191" s="86"/>
      <c r="C191" s="87"/>
      <c r="D191" s="88">
        <v>438</v>
      </c>
      <c r="E191" s="88">
        <v>270</v>
      </c>
      <c r="F191" s="89">
        <f t="shared" si="137"/>
        <v>20</v>
      </c>
      <c r="G191" s="90">
        <f t="shared" si="135"/>
        <v>25.762180178413882</v>
      </c>
      <c r="H191" s="90">
        <f t="shared" si="136"/>
        <v>56.64</v>
      </c>
      <c r="I191" s="91" t="str">
        <f t="shared" si="139"/>
        <v>2동5,6라인</v>
      </c>
      <c r="J191" s="92" t="s">
        <v>210</v>
      </c>
      <c r="L191" s="89">
        <v>2</v>
      </c>
      <c r="M191" s="78">
        <f t="shared" si="140"/>
        <v>10</v>
      </c>
      <c r="N191" s="78"/>
      <c r="O191" s="78">
        <f t="shared" si="138"/>
        <v>20</v>
      </c>
    </row>
    <row r="192" spans="1:16" ht="18" customHeight="1">
      <c r="A192" s="85"/>
      <c r="B192" s="86"/>
      <c r="C192" s="87"/>
      <c r="D192" s="88">
        <v>208</v>
      </c>
      <c r="E192" s="88">
        <v>910</v>
      </c>
      <c r="F192" s="89">
        <f t="shared" si="137"/>
        <v>20</v>
      </c>
      <c r="G192" s="90">
        <f t="shared" si="135"/>
        <v>41.233430273720444</v>
      </c>
      <c r="H192" s="90">
        <f t="shared" si="136"/>
        <v>89.44</v>
      </c>
      <c r="I192" s="91" t="str">
        <f t="shared" si="139"/>
        <v>2동5,6라인</v>
      </c>
      <c r="J192" s="92" t="s">
        <v>211</v>
      </c>
      <c r="L192" s="89">
        <v>2</v>
      </c>
      <c r="M192" s="78">
        <f>M191</f>
        <v>10</v>
      </c>
      <c r="N192" s="78"/>
      <c r="O192" s="78">
        <f t="shared" si="138"/>
        <v>20</v>
      </c>
    </row>
    <row r="193" spans="1:16" ht="18" customHeight="1">
      <c r="A193" s="85"/>
      <c r="B193" s="93"/>
      <c r="C193" s="87"/>
      <c r="D193" s="325" t="s">
        <v>0</v>
      </c>
      <c r="E193" s="325"/>
      <c r="F193" s="94">
        <f>SUM(F186:F192)</f>
        <v>150</v>
      </c>
      <c r="G193" s="95">
        <f>SUM(G186:G192)</f>
        <v>1223.3462950255423</v>
      </c>
      <c r="H193" s="96">
        <f>SUM(H186:H192)</f>
        <v>1006.24</v>
      </c>
      <c r="I193" s="97"/>
      <c r="J193" s="162"/>
    </row>
    <row r="194" spans="1:16" ht="18" customHeight="1">
      <c r="A194" s="85"/>
      <c r="B194" s="93"/>
      <c r="C194" s="87"/>
      <c r="D194" s="161"/>
      <c r="E194" s="161"/>
      <c r="F194" s="89"/>
      <c r="G194" s="100"/>
      <c r="H194" s="101"/>
      <c r="I194" s="102"/>
      <c r="J194" s="121"/>
      <c r="L194" s="78" t="s">
        <v>48</v>
      </c>
      <c r="M194" s="78" t="s">
        <v>54</v>
      </c>
      <c r="N194" s="78" t="s">
        <v>50</v>
      </c>
      <c r="O194" s="78" t="s">
        <v>55</v>
      </c>
    </row>
    <row r="195" spans="1:16" ht="18" customHeight="1">
      <c r="A195" s="85"/>
      <c r="B195" s="23" t="s">
        <v>197</v>
      </c>
      <c r="C195" s="24">
        <v>22</v>
      </c>
      <c r="D195" s="88">
        <v>761</v>
      </c>
      <c r="E195" s="88">
        <v>1810</v>
      </c>
      <c r="F195" s="89">
        <f t="shared" ref="F195:F201" si="141">O195</f>
        <v>20</v>
      </c>
      <c r="G195" s="90">
        <f t="shared" ref="G195:G201" si="142">D195*E195/91809*F195</f>
        <v>300.05990698079711</v>
      </c>
      <c r="H195" s="90">
        <f t="shared" ref="H195:H201" si="143">(D195/1000)*4*F195+(E195/1000)*4*F195</f>
        <v>205.68</v>
      </c>
      <c r="I195" s="91" t="str">
        <f t="shared" ref="I195:I201" si="144">I186</f>
        <v>2동5,6라인</v>
      </c>
      <c r="J195" s="92" t="s">
        <v>212</v>
      </c>
      <c r="L195" s="89">
        <v>2</v>
      </c>
      <c r="M195" s="78">
        <f>M186</f>
        <v>10</v>
      </c>
      <c r="N195" s="84"/>
      <c r="O195" s="78">
        <f>L195*M195-N195*L195</f>
        <v>20</v>
      </c>
    </row>
    <row r="196" spans="1:16" ht="18" customHeight="1">
      <c r="A196" s="85"/>
      <c r="B196" s="86"/>
      <c r="C196" s="87"/>
      <c r="D196" s="88">
        <v>1688</v>
      </c>
      <c r="E196" s="88">
        <v>1810</v>
      </c>
      <c r="F196" s="89">
        <f t="shared" si="141"/>
        <v>10</v>
      </c>
      <c r="G196" s="90">
        <f t="shared" si="142"/>
        <v>332.78654598133079</v>
      </c>
      <c r="H196" s="90">
        <f t="shared" si="143"/>
        <v>139.92000000000002</v>
      </c>
      <c r="I196" s="91" t="str">
        <f t="shared" si="144"/>
        <v>2동5,6라인</v>
      </c>
      <c r="J196" s="92" t="s">
        <v>213</v>
      </c>
      <c r="L196" s="89">
        <v>1</v>
      </c>
      <c r="M196" s="78">
        <f>M195</f>
        <v>10</v>
      </c>
      <c r="N196" s="84"/>
      <c r="O196" s="78">
        <f>L196*M196-N196*L196</f>
        <v>10</v>
      </c>
    </row>
    <row r="197" spans="1:16" ht="18" customHeight="1">
      <c r="A197" s="104"/>
      <c r="B197" s="93"/>
      <c r="C197" s="87"/>
      <c r="D197" s="88">
        <v>738</v>
      </c>
      <c r="E197" s="88">
        <v>1310</v>
      </c>
      <c r="F197" s="89">
        <f t="shared" si="141"/>
        <v>40</v>
      </c>
      <c r="G197" s="90">
        <f t="shared" si="142"/>
        <v>421.2136065091658</v>
      </c>
      <c r="H197" s="90">
        <f t="shared" si="143"/>
        <v>327.68</v>
      </c>
      <c r="I197" s="91" t="str">
        <f t="shared" si="144"/>
        <v>2동5,6라인</v>
      </c>
      <c r="J197" s="92" t="s">
        <v>214</v>
      </c>
      <c r="L197" s="89">
        <v>4</v>
      </c>
      <c r="M197" s="78">
        <f t="shared" ref="M197:M201" si="145">M196</f>
        <v>10</v>
      </c>
      <c r="N197" s="84"/>
      <c r="O197" s="78">
        <f t="shared" ref="O197:O201" si="146">L197*M197-N197*L197</f>
        <v>40</v>
      </c>
    </row>
    <row r="198" spans="1:16" ht="18" customHeight="1">
      <c r="A198" s="104"/>
      <c r="B198" s="93"/>
      <c r="C198" s="87"/>
      <c r="D198" s="88">
        <v>288</v>
      </c>
      <c r="E198" s="88">
        <v>910</v>
      </c>
      <c r="F198" s="89">
        <f t="shared" si="141"/>
        <v>20</v>
      </c>
      <c r="G198" s="90">
        <f t="shared" si="142"/>
        <v>57.09244191745907</v>
      </c>
      <c r="H198" s="90">
        <f t="shared" si="143"/>
        <v>95.84</v>
      </c>
      <c r="I198" s="91" t="str">
        <f t="shared" si="144"/>
        <v>2동5,6라인</v>
      </c>
      <c r="J198" s="92" t="s">
        <v>215</v>
      </c>
      <c r="L198" s="89">
        <v>2</v>
      </c>
      <c r="M198" s="78">
        <f t="shared" si="145"/>
        <v>10</v>
      </c>
      <c r="N198" s="78"/>
      <c r="O198" s="78">
        <f t="shared" si="146"/>
        <v>20</v>
      </c>
    </row>
    <row r="199" spans="1:16" ht="18" customHeight="1">
      <c r="A199" s="104"/>
      <c r="B199" s="93"/>
      <c r="C199" s="87"/>
      <c r="D199" s="88">
        <v>228</v>
      </c>
      <c r="E199" s="88">
        <v>910</v>
      </c>
      <c r="F199" s="89">
        <f t="shared" si="141"/>
        <v>20</v>
      </c>
      <c r="G199" s="90">
        <f t="shared" si="142"/>
        <v>45.1981831846551</v>
      </c>
      <c r="H199" s="90">
        <f t="shared" si="143"/>
        <v>91.039999999999992</v>
      </c>
      <c r="I199" s="91" t="str">
        <f t="shared" si="144"/>
        <v>2동5,6라인</v>
      </c>
      <c r="J199" s="92" t="s">
        <v>216</v>
      </c>
      <c r="L199" s="89">
        <v>2</v>
      </c>
      <c r="M199" s="78">
        <f t="shared" si="145"/>
        <v>10</v>
      </c>
      <c r="N199" s="78"/>
      <c r="O199" s="78">
        <f t="shared" si="146"/>
        <v>20</v>
      </c>
    </row>
    <row r="200" spans="1:16" ht="18" customHeight="1">
      <c r="A200" s="104"/>
      <c r="B200" s="93"/>
      <c r="C200" s="87"/>
      <c r="D200" s="88">
        <v>438</v>
      </c>
      <c r="E200" s="88">
        <v>270</v>
      </c>
      <c r="F200" s="89">
        <f t="shared" si="141"/>
        <v>20</v>
      </c>
      <c r="G200" s="90">
        <f t="shared" si="142"/>
        <v>25.762180178413882</v>
      </c>
      <c r="H200" s="90">
        <f t="shared" si="143"/>
        <v>56.64</v>
      </c>
      <c r="I200" s="91" t="str">
        <f t="shared" si="144"/>
        <v>2동5,6라인</v>
      </c>
      <c r="J200" s="92" t="s">
        <v>217</v>
      </c>
      <c r="L200" s="89">
        <v>2</v>
      </c>
      <c r="M200" s="78">
        <f t="shared" si="145"/>
        <v>10</v>
      </c>
      <c r="N200" s="78"/>
      <c r="O200" s="78">
        <f t="shared" si="146"/>
        <v>20</v>
      </c>
    </row>
    <row r="201" spans="1:16" ht="18" customHeight="1">
      <c r="A201" s="104"/>
      <c r="B201" s="93"/>
      <c r="C201" s="87"/>
      <c r="D201" s="88">
        <v>208</v>
      </c>
      <c r="E201" s="88">
        <v>910</v>
      </c>
      <c r="F201" s="89">
        <f t="shared" si="141"/>
        <v>20</v>
      </c>
      <c r="G201" s="90">
        <f t="shared" si="142"/>
        <v>41.233430273720444</v>
      </c>
      <c r="H201" s="90">
        <f t="shared" si="143"/>
        <v>89.44</v>
      </c>
      <c r="I201" s="91" t="str">
        <f t="shared" si="144"/>
        <v>2동5,6라인</v>
      </c>
      <c r="J201" s="92" t="s">
        <v>218</v>
      </c>
      <c r="L201" s="89">
        <v>2</v>
      </c>
      <c r="M201" s="78">
        <f t="shared" si="145"/>
        <v>10</v>
      </c>
      <c r="N201" s="78"/>
      <c r="O201" s="78">
        <f t="shared" si="146"/>
        <v>20</v>
      </c>
    </row>
    <row r="202" spans="1:16" ht="18" customHeight="1">
      <c r="A202" s="104"/>
      <c r="B202" s="87"/>
      <c r="C202" s="87"/>
      <c r="D202" s="325" t="s">
        <v>0</v>
      </c>
      <c r="E202" s="325"/>
      <c r="F202" s="171">
        <f>SUM(F195:F201)</f>
        <v>150</v>
      </c>
      <c r="G202" s="95">
        <f>SUM(G195:G201)</f>
        <v>1223.3462950255423</v>
      </c>
      <c r="H202" s="95">
        <f>SUM(H195:H201)</f>
        <v>1006.24</v>
      </c>
      <c r="I202" s="97"/>
      <c r="J202" s="98"/>
    </row>
    <row r="203" spans="1:16">
      <c r="A203" s="105"/>
      <c r="B203" s="9"/>
      <c r="C203" s="9"/>
      <c r="D203" s="51"/>
      <c r="E203" s="51"/>
      <c r="F203" s="51"/>
      <c r="G203" s="106"/>
      <c r="H203" s="106"/>
      <c r="I203" s="9"/>
      <c r="J203" s="107"/>
    </row>
    <row r="204" spans="1:16" ht="18" customHeight="1">
      <c r="A204" s="85"/>
      <c r="B204" s="163" t="s">
        <v>199</v>
      </c>
      <c r="C204" s="163">
        <v>22</v>
      </c>
      <c r="D204" s="88">
        <v>738</v>
      </c>
      <c r="E204" s="88">
        <v>1810</v>
      </c>
      <c r="F204" s="89">
        <f t="shared" ref="F204:F205" si="147">O204</f>
        <v>20</v>
      </c>
      <c r="G204" s="90">
        <f t="shared" ref="G204:G205" si="148">D204*E204/91809*F204</f>
        <v>290.99107930595039</v>
      </c>
      <c r="H204" s="90">
        <f t="shared" ref="H204:H205" si="149">(D204/1000)*4*F204+(E204/1000)*4*F204</f>
        <v>203.84</v>
      </c>
      <c r="I204" s="91" t="str">
        <f>I195</f>
        <v>2동5,6라인</v>
      </c>
      <c r="J204" s="92" t="s">
        <v>219</v>
      </c>
      <c r="L204" s="89">
        <v>2</v>
      </c>
      <c r="M204" s="78">
        <f>M186</f>
        <v>10</v>
      </c>
      <c r="N204" s="84"/>
      <c r="O204" s="78">
        <f>L204*M204-N204*L204</f>
        <v>20</v>
      </c>
      <c r="P204" s="64"/>
    </row>
    <row r="205" spans="1:16" ht="18" customHeight="1">
      <c r="A205" s="85"/>
      <c r="B205" s="86"/>
      <c r="C205" s="87"/>
      <c r="D205" s="88">
        <v>250</v>
      </c>
      <c r="E205" s="88">
        <v>930</v>
      </c>
      <c r="F205" s="89">
        <f t="shared" si="147"/>
        <v>20</v>
      </c>
      <c r="G205" s="90">
        <f t="shared" si="148"/>
        <v>50.648629219357574</v>
      </c>
      <c r="H205" s="90">
        <f t="shared" si="149"/>
        <v>94.4</v>
      </c>
      <c r="I205" s="91" t="str">
        <f>I204</f>
        <v>2동5,6라인</v>
      </c>
      <c r="J205" s="92" t="s">
        <v>220</v>
      </c>
      <c r="L205" s="89">
        <v>2</v>
      </c>
      <c r="M205" s="78">
        <f>M204</f>
        <v>10</v>
      </c>
      <c r="N205" s="84"/>
      <c r="O205" s="78">
        <f t="shared" ref="O205" si="150">L205*M205-N205*L205</f>
        <v>20</v>
      </c>
    </row>
    <row r="206" spans="1:16" ht="18" customHeight="1">
      <c r="A206" s="85"/>
      <c r="B206" s="93"/>
      <c r="C206" s="87"/>
      <c r="D206" s="325" t="s">
        <v>0</v>
      </c>
      <c r="E206" s="325"/>
      <c r="F206" s="94">
        <f>SUM(F204:F205)</f>
        <v>40</v>
      </c>
      <c r="G206" s="95">
        <f>SUM(G204:G205)</f>
        <v>341.63970852530798</v>
      </c>
      <c r="H206" s="95">
        <f>SUM(H204:H205)</f>
        <v>298.24</v>
      </c>
      <c r="I206" s="97"/>
      <c r="J206" s="98"/>
    </row>
    <row r="207" spans="1:16" ht="18" customHeight="1">
      <c r="A207" s="253"/>
      <c r="B207" s="254"/>
      <c r="C207" s="255"/>
      <c r="D207" s="361"/>
      <c r="E207" s="361"/>
      <c r="F207" s="256"/>
      <c r="G207" s="257"/>
      <c r="H207" s="258"/>
      <c r="I207" s="259"/>
      <c r="J207" s="260"/>
      <c r="L207" s="250"/>
      <c r="M207" s="250"/>
      <c r="N207" s="250"/>
      <c r="O207" s="250"/>
    </row>
    <row r="208" spans="1:16" ht="18" customHeight="1">
      <c r="A208" s="85">
        <v>74</v>
      </c>
      <c r="B208" s="23" t="s">
        <v>196</v>
      </c>
      <c r="C208" s="24">
        <v>22</v>
      </c>
      <c r="D208" s="88">
        <v>861</v>
      </c>
      <c r="E208" s="88">
        <v>1810</v>
      </c>
      <c r="F208" s="89">
        <f t="shared" ref="F208:F212" si="151">O208</f>
        <v>10</v>
      </c>
      <c r="G208" s="90">
        <f t="shared" ref="G208:G212" si="152">D208*E208/91809*F208</f>
        <v>169.7447962618044</v>
      </c>
      <c r="H208" s="90">
        <f t="shared" ref="H208:H212" si="153">(D208/1000)*4*F208+(E208/1000)*4*F208</f>
        <v>106.84</v>
      </c>
      <c r="I208" s="91" t="s">
        <v>251</v>
      </c>
      <c r="J208" s="92" t="s">
        <v>205</v>
      </c>
      <c r="L208" s="89">
        <v>1</v>
      </c>
      <c r="M208" s="78">
        <v>10</v>
      </c>
      <c r="N208" s="84"/>
      <c r="O208" s="78">
        <f>L208*M208-N208*L208</f>
        <v>10</v>
      </c>
      <c r="P208" s="64"/>
    </row>
    <row r="209" spans="1:15" ht="18" customHeight="1">
      <c r="A209" s="85"/>
      <c r="B209" s="86"/>
      <c r="C209" s="87"/>
      <c r="D209" s="88">
        <v>738</v>
      </c>
      <c r="E209" s="88">
        <v>1310</v>
      </c>
      <c r="F209" s="89">
        <f t="shared" si="151"/>
        <v>40</v>
      </c>
      <c r="G209" s="90">
        <f t="shared" si="152"/>
        <v>421.2136065091658</v>
      </c>
      <c r="H209" s="90">
        <f t="shared" si="153"/>
        <v>327.68</v>
      </c>
      <c r="I209" s="91" t="str">
        <f>I208</f>
        <v>3동1,2라인</v>
      </c>
      <c r="J209" s="92" t="s">
        <v>207</v>
      </c>
      <c r="L209" s="89">
        <v>4</v>
      </c>
      <c r="M209" s="78">
        <f>M208</f>
        <v>10</v>
      </c>
      <c r="N209" s="84"/>
      <c r="O209" s="78">
        <f t="shared" ref="O209:O212" si="154">L209*M209-N209*L209</f>
        <v>40</v>
      </c>
    </row>
    <row r="210" spans="1:15" ht="18" customHeight="1">
      <c r="A210" s="85"/>
      <c r="B210" s="86"/>
      <c r="C210" s="87"/>
      <c r="D210" s="88">
        <v>288</v>
      </c>
      <c r="E210" s="88">
        <v>910</v>
      </c>
      <c r="F210" s="89">
        <f t="shared" si="151"/>
        <v>20</v>
      </c>
      <c r="G210" s="90">
        <f t="shared" si="152"/>
        <v>57.09244191745907</v>
      </c>
      <c r="H210" s="90">
        <f t="shared" si="153"/>
        <v>95.84</v>
      </c>
      <c r="I210" s="91" t="str">
        <f t="shared" ref="I210:I211" si="155">I209</f>
        <v>3동1,2라인</v>
      </c>
      <c r="J210" s="92" t="s">
        <v>208</v>
      </c>
      <c r="L210" s="89">
        <v>2</v>
      </c>
      <c r="M210" s="78">
        <f t="shared" ref="M210" si="156">M209</f>
        <v>10</v>
      </c>
      <c r="N210" s="78"/>
      <c r="O210" s="78">
        <f t="shared" si="154"/>
        <v>20</v>
      </c>
    </row>
    <row r="211" spans="1:15" ht="18" customHeight="1">
      <c r="A211" s="85"/>
      <c r="B211" s="86"/>
      <c r="C211" s="87"/>
      <c r="D211" s="88">
        <v>228</v>
      </c>
      <c r="E211" s="88">
        <v>910</v>
      </c>
      <c r="F211" s="89">
        <f t="shared" si="151"/>
        <v>20</v>
      </c>
      <c r="G211" s="90">
        <f t="shared" si="152"/>
        <v>45.1981831846551</v>
      </c>
      <c r="H211" s="90">
        <f t="shared" si="153"/>
        <v>91.039999999999992</v>
      </c>
      <c r="I211" s="91" t="str">
        <f t="shared" si="155"/>
        <v>3동1,2라인</v>
      </c>
      <c r="J211" s="92" t="s">
        <v>209</v>
      </c>
      <c r="L211" s="89">
        <v>2</v>
      </c>
      <c r="M211" s="78">
        <f>M210</f>
        <v>10</v>
      </c>
      <c r="N211" s="78"/>
      <c r="O211" s="78">
        <f t="shared" si="154"/>
        <v>20</v>
      </c>
    </row>
    <row r="212" spans="1:15" ht="18" customHeight="1">
      <c r="A212" s="85"/>
      <c r="B212" s="86"/>
      <c r="C212" s="87"/>
      <c r="D212" s="88">
        <v>438</v>
      </c>
      <c r="E212" s="88">
        <v>270</v>
      </c>
      <c r="F212" s="89">
        <f t="shared" si="151"/>
        <v>20</v>
      </c>
      <c r="G212" s="90">
        <f t="shared" si="152"/>
        <v>25.762180178413882</v>
      </c>
      <c r="H212" s="90">
        <f t="shared" si="153"/>
        <v>56.64</v>
      </c>
      <c r="I212" s="91" t="str">
        <f>I210</f>
        <v>3동1,2라인</v>
      </c>
      <c r="J212" s="92" t="s">
        <v>210</v>
      </c>
      <c r="L212" s="89">
        <v>2</v>
      </c>
      <c r="M212" s="78">
        <f>M210</f>
        <v>10</v>
      </c>
      <c r="N212" s="78"/>
      <c r="O212" s="78">
        <f t="shared" si="154"/>
        <v>20</v>
      </c>
    </row>
    <row r="213" spans="1:15" ht="18" customHeight="1">
      <c r="A213" s="85"/>
      <c r="B213" s="93"/>
      <c r="C213" s="87"/>
      <c r="D213" s="325" t="s">
        <v>0</v>
      </c>
      <c r="E213" s="325"/>
      <c r="F213" s="94">
        <f>SUM(F208:F212)</f>
        <v>110</v>
      </c>
      <c r="G213" s="95">
        <f>SUM(G208:G212)</f>
        <v>719.01120805149833</v>
      </c>
      <c r="H213" s="96">
        <f>SUM(H208:H212)</f>
        <v>678.04</v>
      </c>
      <c r="I213" s="97"/>
      <c r="J213" s="162"/>
    </row>
    <row r="214" spans="1:15" ht="18" customHeight="1">
      <c r="A214" s="85"/>
      <c r="B214" s="93"/>
      <c r="C214" s="87"/>
      <c r="D214" s="161"/>
      <c r="E214" s="161"/>
      <c r="F214" s="89"/>
      <c r="G214" s="100"/>
      <c r="H214" s="101"/>
      <c r="I214" s="102"/>
      <c r="J214" s="121"/>
      <c r="L214" s="252"/>
      <c r="M214" s="252"/>
      <c r="N214" s="252"/>
      <c r="O214" s="252"/>
    </row>
    <row r="215" spans="1:15" ht="18" customHeight="1">
      <c r="A215" s="85"/>
      <c r="B215" s="23" t="s">
        <v>198</v>
      </c>
      <c r="C215" s="24">
        <v>22</v>
      </c>
      <c r="D215" s="88">
        <v>861</v>
      </c>
      <c r="E215" s="88">
        <v>1810</v>
      </c>
      <c r="F215" s="89">
        <f t="shared" ref="F215:F220" si="157">O215</f>
        <v>10</v>
      </c>
      <c r="G215" s="90">
        <f t="shared" ref="G215:G220" si="158">D215*E215/91809*F215</f>
        <v>169.7447962618044</v>
      </c>
      <c r="H215" s="90">
        <f t="shared" ref="H215:H220" si="159">(D215/1000)*4*F215+(E215/1000)*4*F215</f>
        <v>106.84</v>
      </c>
      <c r="I215" s="91" t="str">
        <f>I208</f>
        <v>3동1,2라인</v>
      </c>
      <c r="J215" s="92" t="s">
        <v>212</v>
      </c>
      <c r="L215" s="89">
        <v>1</v>
      </c>
      <c r="M215" s="78">
        <f>M208</f>
        <v>10</v>
      </c>
      <c r="N215" s="84"/>
      <c r="O215" s="78">
        <f>L215*M215-N215*L215</f>
        <v>10</v>
      </c>
    </row>
    <row r="216" spans="1:15" ht="18" customHeight="1">
      <c r="A216" s="85"/>
      <c r="B216" s="86"/>
      <c r="C216" s="87"/>
      <c r="D216" s="88">
        <v>2114</v>
      </c>
      <c r="E216" s="88">
        <v>1810</v>
      </c>
      <c r="F216" s="89">
        <f t="shared" si="157"/>
        <v>10</v>
      </c>
      <c r="G216" s="90">
        <f t="shared" si="158"/>
        <v>416.77177618751978</v>
      </c>
      <c r="H216" s="90">
        <f t="shared" si="159"/>
        <v>156.96</v>
      </c>
      <c r="I216" s="91" t="str">
        <f>I208</f>
        <v>3동1,2라인</v>
      </c>
      <c r="J216" s="92" t="s">
        <v>213</v>
      </c>
      <c r="L216" s="89">
        <v>1</v>
      </c>
      <c r="M216" s="78">
        <f>M215</f>
        <v>10</v>
      </c>
      <c r="N216" s="84"/>
      <c r="O216" s="78">
        <f>L216*M216-N216*L216</f>
        <v>10</v>
      </c>
    </row>
    <row r="217" spans="1:15" ht="18" customHeight="1">
      <c r="A217" s="104"/>
      <c r="B217" s="93"/>
      <c r="C217" s="87"/>
      <c r="D217" s="88">
        <v>738</v>
      </c>
      <c r="E217" s="88">
        <v>1310</v>
      </c>
      <c r="F217" s="89">
        <f t="shared" si="157"/>
        <v>40</v>
      </c>
      <c r="G217" s="90">
        <f t="shared" si="158"/>
        <v>421.2136065091658</v>
      </c>
      <c r="H217" s="90">
        <f t="shared" si="159"/>
        <v>327.68</v>
      </c>
      <c r="I217" s="91" t="str">
        <f>I216</f>
        <v>3동1,2라인</v>
      </c>
      <c r="J217" s="92" t="s">
        <v>214</v>
      </c>
      <c r="L217" s="89">
        <v>4</v>
      </c>
      <c r="M217" s="78">
        <f t="shared" ref="M217:M220" si="160">M216</f>
        <v>10</v>
      </c>
      <c r="N217" s="84"/>
      <c r="O217" s="78">
        <f t="shared" ref="O217:O220" si="161">L217*M217-N217*L217</f>
        <v>40</v>
      </c>
    </row>
    <row r="218" spans="1:15" ht="18" customHeight="1">
      <c r="A218" s="104"/>
      <c r="B218" s="93"/>
      <c r="C218" s="87"/>
      <c r="D218" s="88">
        <v>288</v>
      </c>
      <c r="E218" s="88">
        <v>910</v>
      </c>
      <c r="F218" s="89">
        <f t="shared" si="157"/>
        <v>20</v>
      </c>
      <c r="G218" s="90">
        <f t="shared" si="158"/>
        <v>57.09244191745907</v>
      </c>
      <c r="H218" s="90">
        <f t="shared" si="159"/>
        <v>95.84</v>
      </c>
      <c r="I218" s="91" t="str">
        <f>I217</f>
        <v>3동1,2라인</v>
      </c>
      <c r="J218" s="92" t="s">
        <v>215</v>
      </c>
      <c r="L218" s="89">
        <v>2</v>
      </c>
      <c r="M218" s="78">
        <f>M217</f>
        <v>10</v>
      </c>
      <c r="N218" s="84"/>
      <c r="O218" s="78">
        <f t="shared" si="161"/>
        <v>20</v>
      </c>
    </row>
    <row r="219" spans="1:15" ht="18" customHeight="1">
      <c r="A219" s="104"/>
      <c r="B219" s="93"/>
      <c r="C219" s="87"/>
      <c r="D219" s="88">
        <v>228</v>
      </c>
      <c r="E219" s="88">
        <v>910</v>
      </c>
      <c r="F219" s="89">
        <f t="shared" si="157"/>
        <v>20</v>
      </c>
      <c r="G219" s="90">
        <f t="shared" si="158"/>
        <v>45.1981831846551</v>
      </c>
      <c r="H219" s="90">
        <f t="shared" si="159"/>
        <v>91.039999999999992</v>
      </c>
      <c r="I219" s="91" t="str">
        <f>I217</f>
        <v>3동1,2라인</v>
      </c>
      <c r="J219" s="92" t="s">
        <v>216</v>
      </c>
      <c r="L219" s="89">
        <v>2</v>
      </c>
      <c r="M219" s="78">
        <f>M217</f>
        <v>10</v>
      </c>
      <c r="N219" s="78"/>
      <c r="O219" s="78">
        <f t="shared" si="161"/>
        <v>20</v>
      </c>
    </row>
    <row r="220" spans="1:15" ht="18" customHeight="1">
      <c r="A220" s="104"/>
      <c r="B220" s="93"/>
      <c r="C220" s="87"/>
      <c r="D220" s="88">
        <v>438</v>
      </c>
      <c r="E220" s="88">
        <v>270</v>
      </c>
      <c r="F220" s="89">
        <f t="shared" si="157"/>
        <v>20</v>
      </c>
      <c r="G220" s="90">
        <f t="shared" si="158"/>
        <v>25.762180178413882</v>
      </c>
      <c r="H220" s="90">
        <f t="shared" si="159"/>
        <v>56.64</v>
      </c>
      <c r="I220" s="91" t="str">
        <f t="shared" ref="I220" si="162">I219</f>
        <v>3동1,2라인</v>
      </c>
      <c r="J220" s="92" t="s">
        <v>217</v>
      </c>
      <c r="L220" s="89">
        <v>2</v>
      </c>
      <c r="M220" s="78">
        <f t="shared" si="160"/>
        <v>10</v>
      </c>
      <c r="N220" s="78"/>
      <c r="O220" s="78">
        <f t="shared" si="161"/>
        <v>20</v>
      </c>
    </row>
    <row r="221" spans="1:15" ht="18" customHeight="1">
      <c r="A221" s="104"/>
      <c r="B221" s="87"/>
      <c r="C221" s="87"/>
      <c r="D221" s="325" t="s">
        <v>0</v>
      </c>
      <c r="E221" s="325"/>
      <c r="F221" s="171">
        <f>SUM(F215:F220)</f>
        <v>120</v>
      </c>
      <c r="G221" s="95">
        <f>SUM(G215:G220)</f>
        <v>1135.7829842390181</v>
      </c>
      <c r="H221" s="95">
        <f>SUM(H215:H220)</f>
        <v>835</v>
      </c>
      <c r="I221" s="97"/>
      <c r="J221" s="98"/>
    </row>
    <row r="222" spans="1:15">
      <c r="A222" s="105"/>
      <c r="B222" s="9"/>
      <c r="C222" s="9"/>
      <c r="D222" s="51"/>
      <c r="E222" s="51"/>
      <c r="F222" s="51"/>
      <c r="G222" s="106"/>
      <c r="H222" s="106"/>
      <c r="I222" s="9"/>
      <c r="J222" s="107"/>
    </row>
    <row r="223" spans="1:15" ht="18" customHeight="1">
      <c r="A223" s="85"/>
      <c r="B223" s="23" t="s">
        <v>237</v>
      </c>
      <c r="C223" s="24">
        <v>22</v>
      </c>
      <c r="D223" s="88">
        <v>2114</v>
      </c>
      <c r="E223" s="88">
        <v>1810</v>
      </c>
      <c r="F223" s="89">
        <f t="shared" ref="F223" si="163">O223</f>
        <v>10</v>
      </c>
      <c r="G223" s="90">
        <f t="shared" ref="G223" si="164">D223*E223/91809*F223</f>
        <v>416.77177618751978</v>
      </c>
      <c r="H223" s="90">
        <f t="shared" ref="H223" si="165">(D223/1000)*4*F223+(E223/1000)*4*F223</f>
        <v>156.96</v>
      </c>
      <c r="I223" s="91" t="str">
        <f>I215</f>
        <v>3동1,2라인</v>
      </c>
      <c r="J223" s="92" t="s">
        <v>206</v>
      </c>
      <c r="L223" s="89">
        <v>1</v>
      </c>
      <c r="M223" s="78">
        <f>M208</f>
        <v>10</v>
      </c>
      <c r="N223" s="84"/>
      <c r="O223" s="78">
        <f>L223*M223-N223*L223</f>
        <v>10</v>
      </c>
    </row>
    <row r="224" spans="1:15" ht="18" customHeight="1">
      <c r="A224" s="85"/>
      <c r="B224" s="93"/>
      <c r="C224" s="87"/>
      <c r="D224" s="325" t="s">
        <v>0</v>
      </c>
      <c r="E224" s="325"/>
      <c r="F224" s="94">
        <f>SUM(F223:F223)</f>
        <v>10</v>
      </c>
      <c r="G224" s="95">
        <f>SUM(G223:G223)</f>
        <v>416.77177618751978</v>
      </c>
      <c r="H224" s="95">
        <f>SUM(H223:H223)</f>
        <v>156.96</v>
      </c>
      <c r="I224" s="97"/>
      <c r="J224" s="98"/>
    </row>
    <row r="225" spans="1:16" ht="18" customHeight="1">
      <c r="A225" s="218"/>
      <c r="B225" s="219"/>
      <c r="C225" s="220"/>
      <c r="D225" s="161"/>
      <c r="E225" s="161"/>
      <c r="F225" s="89"/>
      <c r="G225" s="100"/>
      <c r="H225" s="100"/>
      <c r="I225" s="102"/>
      <c r="J225" s="221"/>
    </row>
    <row r="226" spans="1:16" ht="18" customHeight="1">
      <c r="A226" s="85"/>
      <c r="B226" s="23" t="s">
        <v>200</v>
      </c>
      <c r="C226" s="24">
        <v>22</v>
      </c>
      <c r="D226" s="88">
        <v>638</v>
      </c>
      <c r="E226" s="88">
        <v>1810</v>
      </c>
      <c r="F226" s="89">
        <f t="shared" ref="F226:F227" si="166">O226</f>
        <v>10</v>
      </c>
      <c r="G226" s="90">
        <f t="shared" ref="G226:G227" si="167">D226*E226/91809*F226</f>
        <v>125.78069688156936</v>
      </c>
      <c r="H226" s="90">
        <f t="shared" ref="H226:H227" si="168">(D226/1000)*4*F226+(E226/1000)*4*F226</f>
        <v>97.92</v>
      </c>
      <c r="I226" s="91" t="str">
        <f>I223</f>
        <v>3동1,2라인</v>
      </c>
      <c r="J226" s="92" t="s">
        <v>219</v>
      </c>
      <c r="L226" s="89">
        <v>2</v>
      </c>
      <c r="M226" s="78">
        <f>M223</f>
        <v>10</v>
      </c>
      <c r="N226" s="84">
        <v>5</v>
      </c>
      <c r="O226" s="78">
        <f>L226*M226-N226*L226</f>
        <v>10</v>
      </c>
      <c r="P226" s="64" t="s">
        <v>247</v>
      </c>
    </row>
    <row r="227" spans="1:16" ht="18" customHeight="1">
      <c r="A227" s="85"/>
      <c r="B227" s="86"/>
      <c r="C227" s="87"/>
      <c r="D227" s="88">
        <v>250</v>
      </c>
      <c r="E227" s="88">
        <v>930</v>
      </c>
      <c r="F227" s="89">
        <f t="shared" si="166"/>
        <v>20</v>
      </c>
      <c r="G227" s="90">
        <f t="shared" si="167"/>
        <v>50.648629219357574</v>
      </c>
      <c r="H227" s="90">
        <f t="shared" si="168"/>
        <v>94.4</v>
      </c>
      <c r="I227" s="91" t="str">
        <f>I226</f>
        <v>3동1,2라인</v>
      </c>
      <c r="J227" s="92" t="s">
        <v>220</v>
      </c>
      <c r="L227" s="89">
        <v>2</v>
      </c>
      <c r="M227" s="78">
        <f>M226</f>
        <v>10</v>
      </c>
      <c r="N227" s="84"/>
      <c r="O227" s="78">
        <f t="shared" ref="O227" si="169">L227*M227-N227*L227</f>
        <v>20</v>
      </c>
    </row>
    <row r="228" spans="1:16" ht="18" customHeight="1">
      <c r="A228" s="85"/>
      <c r="B228" s="93"/>
      <c r="C228" s="87"/>
      <c r="D228" s="325" t="s">
        <v>0</v>
      </c>
      <c r="E228" s="325"/>
      <c r="F228" s="94">
        <f>SUM(F226:F227)</f>
        <v>30</v>
      </c>
      <c r="G228" s="95">
        <f>SUM(G226:G227)</f>
        <v>176.42932610092691</v>
      </c>
      <c r="H228" s="96">
        <f>SUM(H226:H227)</f>
        <v>192.32</v>
      </c>
      <c r="I228" s="97"/>
      <c r="J228" s="162"/>
    </row>
    <row r="229" spans="1:16">
      <c r="A229" s="16"/>
      <c r="B229" s="16"/>
      <c r="C229" s="16"/>
      <c r="D229" s="261"/>
      <c r="E229" s="261"/>
      <c r="F229" s="261"/>
      <c r="G229" s="19"/>
      <c r="H229" s="19"/>
      <c r="I229" s="16"/>
      <c r="J229" s="16"/>
    </row>
    <row r="230" spans="1:16" ht="18" customHeight="1">
      <c r="A230" s="85" t="s">
        <v>235</v>
      </c>
      <c r="B230" s="23" t="s">
        <v>196</v>
      </c>
      <c r="C230" s="24">
        <v>22</v>
      </c>
      <c r="D230" s="88">
        <v>861</v>
      </c>
      <c r="E230" s="88">
        <v>1810</v>
      </c>
      <c r="F230" s="89">
        <f t="shared" ref="F230:F233" si="170">O230</f>
        <v>5</v>
      </c>
      <c r="G230" s="90">
        <f t="shared" ref="G230:G233" si="171">D230*E230/91809*F230</f>
        <v>84.872398130902198</v>
      </c>
      <c r="H230" s="90">
        <f t="shared" ref="H230:H233" si="172">(D230/1000)*4*F230+(E230/1000)*4*F230</f>
        <v>53.42</v>
      </c>
      <c r="I230" s="91" t="s">
        <v>252</v>
      </c>
      <c r="J230" s="92" t="s">
        <v>205</v>
      </c>
      <c r="L230" s="89">
        <v>1</v>
      </c>
      <c r="M230" s="78">
        <v>5</v>
      </c>
      <c r="N230" s="84"/>
      <c r="O230" s="78">
        <f>L230*M230-N230*L230</f>
        <v>5</v>
      </c>
      <c r="P230" s="64"/>
    </row>
    <row r="231" spans="1:16" ht="18" customHeight="1">
      <c r="A231" s="85"/>
      <c r="B231" s="86"/>
      <c r="C231" s="87"/>
      <c r="D231" s="88">
        <v>738</v>
      </c>
      <c r="E231" s="88">
        <v>1310</v>
      </c>
      <c r="F231" s="89">
        <f t="shared" si="170"/>
        <v>20</v>
      </c>
      <c r="G231" s="90">
        <f t="shared" si="171"/>
        <v>210.6068032545829</v>
      </c>
      <c r="H231" s="90">
        <f t="shared" si="172"/>
        <v>163.84</v>
      </c>
      <c r="I231" s="91" t="str">
        <f>I230</f>
        <v>3동3라인</v>
      </c>
      <c r="J231" s="92" t="s">
        <v>207</v>
      </c>
      <c r="L231" s="89">
        <v>4</v>
      </c>
      <c r="M231" s="78">
        <f>M230</f>
        <v>5</v>
      </c>
      <c r="N231" s="84"/>
      <c r="O231" s="78">
        <f t="shared" ref="O231:O233" si="173">L231*M231-N231*L231</f>
        <v>20</v>
      </c>
    </row>
    <row r="232" spans="1:16" ht="18" customHeight="1">
      <c r="A232" s="85"/>
      <c r="B232" s="86"/>
      <c r="C232" s="87"/>
      <c r="D232" s="88">
        <v>228</v>
      </c>
      <c r="E232" s="88">
        <v>910</v>
      </c>
      <c r="F232" s="89">
        <f t="shared" si="170"/>
        <v>10</v>
      </c>
      <c r="G232" s="90">
        <f t="shared" si="171"/>
        <v>22.59909159232755</v>
      </c>
      <c r="H232" s="90">
        <f t="shared" si="172"/>
        <v>45.519999999999996</v>
      </c>
      <c r="I232" s="91" t="str">
        <f t="shared" ref="I232:I233" si="174">I231</f>
        <v>3동3라인</v>
      </c>
      <c r="J232" s="92" t="s">
        <v>209</v>
      </c>
      <c r="L232" s="89">
        <v>2</v>
      </c>
      <c r="M232" s="78">
        <f t="shared" ref="M232:M233" si="175">M231</f>
        <v>5</v>
      </c>
      <c r="N232" s="78"/>
      <c r="O232" s="78">
        <f t="shared" si="173"/>
        <v>10</v>
      </c>
    </row>
    <row r="233" spans="1:16" ht="18" customHeight="1">
      <c r="A233" s="85"/>
      <c r="B233" s="86"/>
      <c r="C233" s="87"/>
      <c r="D233" s="88">
        <v>438</v>
      </c>
      <c r="E233" s="88">
        <v>270</v>
      </c>
      <c r="F233" s="89">
        <f t="shared" si="170"/>
        <v>10</v>
      </c>
      <c r="G233" s="90">
        <f t="shared" si="171"/>
        <v>12.881090089206941</v>
      </c>
      <c r="H233" s="90">
        <f t="shared" si="172"/>
        <v>28.32</v>
      </c>
      <c r="I233" s="91" t="str">
        <f t="shared" si="174"/>
        <v>3동3라인</v>
      </c>
      <c r="J233" s="92" t="s">
        <v>210</v>
      </c>
      <c r="L233" s="89">
        <v>2</v>
      </c>
      <c r="M233" s="78">
        <f t="shared" si="175"/>
        <v>5</v>
      </c>
      <c r="N233" s="78"/>
      <c r="O233" s="78">
        <f t="shared" si="173"/>
        <v>10</v>
      </c>
    </row>
    <row r="234" spans="1:16" ht="18" customHeight="1">
      <c r="A234" s="85"/>
      <c r="B234" s="93"/>
      <c r="C234" s="87"/>
      <c r="D234" s="325" t="s">
        <v>0</v>
      </c>
      <c r="E234" s="325"/>
      <c r="F234" s="94">
        <f>SUM(F230:F233)</f>
        <v>45</v>
      </c>
      <c r="G234" s="95">
        <f>SUM(G230:G233)</f>
        <v>330.95938306701964</v>
      </c>
      <c r="H234" s="96">
        <f>SUM(H230:H233)</f>
        <v>291.09999999999997</v>
      </c>
      <c r="I234" s="97"/>
      <c r="J234" s="162"/>
    </row>
    <row r="235" spans="1:16" ht="18" customHeight="1">
      <c r="A235" s="85"/>
      <c r="B235" s="93"/>
      <c r="C235" s="87"/>
      <c r="D235" s="161"/>
      <c r="E235" s="161"/>
      <c r="F235" s="89"/>
      <c r="G235" s="100"/>
      <c r="H235" s="101"/>
      <c r="I235" s="102"/>
      <c r="J235" s="121"/>
      <c r="L235" s="252"/>
      <c r="M235" s="252"/>
      <c r="N235" s="252"/>
      <c r="O235" s="252"/>
    </row>
    <row r="236" spans="1:16" ht="18" customHeight="1">
      <c r="A236" s="85"/>
      <c r="B236" s="23" t="s">
        <v>198</v>
      </c>
      <c r="C236" s="24">
        <v>22</v>
      </c>
      <c r="D236" s="88">
        <v>861</v>
      </c>
      <c r="E236" s="88">
        <v>1810</v>
      </c>
      <c r="F236" s="89">
        <f t="shared" ref="F236:F240" si="176">O236</f>
        <v>5</v>
      </c>
      <c r="G236" s="90">
        <f t="shared" ref="G236:G240" si="177">D236*E236/91809*F236</f>
        <v>84.872398130902198</v>
      </c>
      <c r="H236" s="90">
        <f t="shared" ref="H236:H240" si="178">(D236/1000)*4*F236+(E236/1000)*4*F236</f>
        <v>53.42</v>
      </c>
      <c r="I236" s="91" t="str">
        <f>I230</f>
        <v>3동3라인</v>
      </c>
      <c r="J236" s="92" t="s">
        <v>212</v>
      </c>
      <c r="L236" s="89">
        <v>1</v>
      </c>
      <c r="M236" s="78">
        <f>M230</f>
        <v>5</v>
      </c>
      <c r="N236" s="84"/>
      <c r="O236" s="78">
        <f>L236*M236-N236*L236</f>
        <v>5</v>
      </c>
    </row>
    <row r="237" spans="1:16" ht="18" customHeight="1">
      <c r="A237" s="85"/>
      <c r="B237" s="86"/>
      <c r="C237" s="87"/>
      <c r="D237" s="88">
        <v>2114</v>
      </c>
      <c r="E237" s="88">
        <v>1810</v>
      </c>
      <c r="F237" s="89">
        <f t="shared" si="176"/>
        <v>5</v>
      </c>
      <c r="G237" s="90">
        <f t="shared" si="177"/>
        <v>208.38588809375989</v>
      </c>
      <c r="H237" s="90">
        <f t="shared" si="178"/>
        <v>78.48</v>
      </c>
      <c r="I237" s="91" t="str">
        <f>I230</f>
        <v>3동3라인</v>
      </c>
      <c r="J237" s="92" t="s">
        <v>213</v>
      </c>
      <c r="L237" s="89">
        <v>1</v>
      </c>
      <c r="M237" s="78">
        <f>M236</f>
        <v>5</v>
      </c>
      <c r="N237" s="84"/>
      <c r="O237" s="78">
        <f>L237*M237-N237*L237</f>
        <v>5</v>
      </c>
    </row>
    <row r="238" spans="1:16" ht="18" customHeight="1">
      <c r="A238" s="104"/>
      <c r="B238" s="93"/>
      <c r="C238" s="87"/>
      <c r="D238" s="88">
        <v>738</v>
      </c>
      <c r="E238" s="88">
        <v>1310</v>
      </c>
      <c r="F238" s="89">
        <f t="shared" si="176"/>
        <v>20</v>
      </c>
      <c r="G238" s="90">
        <f t="shared" si="177"/>
        <v>210.6068032545829</v>
      </c>
      <c r="H238" s="90">
        <f t="shared" si="178"/>
        <v>163.84</v>
      </c>
      <c r="I238" s="91" t="str">
        <f>I237</f>
        <v>3동3라인</v>
      </c>
      <c r="J238" s="92" t="s">
        <v>214</v>
      </c>
      <c r="L238" s="89">
        <v>4</v>
      </c>
      <c r="M238" s="78">
        <f t="shared" ref="M238:M240" si="179">M237</f>
        <v>5</v>
      </c>
      <c r="N238" s="84"/>
      <c r="O238" s="78">
        <f t="shared" ref="O238:O240" si="180">L238*M238-N238*L238</f>
        <v>20</v>
      </c>
    </row>
    <row r="239" spans="1:16" ht="18" customHeight="1">
      <c r="A239" s="104"/>
      <c r="B239" s="93"/>
      <c r="C239" s="87"/>
      <c r="D239" s="88">
        <v>228</v>
      </c>
      <c r="E239" s="88">
        <v>910</v>
      </c>
      <c r="F239" s="89">
        <f t="shared" si="176"/>
        <v>10</v>
      </c>
      <c r="G239" s="90">
        <f t="shared" si="177"/>
        <v>22.59909159232755</v>
      </c>
      <c r="H239" s="90">
        <f t="shared" si="178"/>
        <v>45.519999999999996</v>
      </c>
      <c r="I239" s="91" t="str">
        <f t="shared" ref="I239:I240" si="181">I238</f>
        <v>3동3라인</v>
      </c>
      <c r="J239" s="92" t="s">
        <v>216</v>
      </c>
      <c r="L239" s="89">
        <v>2</v>
      </c>
      <c r="M239" s="78">
        <f t="shared" si="179"/>
        <v>5</v>
      </c>
      <c r="N239" s="78"/>
      <c r="O239" s="78">
        <f t="shared" si="180"/>
        <v>10</v>
      </c>
    </row>
    <row r="240" spans="1:16" ht="18" customHeight="1">
      <c r="A240" s="104"/>
      <c r="B240" s="93"/>
      <c r="C240" s="87"/>
      <c r="D240" s="88">
        <v>438</v>
      </c>
      <c r="E240" s="88">
        <v>270</v>
      </c>
      <c r="F240" s="89">
        <f t="shared" si="176"/>
        <v>10</v>
      </c>
      <c r="G240" s="90">
        <f t="shared" si="177"/>
        <v>12.881090089206941</v>
      </c>
      <c r="H240" s="90">
        <f t="shared" si="178"/>
        <v>28.32</v>
      </c>
      <c r="I240" s="91" t="str">
        <f t="shared" si="181"/>
        <v>3동3라인</v>
      </c>
      <c r="J240" s="92" t="s">
        <v>217</v>
      </c>
      <c r="L240" s="89">
        <v>2</v>
      </c>
      <c r="M240" s="78">
        <f t="shared" si="179"/>
        <v>5</v>
      </c>
      <c r="N240" s="78"/>
      <c r="O240" s="78">
        <f t="shared" si="180"/>
        <v>10</v>
      </c>
    </row>
    <row r="241" spans="1:16" ht="18" customHeight="1">
      <c r="A241" s="104"/>
      <c r="B241" s="87"/>
      <c r="C241" s="87"/>
      <c r="D241" s="325" t="s">
        <v>0</v>
      </c>
      <c r="E241" s="325"/>
      <c r="F241" s="171">
        <f>SUM(F236:F240)</f>
        <v>50</v>
      </c>
      <c r="G241" s="95">
        <f>SUM(G236:G240)</f>
        <v>539.34527116077948</v>
      </c>
      <c r="H241" s="95">
        <f>SUM(H236:H240)</f>
        <v>369.58</v>
      </c>
      <c r="I241" s="97"/>
      <c r="J241" s="98"/>
    </row>
    <row r="242" spans="1:16">
      <c r="A242" s="105"/>
      <c r="B242" s="9"/>
      <c r="C242" s="9"/>
      <c r="D242" s="51"/>
      <c r="E242" s="51"/>
      <c r="F242" s="51"/>
      <c r="G242" s="106"/>
      <c r="H242" s="106"/>
      <c r="I242" s="9"/>
      <c r="J242" s="107"/>
    </row>
    <row r="243" spans="1:16" ht="18" customHeight="1">
      <c r="A243" s="85"/>
      <c r="B243" s="23" t="s">
        <v>237</v>
      </c>
      <c r="C243" s="24">
        <v>22</v>
      </c>
      <c r="D243" s="88">
        <v>2114</v>
      </c>
      <c r="E243" s="88">
        <v>1810</v>
      </c>
      <c r="F243" s="89">
        <f t="shared" ref="F243" si="182">O243</f>
        <v>5</v>
      </c>
      <c r="G243" s="90">
        <f t="shared" ref="G243" si="183">D243*E243/91809*F243</f>
        <v>208.38588809375989</v>
      </c>
      <c r="H243" s="90">
        <f t="shared" ref="H243" si="184">(D243/1000)*4*F243+(E243/1000)*4*F243</f>
        <v>78.48</v>
      </c>
      <c r="I243" s="91" t="str">
        <f>I236</f>
        <v>3동3라인</v>
      </c>
      <c r="J243" s="92" t="s">
        <v>206</v>
      </c>
      <c r="L243" s="89">
        <v>1</v>
      </c>
      <c r="M243" s="78">
        <f>M230</f>
        <v>5</v>
      </c>
      <c r="N243" s="84"/>
      <c r="O243" s="78">
        <f>L243*M243-N243*L243</f>
        <v>5</v>
      </c>
    </row>
    <row r="244" spans="1:16" ht="18" customHeight="1">
      <c r="A244" s="85"/>
      <c r="B244" s="93"/>
      <c r="C244" s="87"/>
      <c r="D244" s="325" t="s">
        <v>0</v>
      </c>
      <c r="E244" s="325"/>
      <c r="F244" s="94">
        <f>SUM(F243:F243)</f>
        <v>5</v>
      </c>
      <c r="G244" s="95">
        <f>SUM(G243:G243)</f>
        <v>208.38588809375989</v>
      </c>
      <c r="H244" s="95">
        <f>SUM(H243:H243)</f>
        <v>78.48</v>
      </c>
      <c r="I244" s="97"/>
      <c r="J244" s="98"/>
    </row>
    <row r="245" spans="1:16" ht="18" customHeight="1">
      <c r="A245" s="218"/>
      <c r="B245" s="219"/>
      <c r="C245" s="220"/>
      <c r="D245" s="161"/>
      <c r="E245" s="161"/>
      <c r="F245" s="89"/>
      <c r="G245" s="100"/>
      <c r="H245" s="100"/>
      <c r="I245" s="102"/>
      <c r="J245" s="221"/>
    </row>
    <row r="246" spans="1:16" ht="18" customHeight="1">
      <c r="A246" s="85"/>
      <c r="B246" s="23" t="s">
        <v>200</v>
      </c>
      <c r="C246" s="24">
        <v>22</v>
      </c>
      <c r="D246" s="88">
        <v>738</v>
      </c>
      <c r="E246" s="88">
        <v>1810</v>
      </c>
      <c r="F246" s="89">
        <f t="shared" ref="F246:F247" si="185">O246</f>
        <v>10</v>
      </c>
      <c r="G246" s="90">
        <f t="shared" ref="G246:G247" si="186">D246*E246/91809*F246</f>
        <v>145.4955396529752</v>
      </c>
      <c r="H246" s="90">
        <f t="shared" ref="H246:H247" si="187">(D246/1000)*4*F246+(E246/1000)*4*F246</f>
        <v>101.92</v>
      </c>
      <c r="I246" s="91" t="str">
        <f>I243</f>
        <v>3동3라인</v>
      </c>
      <c r="J246" s="92" t="s">
        <v>219</v>
      </c>
      <c r="L246" s="89">
        <v>2</v>
      </c>
      <c r="M246" s="78">
        <f>M243</f>
        <v>5</v>
      </c>
      <c r="N246" s="84"/>
      <c r="O246" s="78">
        <f>L246*M246-N246*L246</f>
        <v>10</v>
      </c>
      <c r="P246" s="64"/>
    </row>
    <row r="247" spans="1:16" ht="18" customHeight="1">
      <c r="A247" s="85"/>
      <c r="B247" s="86"/>
      <c r="C247" s="87"/>
      <c r="D247" s="88">
        <v>250</v>
      </c>
      <c r="E247" s="88">
        <v>930</v>
      </c>
      <c r="F247" s="89">
        <f t="shared" si="185"/>
        <v>10</v>
      </c>
      <c r="G247" s="90">
        <f t="shared" si="186"/>
        <v>25.324314609678787</v>
      </c>
      <c r="H247" s="90">
        <f t="shared" si="187"/>
        <v>47.2</v>
      </c>
      <c r="I247" s="91" t="str">
        <f>I246</f>
        <v>3동3라인</v>
      </c>
      <c r="J247" s="92" t="s">
        <v>220</v>
      </c>
      <c r="L247" s="89">
        <v>2</v>
      </c>
      <c r="M247" s="78">
        <f>M246</f>
        <v>5</v>
      </c>
      <c r="N247" s="84"/>
      <c r="O247" s="78">
        <f t="shared" ref="O247" si="188">L247*M247-N247*L247</f>
        <v>10</v>
      </c>
    </row>
    <row r="248" spans="1:16" ht="18" customHeight="1">
      <c r="A248" s="85"/>
      <c r="B248" s="93"/>
      <c r="C248" s="87"/>
      <c r="D248" s="325" t="s">
        <v>0</v>
      </c>
      <c r="E248" s="325"/>
      <c r="F248" s="94">
        <f>SUM(F246:F247)</f>
        <v>20</v>
      </c>
      <c r="G248" s="95">
        <f>SUM(G246:G247)</f>
        <v>170.81985426265399</v>
      </c>
      <c r="H248" s="96">
        <f>SUM(H246:H247)</f>
        <v>149.12</v>
      </c>
      <c r="I248" s="97"/>
      <c r="J248" s="162"/>
    </row>
    <row r="249" spans="1:16" ht="18" customHeight="1" thickBot="1">
      <c r="A249" s="222"/>
      <c r="B249" s="223"/>
      <c r="C249" s="224"/>
      <c r="D249" s="225"/>
      <c r="E249" s="225"/>
      <c r="F249" s="226"/>
      <c r="G249" s="227"/>
      <c r="H249" s="228"/>
      <c r="I249" s="229"/>
      <c r="J249" s="230"/>
      <c r="L249" s="78" t="s">
        <v>48</v>
      </c>
      <c r="M249" s="78" t="s">
        <v>49</v>
      </c>
      <c r="N249" s="78" t="s">
        <v>50</v>
      </c>
      <c r="O249" s="78" t="s">
        <v>55</v>
      </c>
    </row>
    <row r="250" spans="1:16" ht="18" customHeight="1">
      <c r="A250" s="79" t="s">
        <v>234</v>
      </c>
      <c r="B250" s="231" t="s">
        <v>195</v>
      </c>
      <c r="C250" s="232">
        <v>22</v>
      </c>
      <c r="D250" s="80">
        <v>761</v>
      </c>
      <c r="E250" s="80">
        <v>1810</v>
      </c>
      <c r="F250" s="233">
        <f>O250</f>
        <v>10</v>
      </c>
      <c r="G250" s="81">
        <f t="shared" ref="G250:G256" si="189">D250*E250/91809*F250</f>
        <v>150.02995349039855</v>
      </c>
      <c r="H250" s="81">
        <f t="shared" ref="H250:H256" si="190">(D250/1000)*4*F250+(E250/1000)*4*F250</f>
        <v>102.84</v>
      </c>
      <c r="I250" s="82" t="s">
        <v>253</v>
      </c>
      <c r="J250" s="83" t="s">
        <v>205</v>
      </c>
      <c r="L250" s="89">
        <v>2</v>
      </c>
      <c r="M250" s="78">
        <v>5</v>
      </c>
      <c r="N250" s="84"/>
      <c r="O250" s="78">
        <f>L250*M250-N250*L250</f>
        <v>10</v>
      </c>
      <c r="P250" s="64"/>
    </row>
    <row r="251" spans="1:16" ht="18" customHeight="1">
      <c r="A251" s="85"/>
      <c r="B251" s="86"/>
      <c r="C251" s="87"/>
      <c r="D251" s="88">
        <v>1688</v>
      </c>
      <c r="E251" s="88">
        <v>1810</v>
      </c>
      <c r="F251" s="89">
        <f t="shared" ref="F251:F256" si="191">O251</f>
        <v>5</v>
      </c>
      <c r="G251" s="90">
        <f t="shared" si="189"/>
        <v>166.39327299066539</v>
      </c>
      <c r="H251" s="90">
        <f t="shared" si="190"/>
        <v>69.960000000000008</v>
      </c>
      <c r="I251" s="91" t="str">
        <f>I250</f>
        <v>3동4라인</v>
      </c>
      <c r="J251" s="92" t="s">
        <v>206</v>
      </c>
      <c r="L251" s="89">
        <v>1</v>
      </c>
      <c r="M251" s="78">
        <f>M250</f>
        <v>5</v>
      </c>
      <c r="N251" s="84"/>
      <c r="O251" s="78">
        <f t="shared" ref="O251:O256" si="192">L251*M251-N251*L251</f>
        <v>5</v>
      </c>
    </row>
    <row r="252" spans="1:16" ht="18" customHeight="1">
      <c r="A252" s="85"/>
      <c r="B252" s="86"/>
      <c r="C252" s="87"/>
      <c r="D252" s="88">
        <v>738</v>
      </c>
      <c r="E252" s="88">
        <v>1310</v>
      </c>
      <c r="F252" s="89">
        <f t="shared" si="191"/>
        <v>20</v>
      </c>
      <c r="G252" s="90">
        <f t="shared" si="189"/>
        <v>210.6068032545829</v>
      </c>
      <c r="H252" s="90">
        <f t="shared" si="190"/>
        <v>163.84</v>
      </c>
      <c r="I252" s="91" t="str">
        <f t="shared" ref="I252:I256" si="193">I251</f>
        <v>3동4라인</v>
      </c>
      <c r="J252" s="92" t="s">
        <v>207</v>
      </c>
      <c r="L252" s="89">
        <v>4</v>
      </c>
      <c r="M252" s="78">
        <f t="shared" ref="M252:M255" si="194">M251</f>
        <v>5</v>
      </c>
      <c r="N252" s="78"/>
      <c r="O252" s="78">
        <f t="shared" si="192"/>
        <v>20</v>
      </c>
    </row>
    <row r="253" spans="1:16" ht="18" customHeight="1">
      <c r="A253" s="85"/>
      <c r="B253" s="86"/>
      <c r="C253" s="87"/>
      <c r="D253" s="88">
        <v>288</v>
      </c>
      <c r="E253" s="88">
        <v>910</v>
      </c>
      <c r="F253" s="89">
        <f t="shared" si="191"/>
        <v>10</v>
      </c>
      <c r="G253" s="90">
        <f t="shared" si="189"/>
        <v>28.546220958729535</v>
      </c>
      <c r="H253" s="90">
        <f t="shared" si="190"/>
        <v>47.92</v>
      </c>
      <c r="I253" s="91" t="str">
        <f t="shared" si="193"/>
        <v>3동4라인</v>
      </c>
      <c r="J253" s="92" t="s">
        <v>208</v>
      </c>
      <c r="L253" s="89">
        <v>2</v>
      </c>
      <c r="M253" s="78">
        <f t="shared" si="194"/>
        <v>5</v>
      </c>
      <c r="N253" s="78"/>
      <c r="O253" s="78">
        <f t="shared" si="192"/>
        <v>10</v>
      </c>
    </row>
    <row r="254" spans="1:16" ht="18" customHeight="1">
      <c r="A254" s="85"/>
      <c r="B254" s="86"/>
      <c r="C254" s="87"/>
      <c r="D254" s="88">
        <v>228</v>
      </c>
      <c r="E254" s="88">
        <v>910</v>
      </c>
      <c r="F254" s="89">
        <f t="shared" si="191"/>
        <v>10</v>
      </c>
      <c r="G254" s="90">
        <f t="shared" si="189"/>
        <v>22.59909159232755</v>
      </c>
      <c r="H254" s="90">
        <f t="shared" si="190"/>
        <v>45.519999999999996</v>
      </c>
      <c r="I254" s="91" t="str">
        <f t="shared" si="193"/>
        <v>3동4라인</v>
      </c>
      <c r="J254" s="92" t="s">
        <v>209</v>
      </c>
      <c r="L254" s="89">
        <v>2</v>
      </c>
      <c r="M254" s="78">
        <f t="shared" si="194"/>
        <v>5</v>
      </c>
      <c r="N254" s="78"/>
      <c r="O254" s="78">
        <f t="shared" si="192"/>
        <v>10</v>
      </c>
    </row>
    <row r="255" spans="1:16" ht="18" customHeight="1">
      <c r="A255" s="85"/>
      <c r="B255" s="86"/>
      <c r="C255" s="87"/>
      <c r="D255" s="88">
        <v>438</v>
      </c>
      <c r="E255" s="88">
        <v>270</v>
      </c>
      <c r="F255" s="89">
        <f t="shared" si="191"/>
        <v>10</v>
      </c>
      <c r="G255" s="90">
        <f t="shared" si="189"/>
        <v>12.881090089206941</v>
      </c>
      <c r="H255" s="90">
        <f t="shared" si="190"/>
        <v>28.32</v>
      </c>
      <c r="I255" s="91" t="str">
        <f t="shared" si="193"/>
        <v>3동4라인</v>
      </c>
      <c r="J255" s="92" t="s">
        <v>210</v>
      </c>
      <c r="L255" s="89">
        <v>2</v>
      </c>
      <c r="M255" s="78">
        <f t="shared" si="194"/>
        <v>5</v>
      </c>
      <c r="N255" s="78"/>
      <c r="O255" s="78">
        <f t="shared" si="192"/>
        <v>10</v>
      </c>
    </row>
    <row r="256" spans="1:16" ht="18" customHeight="1">
      <c r="A256" s="85"/>
      <c r="B256" s="86"/>
      <c r="C256" s="87"/>
      <c r="D256" s="88">
        <v>208</v>
      </c>
      <c r="E256" s="88">
        <v>910</v>
      </c>
      <c r="F256" s="89">
        <f t="shared" si="191"/>
        <v>10</v>
      </c>
      <c r="G256" s="90">
        <f t="shared" si="189"/>
        <v>20.616715136860222</v>
      </c>
      <c r="H256" s="90">
        <f t="shared" si="190"/>
        <v>44.72</v>
      </c>
      <c r="I256" s="91" t="str">
        <f t="shared" si="193"/>
        <v>3동4라인</v>
      </c>
      <c r="J256" s="92" t="s">
        <v>211</v>
      </c>
      <c r="L256" s="89">
        <v>2</v>
      </c>
      <c r="M256" s="78">
        <f>M255</f>
        <v>5</v>
      </c>
      <c r="N256" s="78"/>
      <c r="O256" s="78">
        <f t="shared" si="192"/>
        <v>10</v>
      </c>
    </row>
    <row r="257" spans="1:16" ht="18" customHeight="1">
      <c r="A257" s="85"/>
      <c r="B257" s="93"/>
      <c r="C257" s="87"/>
      <c r="D257" s="325" t="s">
        <v>0</v>
      </c>
      <c r="E257" s="325"/>
      <c r="F257" s="94">
        <f>SUM(F250:F256)</f>
        <v>75</v>
      </c>
      <c r="G257" s="95">
        <f>SUM(G250:G256)</f>
        <v>611.67314751277115</v>
      </c>
      <c r="H257" s="96">
        <f>SUM(H250:H256)</f>
        <v>503.12</v>
      </c>
      <c r="I257" s="97"/>
      <c r="J257" s="162"/>
    </row>
    <row r="258" spans="1:16" ht="18" customHeight="1">
      <c r="A258" s="85"/>
      <c r="B258" s="93"/>
      <c r="C258" s="87"/>
      <c r="D258" s="161"/>
      <c r="E258" s="161"/>
      <c r="F258" s="89"/>
      <c r="G258" s="100"/>
      <c r="H258" s="101"/>
      <c r="I258" s="102"/>
      <c r="J258" s="121"/>
      <c r="L258" s="78" t="s">
        <v>48</v>
      </c>
      <c r="M258" s="78" t="s">
        <v>54</v>
      </c>
      <c r="N258" s="78" t="s">
        <v>50</v>
      </c>
      <c r="O258" s="78" t="s">
        <v>55</v>
      </c>
    </row>
    <row r="259" spans="1:16" ht="18" customHeight="1">
      <c r="A259" s="85"/>
      <c r="B259" s="23" t="s">
        <v>197</v>
      </c>
      <c r="C259" s="24">
        <v>22</v>
      </c>
      <c r="D259" s="88">
        <v>761</v>
      </c>
      <c r="E259" s="88">
        <v>1810</v>
      </c>
      <c r="F259" s="89">
        <f t="shared" ref="F259:F265" si="195">O259</f>
        <v>10</v>
      </c>
      <c r="G259" s="90">
        <f t="shared" ref="G259:G265" si="196">D259*E259/91809*F259</f>
        <v>150.02995349039855</v>
      </c>
      <c r="H259" s="90">
        <f t="shared" ref="H259:H265" si="197">(D259/1000)*4*F259+(E259/1000)*4*F259</f>
        <v>102.84</v>
      </c>
      <c r="I259" s="91" t="str">
        <f t="shared" ref="I259:I265" si="198">I250</f>
        <v>3동4라인</v>
      </c>
      <c r="J259" s="92" t="s">
        <v>212</v>
      </c>
      <c r="L259" s="89">
        <v>2</v>
      </c>
      <c r="M259" s="78">
        <f>M250</f>
        <v>5</v>
      </c>
      <c r="N259" s="84"/>
      <c r="O259" s="78">
        <f>L259*M259-N259*L259</f>
        <v>10</v>
      </c>
    </row>
    <row r="260" spans="1:16" ht="18" customHeight="1">
      <c r="A260" s="85"/>
      <c r="B260" s="86"/>
      <c r="C260" s="87"/>
      <c r="D260" s="88">
        <v>1688</v>
      </c>
      <c r="E260" s="88">
        <v>1810</v>
      </c>
      <c r="F260" s="89">
        <f t="shared" si="195"/>
        <v>5</v>
      </c>
      <c r="G260" s="90">
        <f t="shared" si="196"/>
        <v>166.39327299066539</v>
      </c>
      <c r="H260" s="90">
        <f t="shared" si="197"/>
        <v>69.960000000000008</v>
      </c>
      <c r="I260" s="91" t="str">
        <f t="shared" si="198"/>
        <v>3동4라인</v>
      </c>
      <c r="J260" s="92" t="s">
        <v>213</v>
      </c>
      <c r="L260" s="89">
        <v>1</v>
      </c>
      <c r="M260" s="78">
        <f>M259</f>
        <v>5</v>
      </c>
      <c r="N260" s="84"/>
      <c r="O260" s="78">
        <f>L260*M260-N260*L260</f>
        <v>5</v>
      </c>
    </row>
    <row r="261" spans="1:16" ht="18" customHeight="1">
      <c r="A261" s="104"/>
      <c r="B261" s="93"/>
      <c r="C261" s="87"/>
      <c r="D261" s="88">
        <v>738</v>
      </c>
      <c r="E261" s="88">
        <v>1310</v>
      </c>
      <c r="F261" s="89">
        <f t="shared" si="195"/>
        <v>20</v>
      </c>
      <c r="G261" s="90">
        <f t="shared" si="196"/>
        <v>210.6068032545829</v>
      </c>
      <c r="H261" s="90">
        <f t="shared" si="197"/>
        <v>163.84</v>
      </c>
      <c r="I261" s="91" t="str">
        <f t="shared" si="198"/>
        <v>3동4라인</v>
      </c>
      <c r="J261" s="92" t="s">
        <v>214</v>
      </c>
      <c r="L261" s="89">
        <v>4</v>
      </c>
      <c r="M261" s="78">
        <f t="shared" ref="M261:M265" si="199">M260</f>
        <v>5</v>
      </c>
      <c r="N261" s="84"/>
      <c r="O261" s="78">
        <f t="shared" ref="O261:O265" si="200">L261*M261-N261*L261</f>
        <v>20</v>
      </c>
    </row>
    <row r="262" spans="1:16" ht="18" customHeight="1">
      <c r="A262" s="104"/>
      <c r="B262" s="93"/>
      <c r="C262" s="87"/>
      <c r="D262" s="88">
        <v>288</v>
      </c>
      <c r="E262" s="88">
        <v>910</v>
      </c>
      <c r="F262" s="89">
        <f t="shared" si="195"/>
        <v>10</v>
      </c>
      <c r="G262" s="90">
        <f t="shared" si="196"/>
        <v>28.546220958729535</v>
      </c>
      <c r="H262" s="90">
        <f t="shared" si="197"/>
        <v>47.92</v>
      </c>
      <c r="I262" s="91" t="str">
        <f t="shared" si="198"/>
        <v>3동4라인</v>
      </c>
      <c r="J262" s="92" t="s">
        <v>215</v>
      </c>
      <c r="L262" s="89">
        <v>2</v>
      </c>
      <c r="M262" s="78">
        <f t="shared" si="199"/>
        <v>5</v>
      </c>
      <c r="N262" s="78"/>
      <c r="O262" s="78">
        <f t="shared" si="200"/>
        <v>10</v>
      </c>
    </row>
    <row r="263" spans="1:16" ht="18" customHeight="1">
      <c r="A263" s="104"/>
      <c r="B263" s="93"/>
      <c r="C263" s="87"/>
      <c r="D263" s="88">
        <v>228</v>
      </c>
      <c r="E263" s="88">
        <v>910</v>
      </c>
      <c r="F263" s="89">
        <f t="shared" si="195"/>
        <v>10</v>
      </c>
      <c r="G263" s="90">
        <f t="shared" si="196"/>
        <v>22.59909159232755</v>
      </c>
      <c r="H263" s="90">
        <f t="shared" si="197"/>
        <v>45.519999999999996</v>
      </c>
      <c r="I263" s="91" t="str">
        <f t="shared" si="198"/>
        <v>3동4라인</v>
      </c>
      <c r="J263" s="92" t="s">
        <v>216</v>
      </c>
      <c r="L263" s="89">
        <v>2</v>
      </c>
      <c r="M263" s="78">
        <f t="shared" si="199"/>
        <v>5</v>
      </c>
      <c r="N263" s="78"/>
      <c r="O263" s="78">
        <f t="shared" si="200"/>
        <v>10</v>
      </c>
    </row>
    <row r="264" spans="1:16" ht="18" customHeight="1">
      <c r="A264" s="104"/>
      <c r="B264" s="93"/>
      <c r="C264" s="87"/>
      <c r="D264" s="88">
        <v>438</v>
      </c>
      <c r="E264" s="88">
        <v>270</v>
      </c>
      <c r="F264" s="89">
        <f t="shared" si="195"/>
        <v>10</v>
      </c>
      <c r="G264" s="90">
        <f t="shared" si="196"/>
        <v>12.881090089206941</v>
      </c>
      <c r="H264" s="90">
        <f t="shared" si="197"/>
        <v>28.32</v>
      </c>
      <c r="I264" s="91" t="str">
        <f t="shared" si="198"/>
        <v>3동4라인</v>
      </c>
      <c r="J264" s="92" t="s">
        <v>217</v>
      </c>
      <c r="L264" s="89">
        <v>2</v>
      </c>
      <c r="M264" s="78">
        <f t="shared" si="199"/>
        <v>5</v>
      </c>
      <c r="N264" s="78"/>
      <c r="O264" s="78">
        <f t="shared" si="200"/>
        <v>10</v>
      </c>
    </row>
    <row r="265" spans="1:16" ht="18" customHeight="1">
      <c r="A265" s="104"/>
      <c r="B265" s="93"/>
      <c r="C265" s="87"/>
      <c r="D265" s="88">
        <v>208</v>
      </c>
      <c r="E265" s="88">
        <v>910</v>
      </c>
      <c r="F265" s="89">
        <f t="shared" si="195"/>
        <v>10</v>
      </c>
      <c r="G265" s="90">
        <f t="shared" si="196"/>
        <v>20.616715136860222</v>
      </c>
      <c r="H265" s="90">
        <f t="shared" si="197"/>
        <v>44.72</v>
      </c>
      <c r="I265" s="91" t="str">
        <f t="shared" si="198"/>
        <v>3동4라인</v>
      </c>
      <c r="J265" s="92" t="s">
        <v>218</v>
      </c>
      <c r="L265" s="89">
        <v>2</v>
      </c>
      <c r="M265" s="78">
        <f t="shared" si="199"/>
        <v>5</v>
      </c>
      <c r="N265" s="78"/>
      <c r="O265" s="78">
        <f t="shared" si="200"/>
        <v>10</v>
      </c>
    </row>
    <row r="266" spans="1:16" ht="18" customHeight="1">
      <c r="A266" s="104"/>
      <c r="B266" s="87"/>
      <c r="C266" s="87"/>
      <c r="D266" s="325" t="s">
        <v>0</v>
      </c>
      <c r="E266" s="325"/>
      <c r="F266" s="171">
        <f>SUM(F259:F265)</f>
        <v>75</v>
      </c>
      <c r="G266" s="95">
        <f>SUM(G259:G265)</f>
        <v>611.67314751277115</v>
      </c>
      <c r="H266" s="95">
        <f>SUM(H259:H265)</f>
        <v>503.12</v>
      </c>
      <c r="I266" s="97"/>
      <c r="J266" s="98"/>
    </row>
    <row r="267" spans="1:16">
      <c r="A267" s="105"/>
      <c r="B267" s="9"/>
      <c r="C267" s="9"/>
      <c r="D267" s="51"/>
      <c r="E267" s="51"/>
      <c r="F267" s="51"/>
      <c r="G267" s="106"/>
      <c r="H267" s="106"/>
      <c r="I267" s="9"/>
      <c r="J267" s="107"/>
    </row>
    <row r="268" spans="1:16" ht="18" customHeight="1">
      <c r="A268" s="85"/>
      <c r="B268" s="163" t="s">
        <v>199</v>
      </c>
      <c r="C268" s="163">
        <v>22</v>
      </c>
      <c r="D268" s="88">
        <v>738</v>
      </c>
      <c r="E268" s="88">
        <v>1810</v>
      </c>
      <c r="F268" s="89">
        <f t="shared" ref="F268:F269" si="201">O268</f>
        <v>10</v>
      </c>
      <c r="G268" s="90">
        <f t="shared" ref="G268:G269" si="202">D268*E268/91809*F268</f>
        <v>145.4955396529752</v>
      </c>
      <c r="H268" s="90">
        <f t="shared" ref="H268:H269" si="203">(D268/1000)*4*F268+(E268/1000)*4*F268</f>
        <v>101.92</v>
      </c>
      <c r="I268" s="91" t="str">
        <f>I259</f>
        <v>3동4라인</v>
      </c>
      <c r="J268" s="92" t="s">
        <v>219</v>
      </c>
      <c r="L268" s="89">
        <v>2</v>
      </c>
      <c r="M268" s="78">
        <f>M250</f>
        <v>5</v>
      </c>
      <c r="N268" s="84"/>
      <c r="O268" s="78">
        <f>L268*M268-N268*L268</f>
        <v>10</v>
      </c>
      <c r="P268" s="64"/>
    </row>
    <row r="269" spans="1:16" ht="18" customHeight="1">
      <c r="A269" s="85"/>
      <c r="B269" s="86"/>
      <c r="C269" s="87"/>
      <c r="D269" s="88">
        <v>250</v>
      </c>
      <c r="E269" s="88">
        <v>930</v>
      </c>
      <c r="F269" s="89">
        <f t="shared" si="201"/>
        <v>10</v>
      </c>
      <c r="G269" s="90">
        <f t="shared" si="202"/>
        <v>25.324314609678787</v>
      </c>
      <c r="H269" s="90">
        <f t="shared" si="203"/>
        <v>47.2</v>
      </c>
      <c r="I269" s="91" t="str">
        <f>I268</f>
        <v>3동4라인</v>
      </c>
      <c r="J269" s="92" t="s">
        <v>220</v>
      </c>
      <c r="L269" s="89">
        <v>2</v>
      </c>
      <c r="M269" s="78">
        <f>M268</f>
        <v>5</v>
      </c>
      <c r="N269" s="84"/>
      <c r="O269" s="78">
        <f t="shared" ref="O269" si="204">L269*M269-N269*L269</f>
        <v>10</v>
      </c>
    </row>
    <row r="270" spans="1:16" ht="18" customHeight="1">
      <c r="A270" s="85"/>
      <c r="B270" s="93"/>
      <c r="C270" s="87"/>
      <c r="D270" s="325" t="s">
        <v>0</v>
      </c>
      <c r="E270" s="325"/>
      <c r="F270" s="94">
        <f>SUM(F268:F269)</f>
        <v>20</v>
      </c>
      <c r="G270" s="95">
        <f>SUM(G268:G269)</f>
        <v>170.81985426265399</v>
      </c>
      <c r="H270" s="95">
        <f>SUM(H268:H269)</f>
        <v>149.12</v>
      </c>
      <c r="I270" s="97"/>
      <c r="J270" s="98"/>
    </row>
    <row r="271" spans="1:16" ht="18" customHeight="1">
      <c r="A271" s="108"/>
      <c r="B271" s="164"/>
      <c r="C271" s="109"/>
      <c r="D271" s="363"/>
      <c r="E271" s="363"/>
      <c r="F271" s="110"/>
      <c r="G271" s="111"/>
      <c r="H271" s="234"/>
      <c r="I271" s="112"/>
      <c r="J271" s="235"/>
    </row>
    <row r="272" spans="1:16" ht="18" customHeight="1">
      <c r="A272" s="262" t="s">
        <v>234</v>
      </c>
      <c r="B272" s="263" t="s">
        <v>195</v>
      </c>
      <c r="C272" s="264">
        <v>22</v>
      </c>
      <c r="D272" s="265">
        <v>761</v>
      </c>
      <c r="E272" s="265">
        <v>1810</v>
      </c>
      <c r="F272" s="251">
        <f>O272</f>
        <v>20</v>
      </c>
      <c r="G272" s="266">
        <f t="shared" ref="G272:G278" si="205">D272*E272/91809*F272</f>
        <v>300.05990698079711</v>
      </c>
      <c r="H272" s="266">
        <f t="shared" ref="H272:H278" si="206">(D272/1000)*4*F272+(E272/1000)*4*F272</f>
        <v>205.68</v>
      </c>
      <c r="I272" s="267" t="s">
        <v>254</v>
      </c>
      <c r="J272" s="268" t="s">
        <v>205</v>
      </c>
      <c r="L272" s="89">
        <v>2</v>
      </c>
      <c r="M272" s="78">
        <v>10</v>
      </c>
      <c r="N272" s="84"/>
      <c r="O272" s="78">
        <f>L272*M272-N272*L272</f>
        <v>20</v>
      </c>
      <c r="P272" s="64"/>
    </row>
    <row r="273" spans="1:15" ht="18" customHeight="1">
      <c r="A273" s="85"/>
      <c r="B273" s="86"/>
      <c r="C273" s="87"/>
      <c r="D273" s="88">
        <v>1688</v>
      </c>
      <c r="E273" s="88">
        <v>1810</v>
      </c>
      <c r="F273" s="89">
        <f t="shared" ref="F273:F278" si="207">O273</f>
        <v>10</v>
      </c>
      <c r="G273" s="90">
        <f t="shared" si="205"/>
        <v>332.78654598133079</v>
      </c>
      <c r="H273" s="90">
        <f t="shared" si="206"/>
        <v>139.92000000000002</v>
      </c>
      <c r="I273" s="91" t="str">
        <f>I272</f>
        <v>3동5,6라인</v>
      </c>
      <c r="J273" s="92" t="s">
        <v>206</v>
      </c>
      <c r="L273" s="89">
        <v>1</v>
      </c>
      <c r="M273" s="78">
        <f>M272</f>
        <v>10</v>
      </c>
      <c r="N273" s="84"/>
      <c r="O273" s="78">
        <f t="shared" ref="O273:O278" si="208">L273*M273-N273*L273</f>
        <v>10</v>
      </c>
    </row>
    <row r="274" spans="1:15" ht="18" customHeight="1">
      <c r="A274" s="85"/>
      <c r="B274" s="86"/>
      <c r="C274" s="87"/>
      <c r="D274" s="88">
        <v>738</v>
      </c>
      <c r="E274" s="88">
        <v>1310</v>
      </c>
      <c r="F274" s="89">
        <f t="shared" si="207"/>
        <v>40</v>
      </c>
      <c r="G274" s="90">
        <f t="shared" si="205"/>
        <v>421.2136065091658</v>
      </c>
      <c r="H274" s="90">
        <f t="shared" si="206"/>
        <v>327.68</v>
      </c>
      <c r="I274" s="91" t="str">
        <f t="shared" ref="I274:I278" si="209">I273</f>
        <v>3동5,6라인</v>
      </c>
      <c r="J274" s="92" t="s">
        <v>207</v>
      </c>
      <c r="L274" s="89">
        <v>4</v>
      </c>
      <c r="M274" s="78">
        <f t="shared" ref="M274:M277" si="210">M273</f>
        <v>10</v>
      </c>
      <c r="N274" s="78"/>
      <c r="O274" s="78">
        <f t="shared" si="208"/>
        <v>40</v>
      </c>
    </row>
    <row r="275" spans="1:15" ht="18" customHeight="1">
      <c r="A275" s="85"/>
      <c r="B275" s="86"/>
      <c r="C275" s="87"/>
      <c r="D275" s="88">
        <v>288</v>
      </c>
      <c r="E275" s="88">
        <v>910</v>
      </c>
      <c r="F275" s="89">
        <f t="shared" si="207"/>
        <v>20</v>
      </c>
      <c r="G275" s="90">
        <f t="shared" si="205"/>
        <v>57.09244191745907</v>
      </c>
      <c r="H275" s="90">
        <f t="shared" si="206"/>
        <v>95.84</v>
      </c>
      <c r="I275" s="91" t="str">
        <f t="shared" si="209"/>
        <v>3동5,6라인</v>
      </c>
      <c r="J275" s="92" t="s">
        <v>208</v>
      </c>
      <c r="L275" s="89">
        <v>2</v>
      </c>
      <c r="M275" s="78">
        <f t="shared" si="210"/>
        <v>10</v>
      </c>
      <c r="N275" s="78"/>
      <c r="O275" s="78">
        <f t="shared" si="208"/>
        <v>20</v>
      </c>
    </row>
    <row r="276" spans="1:15" ht="18" customHeight="1">
      <c r="A276" s="85"/>
      <c r="B276" s="86"/>
      <c r="C276" s="87"/>
      <c r="D276" s="88">
        <v>228</v>
      </c>
      <c r="E276" s="88">
        <v>910</v>
      </c>
      <c r="F276" s="89">
        <f t="shared" si="207"/>
        <v>20</v>
      </c>
      <c r="G276" s="90">
        <f t="shared" si="205"/>
        <v>45.1981831846551</v>
      </c>
      <c r="H276" s="90">
        <f t="shared" si="206"/>
        <v>91.039999999999992</v>
      </c>
      <c r="I276" s="91" t="str">
        <f t="shared" si="209"/>
        <v>3동5,6라인</v>
      </c>
      <c r="J276" s="92" t="s">
        <v>209</v>
      </c>
      <c r="L276" s="89">
        <v>2</v>
      </c>
      <c r="M276" s="78">
        <f t="shared" si="210"/>
        <v>10</v>
      </c>
      <c r="N276" s="78"/>
      <c r="O276" s="78">
        <f t="shared" si="208"/>
        <v>20</v>
      </c>
    </row>
    <row r="277" spans="1:15" ht="18" customHeight="1">
      <c r="A277" s="85"/>
      <c r="B277" s="86"/>
      <c r="C277" s="87"/>
      <c r="D277" s="88">
        <v>438</v>
      </c>
      <c r="E277" s="88">
        <v>270</v>
      </c>
      <c r="F277" s="89">
        <f t="shared" si="207"/>
        <v>20</v>
      </c>
      <c r="G277" s="90">
        <f t="shared" si="205"/>
        <v>25.762180178413882</v>
      </c>
      <c r="H277" s="90">
        <f t="shared" si="206"/>
        <v>56.64</v>
      </c>
      <c r="I277" s="91" t="str">
        <f t="shared" si="209"/>
        <v>3동5,6라인</v>
      </c>
      <c r="J277" s="92" t="s">
        <v>210</v>
      </c>
      <c r="L277" s="89">
        <v>2</v>
      </c>
      <c r="M277" s="78">
        <f t="shared" si="210"/>
        <v>10</v>
      </c>
      <c r="N277" s="78"/>
      <c r="O277" s="78">
        <f t="shared" si="208"/>
        <v>20</v>
      </c>
    </row>
    <row r="278" spans="1:15" ht="18" customHeight="1">
      <c r="A278" s="85"/>
      <c r="B278" s="86"/>
      <c r="C278" s="87"/>
      <c r="D278" s="88">
        <v>208</v>
      </c>
      <c r="E278" s="88">
        <v>910</v>
      </c>
      <c r="F278" s="89">
        <f t="shared" si="207"/>
        <v>20</v>
      </c>
      <c r="G278" s="90">
        <f t="shared" si="205"/>
        <v>41.233430273720444</v>
      </c>
      <c r="H278" s="90">
        <f t="shared" si="206"/>
        <v>89.44</v>
      </c>
      <c r="I278" s="91" t="str">
        <f t="shared" si="209"/>
        <v>3동5,6라인</v>
      </c>
      <c r="J278" s="92" t="s">
        <v>211</v>
      </c>
      <c r="L278" s="89">
        <v>2</v>
      </c>
      <c r="M278" s="78">
        <f>M277</f>
        <v>10</v>
      </c>
      <c r="N278" s="78"/>
      <c r="O278" s="78">
        <f t="shared" si="208"/>
        <v>20</v>
      </c>
    </row>
    <row r="279" spans="1:15" ht="18" customHeight="1">
      <c r="A279" s="85"/>
      <c r="B279" s="93"/>
      <c r="C279" s="87"/>
      <c r="D279" s="325" t="s">
        <v>0</v>
      </c>
      <c r="E279" s="325"/>
      <c r="F279" s="94">
        <f>SUM(F272:F278)</f>
        <v>150</v>
      </c>
      <c r="G279" s="95">
        <f>SUM(G272:G278)</f>
        <v>1223.3462950255423</v>
      </c>
      <c r="H279" s="96">
        <f>SUM(H272:H278)</f>
        <v>1006.24</v>
      </c>
      <c r="I279" s="97"/>
      <c r="J279" s="162"/>
    </row>
    <row r="280" spans="1:15" ht="18" customHeight="1">
      <c r="A280" s="85"/>
      <c r="B280" s="93"/>
      <c r="C280" s="87"/>
      <c r="D280" s="161"/>
      <c r="E280" s="161"/>
      <c r="F280" s="89"/>
      <c r="G280" s="100"/>
      <c r="H280" s="101"/>
      <c r="I280" s="102"/>
      <c r="J280" s="121"/>
      <c r="L280" s="78" t="s">
        <v>48</v>
      </c>
      <c r="M280" s="78" t="s">
        <v>54</v>
      </c>
      <c r="N280" s="78" t="s">
        <v>50</v>
      </c>
      <c r="O280" s="78" t="s">
        <v>55</v>
      </c>
    </row>
    <row r="281" spans="1:15" ht="18" customHeight="1">
      <c r="A281" s="85"/>
      <c r="B281" s="23" t="s">
        <v>197</v>
      </c>
      <c r="C281" s="24">
        <v>22</v>
      </c>
      <c r="D281" s="88">
        <v>761</v>
      </c>
      <c r="E281" s="88">
        <v>1810</v>
      </c>
      <c r="F281" s="89">
        <f t="shared" ref="F281:F287" si="211">O281</f>
        <v>20</v>
      </c>
      <c r="G281" s="90">
        <f t="shared" ref="G281:G287" si="212">D281*E281/91809*F281</f>
        <v>300.05990698079711</v>
      </c>
      <c r="H281" s="90">
        <f t="shared" ref="H281:H287" si="213">(D281/1000)*4*F281+(E281/1000)*4*F281</f>
        <v>205.68</v>
      </c>
      <c r="I281" s="91" t="str">
        <f t="shared" ref="I281:I287" si="214">I272</f>
        <v>3동5,6라인</v>
      </c>
      <c r="J281" s="92" t="s">
        <v>212</v>
      </c>
      <c r="L281" s="89">
        <v>2</v>
      </c>
      <c r="M281" s="78">
        <f>M272</f>
        <v>10</v>
      </c>
      <c r="N281" s="84"/>
      <c r="O281" s="78">
        <f>L281*M281-N281*L281</f>
        <v>20</v>
      </c>
    </row>
    <row r="282" spans="1:15" ht="18" customHeight="1">
      <c r="A282" s="85"/>
      <c r="B282" s="86"/>
      <c r="C282" s="87"/>
      <c r="D282" s="88">
        <v>1688</v>
      </c>
      <c r="E282" s="88">
        <v>1810</v>
      </c>
      <c r="F282" s="89">
        <f t="shared" si="211"/>
        <v>10</v>
      </c>
      <c r="G282" s="90">
        <f t="shared" si="212"/>
        <v>332.78654598133079</v>
      </c>
      <c r="H282" s="90">
        <f t="shared" si="213"/>
        <v>139.92000000000002</v>
      </c>
      <c r="I282" s="91" t="str">
        <f t="shared" si="214"/>
        <v>3동5,6라인</v>
      </c>
      <c r="J282" s="92" t="s">
        <v>213</v>
      </c>
      <c r="L282" s="89">
        <v>1</v>
      </c>
      <c r="M282" s="78">
        <f>M281</f>
        <v>10</v>
      </c>
      <c r="N282" s="84"/>
      <c r="O282" s="78">
        <f>L282*M282-N282*L282</f>
        <v>10</v>
      </c>
    </row>
    <row r="283" spans="1:15" ht="18" customHeight="1">
      <c r="A283" s="104"/>
      <c r="B283" s="93"/>
      <c r="C283" s="87"/>
      <c r="D283" s="88">
        <v>738</v>
      </c>
      <c r="E283" s="88">
        <v>1310</v>
      </c>
      <c r="F283" s="89">
        <f t="shared" si="211"/>
        <v>40</v>
      </c>
      <c r="G283" s="90">
        <f t="shared" si="212"/>
        <v>421.2136065091658</v>
      </c>
      <c r="H283" s="90">
        <f t="shared" si="213"/>
        <v>327.68</v>
      </c>
      <c r="I283" s="91" t="str">
        <f t="shared" si="214"/>
        <v>3동5,6라인</v>
      </c>
      <c r="J283" s="92" t="s">
        <v>214</v>
      </c>
      <c r="L283" s="89">
        <v>4</v>
      </c>
      <c r="M283" s="78">
        <f t="shared" ref="M283:M287" si="215">M282</f>
        <v>10</v>
      </c>
      <c r="N283" s="84"/>
      <c r="O283" s="78">
        <f t="shared" ref="O283:O287" si="216">L283*M283-N283*L283</f>
        <v>40</v>
      </c>
    </row>
    <row r="284" spans="1:15" ht="18" customHeight="1">
      <c r="A284" s="104"/>
      <c r="B284" s="93"/>
      <c r="C284" s="87"/>
      <c r="D284" s="88">
        <v>288</v>
      </c>
      <c r="E284" s="88">
        <v>910</v>
      </c>
      <c r="F284" s="89">
        <f t="shared" si="211"/>
        <v>20</v>
      </c>
      <c r="G284" s="90">
        <f t="shared" si="212"/>
        <v>57.09244191745907</v>
      </c>
      <c r="H284" s="90">
        <f t="shared" si="213"/>
        <v>95.84</v>
      </c>
      <c r="I284" s="91" t="str">
        <f t="shared" si="214"/>
        <v>3동5,6라인</v>
      </c>
      <c r="J284" s="92" t="s">
        <v>215</v>
      </c>
      <c r="L284" s="89">
        <v>2</v>
      </c>
      <c r="M284" s="78">
        <f t="shared" si="215"/>
        <v>10</v>
      </c>
      <c r="N284" s="78"/>
      <c r="O284" s="78">
        <f t="shared" si="216"/>
        <v>20</v>
      </c>
    </row>
    <row r="285" spans="1:15" ht="18" customHeight="1">
      <c r="A285" s="104"/>
      <c r="B285" s="93"/>
      <c r="C285" s="87"/>
      <c r="D285" s="88">
        <v>228</v>
      </c>
      <c r="E285" s="88">
        <v>910</v>
      </c>
      <c r="F285" s="89">
        <f t="shared" si="211"/>
        <v>20</v>
      </c>
      <c r="G285" s="90">
        <f t="shared" si="212"/>
        <v>45.1981831846551</v>
      </c>
      <c r="H285" s="90">
        <f t="shared" si="213"/>
        <v>91.039999999999992</v>
      </c>
      <c r="I285" s="91" t="str">
        <f t="shared" si="214"/>
        <v>3동5,6라인</v>
      </c>
      <c r="J285" s="92" t="s">
        <v>216</v>
      </c>
      <c r="L285" s="89">
        <v>2</v>
      </c>
      <c r="M285" s="78">
        <f t="shared" si="215"/>
        <v>10</v>
      </c>
      <c r="N285" s="78"/>
      <c r="O285" s="78">
        <f t="shared" si="216"/>
        <v>20</v>
      </c>
    </row>
    <row r="286" spans="1:15" ht="18" customHeight="1">
      <c r="A286" s="104"/>
      <c r="B286" s="93"/>
      <c r="C286" s="87"/>
      <c r="D286" s="88">
        <v>438</v>
      </c>
      <c r="E286" s="88">
        <v>270</v>
      </c>
      <c r="F286" s="89">
        <f t="shared" si="211"/>
        <v>20</v>
      </c>
      <c r="G286" s="90">
        <f t="shared" si="212"/>
        <v>25.762180178413882</v>
      </c>
      <c r="H286" s="90">
        <f t="shared" si="213"/>
        <v>56.64</v>
      </c>
      <c r="I286" s="91" t="str">
        <f t="shared" si="214"/>
        <v>3동5,6라인</v>
      </c>
      <c r="J286" s="92" t="s">
        <v>217</v>
      </c>
      <c r="L286" s="89">
        <v>2</v>
      </c>
      <c r="M286" s="78">
        <f t="shared" si="215"/>
        <v>10</v>
      </c>
      <c r="N286" s="78"/>
      <c r="O286" s="78">
        <f t="shared" si="216"/>
        <v>20</v>
      </c>
    </row>
    <row r="287" spans="1:15" ht="18" customHeight="1">
      <c r="A287" s="104"/>
      <c r="B287" s="93"/>
      <c r="C287" s="87"/>
      <c r="D287" s="88">
        <v>208</v>
      </c>
      <c r="E287" s="88">
        <v>910</v>
      </c>
      <c r="F287" s="89">
        <f t="shared" si="211"/>
        <v>20</v>
      </c>
      <c r="G287" s="90">
        <f t="shared" si="212"/>
        <v>41.233430273720444</v>
      </c>
      <c r="H287" s="90">
        <f t="shared" si="213"/>
        <v>89.44</v>
      </c>
      <c r="I287" s="91" t="str">
        <f t="shared" si="214"/>
        <v>3동5,6라인</v>
      </c>
      <c r="J287" s="92" t="s">
        <v>218</v>
      </c>
      <c r="L287" s="89">
        <v>2</v>
      </c>
      <c r="M287" s="78">
        <f t="shared" si="215"/>
        <v>10</v>
      </c>
      <c r="N287" s="78"/>
      <c r="O287" s="78">
        <f t="shared" si="216"/>
        <v>20</v>
      </c>
    </row>
    <row r="288" spans="1:15" ht="18" customHeight="1">
      <c r="A288" s="104"/>
      <c r="B288" s="87"/>
      <c r="C288" s="87"/>
      <c r="D288" s="325" t="s">
        <v>0</v>
      </c>
      <c r="E288" s="325"/>
      <c r="F288" s="171">
        <f>SUM(F281:F287)</f>
        <v>150</v>
      </c>
      <c r="G288" s="95">
        <f>SUM(G281:G287)</f>
        <v>1223.3462950255423</v>
      </c>
      <c r="H288" s="95">
        <f>SUM(H281:H287)</f>
        <v>1006.24</v>
      </c>
      <c r="I288" s="97"/>
      <c r="J288" s="98"/>
    </row>
    <row r="289" spans="1:16">
      <c r="A289" s="105"/>
      <c r="B289" s="9"/>
      <c r="C289" s="9"/>
      <c r="D289" s="51"/>
      <c r="E289" s="51"/>
      <c r="F289" s="51"/>
      <c r="G289" s="106"/>
      <c r="H289" s="106"/>
      <c r="I289" s="9"/>
      <c r="J289" s="107"/>
    </row>
    <row r="290" spans="1:16" ht="18" customHeight="1">
      <c r="A290" s="85"/>
      <c r="B290" s="163" t="s">
        <v>199</v>
      </c>
      <c r="C290" s="163">
        <v>22</v>
      </c>
      <c r="D290" s="88">
        <v>738</v>
      </c>
      <c r="E290" s="88">
        <v>1810</v>
      </c>
      <c r="F290" s="89">
        <f t="shared" ref="F290:F291" si="217">O290</f>
        <v>20</v>
      </c>
      <c r="G290" s="90">
        <f t="shared" ref="G290:G291" si="218">D290*E290/91809*F290</f>
        <v>290.99107930595039</v>
      </c>
      <c r="H290" s="90">
        <f t="shared" ref="H290:H291" si="219">(D290/1000)*4*F290+(E290/1000)*4*F290</f>
        <v>203.84</v>
      </c>
      <c r="I290" s="91" t="str">
        <f>I281</f>
        <v>3동5,6라인</v>
      </c>
      <c r="J290" s="92" t="s">
        <v>219</v>
      </c>
      <c r="L290" s="89">
        <v>2</v>
      </c>
      <c r="M290" s="78">
        <f>M272</f>
        <v>10</v>
      </c>
      <c r="N290" s="84"/>
      <c r="O290" s="78">
        <f>L290*M290-N290*L290</f>
        <v>20</v>
      </c>
      <c r="P290" s="64"/>
    </row>
    <row r="291" spans="1:16" ht="18" customHeight="1">
      <c r="A291" s="85"/>
      <c r="B291" s="86"/>
      <c r="C291" s="87"/>
      <c r="D291" s="88">
        <v>250</v>
      </c>
      <c r="E291" s="88">
        <v>930</v>
      </c>
      <c r="F291" s="89">
        <f t="shared" si="217"/>
        <v>20</v>
      </c>
      <c r="G291" s="90">
        <f t="shared" si="218"/>
        <v>50.648629219357574</v>
      </c>
      <c r="H291" s="90">
        <f t="shared" si="219"/>
        <v>94.4</v>
      </c>
      <c r="I291" s="91" t="str">
        <f>I290</f>
        <v>3동5,6라인</v>
      </c>
      <c r="J291" s="92" t="s">
        <v>220</v>
      </c>
      <c r="L291" s="89">
        <v>2</v>
      </c>
      <c r="M291" s="78">
        <f>M290</f>
        <v>10</v>
      </c>
      <c r="N291" s="84"/>
      <c r="O291" s="78">
        <f t="shared" ref="O291" si="220">L291*M291-N291*L291</f>
        <v>20</v>
      </c>
    </row>
    <row r="292" spans="1:16" ht="18" customHeight="1">
      <c r="A292" s="85"/>
      <c r="B292" s="93"/>
      <c r="C292" s="87"/>
      <c r="D292" s="325" t="s">
        <v>0</v>
      </c>
      <c r="E292" s="325"/>
      <c r="F292" s="94">
        <f>SUM(F290:F291)</f>
        <v>40</v>
      </c>
      <c r="G292" s="95">
        <f>SUM(G290:G291)</f>
        <v>341.63970852530798</v>
      </c>
      <c r="H292" s="95">
        <f>SUM(H290:H291)</f>
        <v>298.24</v>
      </c>
      <c r="I292" s="97"/>
      <c r="J292" s="98"/>
    </row>
    <row r="293" spans="1:16" ht="18" customHeight="1">
      <c r="A293" s="114"/>
      <c r="B293" s="169"/>
      <c r="C293" s="115"/>
      <c r="D293" s="170"/>
      <c r="E293" s="170"/>
      <c r="F293" s="116"/>
      <c r="G293" s="117"/>
      <c r="H293" s="117"/>
      <c r="I293" s="118"/>
      <c r="J293" s="119"/>
    </row>
    <row r="294" spans="1:16" ht="18" customHeight="1">
      <c r="A294" s="262" t="s">
        <v>234</v>
      </c>
      <c r="B294" s="263" t="s">
        <v>195</v>
      </c>
      <c r="C294" s="264">
        <v>22</v>
      </c>
      <c r="D294" s="265">
        <v>761</v>
      </c>
      <c r="E294" s="265">
        <v>1810</v>
      </c>
      <c r="F294" s="251">
        <f>O294</f>
        <v>20</v>
      </c>
      <c r="G294" s="266">
        <f t="shared" ref="G294:G300" si="221">D294*E294/91809*F294</f>
        <v>300.05990698079711</v>
      </c>
      <c r="H294" s="266">
        <f t="shared" ref="H294:H300" si="222">(D294/1000)*4*F294+(E294/1000)*4*F294</f>
        <v>205.68</v>
      </c>
      <c r="I294" s="267" t="s">
        <v>255</v>
      </c>
      <c r="J294" s="268" t="s">
        <v>205</v>
      </c>
      <c r="L294" s="89">
        <v>2</v>
      </c>
      <c r="M294" s="78">
        <v>10</v>
      </c>
      <c r="N294" s="84"/>
      <c r="O294" s="78">
        <f>L294*M294-N294*L294</f>
        <v>20</v>
      </c>
      <c r="P294" s="64"/>
    </row>
    <row r="295" spans="1:16" ht="18" customHeight="1">
      <c r="A295" s="85"/>
      <c r="B295" s="86"/>
      <c r="C295" s="87"/>
      <c r="D295" s="88">
        <v>1688</v>
      </c>
      <c r="E295" s="88">
        <v>1810</v>
      </c>
      <c r="F295" s="89">
        <f t="shared" ref="F295:F300" si="223">O295</f>
        <v>10</v>
      </c>
      <c r="G295" s="90">
        <f t="shared" si="221"/>
        <v>332.78654598133079</v>
      </c>
      <c r="H295" s="90">
        <f t="shared" si="222"/>
        <v>139.92000000000002</v>
      </c>
      <c r="I295" s="91" t="str">
        <f>I294</f>
        <v>9동1,2라인</v>
      </c>
      <c r="J295" s="92" t="s">
        <v>206</v>
      </c>
      <c r="L295" s="89">
        <v>1</v>
      </c>
      <c r="M295" s="78">
        <f>M294</f>
        <v>10</v>
      </c>
      <c r="N295" s="84"/>
      <c r="O295" s="78">
        <f t="shared" ref="O295:O300" si="224">L295*M295-N295*L295</f>
        <v>10</v>
      </c>
    </row>
    <row r="296" spans="1:16" ht="18" customHeight="1">
      <c r="A296" s="85"/>
      <c r="B296" s="86"/>
      <c r="C296" s="87"/>
      <c r="D296" s="88">
        <v>738</v>
      </c>
      <c r="E296" s="88">
        <v>1310</v>
      </c>
      <c r="F296" s="89">
        <f t="shared" si="223"/>
        <v>40</v>
      </c>
      <c r="G296" s="90">
        <f t="shared" si="221"/>
        <v>421.2136065091658</v>
      </c>
      <c r="H296" s="90">
        <f t="shared" si="222"/>
        <v>327.68</v>
      </c>
      <c r="I296" s="91" t="str">
        <f t="shared" ref="I296:I300" si="225">I295</f>
        <v>9동1,2라인</v>
      </c>
      <c r="J296" s="92" t="s">
        <v>207</v>
      </c>
      <c r="L296" s="89">
        <v>4</v>
      </c>
      <c r="M296" s="78">
        <f t="shared" ref="M296:M299" si="226">M295</f>
        <v>10</v>
      </c>
      <c r="N296" s="78"/>
      <c r="O296" s="78">
        <f t="shared" si="224"/>
        <v>40</v>
      </c>
    </row>
    <row r="297" spans="1:16" ht="18" customHeight="1">
      <c r="A297" s="85"/>
      <c r="B297" s="86"/>
      <c r="C297" s="87"/>
      <c r="D297" s="88">
        <v>288</v>
      </c>
      <c r="E297" s="88">
        <v>910</v>
      </c>
      <c r="F297" s="89">
        <f t="shared" si="223"/>
        <v>20</v>
      </c>
      <c r="G297" s="90">
        <f t="shared" si="221"/>
        <v>57.09244191745907</v>
      </c>
      <c r="H297" s="90">
        <f t="shared" si="222"/>
        <v>95.84</v>
      </c>
      <c r="I297" s="91" t="str">
        <f t="shared" si="225"/>
        <v>9동1,2라인</v>
      </c>
      <c r="J297" s="92" t="s">
        <v>208</v>
      </c>
      <c r="L297" s="89">
        <v>2</v>
      </c>
      <c r="M297" s="78">
        <f t="shared" si="226"/>
        <v>10</v>
      </c>
      <c r="N297" s="78"/>
      <c r="O297" s="78">
        <f t="shared" si="224"/>
        <v>20</v>
      </c>
    </row>
    <row r="298" spans="1:16" ht="18" customHeight="1">
      <c r="A298" s="85"/>
      <c r="B298" s="86"/>
      <c r="C298" s="87"/>
      <c r="D298" s="88">
        <v>228</v>
      </c>
      <c r="E298" s="88">
        <v>910</v>
      </c>
      <c r="F298" s="89">
        <f t="shared" si="223"/>
        <v>20</v>
      </c>
      <c r="G298" s="90">
        <f t="shared" si="221"/>
        <v>45.1981831846551</v>
      </c>
      <c r="H298" s="90">
        <f t="shared" si="222"/>
        <v>91.039999999999992</v>
      </c>
      <c r="I298" s="91" t="str">
        <f t="shared" si="225"/>
        <v>9동1,2라인</v>
      </c>
      <c r="J298" s="92" t="s">
        <v>209</v>
      </c>
      <c r="L298" s="89">
        <v>2</v>
      </c>
      <c r="M298" s="78">
        <f t="shared" si="226"/>
        <v>10</v>
      </c>
      <c r="N298" s="78"/>
      <c r="O298" s="78">
        <f t="shared" si="224"/>
        <v>20</v>
      </c>
    </row>
    <row r="299" spans="1:16" ht="18" customHeight="1">
      <c r="A299" s="85"/>
      <c r="B299" s="86"/>
      <c r="C299" s="87"/>
      <c r="D299" s="88">
        <v>438</v>
      </c>
      <c r="E299" s="88">
        <v>270</v>
      </c>
      <c r="F299" s="89">
        <f t="shared" si="223"/>
        <v>20</v>
      </c>
      <c r="G299" s="90">
        <f t="shared" si="221"/>
        <v>25.762180178413882</v>
      </c>
      <c r="H299" s="90">
        <f t="shared" si="222"/>
        <v>56.64</v>
      </c>
      <c r="I299" s="91" t="str">
        <f t="shared" si="225"/>
        <v>9동1,2라인</v>
      </c>
      <c r="J299" s="92" t="s">
        <v>210</v>
      </c>
      <c r="L299" s="89">
        <v>2</v>
      </c>
      <c r="M299" s="78">
        <f t="shared" si="226"/>
        <v>10</v>
      </c>
      <c r="N299" s="78"/>
      <c r="O299" s="78">
        <f t="shared" si="224"/>
        <v>20</v>
      </c>
    </row>
    <row r="300" spans="1:16" ht="18" customHeight="1">
      <c r="A300" s="85"/>
      <c r="B300" s="86"/>
      <c r="C300" s="87"/>
      <c r="D300" s="88">
        <v>208</v>
      </c>
      <c r="E300" s="88">
        <v>910</v>
      </c>
      <c r="F300" s="89">
        <f t="shared" si="223"/>
        <v>20</v>
      </c>
      <c r="G300" s="90">
        <f t="shared" si="221"/>
        <v>41.233430273720444</v>
      </c>
      <c r="H300" s="90">
        <f t="shared" si="222"/>
        <v>89.44</v>
      </c>
      <c r="I300" s="91" t="str">
        <f t="shared" si="225"/>
        <v>9동1,2라인</v>
      </c>
      <c r="J300" s="92" t="s">
        <v>211</v>
      </c>
      <c r="L300" s="89">
        <v>2</v>
      </c>
      <c r="M300" s="78">
        <f>M299</f>
        <v>10</v>
      </c>
      <c r="N300" s="78"/>
      <c r="O300" s="78">
        <f t="shared" si="224"/>
        <v>20</v>
      </c>
    </row>
    <row r="301" spans="1:16" ht="18" customHeight="1">
      <c r="A301" s="85"/>
      <c r="B301" s="93"/>
      <c r="C301" s="87"/>
      <c r="D301" s="325" t="s">
        <v>0</v>
      </c>
      <c r="E301" s="325"/>
      <c r="F301" s="94">
        <f>SUM(F294:F300)</f>
        <v>150</v>
      </c>
      <c r="G301" s="95">
        <f>SUM(G294:G300)</f>
        <v>1223.3462950255423</v>
      </c>
      <c r="H301" s="96">
        <f>SUM(H294:H300)</f>
        <v>1006.24</v>
      </c>
      <c r="I301" s="97"/>
      <c r="J301" s="162"/>
    </row>
    <row r="302" spans="1:16" ht="18" customHeight="1">
      <c r="A302" s="85"/>
      <c r="B302" s="93"/>
      <c r="C302" s="87"/>
      <c r="D302" s="161"/>
      <c r="E302" s="161"/>
      <c r="F302" s="89"/>
      <c r="G302" s="100"/>
      <c r="H302" s="101"/>
      <c r="I302" s="102"/>
      <c r="J302" s="121"/>
      <c r="L302" s="78" t="s">
        <v>48</v>
      </c>
      <c r="M302" s="78" t="s">
        <v>54</v>
      </c>
      <c r="N302" s="78" t="s">
        <v>50</v>
      </c>
      <c r="O302" s="78" t="s">
        <v>55</v>
      </c>
    </row>
    <row r="303" spans="1:16" ht="18" customHeight="1">
      <c r="A303" s="85"/>
      <c r="B303" s="23" t="s">
        <v>197</v>
      </c>
      <c r="C303" s="24">
        <v>22</v>
      </c>
      <c r="D303" s="88">
        <v>761</v>
      </c>
      <c r="E303" s="88">
        <v>1810</v>
      </c>
      <c r="F303" s="89">
        <f t="shared" ref="F303:F309" si="227">O303</f>
        <v>20</v>
      </c>
      <c r="G303" s="90">
        <f t="shared" ref="G303:G309" si="228">D303*E303/91809*F303</f>
        <v>300.05990698079711</v>
      </c>
      <c r="H303" s="90">
        <f t="shared" ref="H303:H309" si="229">(D303/1000)*4*F303+(E303/1000)*4*F303</f>
        <v>205.68</v>
      </c>
      <c r="I303" s="91" t="str">
        <f t="shared" ref="I303:I309" si="230">I294</f>
        <v>9동1,2라인</v>
      </c>
      <c r="J303" s="92" t="s">
        <v>212</v>
      </c>
      <c r="L303" s="89">
        <v>2</v>
      </c>
      <c r="M303" s="78">
        <f>M294</f>
        <v>10</v>
      </c>
      <c r="N303" s="84"/>
      <c r="O303" s="78">
        <f>L303*M303-N303*L303</f>
        <v>20</v>
      </c>
    </row>
    <row r="304" spans="1:16" ht="18" customHeight="1">
      <c r="A304" s="85"/>
      <c r="B304" s="86"/>
      <c r="C304" s="87"/>
      <c r="D304" s="88">
        <v>1688</v>
      </c>
      <c r="E304" s="88">
        <v>1810</v>
      </c>
      <c r="F304" s="89">
        <f t="shared" si="227"/>
        <v>10</v>
      </c>
      <c r="G304" s="90">
        <f t="shared" si="228"/>
        <v>332.78654598133079</v>
      </c>
      <c r="H304" s="90">
        <f t="shared" si="229"/>
        <v>139.92000000000002</v>
      </c>
      <c r="I304" s="91" t="str">
        <f t="shared" si="230"/>
        <v>9동1,2라인</v>
      </c>
      <c r="J304" s="92" t="s">
        <v>213</v>
      </c>
      <c r="L304" s="89">
        <v>1</v>
      </c>
      <c r="M304" s="78">
        <f>M303</f>
        <v>10</v>
      </c>
      <c r="N304" s="84"/>
      <c r="O304" s="78">
        <f>L304*M304-N304*L304</f>
        <v>10</v>
      </c>
    </row>
    <row r="305" spans="1:16" ht="18" customHeight="1">
      <c r="A305" s="104"/>
      <c r="B305" s="93"/>
      <c r="C305" s="87"/>
      <c r="D305" s="88">
        <v>738</v>
      </c>
      <c r="E305" s="88">
        <v>1310</v>
      </c>
      <c r="F305" s="89">
        <f t="shared" si="227"/>
        <v>40</v>
      </c>
      <c r="G305" s="90">
        <f t="shared" si="228"/>
        <v>421.2136065091658</v>
      </c>
      <c r="H305" s="90">
        <f t="shared" si="229"/>
        <v>327.68</v>
      </c>
      <c r="I305" s="91" t="str">
        <f t="shared" si="230"/>
        <v>9동1,2라인</v>
      </c>
      <c r="J305" s="92" t="s">
        <v>214</v>
      </c>
      <c r="L305" s="89">
        <v>4</v>
      </c>
      <c r="M305" s="78">
        <f t="shared" ref="M305:M309" si="231">M304</f>
        <v>10</v>
      </c>
      <c r="N305" s="84"/>
      <c r="O305" s="78">
        <f t="shared" ref="O305:O309" si="232">L305*M305-N305*L305</f>
        <v>40</v>
      </c>
    </row>
    <row r="306" spans="1:16" ht="18" customHeight="1">
      <c r="A306" s="104"/>
      <c r="B306" s="93"/>
      <c r="C306" s="87"/>
      <c r="D306" s="88">
        <v>288</v>
      </c>
      <c r="E306" s="88">
        <v>910</v>
      </c>
      <c r="F306" s="89">
        <f t="shared" si="227"/>
        <v>20</v>
      </c>
      <c r="G306" s="90">
        <f t="shared" si="228"/>
        <v>57.09244191745907</v>
      </c>
      <c r="H306" s="90">
        <f t="shared" si="229"/>
        <v>95.84</v>
      </c>
      <c r="I306" s="91" t="str">
        <f t="shared" si="230"/>
        <v>9동1,2라인</v>
      </c>
      <c r="J306" s="92" t="s">
        <v>215</v>
      </c>
      <c r="L306" s="89">
        <v>2</v>
      </c>
      <c r="M306" s="78">
        <f t="shared" si="231"/>
        <v>10</v>
      </c>
      <c r="N306" s="78"/>
      <c r="O306" s="78">
        <f t="shared" si="232"/>
        <v>20</v>
      </c>
    </row>
    <row r="307" spans="1:16" ht="18" customHeight="1">
      <c r="A307" s="104"/>
      <c r="B307" s="93"/>
      <c r="C307" s="87"/>
      <c r="D307" s="88">
        <v>228</v>
      </c>
      <c r="E307" s="88">
        <v>910</v>
      </c>
      <c r="F307" s="89">
        <f t="shared" si="227"/>
        <v>20</v>
      </c>
      <c r="G307" s="90">
        <f t="shared" si="228"/>
        <v>45.1981831846551</v>
      </c>
      <c r="H307" s="90">
        <f t="shared" si="229"/>
        <v>91.039999999999992</v>
      </c>
      <c r="I307" s="91" t="str">
        <f t="shared" si="230"/>
        <v>9동1,2라인</v>
      </c>
      <c r="J307" s="92" t="s">
        <v>216</v>
      </c>
      <c r="L307" s="89">
        <v>2</v>
      </c>
      <c r="M307" s="78">
        <f t="shared" si="231"/>
        <v>10</v>
      </c>
      <c r="N307" s="78"/>
      <c r="O307" s="78">
        <f t="shared" si="232"/>
        <v>20</v>
      </c>
    </row>
    <row r="308" spans="1:16" ht="18" customHeight="1">
      <c r="A308" s="104"/>
      <c r="B308" s="93"/>
      <c r="C308" s="87"/>
      <c r="D308" s="88">
        <v>438</v>
      </c>
      <c r="E308" s="88">
        <v>270</v>
      </c>
      <c r="F308" s="89">
        <f t="shared" si="227"/>
        <v>20</v>
      </c>
      <c r="G308" s="90">
        <f t="shared" si="228"/>
        <v>25.762180178413882</v>
      </c>
      <c r="H308" s="90">
        <f t="shared" si="229"/>
        <v>56.64</v>
      </c>
      <c r="I308" s="91" t="str">
        <f t="shared" si="230"/>
        <v>9동1,2라인</v>
      </c>
      <c r="J308" s="92" t="s">
        <v>217</v>
      </c>
      <c r="L308" s="89">
        <v>2</v>
      </c>
      <c r="M308" s="78">
        <f t="shared" si="231"/>
        <v>10</v>
      </c>
      <c r="N308" s="78"/>
      <c r="O308" s="78">
        <f t="shared" si="232"/>
        <v>20</v>
      </c>
    </row>
    <row r="309" spans="1:16" ht="18" customHeight="1">
      <c r="A309" s="104"/>
      <c r="B309" s="93"/>
      <c r="C309" s="87"/>
      <c r="D309" s="88">
        <v>208</v>
      </c>
      <c r="E309" s="88">
        <v>910</v>
      </c>
      <c r="F309" s="89">
        <f t="shared" si="227"/>
        <v>20</v>
      </c>
      <c r="G309" s="90">
        <f t="shared" si="228"/>
        <v>41.233430273720444</v>
      </c>
      <c r="H309" s="90">
        <f t="shared" si="229"/>
        <v>89.44</v>
      </c>
      <c r="I309" s="91" t="str">
        <f t="shared" si="230"/>
        <v>9동1,2라인</v>
      </c>
      <c r="J309" s="92" t="s">
        <v>218</v>
      </c>
      <c r="L309" s="89">
        <v>2</v>
      </c>
      <c r="M309" s="78">
        <f t="shared" si="231"/>
        <v>10</v>
      </c>
      <c r="N309" s="78"/>
      <c r="O309" s="78">
        <f t="shared" si="232"/>
        <v>20</v>
      </c>
    </row>
    <row r="310" spans="1:16" ht="18" customHeight="1">
      <c r="A310" s="104"/>
      <c r="B310" s="87"/>
      <c r="C310" s="87"/>
      <c r="D310" s="325" t="s">
        <v>0</v>
      </c>
      <c r="E310" s="325"/>
      <c r="F310" s="171">
        <f>SUM(F303:F309)</f>
        <v>150</v>
      </c>
      <c r="G310" s="95">
        <f>SUM(G303:G309)</f>
        <v>1223.3462950255423</v>
      </c>
      <c r="H310" s="95">
        <f>SUM(H303:H309)</f>
        <v>1006.24</v>
      </c>
      <c r="I310" s="97"/>
      <c r="J310" s="98"/>
    </row>
    <row r="311" spans="1:16">
      <c r="A311" s="105"/>
      <c r="B311" s="9"/>
      <c r="C311" s="9"/>
      <c r="D311" s="51"/>
      <c r="E311" s="51"/>
      <c r="F311" s="51"/>
      <c r="G311" s="106"/>
      <c r="H311" s="106"/>
      <c r="I311" s="9"/>
      <c r="J311" s="107"/>
    </row>
    <row r="312" spans="1:16" ht="18" customHeight="1">
      <c r="A312" s="85"/>
      <c r="B312" s="163" t="s">
        <v>199</v>
      </c>
      <c r="C312" s="163">
        <v>22</v>
      </c>
      <c r="D312" s="88">
        <v>738</v>
      </c>
      <c r="E312" s="88">
        <v>1810</v>
      </c>
      <c r="F312" s="89">
        <f t="shared" ref="F312:F313" si="233">O312</f>
        <v>10</v>
      </c>
      <c r="G312" s="90">
        <f t="shared" ref="G312:G313" si="234">D312*E312/91809*F312</f>
        <v>145.4955396529752</v>
      </c>
      <c r="H312" s="90">
        <f t="shared" ref="H312:H313" si="235">(D312/1000)*4*F312+(E312/1000)*4*F312</f>
        <v>101.92</v>
      </c>
      <c r="I312" s="91" t="str">
        <f>I303</f>
        <v>9동1,2라인</v>
      </c>
      <c r="J312" s="92" t="s">
        <v>219</v>
      </c>
      <c r="L312" s="89">
        <v>2</v>
      </c>
      <c r="M312" s="78">
        <f>M294</f>
        <v>10</v>
      </c>
      <c r="N312" s="84">
        <v>5</v>
      </c>
      <c r="O312" s="78">
        <f>L312*M312-N312*L312</f>
        <v>10</v>
      </c>
      <c r="P312" s="64" t="s">
        <v>244</v>
      </c>
    </row>
    <row r="313" spans="1:16" ht="18" customHeight="1">
      <c r="A313" s="85"/>
      <c r="B313" s="86"/>
      <c r="C313" s="87"/>
      <c r="D313" s="88">
        <v>250</v>
      </c>
      <c r="E313" s="88">
        <v>930</v>
      </c>
      <c r="F313" s="89">
        <f t="shared" si="233"/>
        <v>20</v>
      </c>
      <c r="G313" s="90">
        <f t="shared" si="234"/>
        <v>50.648629219357574</v>
      </c>
      <c r="H313" s="90">
        <f t="shared" si="235"/>
        <v>94.4</v>
      </c>
      <c r="I313" s="91" t="str">
        <f>I312</f>
        <v>9동1,2라인</v>
      </c>
      <c r="J313" s="92" t="s">
        <v>220</v>
      </c>
      <c r="L313" s="89">
        <v>2</v>
      </c>
      <c r="M313" s="78">
        <f>M312</f>
        <v>10</v>
      </c>
      <c r="N313" s="84"/>
      <c r="O313" s="78">
        <f t="shared" ref="O313" si="236">L313*M313-N313*L313</f>
        <v>20</v>
      </c>
    </row>
    <row r="314" spans="1:16" ht="18" customHeight="1">
      <c r="A314" s="85"/>
      <c r="B314" s="93"/>
      <c r="C314" s="87"/>
      <c r="D314" s="325" t="s">
        <v>0</v>
      </c>
      <c r="E314" s="325"/>
      <c r="F314" s="94">
        <f>SUM(F312:F313)</f>
        <v>30</v>
      </c>
      <c r="G314" s="95">
        <f>SUM(G312:G313)</f>
        <v>196.14416887233278</v>
      </c>
      <c r="H314" s="95">
        <f>SUM(H312:H313)</f>
        <v>196.32</v>
      </c>
      <c r="I314" s="97"/>
      <c r="J314" s="98"/>
    </row>
    <row r="315" spans="1:16" ht="18" customHeight="1">
      <c r="A315" s="108"/>
      <c r="B315" s="164"/>
      <c r="C315" s="109"/>
      <c r="D315" s="287"/>
      <c r="E315" s="287"/>
      <c r="F315" s="110"/>
      <c r="G315" s="111"/>
      <c r="H315" s="111"/>
      <c r="I315" s="112"/>
      <c r="J315" s="113"/>
    </row>
    <row r="316" spans="1:16" ht="18" customHeight="1">
      <c r="A316" s="85" t="s">
        <v>235</v>
      </c>
      <c r="B316" s="23" t="s">
        <v>196</v>
      </c>
      <c r="C316" s="24">
        <v>22</v>
      </c>
      <c r="D316" s="88">
        <v>861</v>
      </c>
      <c r="E316" s="88">
        <v>1810</v>
      </c>
      <c r="F316" s="89">
        <f t="shared" ref="F316:F319" si="237">O316</f>
        <v>5</v>
      </c>
      <c r="G316" s="90">
        <f t="shared" ref="G316:G319" si="238">D316*E316/91809*F316</f>
        <v>84.872398130902198</v>
      </c>
      <c r="H316" s="90">
        <f t="shared" ref="H316:H319" si="239">(D316/1000)*4*F316+(E316/1000)*4*F316</f>
        <v>53.42</v>
      </c>
      <c r="I316" s="91" t="s">
        <v>256</v>
      </c>
      <c r="J316" s="92" t="s">
        <v>205</v>
      </c>
      <c r="L316" s="89">
        <v>1</v>
      </c>
      <c r="M316" s="78">
        <v>5</v>
      </c>
      <c r="N316" s="84"/>
      <c r="O316" s="78">
        <f>L316*M316-N316*L316</f>
        <v>5</v>
      </c>
      <c r="P316" s="64"/>
    </row>
    <row r="317" spans="1:16" ht="18" customHeight="1">
      <c r="A317" s="85"/>
      <c r="B317" s="86"/>
      <c r="C317" s="87"/>
      <c r="D317" s="88">
        <v>738</v>
      </c>
      <c r="E317" s="88">
        <v>1310</v>
      </c>
      <c r="F317" s="89">
        <f t="shared" si="237"/>
        <v>20</v>
      </c>
      <c r="G317" s="90">
        <f t="shared" si="238"/>
        <v>210.6068032545829</v>
      </c>
      <c r="H317" s="90">
        <f t="shared" si="239"/>
        <v>163.84</v>
      </c>
      <c r="I317" s="91" t="str">
        <f>I316</f>
        <v>9동3라인</v>
      </c>
      <c r="J317" s="92" t="s">
        <v>207</v>
      </c>
      <c r="L317" s="89">
        <v>4</v>
      </c>
      <c r="M317" s="78">
        <f>M316</f>
        <v>5</v>
      </c>
      <c r="N317" s="84"/>
      <c r="O317" s="78">
        <f t="shared" ref="O317:O319" si="240">L317*M317-N317*L317</f>
        <v>20</v>
      </c>
    </row>
    <row r="318" spans="1:16" ht="18" customHeight="1">
      <c r="A318" s="85"/>
      <c r="B318" s="86"/>
      <c r="C318" s="87"/>
      <c r="D318" s="88">
        <v>228</v>
      </c>
      <c r="E318" s="88">
        <v>910</v>
      </c>
      <c r="F318" s="89">
        <f t="shared" si="237"/>
        <v>10</v>
      </c>
      <c r="G318" s="90">
        <f t="shared" si="238"/>
        <v>22.59909159232755</v>
      </c>
      <c r="H318" s="90">
        <f t="shared" si="239"/>
        <v>45.519999999999996</v>
      </c>
      <c r="I318" s="91" t="str">
        <f t="shared" ref="I318:I319" si="241">I317</f>
        <v>9동3라인</v>
      </c>
      <c r="J318" s="92" t="s">
        <v>209</v>
      </c>
      <c r="L318" s="89">
        <v>2</v>
      </c>
      <c r="M318" s="78">
        <f t="shared" ref="M318:M319" si="242">M317</f>
        <v>5</v>
      </c>
      <c r="N318" s="78"/>
      <c r="O318" s="78">
        <f t="shared" si="240"/>
        <v>10</v>
      </c>
    </row>
    <row r="319" spans="1:16" ht="18" customHeight="1">
      <c r="A319" s="85"/>
      <c r="B319" s="86"/>
      <c r="C319" s="87"/>
      <c r="D319" s="88">
        <v>438</v>
      </c>
      <c r="E319" s="88">
        <v>270</v>
      </c>
      <c r="F319" s="89">
        <f t="shared" si="237"/>
        <v>10</v>
      </c>
      <c r="G319" s="90">
        <f t="shared" si="238"/>
        <v>12.881090089206941</v>
      </c>
      <c r="H319" s="90">
        <f t="shared" si="239"/>
        <v>28.32</v>
      </c>
      <c r="I319" s="91" t="str">
        <f t="shared" si="241"/>
        <v>9동3라인</v>
      </c>
      <c r="J319" s="92" t="s">
        <v>210</v>
      </c>
      <c r="L319" s="89">
        <v>2</v>
      </c>
      <c r="M319" s="78">
        <f t="shared" si="242"/>
        <v>5</v>
      </c>
      <c r="N319" s="78"/>
      <c r="O319" s="78">
        <f t="shared" si="240"/>
        <v>10</v>
      </c>
    </row>
    <row r="320" spans="1:16" ht="18" customHeight="1">
      <c r="A320" s="85"/>
      <c r="B320" s="93"/>
      <c r="C320" s="87"/>
      <c r="D320" s="325" t="s">
        <v>0</v>
      </c>
      <c r="E320" s="325"/>
      <c r="F320" s="94">
        <f>SUM(F316:F319)</f>
        <v>45</v>
      </c>
      <c r="G320" s="95">
        <f>SUM(G316:G319)</f>
        <v>330.95938306701964</v>
      </c>
      <c r="H320" s="96">
        <f>SUM(H316:H319)</f>
        <v>291.09999999999997</v>
      </c>
      <c r="I320" s="97"/>
      <c r="J320" s="162"/>
    </row>
    <row r="321" spans="1:16" ht="18" customHeight="1">
      <c r="A321" s="85"/>
      <c r="B321" s="93"/>
      <c r="C321" s="87"/>
      <c r="D321" s="161"/>
      <c r="E321" s="161"/>
      <c r="F321" s="89"/>
      <c r="G321" s="100"/>
      <c r="H321" s="101"/>
      <c r="I321" s="102"/>
      <c r="J321" s="121"/>
      <c r="L321" s="252"/>
      <c r="M321" s="252"/>
      <c r="N321" s="252"/>
      <c r="O321" s="252"/>
    </row>
    <row r="322" spans="1:16" ht="18" customHeight="1">
      <c r="A322" s="85"/>
      <c r="B322" s="23" t="s">
        <v>198</v>
      </c>
      <c r="C322" s="24">
        <v>22</v>
      </c>
      <c r="D322" s="88">
        <v>861</v>
      </c>
      <c r="E322" s="88">
        <v>1810</v>
      </c>
      <c r="F322" s="89">
        <f t="shared" ref="F322:F326" si="243">O322</f>
        <v>5</v>
      </c>
      <c r="G322" s="90">
        <f t="shared" ref="G322:G326" si="244">D322*E322/91809*F322</f>
        <v>84.872398130902198</v>
      </c>
      <c r="H322" s="90">
        <f t="shared" ref="H322:H326" si="245">(D322/1000)*4*F322+(E322/1000)*4*F322</f>
        <v>53.42</v>
      </c>
      <c r="I322" s="103" t="str">
        <f>I316</f>
        <v>9동3라인</v>
      </c>
      <c r="J322" s="92" t="s">
        <v>212</v>
      </c>
      <c r="L322" s="89">
        <v>1</v>
      </c>
      <c r="M322" s="78">
        <f>M316</f>
        <v>5</v>
      </c>
      <c r="N322" s="84"/>
      <c r="O322" s="78">
        <f>L322*M322-N322*L322</f>
        <v>5</v>
      </c>
    </row>
    <row r="323" spans="1:16" ht="18" customHeight="1">
      <c r="A323" s="85"/>
      <c r="B323" s="86"/>
      <c r="C323" s="87"/>
      <c r="D323" s="88">
        <v>2114</v>
      </c>
      <c r="E323" s="88">
        <v>1810</v>
      </c>
      <c r="F323" s="89">
        <f t="shared" si="243"/>
        <v>5</v>
      </c>
      <c r="G323" s="90">
        <f t="shared" si="244"/>
        <v>208.38588809375989</v>
      </c>
      <c r="H323" s="90">
        <f t="shared" si="245"/>
        <v>78.48</v>
      </c>
      <c r="I323" s="91" t="str">
        <f>I316</f>
        <v>9동3라인</v>
      </c>
      <c r="J323" s="92" t="s">
        <v>213</v>
      </c>
      <c r="L323" s="89">
        <v>1</v>
      </c>
      <c r="M323" s="78">
        <f>M322</f>
        <v>5</v>
      </c>
      <c r="N323" s="84"/>
      <c r="O323" s="78">
        <f>L323*M323-N323*L323</f>
        <v>5</v>
      </c>
    </row>
    <row r="324" spans="1:16" ht="18" customHeight="1">
      <c r="A324" s="104"/>
      <c r="B324" s="93"/>
      <c r="C324" s="87"/>
      <c r="D324" s="88">
        <v>738</v>
      </c>
      <c r="E324" s="88">
        <v>1310</v>
      </c>
      <c r="F324" s="89">
        <f t="shared" si="243"/>
        <v>20</v>
      </c>
      <c r="G324" s="90">
        <f t="shared" si="244"/>
        <v>210.6068032545829</v>
      </c>
      <c r="H324" s="90">
        <f t="shared" si="245"/>
        <v>163.84</v>
      </c>
      <c r="I324" s="91" t="str">
        <f>I323</f>
        <v>9동3라인</v>
      </c>
      <c r="J324" s="92" t="s">
        <v>214</v>
      </c>
      <c r="L324" s="89">
        <v>4</v>
      </c>
      <c r="M324" s="78">
        <f t="shared" ref="M324:M326" si="246">M323</f>
        <v>5</v>
      </c>
      <c r="N324" s="84"/>
      <c r="O324" s="78">
        <f t="shared" ref="O324:O326" si="247">L324*M324-N324*L324</f>
        <v>20</v>
      </c>
    </row>
    <row r="325" spans="1:16" ht="18" customHeight="1">
      <c r="A325" s="104"/>
      <c r="B325" s="93"/>
      <c r="C325" s="87"/>
      <c r="D325" s="88">
        <v>228</v>
      </c>
      <c r="E325" s="88">
        <v>910</v>
      </c>
      <c r="F325" s="89">
        <f t="shared" si="243"/>
        <v>10</v>
      </c>
      <c r="G325" s="90">
        <f t="shared" si="244"/>
        <v>22.59909159232755</v>
      </c>
      <c r="H325" s="90">
        <f t="shared" si="245"/>
        <v>45.519999999999996</v>
      </c>
      <c r="I325" s="91" t="str">
        <f t="shared" ref="I325:I326" si="248">I324</f>
        <v>9동3라인</v>
      </c>
      <c r="J325" s="92" t="s">
        <v>216</v>
      </c>
      <c r="L325" s="89">
        <v>2</v>
      </c>
      <c r="M325" s="78">
        <f t="shared" si="246"/>
        <v>5</v>
      </c>
      <c r="N325" s="78"/>
      <c r="O325" s="78">
        <f t="shared" si="247"/>
        <v>10</v>
      </c>
    </row>
    <row r="326" spans="1:16" ht="18" customHeight="1">
      <c r="A326" s="104"/>
      <c r="B326" s="93"/>
      <c r="C326" s="87"/>
      <c r="D326" s="88">
        <v>438</v>
      </c>
      <c r="E326" s="88">
        <v>270</v>
      </c>
      <c r="F326" s="89">
        <f t="shared" si="243"/>
        <v>10</v>
      </c>
      <c r="G326" s="90">
        <f t="shared" si="244"/>
        <v>12.881090089206941</v>
      </c>
      <c r="H326" s="90">
        <f t="shared" si="245"/>
        <v>28.32</v>
      </c>
      <c r="I326" s="91" t="str">
        <f t="shared" si="248"/>
        <v>9동3라인</v>
      </c>
      <c r="J326" s="92" t="s">
        <v>217</v>
      </c>
      <c r="L326" s="89">
        <v>2</v>
      </c>
      <c r="M326" s="78">
        <f t="shared" si="246"/>
        <v>5</v>
      </c>
      <c r="N326" s="78"/>
      <c r="O326" s="78">
        <f t="shared" si="247"/>
        <v>10</v>
      </c>
    </row>
    <row r="327" spans="1:16" ht="18" customHeight="1">
      <c r="A327" s="104"/>
      <c r="B327" s="87"/>
      <c r="C327" s="87"/>
      <c r="D327" s="325" t="s">
        <v>0</v>
      </c>
      <c r="E327" s="325"/>
      <c r="F327" s="171">
        <f>SUM(F322:F326)</f>
        <v>50</v>
      </c>
      <c r="G327" s="95">
        <f>SUM(G322:G326)</f>
        <v>539.34527116077948</v>
      </c>
      <c r="H327" s="95">
        <f>SUM(H322:H326)</f>
        <v>369.58</v>
      </c>
      <c r="I327" s="97"/>
      <c r="J327" s="98"/>
    </row>
    <row r="328" spans="1:16">
      <c r="A328" s="105"/>
      <c r="B328" s="9"/>
      <c r="C328" s="9"/>
      <c r="D328" s="51"/>
      <c r="E328" s="51"/>
      <c r="F328" s="51"/>
      <c r="G328" s="106"/>
      <c r="H328" s="106"/>
      <c r="I328" s="9"/>
      <c r="J328" s="107"/>
    </row>
    <row r="329" spans="1:16" ht="18" customHeight="1">
      <c r="A329" s="85"/>
      <c r="B329" s="23" t="s">
        <v>237</v>
      </c>
      <c r="C329" s="24">
        <v>22</v>
      </c>
      <c r="D329" s="88">
        <v>2114</v>
      </c>
      <c r="E329" s="88">
        <v>1810</v>
      </c>
      <c r="F329" s="89">
        <f t="shared" ref="F329" si="249">O329</f>
        <v>5</v>
      </c>
      <c r="G329" s="90">
        <f t="shared" ref="G329" si="250">D329*E329/91809*F329</f>
        <v>208.38588809375989</v>
      </c>
      <c r="H329" s="90">
        <f t="shared" ref="H329" si="251">(D329/1000)*4*F329+(E329/1000)*4*F329</f>
        <v>78.48</v>
      </c>
      <c r="I329" s="91" t="str">
        <f>I322</f>
        <v>9동3라인</v>
      </c>
      <c r="J329" s="92" t="s">
        <v>206</v>
      </c>
      <c r="L329" s="89">
        <v>1</v>
      </c>
      <c r="M329" s="78">
        <f>M316</f>
        <v>5</v>
      </c>
      <c r="N329" s="84"/>
      <c r="O329" s="78">
        <f>L329*M329-N329*L329</f>
        <v>5</v>
      </c>
    </row>
    <row r="330" spans="1:16" ht="18" customHeight="1">
      <c r="A330" s="85"/>
      <c r="B330" s="93"/>
      <c r="C330" s="87"/>
      <c r="D330" s="325" t="s">
        <v>0</v>
      </c>
      <c r="E330" s="325"/>
      <c r="F330" s="94">
        <f>SUM(F329:F329)</f>
        <v>5</v>
      </c>
      <c r="G330" s="95">
        <f>SUM(G329:G329)</f>
        <v>208.38588809375989</v>
      </c>
      <c r="H330" s="95">
        <f>SUM(H329:H329)</f>
        <v>78.48</v>
      </c>
      <c r="I330" s="97"/>
      <c r="J330" s="98"/>
    </row>
    <row r="331" spans="1:16" ht="18" customHeight="1">
      <c r="A331" s="218"/>
      <c r="B331" s="219"/>
      <c r="C331" s="220"/>
      <c r="D331" s="161"/>
      <c r="E331" s="161"/>
      <c r="F331" s="89"/>
      <c r="G331" s="100"/>
      <c r="H331" s="100"/>
      <c r="I331" s="102"/>
      <c r="J331" s="221"/>
    </row>
    <row r="332" spans="1:16" ht="18" customHeight="1">
      <c r="A332" s="85"/>
      <c r="B332" s="23" t="s">
        <v>200</v>
      </c>
      <c r="C332" s="24">
        <v>22</v>
      </c>
      <c r="D332" s="88">
        <v>738</v>
      </c>
      <c r="E332" s="88">
        <v>1810</v>
      </c>
      <c r="F332" s="89">
        <f t="shared" ref="F332:F333" si="252">O332</f>
        <v>10</v>
      </c>
      <c r="G332" s="90">
        <f t="shared" ref="G332:G333" si="253">D332*E332/91809*F332</f>
        <v>145.4955396529752</v>
      </c>
      <c r="H332" s="90">
        <f t="shared" ref="H332:H333" si="254">(D332/1000)*4*F332+(E332/1000)*4*F332</f>
        <v>101.92</v>
      </c>
      <c r="I332" s="91" t="str">
        <f>I329</f>
        <v>9동3라인</v>
      </c>
      <c r="J332" s="92" t="s">
        <v>219</v>
      </c>
      <c r="L332" s="89">
        <v>2</v>
      </c>
      <c r="M332" s="78">
        <f>M329</f>
        <v>5</v>
      </c>
      <c r="N332" s="84"/>
      <c r="O332" s="78">
        <f>L332*M332-N332*L332</f>
        <v>10</v>
      </c>
      <c r="P332" s="64"/>
    </row>
    <row r="333" spans="1:16" ht="18" customHeight="1">
      <c r="A333" s="85"/>
      <c r="B333" s="86"/>
      <c r="C333" s="87"/>
      <c r="D333" s="88">
        <v>250</v>
      </c>
      <c r="E333" s="88">
        <v>930</v>
      </c>
      <c r="F333" s="89">
        <f t="shared" si="252"/>
        <v>10</v>
      </c>
      <c r="G333" s="90">
        <f t="shared" si="253"/>
        <v>25.324314609678787</v>
      </c>
      <c r="H333" s="90">
        <f t="shared" si="254"/>
        <v>47.2</v>
      </c>
      <c r="I333" s="91" t="str">
        <f>I332</f>
        <v>9동3라인</v>
      </c>
      <c r="J333" s="92" t="s">
        <v>220</v>
      </c>
      <c r="L333" s="89">
        <v>2</v>
      </c>
      <c r="M333" s="78">
        <f>M332</f>
        <v>5</v>
      </c>
      <c r="N333" s="84"/>
      <c r="O333" s="78">
        <f t="shared" ref="O333" si="255">L333*M333-N333*L333</f>
        <v>10</v>
      </c>
    </row>
    <row r="334" spans="1:16" ht="18" customHeight="1">
      <c r="A334" s="85"/>
      <c r="B334" s="93"/>
      <c r="C334" s="87"/>
      <c r="D334" s="325" t="s">
        <v>0</v>
      </c>
      <c r="E334" s="325"/>
      <c r="F334" s="94">
        <f>SUM(F332:F333)</f>
        <v>20</v>
      </c>
      <c r="G334" s="95">
        <f>SUM(G332:G333)</f>
        <v>170.81985426265399</v>
      </c>
      <c r="H334" s="96">
        <f>SUM(H332:H333)</f>
        <v>149.12</v>
      </c>
      <c r="I334" s="97"/>
      <c r="J334" s="162"/>
    </row>
    <row r="335" spans="1:16" ht="18" customHeight="1" thickBot="1">
      <c r="A335" s="222"/>
      <c r="B335" s="223"/>
      <c r="C335" s="224"/>
      <c r="D335" s="225"/>
      <c r="E335" s="225"/>
      <c r="F335" s="226"/>
      <c r="G335" s="227"/>
      <c r="H335" s="228"/>
      <c r="I335" s="229"/>
      <c r="J335" s="230"/>
      <c r="L335" s="78" t="s">
        <v>48</v>
      </c>
      <c r="M335" s="78" t="s">
        <v>49</v>
      </c>
      <c r="N335" s="78" t="s">
        <v>50</v>
      </c>
      <c r="O335" s="78" t="s">
        <v>55</v>
      </c>
    </row>
    <row r="336" spans="1:16" ht="18" customHeight="1">
      <c r="A336" s="79" t="s">
        <v>234</v>
      </c>
      <c r="B336" s="231" t="s">
        <v>195</v>
      </c>
      <c r="C336" s="232">
        <v>22</v>
      </c>
      <c r="D336" s="80">
        <v>761</v>
      </c>
      <c r="E336" s="80">
        <v>1810</v>
      </c>
      <c r="F336" s="233">
        <f>O336</f>
        <v>10</v>
      </c>
      <c r="G336" s="81">
        <f t="shared" ref="G336:G342" si="256">D336*E336/91809*F336</f>
        <v>150.02995349039855</v>
      </c>
      <c r="H336" s="81">
        <f t="shared" ref="H336:H342" si="257">(D336/1000)*4*F336+(E336/1000)*4*F336</f>
        <v>102.84</v>
      </c>
      <c r="I336" s="82" t="s">
        <v>257</v>
      </c>
      <c r="J336" s="83" t="s">
        <v>205</v>
      </c>
      <c r="L336" s="89">
        <v>2</v>
      </c>
      <c r="M336" s="78">
        <v>5</v>
      </c>
      <c r="N336" s="84"/>
      <c r="O336" s="78">
        <f>L336*M336-N336*L336</f>
        <v>10</v>
      </c>
      <c r="P336" s="64"/>
    </row>
    <row r="337" spans="1:15" ht="18" customHeight="1">
      <c r="A337" s="85"/>
      <c r="B337" s="86"/>
      <c r="C337" s="87"/>
      <c r="D337" s="88">
        <v>1688</v>
      </c>
      <c r="E337" s="88">
        <v>1810</v>
      </c>
      <c r="F337" s="89">
        <f t="shared" ref="F337:F342" si="258">O337</f>
        <v>5</v>
      </c>
      <c r="G337" s="90">
        <f t="shared" si="256"/>
        <v>166.39327299066539</v>
      </c>
      <c r="H337" s="90">
        <f t="shared" si="257"/>
        <v>69.960000000000008</v>
      </c>
      <c r="I337" s="91" t="str">
        <f>I336</f>
        <v>9동4라인</v>
      </c>
      <c r="J337" s="92" t="s">
        <v>206</v>
      </c>
      <c r="L337" s="89">
        <v>1</v>
      </c>
      <c r="M337" s="78">
        <f>M336</f>
        <v>5</v>
      </c>
      <c r="N337" s="84"/>
      <c r="O337" s="78">
        <f t="shared" ref="O337:O342" si="259">L337*M337-N337*L337</f>
        <v>5</v>
      </c>
    </row>
    <row r="338" spans="1:15" ht="18" customHeight="1">
      <c r="A338" s="85"/>
      <c r="B338" s="86"/>
      <c r="C338" s="87"/>
      <c r="D338" s="88">
        <v>738</v>
      </c>
      <c r="E338" s="88">
        <v>1310</v>
      </c>
      <c r="F338" s="89">
        <f t="shared" si="258"/>
        <v>20</v>
      </c>
      <c r="G338" s="90">
        <f t="shared" si="256"/>
        <v>210.6068032545829</v>
      </c>
      <c r="H338" s="90">
        <f t="shared" si="257"/>
        <v>163.84</v>
      </c>
      <c r="I338" s="91" t="str">
        <f t="shared" ref="I338:I342" si="260">I337</f>
        <v>9동4라인</v>
      </c>
      <c r="J338" s="92" t="s">
        <v>207</v>
      </c>
      <c r="L338" s="89">
        <v>4</v>
      </c>
      <c r="M338" s="78">
        <f t="shared" ref="M338:M341" si="261">M337</f>
        <v>5</v>
      </c>
      <c r="N338" s="78"/>
      <c r="O338" s="78">
        <f t="shared" si="259"/>
        <v>20</v>
      </c>
    </row>
    <row r="339" spans="1:15" ht="18" customHeight="1">
      <c r="A339" s="85"/>
      <c r="B339" s="86"/>
      <c r="C339" s="87"/>
      <c r="D339" s="88">
        <v>288</v>
      </c>
      <c r="E339" s="88">
        <v>910</v>
      </c>
      <c r="F339" s="89">
        <f t="shared" si="258"/>
        <v>10</v>
      </c>
      <c r="G339" s="90">
        <f t="shared" si="256"/>
        <v>28.546220958729535</v>
      </c>
      <c r="H339" s="90">
        <f t="shared" si="257"/>
        <v>47.92</v>
      </c>
      <c r="I339" s="91" t="str">
        <f t="shared" si="260"/>
        <v>9동4라인</v>
      </c>
      <c r="J339" s="92" t="s">
        <v>208</v>
      </c>
      <c r="L339" s="89">
        <v>2</v>
      </c>
      <c r="M339" s="78">
        <f t="shared" si="261"/>
        <v>5</v>
      </c>
      <c r="N339" s="78"/>
      <c r="O339" s="78">
        <f t="shared" si="259"/>
        <v>10</v>
      </c>
    </row>
    <row r="340" spans="1:15" ht="18" customHeight="1">
      <c r="A340" s="85"/>
      <c r="B340" s="86"/>
      <c r="C340" s="87"/>
      <c r="D340" s="88">
        <v>228</v>
      </c>
      <c r="E340" s="88">
        <v>910</v>
      </c>
      <c r="F340" s="89">
        <f t="shared" si="258"/>
        <v>10</v>
      </c>
      <c r="G340" s="90">
        <f t="shared" si="256"/>
        <v>22.59909159232755</v>
      </c>
      <c r="H340" s="90">
        <f t="shared" si="257"/>
        <v>45.519999999999996</v>
      </c>
      <c r="I340" s="91" t="str">
        <f t="shared" si="260"/>
        <v>9동4라인</v>
      </c>
      <c r="J340" s="92" t="s">
        <v>209</v>
      </c>
      <c r="L340" s="89">
        <v>2</v>
      </c>
      <c r="M340" s="78">
        <f t="shared" si="261"/>
        <v>5</v>
      </c>
      <c r="N340" s="78"/>
      <c r="O340" s="78">
        <f t="shared" si="259"/>
        <v>10</v>
      </c>
    </row>
    <row r="341" spans="1:15" ht="18" customHeight="1">
      <c r="A341" s="85"/>
      <c r="B341" s="86"/>
      <c r="C341" s="87"/>
      <c r="D341" s="88">
        <v>438</v>
      </c>
      <c r="E341" s="88">
        <v>270</v>
      </c>
      <c r="F341" s="89">
        <f t="shared" si="258"/>
        <v>10</v>
      </c>
      <c r="G341" s="90">
        <f t="shared" si="256"/>
        <v>12.881090089206941</v>
      </c>
      <c r="H341" s="90">
        <f t="shared" si="257"/>
        <v>28.32</v>
      </c>
      <c r="I341" s="91" t="str">
        <f t="shared" si="260"/>
        <v>9동4라인</v>
      </c>
      <c r="J341" s="92" t="s">
        <v>210</v>
      </c>
      <c r="L341" s="89">
        <v>2</v>
      </c>
      <c r="M341" s="78">
        <f t="shared" si="261"/>
        <v>5</v>
      </c>
      <c r="N341" s="78"/>
      <c r="O341" s="78">
        <f t="shared" si="259"/>
        <v>10</v>
      </c>
    </row>
    <row r="342" spans="1:15" ht="18" customHeight="1">
      <c r="A342" s="85"/>
      <c r="B342" s="86"/>
      <c r="C342" s="87"/>
      <c r="D342" s="88">
        <v>208</v>
      </c>
      <c r="E342" s="88">
        <v>910</v>
      </c>
      <c r="F342" s="89">
        <f t="shared" si="258"/>
        <v>10</v>
      </c>
      <c r="G342" s="90">
        <f t="shared" si="256"/>
        <v>20.616715136860222</v>
      </c>
      <c r="H342" s="90">
        <f t="shared" si="257"/>
        <v>44.72</v>
      </c>
      <c r="I342" s="91" t="str">
        <f t="shared" si="260"/>
        <v>9동4라인</v>
      </c>
      <c r="J342" s="92" t="s">
        <v>211</v>
      </c>
      <c r="L342" s="89">
        <v>2</v>
      </c>
      <c r="M342" s="78">
        <f>M341</f>
        <v>5</v>
      </c>
      <c r="N342" s="78"/>
      <c r="O342" s="78">
        <f t="shared" si="259"/>
        <v>10</v>
      </c>
    </row>
    <row r="343" spans="1:15" ht="18" customHeight="1">
      <c r="A343" s="85"/>
      <c r="B343" s="93"/>
      <c r="C343" s="87"/>
      <c r="D343" s="325" t="s">
        <v>0</v>
      </c>
      <c r="E343" s="325"/>
      <c r="F343" s="94">
        <f>SUM(F336:F342)</f>
        <v>75</v>
      </c>
      <c r="G343" s="95">
        <f>SUM(G336:G342)</f>
        <v>611.67314751277115</v>
      </c>
      <c r="H343" s="96">
        <f>SUM(H336:H342)</f>
        <v>503.12</v>
      </c>
      <c r="I343" s="97"/>
      <c r="J343" s="162"/>
    </row>
    <row r="344" spans="1:15" ht="18" customHeight="1">
      <c r="A344" s="85"/>
      <c r="B344" s="93"/>
      <c r="C344" s="87"/>
      <c r="D344" s="161"/>
      <c r="E344" s="161"/>
      <c r="F344" s="89"/>
      <c r="G344" s="100"/>
      <c r="H344" s="101"/>
      <c r="I344" s="102"/>
      <c r="J344" s="121"/>
      <c r="L344" s="78" t="s">
        <v>48</v>
      </c>
      <c r="M344" s="78" t="s">
        <v>54</v>
      </c>
      <c r="N344" s="78" t="s">
        <v>50</v>
      </c>
      <c r="O344" s="78" t="s">
        <v>55</v>
      </c>
    </row>
    <row r="345" spans="1:15" ht="18" customHeight="1">
      <c r="A345" s="85"/>
      <c r="B345" s="23" t="s">
        <v>197</v>
      </c>
      <c r="C345" s="24">
        <v>22</v>
      </c>
      <c r="D345" s="88">
        <v>761</v>
      </c>
      <c r="E345" s="88">
        <v>1810</v>
      </c>
      <c r="F345" s="89">
        <f t="shared" ref="F345:F351" si="262">O345</f>
        <v>10</v>
      </c>
      <c r="G345" s="90">
        <f t="shared" ref="G345:G351" si="263">D345*E345/91809*F345</f>
        <v>150.02995349039855</v>
      </c>
      <c r="H345" s="90">
        <f t="shared" ref="H345:H351" si="264">(D345/1000)*4*F345+(E345/1000)*4*F345</f>
        <v>102.84</v>
      </c>
      <c r="I345" s="91" t="str">
        <f t="shared" ref="I345:I351" si="265">I336</f>
        <v>9동4라인</v>
      </c>
      <c r="J345" s="92" t="s">
        <v>212</v>
      </c>
      <c r="L345" s="89">
        <v>2</v>
      </c>
      <c r="M345" s="78">
        <f>M336</f>
        <v>5</v>
      </c>
      <c r="N345" s="84"/>
      <c r="O345" s="78">
        <f>L345*M345-N345*L345</f>
        <v>10</v>
      </c>
    </row>
    <row r="346" spans="1:15" ht="18" customHeight="1">
      <c r="A346" s="85"/>
      <c r="B346" s="86"/>
      <c r="C346" s="87"/>
      <c r="D346" s="88">
        <v>1688</v>
      </c>
      <c r="E346" s="88">
        <v>1810</v>
      </c>
      <c r="F346" s="89">
        <f t="shared" si="262"/>
        <v>5</v>
      </c>
      <c r="G346" s="90">
        <f t="shared" si="263"/>
        <v>166.39327299066539</v>
      </c>
      <c r="H346" s="90">
        <f t="shared" si="264"/>
        <v>69.960000000000008</v>
      </c>
      <c r="I346" s="91" t="str">
        <f t="shared" si="265"/>
        <v>9동4라인</v>
      </c>
      <c r="J346" s="92" t="s">
        <v>213</v>
      </c>
      <c r="L346" s="89">
        <v>1</v>
      </c>
      <c r="M346" s="78">
        <f>M345</f>
        <v>5</v>
      </c>
      <c r="N346" s="84"/>
      <c r="O346" s="78">
        <f>L346*M346-N346*L346</f>
        <v>5</v>
      </c>
    </row>
    <row r="347" spans="1:15" ht="18" customHeight="1">
      <c r="A347" s="104"/>
      <c r="B347" s="93"/>
      <c r="C347" s="87"/>
      <c r="D347" s="88">
        <v>738</v>
      </c>
      <c r="E347" s="88">
        <v>1310</v>
      </c>
      <c r="F347" s="89">
        <f t="shared" si="262"/>
        <v>20</v>
      </c>
      <c r="G347" s="90">
        <f t="shared" si="263"/>
        <v>210.6068032545829</v>
      </c>
      <c r="H347" s="90">
        <f t="shared" si="264"/>
        <v>163.84</v>
      </c>
      <c r="I347" s="91" t="str">
        <f t="shared" si="265"/>
        <v>9동4라인</v>
      </c>
      <c r="J347" s="92" t="s">
        <v>214</v>
      </c>
      <c r="L347" s="89">
        <v>4</v>
      </c>
      <c r="M347" s="78">
        <f t="shared" ref="M347:M351" si="266">M346</f>
        <v>5</v>
      </c>
      <c r="N347" s="84"/>
      <c r="O347" s="78">
        <f t="shared" ref="O347:O351" si="267">L347*M347-N347*L347</f>
        <v>20</v>
      </c>
    </row>
    <row r="348" spans="1:15" ht="18" customHeight="1">
      <c r="A348" s="104"/>
      <c r="B348" s="93"/>
      <c r="C348" s="87"/>
      <c r="D348" s="88">
        <v>288</v>
      </c>
      <c r="E348" s="88">
        <v>910</v>
      </c>
      <c r="F348" s="89">
        <f t="shared" si="262"/>
        <v>10</v>
      </c>
      <c r="G348" s="90">
        <f t="shared" si="263"/>
        <v>28.546220958729535</v>
      </c>
      <c r="H348" s="90">
        <f t="shared" si="264"/>
        <v>47.92</v>
      </c>
      <c r="I348" s="91" t="str">
        <f t="shared" si="265"/>
        <v>9동4라인</v>
      </c>
      <c r="J348" s="92" t="s">
        <v>215</v>
      </c>
      <c r="L348" s="89">
        <v>2</v>
      </c>
      <c r="M348" s="78">
        <f t="shared" si="266"/>
        <v>5</v>
      </c>
      <c r="N348" s="78"/>
      <c r="O348" s="78">
        <f t="shared" si="267"/>
        <v>10</v>
      </c>
    </row>
    <row r="349" spans="1:15" ht="18" customHeight="1">
      <c r="A349" s="104"/>
      <c r="B349" s="93"/>
      <c r="C349" s="87"/>
      <c r="D349" s="88">
        <v>228</v>
      </c>
      <c r="E349" s="88">
        <v>910</v>
      </c>
      <c r="F349" s="89">
        <f t="shared" si="262"/>
        <v>10</v>
      </c>
      <c r="G349" s="90">
        <f t="shared" si="263"/>
        <v>22.59909159232755</v>
      </c>
      <c r="H349" s="90">
        <f t="shared" si="264"/>
        <v>45.519999999999996</v>
      </c>
      <c r="I349" s="91" t="str">
        <f t="shared" si="265"/>
        <v>9동4라인</v>
      </c>
      <c r="J349" s="92" t="s">
        <v>216</v>
      </c>
      <c r="L349" s="89">
        <v>2</v>
      </c>
      <c r="M349" s="78">
        <f t="shared" si="266"/>
        <v>5</v>
      </c>
      <c r="N349" s="78"/>
      <c r="O349" s="78">
        <f t="shared" si="267"/>
        <v>10</v>
      </c>
    </row>
    <row r="350" spans="1:15" ht="18" customHeight="1">
      <c r="A350" s="104"/>
      <c r="B350" s="93"/>
      <c r="C350" s="87"/>
      <c r="D350" s="88">
        <v>438</v>
      </c>
      <c r="E350" s="88">
        <v>270</v>
      </c>
      <c r="F350" s="89">
        <f t="shared" si="262"/>
        <v>10</v>
      </c>
      <c r="G350" s="90">
        <f t="shared" si="263"/>
        <v>12.881090089206941</v>
      </c>
      <c r="H350" s="90">
        <f t="shared" si="264"/>
        <v>28.32</v>
      </c>
      <c r="I350" s="91" t="str">
        <f t="shared" si="265"/>
        <v>9동4라인</v>
      </c>
      <c r="J350" s="92" t="s">
        <v>217</v>
      </c>
      <c r="L350" s="89">
        <v>2</v>
      </c>
      <c r="M350" s="78">
        <f t="shared" si="266"/>
        <v>5</v>
      </c>
      <c r="N350" s="78"/>
      <c r="O350" s="78">
        <f t="shared" si="267"/>
        <v>10</v>
      </c>
    </row>
    <row r="351" spans="1:15" ht="18" customHeight="1">
      <c r="A351" s="104"/>
      <c r="B351" s="93"/>
      <c r="C351" s="87"/>
      <c r="D351" s="88">
        <v>208</v>
      </c>
      <c r="E351" s="88">
        <v>910</v>
      </c>
      <c r="F351" s="89">
        <f t="shared" si="262"/>
        <v>10</v>
      </c>
      <c r="G351" s="90">
        <f t="shared" si="263"/>
        <v>20.616715136860222</v>
      </c>
      <c r="H351" s="90">
        <f t="shared" si="264"/>
        <v>44.72</v>
      </c>
      <c r="I351" s="91" t="str">
        <f t="shared" si="265"/>
        <v>9동4라인</v>
      </c>
      <c r="J351" s="92" t="s">
        <v>218</v>
      </c>
      <c r="L351" s="89">
        <v>2</v>
      </c>
      <c r="M351" s="78">
        <f t="shared" si="266"/>
        <v>5</v>
      </c>
      <c r="N351" s="78"/>
      <c r="O351" s="78">
        <f t="shared" si="267"/>
        <v>10</v>
      </c>
    </row>
    <row r="352" spans="1:15" ht="18" customHeight="1">
      <c r="A352" s="104"/>
      <c r="B352" s="87"/>
      <c r="C352" s="87"/>
      <c r="D352" s="325" t="s">
        <v>0</v>
      </c>
      <c r="E352" s="325"/>
      <c r="F352" s="171">
        <f>SUM(F345:F351)</f>
        <v>75</v>
      </c>
      <c r="G352" s="95">
        <f>SUM(G345:G351)</f>
        <v>611.67314751277115</v>
      </c>
      <c r="H352" s="95">
        <f>SUM(H345:H351)</f>
        <v>503.12</v>
      </c>
      <c r="I352" s="97"/>
      <c r="J352" s="98"/>
    </row>
    <row r="353" spans="1:16">
      <c r="A353" s="105"/>
      <c r="B353" s="9"/>
      <c r="C353" s="9"/>
      <c r="D353" s="51"/>
      <c r="E353" s="51"/>
      <c r="F353" s="51"/>
      <c r="G353" s="106"/>
      <c r="H353" s="106"/>
      <c r="I353" s="9"/>
      <c r="J353" s="107"/>
    </row>
    <row r="354" spans="1:16" ht="18" customHeight="1">
      <c r="A354" s="85"/>
      <c r="B354" s="163" t="s">
        <v>199</v>
      </c>
      <c r="C354" s="163">
        <v>22</v>
      </c>
      <c r="D354" s="88">
        <v>738</v>
      </c>
      <c r="E354" s="88">
        <v>1810</v>
      </c>
      <c r="F354" s="89">
        <f t="shared" ref="F354:F355" si="268">O354</f>
        <v>10</v>
      </c>
      <c r="G354" s="90">
        <f t="shared" ref="G354:G355" si="269">D354*E354/91809*F354</f>
        <v>145.4955396529752</v>
      </c>
      <c r="H354" s="90">
        <f t="shared" ref="H354:H355" si="270">(D354/1000)*4*F354+(E354/1000)*4*F354</f>
        <v>101.92</v>
      </c>
      <c r="I354" s="91" t="str">
        <f>I345</f>
        <v>9동4라인</v>
      </c>
      <c r="J354" s="92" t="s">
        <v>219</v>
      </c>
      <c r="L354" s="89">
        <v>2</v>
      </c>
      <c r="M354" s="78">
        <f>M336</f>
        <v>5</v>
      </c>
      <c r="N354" s="84"/>
      <c r="O354" s="78">
        <f>L354*M354-N354*L354</f>
        <v>10</v>
      </c>
      <c r="P354" s="64"/>
    </row>
    <row r="355" spans="1:16" ht="18" customHeight="1">
      <c r="A355" s="85"/>
      <c r="B355" s="86"/>
      <c r="C355" s="87"/>
      <c r="D355" s="88">
        <v>250</v>
      </c>
      <c r="E355" s="88">
        <v>930</v>
      </c>
      <c r="F355" s="89">
        <f t="shared" si="268"/>
        <v>10</v>
      </c>
      <c r="G355" s="90">
        <f t="shared" si="269"/>
        <v>25.324314609678787</v>
      </c>
      <c r="H355" s="90">
        <f t="shared" si="270"/>
        <v>47.2</v>
      </c>
      <c r="I355" s="91" t="str">
        <f>I354</f>
        <v>9동4라인</v>
      </c>
      <c r="J355" s="92" t="s">
        <v>220</v>
      </c>
      <c r="L355" s="89">
        <v>2</v>
      </c>
      <c r="M355" s="78">
        <f>M354</f>
        <v>5</v>
      </c>
      <c r="N355" s="84"/>
      <c r="O355" s="78">
        <f t="shared" ref="O355" si="271">L355*M355-N355*L355</f>
        <v>10</v>
      </c>
    </row>
    <row r="356" spans="1:16" ht="18" customHeight="1">
      <c r="A356" s="85"/>
      <c r="B356" s="93"/>
      <c r="C356" s="87"/>
      <c r="D356" s="325" t="s">
        <v>0</v>
      </c>
      <c r="E356" s="325"/>
      <c r="F356" s="94">
        <f>SUM(F354:F355)</f>
        <v>20</v>
      </c>
      <c r="G356" s="95">
        <f>SUM(G354:G355)</f>
        <v>170.81985426265399</v>
      </c>
      <c r="H356" s="95">
        <f>SUM(H354:H355)</f>
        <v>149.12</v>
      </c>
      <c r="I356" s="97"/>
      <c r="J356" s="98"/>
    </row>
    <row r="357" spans="1:16" ht="18" customHeight="1">
      <c r="A357" s="236"/>
      <c r="B357" s="237"/>
      <c r="C357" s="238"/>
      <c r="D357" s="362"/>
      <c r="E357" s="362"/>
      <c r="F357" s="239"/>
      <c r="G357" s="240"/>
      <c r="H357" s="241"/>
      <c r="I357" s="242"/>
      <c r="J357" s="243"/>
    </row>
    <row r="358" spans="1:16" ht="18" customHeight="1">
      <c r="A358" s="244" t="s">
        <v>234</v>
      </c>
      <c r="B358" s="23" t="s">
        <v>195</v>
      </c>
      <c r="C358" s="24">
        <v>22</v>
      </c>
      <c r="D358" s="88">
        <v>761</v>
      </c>
      <c r="E358" s="88">
        <v>1810</v>
      </c>
      <c r="F358" s="89">
        <f>O358</f>
        <v>10</v>
      </c>
      <c r="G358" s="90">
        <f t="shared" ref="G358:G364" si="272">D358*E358/91809*F358</f>
        <v>150.02995349039855</v>
      </c>
      <c r="H358" s="90">
        <f t="shared" ref="H358:H364" si="273">(D358/1000)*4*F358+(E358/1000)*4*F358</f>
        <v>102.84</v>
      </c>
      <c r="I358" s="91" t="s">
        <v>258</v>
      </c>
      <c r="J358" s="163" t="s">
        <v>205</v>
      </c>
      <c r="L358" s="89">
        <v>2</v>
      </c>
      <c r="M358" s="78">
        <v>5</v>
      </c>
      <c r="N358" s="84"/>
      <c r="O358" s="78">
        <f>L358*M358-N358*L358</f>
        <v>10</v>
      </c>
      <c r="P358" s="64"/>
    </row>
    <row r="359" spans="1:16" ht="18" customHeight="1">
      <c r="A359" s="85"/>
      <c r="B359" s="86"/>
      <c r="C359" s="87"/>
      <c r="D359" s="88">
        <v>1688</v>
      </c>
      <c r="E359" s="88">
        <v>1810</v>
      </c>
      <c r="F359" s="89">
        <f t="shared" ref="F359:F364" si="274">O359</f>
        <v>5</v>
      </c>
      <c r="G359" s="90">
        <f t="shared" si="272"/>
        <v>166.39327299066539</v>
      </c>
      <c r="H359" s="90">
        <f t="shared" si="273"/>
        <v>69.960000000000008</v>
      </c>
      <c r="I359" s="91" t="str">
        <f>I358</f>
        <v>9동5라인</v>
      </c>
      <c r="J359" s="92" t="s">
        <v>206</v>
      </c>
      <c r="L359" s="89">
        <v>1</v>
      </c>
      <c r="M359" s="78">
        <f>M358</f>
        <v>5</v>
      </c>
      <c r="N359" s="84"/>
      <c r="O359" s="78">
        <f t="shared" ref="O359:O364" si="275">L359*M359-N359*L359</f>
        <v>5</v>
      </c>
    </row>
    <row r="360" spans="1:16" ht="18" customHeight="1">
      <c r="A360" s="85"/>
      <c r="B360" s="86"/>
      <c r="C360" s="87"/>
      <c r="D360" s="88">
        <v>738</v>
      </c>
      <c r="E360" s="88">
        <v>1310</v>
      </c>
      <c r="F360" s="89">
        <f t="shared" si="274"/>
        <v>20</v>
      </c>
      <c r="G360" s="90">
        <f t="shared" si="272"/>
        <v>210.6068032545829</v>
      </c>
      <c r="H360" s="90">
        <f t="shared" si="273"/>
        <v>163.84</v>
      </c>
      <c r="I360" s="91" t="str">
        <f t="shared" ref="I360:I364" si="276">I359</f>
        <v>9동5라인</v>
      </c>
      <c r="J360" s="92" t="s">
        <v>207</v>
      </c>
      <c r="L360" s="89">
        <v>4</v>
      </c>
      <c r="M360" s="78">
        <f t="shared" ref="M360:M363" si="277">M359</f>
        <v>5</v>
      </c>
      <c r="N360" s="78"/>
      <c r="O360" s="78">
        <f t="shared" si="275"/>
        <v>20</v>
      </c>
    </row>
    <row r="361" spans="1:16" ht="18" customHeight="1">
      <c r="A361" s="85"/>
      <c r="B361" s="86"/>
      <c r="C361" s="87"/>
      <c r="D361" s="88">
        <v>288</v>
      </c>
      <c r="E361" s="88">
        <v>910</v>
      </c>
      <c r="F361" s="89">
        <f t="shared" si="274"/>
        <v>10</v>
      </c>
      <c r="G361" s="90">
        <f t="shared" si="272"/>
        <v>28.546220958729535</v>
      </c>
      <c r="H361" s="90">
        <f t="shared" si="273"/>
        <v>47.92</v>
      </c>
      <c r="I361" s="91" t="str">
        <f t="shared" si="276"/>
        <v>9동5라인</v>
      </c>
      <c r="J361" s="92" t="s">
        <v>208</v>
      </c>
      <c r="L361" s="89">
        <v>2</v>
      </c>
      <c r="M361" s="78">
        <f t="shared" si="277"/>
        <v>5</v>
      </c>
      <c r="N361" s="78"/>
      <c r="O361" s="78">
        <f t="shared" si="275"/>
        <v>10</v>
      </c>
    </row>
    <row r="362" spans="1:16" ht="18" customHeight="1">
      <c r="A362" s="85"/>
      <c r="B362" s="86"/>
      <c r="C362" s="87"/>
      <c r="D362" s="88">
        <v>228</v>
      </c>
      <c r="E362" s="88">
        <v>910</v>
      </c>
      <c r="F362" s="89">
        <f t="shared" si="274"/>
        <v>10</v>
      </c>
      <c r="G362" s="90">
        <f t="shared" si="272"/>
        <v>22.59909159232755</v>
      </c>
      <c r="H362" s="90">
        <f t="shared" si="273"/>
        <v>45.519999999999996</v>
      </c>
      <c r="I362" s="91" t="str">
        <f t="shared" si="276"/>
        <v>9동5라인</v>
      </c>
      <c r="J362" s="92" t="s">
        <v>209</v>
      </c>
      <c r="L362" s="89">
        <v>2</v>
      </c>
      <c r="M362" s="78">
        <f t="shared" si="277"/>
        <v>5</v>
      </c>
      <c r="N362" s="78"/>
      <c r="O362" s="78">
        <f t="shared" si="275"/>
        <v>10</v>
      </c>
    </row>
    <row r="363" spans="1:16" ht="18" customHeight="1">
      <c r="A363" s="85"/>
      <c r="B363" s="86"/>
      <c r="C363" s="87"/>
      <c r="D363" s="88">
        <v>438</v>
      </c>
      <c r="E363" s="88">
        <v>270</v>
      </c>
      <c r="F363" s="89">
        <f t="shared" si="274"/>
        <v>10</v>
      </c>
      <c r="G363" s="90">
        <f t="shared" si="272"/>
        <v>12.881090089206941</v>
      </c>
      <c r="H363" s="90">
        <f t="shared" si="273"/>
        <v>28.32</v>
      </c>
      <c r="I363" s="91" t="str">
        <f t="shared" si="276"/>
        <v>9동5라인</v>
      </c>
      <c r="J363" s="92" t="s">
        <v>210</v>
      </c>
      <c r="L363" s="89">
        <v>2</v>
      </c>
      <c r="M363" s="78">
        <f t="shared" si="277"/>
        <v>5</v>
      </c>
      <c r="N363" s="78"/>
      <c r="O363" s="78">
        <f t="shared" si="275"/>
        <v>10</v>
      </c>
    </row>
    <row r="364" spans="1:16" ht="18" customHeight="1">
      <c r="A364" s="85"/>
      <c r="B364" s="86"/>
      <c r="C364" s="87"/>
      <c r="D364" s="88">
        <v>208</v>
      </c>
      <c r="E364" s="88">
        <v>910</v>
      </c>
      <c r="F364" s="89">
        <f t="shared" si="274"/>
        <v>10</v>
      </c>
      <c r="G364" s="90">
        <f t="shared" si="272"/>
        <v>20.616715136860222</v>
      </c>
      <c r="H364" s="90">
        <f t="shared" si="273"/>
        <v>44.72</v>
      </c>
      <c r="I364" s="91" t="str">
        <f t="shared" si="276"/>
        <v>9동5라인</v>
      </c>
      <c r="J364" s="92" t="s">
        <v>211</v>
      </c>
      <c r="L364" s="89">
        <v>2</v>
      </c>
      <c r="M364" s="78">
        <f>M363</f>
        <v>5</v>
      </c>
      <c r="N364" s="78"/>
      <c r="O364" s="78">
        <f t="shared" si="275"/>
        <v>10</v>
      </c>
    </row>
    <row r="365" spans="1:16" ht="18" customHeight="1">
      <c r="A365" s="85"/>
      <c r="B365" s="93"/>
      <c r="C365" s="87"/>
      <c r="D365" s="325" t="s">
        <v>0</v>
      </c>
      <c r="E365" s="325"/>
      <c r="F365" s="94">
        <f>SUM(F358:F364)</f>
        <v>75</v>
      </c>
      <c r="G365" s="95">
        <f>SUM(G358:G364)</f>
        <v>611.67314751277115</v>
      </c>
      <c r="H365" s="96">
        <f>SUM(H358:H364)</f>
        <v>503.12</v>
      </c>
      <c r="I365" s="97"/>
      <c r="J365" s="162"/>
    </row>
    <row r="366" spans="1:16" ht="18" customHeight="1">
      <c r="A366" s="85"/>
      <c r="B366" s="93"/>
      <c r="C366" s="87"/>
      <c r="D366" s="161"/>
      <c r="E366" s="161"/>
      <c r="F366" s="89"/>
      <c r="G366" s="100"/>
      <c r="H366" s="101"/>
      <c r="I366" s="102"/>
      <c r="J366" s="121"/>
      <c r="L366" s="78" t="s">
        <v>48</v>
      </c>
      <c r="M366" s="78" t="s">
        <v>54</v>
      </c>
      <c r="N366" s="78" t="s">
        <v>50</v>
      </c>
      <c r="O366" s="78" t="s">
        <v>55</v>
      </c>
    </row>
    <row r="367" spans="1:16" ht="18" customHeight="1">
      <c r="A367" s="85"/>
      <c r="B367" s="23" t="s">
        <v>197</v>
      </c>
      <c r="C367" s="24">
        <v>22</v>
      </c>
      <c r="D367" s="88">
        <v>761</v>
      </c>
      <c r="E367" s="88">
        <v>1810</v>
      </c>
      <c r="F367" s="89">
        <f t="shared" ref="F367:F373" si="278">O367</f>
        <v>10</v>
      </c>
      <c r="G367" s="90">
        <f t="shared" ref="G367:G373" si="279">D367*E367/91809*F367</f>
        <v>150.02995349039855</v>
      </c>
      <c r="H367" s="90">
        <f t="shared" ref="H367:H373" si="280">(D367/1000)*4*F367+(E367/1000)*4*F367</f>
        <v>102.84</v>
      </c>
      <c r="I367" s="91" t="str">
        <f t="shared" ref="I367:I373" si="281">I358</f>
        <v>9동5라인</v>
      </c>
      <c r="J367" s="92" t="s">
        <v>212</v>
      </c>
      <c r="L367" s="89">
        <v>2</v>
      </c>
      <c r="M367" s="78">
        <f>M358</f>
        <v>5</v>
      </c>
      <c r="N367" s="84"/>
      <c r="O367" s="78">
        <f>L367*M367-N367*L367</f>
        <v>10</v>
      </c>
    </row>
    <row r="368" spans="1:16" ht="18" customHeight="1">
      <c r="A368" s="85"/>
      <c r="B368" s="86"/>
      <c r="C368" s="87"/>
      <c r="D368" s="88">
        <v>1688</v>
      </c>
      <c r="E368" s="88">
        <v>1810</v>
      </c>
      <c r="F368" s="89">
        <f t="shared" si="278"/>
        <v>5</v>
      </c>
      <c r="G368" s="90">
        <f t="shared" si="279"/>
        <v>166.39327299066539</v>
      </c>
      <c r="H368" s="90">
        <f t="shared" si="280"/>
        <v>69.960000000000008</v>
      </c>
      <c r="I368" s="91" t="str">
        <f t="shared" si="281"/>
        <v>9동5라인</v>
      </c>
      <c r="J368" s="92" t="s">
        <v>213</v>
      </c>
      <c r="L368" s="89">
        <v>1</v>
      </c>
      <c r="M368" s="78">
        <f>M367</f>
        <v>5</v>
      </c>
      <c r="N368" s="84"/>
      <c r="O368" s="78">
        <f>L368*M368-N368*L368</f>
        <v>5</v>
      </c>
    </row>
    <row r="369" spans="1:16" ht="18" customHeight="1">
      <c r="A369" s="104"/>
      <c r="B369" s="93"/>
      <c r="C369" s="87"/>
      <c r="D369" s="88">
        <v>738</v>
      </c>
      <c r="E369" s="88">
        <v>1310</v>
      </c>
      <c r="F369" s="89">
        <f t="shared" si="278"/>
        <v>20</v>
      </c>
      <c r="G369" s="90">
        <f t="shared" si="279"/>
        <v>210.6068032545829</v>
      </c>
      <c r="H369" s="90">
        <f t="shared" si="280"/>
        <v>163.84</v>
      </c>
      <c r="I369" s="91" t="str">
        <f t="shared" si="281"/>
        <v>9동5라인</v>
      </c>
      <c r="J369" s="92" t="s">
        <v>214</v>
      </c>
      <c r="L369" s="89">
        <v>4</v>
      </c>
      <c r="M369" s="78">
        <f t="shared" ref="M369:M373" si="282">M368</f>
        <v>5</v>
      </c>
      <c r="N369" s="84"/>
      <c r="O369" s="78">
        <f t="shared" ref="O369:O373" si="283">L369*M369-N369*L369</f>
        <v>20</v>
      </c>
    </row>
    <row r="370" spans="1:16" ht="18" customHeight="1">
      <c r="A370" s="104"/>
      <c r="B370" s="93"/>
      <c r="C370" s="87"/>
      <c r="D370" s="88">
        <v>288</v>
      </c>
      <c r="E370" s="88">
        <v>910</v>
      </c>
      <c r="F370" s="89">
        <f t="shared" si="278"/>
        <v>10</v>
      </c>
      <c r="G370" s="90">
        <f t="shared" si="279"/>
        <v>28.546220958729535</v>
      </c>
      <c r="H370" s="90">
        <f t="shared" si="280"/>
        <v>47.92</v>
      </c>
      <c r="I370" s="91" t="str">
        <f t="shared" si="281"/>
        <v>9동5라인</v>
      </c>
      <c r="J370" s="92" t="s">
        <v>215</v>
      </c>
      <c r="L370" s="89">
        <v>2</v>
      </c>
      <c r="M370" s="78">
        <f t="shared" si="282"/>
        <v>5</v>
      </c>
      <c r="N370" s="78"/>
      <c r="O370" s="78">
        <f t="shared" si="283"/>
        <v>10</v>
      </c>
    </row>
    <row r="371" spans="1:16" ht="18" customHeight="1">
      <c r="A371" s="104"/>
      <c r="B371" s="93"/>
      <c r="C371" s="87"/>
      <c r="D371" s="88">
        <v>228</v>
      </c>
      <c r="E371" s="88">
        <v>910</v>
      </c>
      <c r="F371" s="89">
        <f t="shared" si="278"/>
        <v>10</v>
      </c>
      <c r="G371" s="90">
        <f t="shared" si="279"/>
        <v>22.59909159232755</v>
      </c>
      <c r="H371" s="90">
        <f t="shared" si="280"/>
        <v>45.519999999999996</v>
      </c>
      <c r="I371" s="91" t="str">
        <f t="shared" si="281"/>
        <v>9동5라인</v>
      </c>
      <c r="J371" s="92" t="s">
        <v>216</v>
      </c>
      <c r="L371" s="89">
        <v>2</v>
      </c>
      <c r="M371" s="78">
        <f t="shared" si="282"/>
        <v>5</v>
      </c>
      <c r="N371" s="78"/>
      <c r="O371" s="78">
        <f t="shared" si="283"/>
        <v>10</v>
      </c>
    </row>
    <row r="372" spans="1:16" ht="18" customHeight="1">
      <c r="A372" s="104"/>
      <c r="B372" s="93"/>
      <c r="C372" s="87"/>
      <c r="D372" s="88">
        <v>438</v>
      </c>
      <c r="E372" s="88">
        <v>270</v>
      </c>
      <c r="F372" s="89">
        <f t="shared" si="278"/>
        <v>10</v>
      </c>
      <c r="G372" s="90">
        <f t="shared" si="279"/>
        <v>12.881090089206941</v>
      </c>
      <c r="H372" s="90">
        <f t="shared" si="280"/>
        <v>28.32</v>
      </c>
      <c r="I372" s="91" t="str">
        <f t="shared" si="281"/>
        <v>9동5라인</v>
      </c>
      <c r="J372" s="92" t="s">
        <v>217</v>
      </c>
      <c r="L372" s="89">
        <v>2</v>
      </c>
      <c r="M372" s="78">
        <f t="shared" si="282"/>
        <v>5</v>
      </c>
      <c r="N372" s="78"/>
      <c r="O372" s="78">
        <f t="shared" si="283"/>
        <v>10</v>
      </c>
    </row>
    <row r="373" spans="1:16" ht="18" customHeight="1">
      <c r="A373" s="104"/>
      <c r="B373" s="93"/>
      <c r="C373" s="87"/>
      <c r="D373" s="88">
        <v>208</v>
      </c>
      <c r="E373" s="88">
        <v>910</v>
      </c>
      <c r="F373" s="89">
        <f t="shared" si="278"/>
        <v>10</v>
      </c>
      <c r="G373" s="90">
        <f t="shared" si="279"/>
        <v>20.616715136860222</v>
      </c>
      <c r="H373" s="90">
        <f t="shared" si="280"/>
        <v>44.72</v>
      </c>
      <c r="I373" s="91" t="str">
        <f t="shared" si="281"/>
        <v>9동5라인</v>
      </c>
      <c r="J373" s="92" t="s">
        <v>218</v>
      </c>
      <c r="L373" s="89">
        <v>2</v>
      </c>
      <c r="M373" s="78">
        <f t="shared" si="282"/>
        <v>5</v>
      </c>
      <c r="N373" s="78"/>
      <c r="O373" s="78">
        <f t="shared" si="283"/>
        <v>10</v>
      </c>
    </row>
    <row r="374" spans="1:16" ht="18" customHeight="1">
      <c r="A374" s="104"/>
      <c r="B374" s="87"/>
      <c r="C374" s="87"/>
      <c r="D374" s="325" t="s">
        <v>0</v>
      </c>
      <c r="E374" s="325"/>
      <c r="F374" s="171">
        <f>SUM(F367:F373)</f>
        <v>75</v>
      </c>
      <c r="G374" s="95">
        <f>SUM(G367:G373)</f>
        <v>611.67314751277115</v>
      </c>
      <c r="H374" s="95">
        <f>SUM(H367:H373)</f>
        <v>503.12</v>
      </c>
      <c r="I374" s="97"/>
      <c r="J374" s="98"/>
    </row>
    <row r="375" spans="1:16">
      <c r="A375" s="105"/>
      <c r="B375" s="9"/>
      <c r="C375" s="9"/>
      <c r="D375" s="51"/>
      <c r="E375" s="51"/>
      <c r="F375" s="51"/>
      <c r="G375" s="106"/>
      <c r="H375" s="106"/>
      <c r="I375" s="9"/>
      <c r="J375" s="107"/>
    </row>
    <row r="376" spans="1:16" ht="18" customHeight="1">
      <c r="A376" s="85"/>
      <c r="B376" s="163" t="s">
        <v>199</v>
      </c>
      <c r="C376" s="163">
        <v>22</v>
      </c>
      <c r="D376" s="88">
        <v>738</v>
      </c>
      <c r="E376" s="88">
        <v>1810</v>
      </c>
      <c r="F376" s="89">
        <f t="shared" ref="F376:F377" si="284">O376</f>
        <v>10</v>
      </c>
      <c r="G376" s="90">
        <f t="shared" ref="G376:G377" si="285">D376*E376/91809*F376</f>
        <v>145.4955396529752</v>
      </c>
      <c r="H376" s="90">
        <f t="shared" ref="H376:H377" si="286">(D376/1000)*4*F376+(E376/1000)*4*F376</f>
        <v>101.92</v>
      </c>
      <c r="I376" s="91" t="str">
        <f>I367</f>
        <v>9동5라인</v>
      </c>
      <c r="J376" s="92" t="s">
        <v>219</v>
      </c>
      <c r="L376" s="89">
        <v>2</v>
      </c>
      <c r="M376" s="78">
        <f>M358</f>
        <v>5</v>
      </c>
      <c r="N376" s="84"/>
      <c r="O376" s="78">
        <f>L376*M376-N376*L376</f>
        <v>10</v>
      </c>
      <c r="P376" s="64"/>
    </row>
    <row r="377" spans="1:16" ht="18" customHeight="1">
      <c r="A377" s="85"/>
      <c r="B377" s="86"/>
      <c r="C377" s="87"/>
      <c r="D377" s="88">
        <v>250</v>
      </c>
      <c r="E377" s="88">
        <v>930</v>
      </c>
      <c r="F377" s="89">
        <f t="shared" si="284"/>
        <v>10</v>
      </c>
      <c r="G377" s="90">
        <f t="shared" si="285"/>
        <v>25.324314609678787</v>
      </c>
      <c r="H377" s="90">
        <f t="shared" si="286"/>
        <v>47.2</v>
      </c>
      <c r="I377" s="91" t="str">
        <f>I376</f>
        <v>9동5라인</v>
      </c>
      <c r="J377" s="92" t="s">
        <v>220</v>
      </c>
      <c r="L377" s="89">
        <v>2</v>
      </c>
      <c r="M377" s="78">
        <f>M376</f>
        <v>5</v>
      </c>
      <c r="N377" s="84"/>
      <c r="O377" s="78">
        <f t="shared" ref="O377" si="287">L377*M377-N377*L377</f>
        <v>10</v>
      </c>
    </row>
    <row r="378" spans="1:16" ht="18" customHeight="1">
      <c r="A378" s="85"/>
      <c r="B378" s="93"/>
      <c r="C378" s="87"/>
      <c r="D378" s="325" t="s">
        <v>0</v>
      </c>
      <c r="E378" s="325"/>
      <c r="F378" s="94">
        <f>SUM(F376:F377)</f>
        <v>20</v>
      </c>
      <c r="G378" s="95">
        <f>SUM(G376:G377)</f>
        <v>170.81985426265399</v>
      </c>
      <c r="H378" s="95">
        <f>SUM(H376:H377)</f>
        <v>149.12</v>
      </c>
      <c r="I378" s="97"/>
      <c r="J378" s="98"/>
    </row>
    <row r="379" spans="1:16" ht="18" customHeight="1" thickBot="1">
      <c r="A379" s="222"/>
      <c r="B379" s="245"/>
      <c r="C379" s="224"/>
      <c r="D379" s="246"/>
      <c r="E379" s="246"/>
      <c r="F379" s="226"/>
      <c r="G379" s="247"/>
      <c r="H379" s="247"/>
      <c r="I379" s="248"/>
      <c r="J379" s="249"/>
      <c r="L379" s="250"/>
      <c r="M379" s="250"/>
      <c r="N379" s="250"/>
      <c r="O379" s="250"/>
    </row>
    <row r="380" spans="1:16" ht="18" customHeight="1">
      <c r="A380" s="79" t="s">
        <v>242</v>
      </c>
      <c r="B380" s="231" t="s">
        <v>195</v>
      </c>
      <c r="C380" s="232">
        <v>22</v>
      </c>
      <c r="D380" s="80">
        <v>761</v>
      </c>
      <c r="E380" s="80">
        <v>1810</v>
      </c>
      <c r="F380" s="233">
        <f t="shared" ref="F380:F385" si="288">O380</f>
        <v>10</v>
      </c>
      <c r="G380" s="81">
        <f t="shared" ref="G380:G385" si="289">D380*E380/91809*F380</f>
        <v>150.02995349039855</v>
      </c>
      <c r="H380" s="81">
        <f t="shared" ref="H380:H385" si="290">(D380/1000)*4*F380+(E380/1000)*4*F380</f>
        <v>102.84</v>
      </c>
      <c r="I380" s="82" t="s">
        <v>259</v>
      </c>
      <c r="J380" s="83" t="s">
        <v>205</v>
      </c>
      <c r="L380" s="89">
        <v>2</v>
      </c>
      <c r="M380" s="78">
        <v>5</v>
      </c>
      <c r="N380" s="78"/>
      <c r="O380" s="78">
        <f t="shared" ref="O380:O385" si="291">L380*M380-N380*L380</f>
        <v>10</v>
      </c>
    </row>
    <row r="381" spans="1:16" ht="18" customHeight="1">
      <c r="A381" s="85"/>
      <c r="B381" s="86"/>
      <c r="C381" s="87"/>
      <c r="D381" s="88">
        <v>1688</v>
      </c>
      <c r="E381" s="88">
        <v>1810</v>
      </c>
      <c r="F381" s="89">
        <f t="shared" si="288"/>
        <v>5</v>
      </c>
      <c r="G381" s="90">
        <f t="shared" si="289"/>
        <v>166.39327299066539</v>
      </c>
      <c r="H381" s="90">
        <f t="shared" si="290"/>
        <v>69.960000000000008</v>
      </c>
      <c r="I381" s="91" t="str">
        <f>I380</f>
        <v>9동6라인</v>
      </c>
      <c r="J381" s="92" t="s">
        <v>206</v>
      </c>
      <c r="L381" s="89">
        <v>1</v>
      </c>
      <c r="M381" s="78">
        <f t="shared" ref="M381:M397" si="292">M380</f>
        <v>5</v>
      </c>
      <c r="N381" s="78"/>
      <c r="O381" s="78">
        <f t="shared" si="291"/>
        <v>5</v>
      </c>
    </row>
    <row r="382" spans="1:16" ht="18" customHeight="1">
      <c r="A382" s="85"/>
      <c r="B382" s="86"/>
      <c r="C382" s="87"/>
      <c r="D382" s="88">
        <v>738</v>
      </c>
      <c r="E382" s="88">
        <v>1310</v>
      </c>
      <c r="F382" s="89">
        <f t="shared" si="288"/>
        <v>20</v>
      </c>
      <c r="G382" s="90">
        <f t="shared" si="289"/>
        <v>210.6068032545829</v>
      </c>
      <c r="H382" s="90">
        <f t="shared" si="290"/>
        <v>163.84</v>
      </c>
      <c r="I382" s="91" t="str">
        <f t="shared" ref="I382:I385" si="293">I381</f>
        <v>9동6라인</v>
      </c>
      <c r="J382" s="92" t="s">
        <v>207</v>
      </c>
      <c r="L382" s="89">
        <v>4</v>
      </c>
      <c r="M382" s="78">
        <f t="shared" si="292"/>
        <v>5</v>
      </c>
      <c r="N382" s="78"/>
      <c r="O382" s="78">
        <f t="shared" si="291"/>
        <v>20</v>
      </c>
    </row>
    <row r="383" spans="1:16" ht="18" customHeight="1">
      <c r="A383" s="85"/>
      <c r="B383" s="86"/>
      <c r="C383" s="87"/>
      <c r="D383" s="88">
        <v>438</v>
      </c>
      <c r="E383" s="88">
        <v>910</v>
      </c>
      <c r="F383" s="89">
        <f t="shared" si="288"/>
        <v>10</v>
      </c>
      <c r="G383" s="90">
        <f t="shared" si="289"/>
        <v>43.414044374734502</v>
      </c>
      <c r="H383" s="90">
        <f t="shared" si="290"/>
        <v>53.92</v>
      </c>
      <c r="I383" s="91" t="str">
        <f t="shared" si="293"/>
        <v>9동6라인</v>
      </c>
      <c r="J383" s="92" t="s">
        <v>223</v>
      </c>
      <c r="L383" s="89">
        <v>2</v>
      </c>
      <c r="M383" s="78">
        <f t="shared" si="292"/>
        <v>5</v>
      </c>
      <c r="N383" s="78"/>
      <c r="O383" s="78">
        <f t="shared" si="291"/>
        <v>10</v>
      </c>
    </row>
    <row r="384" spans="1:16" ht="18" customHeight="1">
      <c r="A384" s="85"/>
      <c r="B384" s="86"/>
      <c r="C384" s="87"/>
      <c r="D384" s="88">
        <v>228</v>
      </c>
      <c r="E384" s="88">
        <v>910</v>
      </c>
      <c r="F384" s="89">
        <f t="shared" si="288"/>
        <v>10</v>
      </c>
      <c r="G384" s="90">
        <f t="shared" si="289"/>
        <v>22.59909159232755</v>
      </c>
      <c r="H384" s="90">
        <f t="shared" si="290"/>
        <v>45.519999999999996</v>
      </c>
      <c r="I384" s="91" t="str">
        <f t="shared" si="293"/>
        <v>9동6라인</v>
      </c>
      <c r="J384" s="92" t="s">
        <v>209</v>
      </c>
      <c r="L384" s="89">
        <v>2</v>
      </c>
      <c r="M384" s="78">
        <f t="shared" si="292"/>
        <v>5</v>
      </c>
      <c r="N384" s="78"/>
      <c r="O384" s="78">
        <f t="shared" si="291"/>
        <v>10</v>
      </c>
    </row>
    <row r="385" spans="1:16" ht="18" customHeight="1">
      <c r="A385" s="85"/>
      <c r="B385" s="86"/>
      <c r="C385" s="87"/>
      <c r="D385" s="88">
        <v>438</v>
      </c>
      <c r="E385" s="88">
        <v>270</v>
      </c>
      <c r="F385" s="89">
        <f t="shared" si="288"/>
        <v>10</v>
      </c>
      <c r="G385" s="90">
        <f t="shared" si="289"/>
        <v>12.881090089206941</v>
      </c>
      <c r="H385" s="90">
        <f t="shared" si="290"/>
        <v>28.32</v>
      </c>
      <c r="I385" s="91" t="str">
        <f t="shared" si="293"/>
        <v>9동6라인</v>
      </c>
      <c r="J385" s="92" t="s">
        <v>210</v>
      </c>
      <c r="L385" s="89">
        <v>2</v>
      </c>
      <c r="M385" s="78">
        <f t="shared" si="292"/>
        <v>5</v>
      </c>
      <c r="N385" s="78"/>
      <c r="O385" s="78">
        <f t="shared" si="291"/>
        <v>10</v>
      </c>
    </row>
    <row r="386" spans="1:16" ht="18" customHeight="1">
      <c r="A386" s="85"/>
      <c r="B386" s="93"/>
      <c r="C386" s="87"/>
      <c r="D386" s="325" t="s">
        <v>0</v>
      </c>
      <c r="E386" s="325"/>
      <c r="F386" s="94">
        <f>SUM(F380:F385)</f>
        <v>65</v>
      </c>
      <c r="G386" s="95">
        <f>SUM(G380:G385)</f>
        <v>605.92425579191593</v>
      </c>
      <c r="H386" s="96">
        <f>SUM(H380:H385)</f>
        <v>464.4</v>
      </c>
      <c r="I386" s="97"/>
      <c r="J386" s="162"/>
      <c r="L386" s="250"/>
      <c r="M386" s="250"/>
      <c r="N386" s="250"/>
      <c r="O386" s="250"/>
    </row>
    <row r="387" spans="1:16" ht="18" customHeight="1">
      <c r="A387" s="85"/>
      <c r="B387" s="93"/>
      <c r="C387" s="87"/>
      <c r="D387" s="161"/>
      <c r="E387" s="161"/>
      <c r="F387" s="89"/>
      <c r="G387" s="100"/>
      <c r="H387" s="101"/>
      <c r="I387" s="102"/>
      <c r="J387" s="121"/>
      <c r="L387" s="250"/>
      <c r="M387" s="250"/>
      <c r="N387" s="250"/>
      <c r="O387" s="250"/>
    </row>
    <row r="388" spans="1:16" ht="18" customHeight="1">
      <c r="A388" s="85"/>
      <c r="B388" s="23" t="s">
        <v>197</v>
      </c>
      <c r="C388" s="24">
        <v>22</v>
      </c>
      <c r="D388" s="88">
        <v>761</v>
      </c>
      <c r="E388" s="88">
        <v>1810</v>
      </c>
      <c r="F388" s="89">
        <f t="shared" ref="F388:F393" si="294">O388</f>
        <v>10</v>
      </c>
      <c r="G388" s="90">
        <f t="shared" ref="G388:G393" si="295">D388*E388/91809*F388</f>
        <v>150.02995349039855</v>
      </c>
      <c r="H388" s="90">
        <f t="shared" ref="H388:H393" si="296">(D388/1000)*4*F388+(E388/1000)*4*F388</f>
        <v>102.84</v>
      </c>
      <c r="I388" s="91" t="str">
        <f>I380</f>
        <v>9동6라인</v>
      </c>
      <c r="J388" s="92" t="s">
        <v>212</v>
      </c>
      <c r="L388" s="89">
        <v>2</v>
      </c>
      <c r="M388" s="78">
        <f>M385</f>
        <v>5</v>
      </c>
      <c r="N388" s="78"/>
      <c r="O388" s="78">
        <f t="shared" ref="O388:O393" si="297">L388*M388-N388*L388</f>
        <v>10</v>
      </c>
    </row>
    <row r="389" spans="1:16" ht="18" customHeight="1">
      <c r="A389" s="85"/>
      <c r="B389" s="86"/>
      <c r="C389" s="87"/>
      <c r="D389" s="88">
        <v>1688</v>
      </c>
      <c r="E389" s="88">
        <v>1810</v>
      </c>
      <c r="F389" s="89">
        <f t="shared" si="294"/>
        <v>5</v>
      </c>
      <c r="G389" s="90">
        <f t="shared" si="295"/>
        <v>166.39327299066539</v>
      </c>
      <c r="H389" s="90">
        <f t="shared" si="296"/>
        <v>69.960000000000008</v>
      </c>
      <c r="I389" s="91" t="str">
        <f>I380</f>
        <v>9동6라인</v>
      </c>
      <c r="J389" s="92" t="s">
        <v>213</v>
      </c>
      <c r="L389" s="89">
        <v>1</v>
      </c>
      <c r="M389" s="78">
        <f t="shared" si="292"/>
        <v>5</v>
      </c>
      <c r="N389" s="78"/>
      <c r="O389" s="78">
        <f t="shared" si="297"/>
        <v>5</v>
      </c>
    </row>
    <row r="390" spans="1:16">
      <c r="A390" s="104"/>
      <c r="B390" s="93"/>
      <c r="C390" s="87"/>
      <c r="D390" s="88">
        <v>738</v>
      </c>
      <c r="E390" s="88">
        <v>1310</v>
      </c>
      <c r="F390" s="89">
        <f t="shared" si="294"/>
        <v>20</v>
      </c>
      <c r="G390" s="90">
        <f t="shared" si="295"/>
        <v>210.6068032545829</v>
      </c>
      <c r="H390" s="90">
        <f t="shared" si="296"/>
        <v>163.84</v>
      </c>
      <c r="I390" s="91" t="str">
        <f>I389</f>
        <v>9동6라인</v>
      </c>
      <c r="J390" s="92" t="s">
        <v>214</v>
      </c>
      <c r="L390" s="89">
        <v>4</v>
      </c>
      <c r="M390" s="78">
        <f t="shared" si="292"/>
        <v>5</v>
      </c>
      <c r="N390" s="78"/>
      <c r="O390" s="78">
        <f t="shared" si="297"/>
        <v>20</v>
      </c>
    </row>
    <row r="391" spans="1:16" ht="18" customHeight="1">
      <c r="A391" s="104"/>
      <c r="B391" s="93"/>
      <c r="C391" s="87"/>
      <c r="D391" s="88">
        <v>438</v>
      </c>
      <c r="E391" s="88">
        <v>910</v>
      </c>
      <c r="F391" s="89">
        <f t="shared" si="294"/>
        <v>10</v>
      </c>
      <c r="G391" s="90">
        <f t="shared" si="295"/>
        <v>43.414044374734502</v>
      </c>
      <c r="H391" s="90">
        <f t="shared" si="296"/>
        <v>53.92</v>
      </c>
      <c r="I391" s="91" t="str">
        <f t="shared" ref="I391:I393" si="298">I390</f>
        <v>9동6라인</v>
      </c>
      <c r="J391" s="92" t="s">
        <v>225</v>
      </c>
      <c r="L391" s="89">
        <v>2</v>
      </c>
      <c r="M391" s="78">
        <f t="shared" si="292"/>
        <v>5</v>
      </c>
      <c r="N391" s="78"/>
      <c r="O391" s="78">
        <f t="shared" si="297"/>
        <v>10</v>
      </c>
      <c r="P391" s="64"/>
    </row>
    <row r="392" spans="1:16" ht="18" customHeight="1">
      <c r="A392" s="104"/>
      <c r="B392" s="93"/>
      <c r="C392" s="87"/>
      <c r="D392" s="88">
        <v>228</v>
      </c>
      <c r="E392" s="88">
        <v>910</v>
      </c>
      <c r="F392" s="89">
        <f t="shared" si="294"/>
        <v>10</v>
      </c>
      <c r="G392" s="90">
        <f t="shared" si="295"/>
        <v>22.59909159232755</v>
      </c>
      <c r="H392" s="90">
        <f t="shared" si="296"/>
        <v>45.519999999999996</v>
      </c>
      <c r="I392" s="91" t="str">
        <f t="shared" si="298"/>
        <v>9동6라인</v>
      </c>
      <c r="J392" s="92" t="s">
        <v>216</v>
      </c>
      <c r="L392" s="89">
        <v>2</v>
      </c>
      <c r="M392" s="78">
        <f t="shared" si="292"/>
        <v>5</v>
      </c>
      <c r="N392" s="78"/>
      <c r="O392" s="78">
        <f t="shared" si="297"/>
        <v>10</v>
      </c>
    </row>
    <row r="393" spans="1:16" ht="18" customHeight="1">
      <c r="A393" s="104"/>
      <c r="B393" s="93"/>
      <c r="C393" s="87"/>
      <c r="D393" s="88">
        <v>438</v>
      </c>
      <c r="E393" s="88">
        <v>270</v>
      </c>
      <c r="F393" s="89">
        <f t="shared" si="294"/>
        <v>10</v>
      </c>
      <c r="G393" s="90">
        <f t="shared" si="295"/>
        <v>12.881090089206941</v>
      </c>
      <c r="H393" s="90">
        <f t="shared" si="296"/>
        <v>28.32</v>
      </c>
      <c r="I393" s="91" t="str">
        <f t="shared" si="298"/>
        <v>9동6라인</v>
      </c>
      <c r="J393" s="92" t="s">
        <v>217</v>
      </c>
      <c r="L393" s="89">
        <v>2</v>
      </c>
      <c r="M393" s="78">
        <f t="shared" si="292"/>
        <v>5</v>
      </c>
      <c r="N393" s="78"/>
      <c r="O393" s="78">
        <f t="shared" si="297"/>
        <v>10</v>
      </c>
    </row>
    <row r="394" spans="1:16">
      <c r="A394" s="104"/>
      <c r="B394" s="87"/>
      <c r="C394" s="87"/>
      <c r="D394" s="325" t="s">
        <v>0</v>
      </c>
      <c r="E394" s="325"/>
      <c r="F394" s="171">
        <f>SUM(F388:F393)</f>
        <v>65</v>
      </c>
      <c r="G394" s="95">
        <f>SUM(G388:G393)</f>
        <v>605.92425579191593</v>
      </c>
      <c r="H394" s="95">
        <f>SUM(H388:H393)</f>
        <v>464.4</v>
      </c>
      <c r="I394" s="97"/>
      <c r="J394" s="98"/>
      <c r="L394" s="250"/>
      <c r="M394" s="250"/>
      <c r="N394" s="250"/>
      <c r="O394" s="250"/>
    </row>
    <row r="395" spans="1:16">
      <c r="A395" s="105"/>
      <c r="B395" s="9"/>
      <c r="C395" s="9"/>
      <c r="D395" s="51"/>
      <c r="E395" s="51"/>
      <c r="F395" s="51"/>
      <c r="G395" s="106"/>
      <c r="H395" s="106"/>
      <c r="I395" s="9"/>
      <c r="J395" s="107"/>
      <c r="L395" s="250"/>
      <c r="M395" s="250"/>
      <c r="N395" s="250"/>
      <c r="O395" s="250"/>
    </row>
    <row r="396" spans="1:16" ht="18" customHeight="1">
      <c r="A396" s="85"/>
      <c r="B396" s="163" t="s">
        <v>199</v>
      </c>
      <c r="C396" s="163">
        <v>22</v>
      </c>
      <c r="D396" s="88">
        <v>738</v>
      </c>
      <c r="E396" s="88">
        <v>1810</v>
      </c>
      <c r="F396" s="89">
        <f t="shared" ref="F396:F397" si="299">O396</f>
        <v>10</v>
      </c>
      <c r="G396" s="90">
        <f t="shared" ref="G396:G398" si="300">D396*E396/91809*F396</f>
        <v>145.4955396529752</v>
      </c>
      <c r="H396" s="90">
        <f t="shared" ref="H396:H398" si="301">(D396/1000)*4*F396+(E396/1000)*4*F396</f>
        <v>101.92</v>
      </c>
      <c r="I396" s="91" t="str">
        <f>I388</f>
        <v>9동6라인</v>
      </c>
      <c r="J396" s="92" t="s">
        <v>219</v>
      </c>
      <c r="L396" s="89">
        <v>2</v>
      </c>
      <c r="M396" s="78">
        <f>M393</f>
        <v>5</v>
      </c>
      <c r="N396" s="78"/>
      <c r="O396" s="78">
        <f t="shared" ref="O396:O397" si="302">L396*M396-N396*L396</f>
        <v>10</v>
      </c>
      <c r="P396" s="64"/>
    </row>
    <row r="397" spans="1:16" ht="18" customHeight="1">
      <c r="A397" s="85"/>
      <c r="B397" s="86"/>
      <c r="C397" s="87"/>
      <c r="D397" s="88">
        <v>250</v>
      </c>
      <c r="E397" s="88">
        <v>930</v>
      </c>
      <c r="F397" s="89">
        <f t="shared" si="299"/>
        <v>10</v>
      </c>
      <c r="G397" s="90">
        <f t="shared" si="300"/>
        <v>25.324314609678787</v>
      </c>
      <c r="H397" s="90">
        <f t="shared" si="301"/>
        <v>47.2</v>
      </c>
      <c r="I397" s="91" t="str">
        <f>I396</f>
        <v>9동6라인</v>
      </c>
      <c r="J397" s="92" t="s">
        <v>220</v>
      </c>
      <c r="L397" s="89">
        <v>2</v>
      </c>
      <c r="M397" s="78">
        <f t="shared" si="292"/>
        <v>5</v>
      </c>
      <c r="N397" s="78"/>
      <c r="O397" s="78">
        <f t="shared" si="302"/>
        <v>10</v>
      </c>
    </row>
    <row r="398" spans="1:16" ht="18" customHeight="1">
      <c r="A398" s="85"/>
      <c r="B398" s="86"/>
      <c r="C398" s="87"/>
      <c r="D398" s="88"/>
      <c r="E398" s="88"/>
      <c r="F398" s="89"/>
      <c r="G398" s="90">
        <f t="shared" si="300"/>
        <v>0</v>
      </c>
      <c r="H398" s="90">
        <f t="shared" si="301"/>
        <v>0</v>
      </c>
      <c r="I398" s="91"/>
      <c r="J398" s="92"/>
      <c r="L398" s="250"/>
      <c r="M398" s="250"/>
      <c r="N398" s="250"/>
      <c r="O398" s="250"/>
    </row>
    <row r="399" spans="1:16" ht="18" customHeight="1">
      <c r="A399" s="85"/>
      <c r="B399" s="93"/>
      <c r="C399" s="87"/>
      <c r="D399" s="325" t="s">
        <v>0</v>
      </c>
      <c r="E399" s="325"/>
      <c r="F399" s="94">
        <f>SUM(F396:F398)</f>
        <v>20</v>
      </c>
      <c r="G399" s="95">
        <f>SUM(G396:G398)</f>
        <v>170.81985426265399</v>
      </c>
      <c r="H399" s="95">
        <f>SUM(H396:H398)</f>
        <v>149.12</v>
      </c>
      <c r="I399" s="97"/>
      <c r="J399" s="98"/>
      <c r="L399" s="250"/>
      <c r="M399" s="250"/>
      <c r="N399" s="250"/>
      <c r="O399" s="250"/>
    </row>
    <row r="400" spans="1:16" ht="18" customHeight="1" thickBot="1">
      <c r="A400" s="253"/>
      <c r="B400" s="254"/>
      <c r="C400" s="255"/>
      <c r="D400" s="361"/>
      <c r="E400" s="361"/>
      <c r="F400" s="256"/>
      <c r="G400" s="257"/>
      <c r="H400" s="258"/>
      <c r="I400" s="259"/>
      <c r="J400" s="260"/>
      <c r="L400" s="250"/>
      <c r="M400" s="250"/>
      <c r="N400" s="250"/>
      <c r="O400" s="250"/>
    </row>
    <row r="401" spans="1:16" ht="18" customHeight="1">
      <c r="A401" s="79" t="s">
        <v>242</v>
      </c>
      <c r="B401" s="231" t="s">
        <v>195</v>
      </c>
      <c r="C401" s="232">
        <v>22</v>
      </c>
      <c r="D401" s="80">
        <v>761</v>
      </c>
      <c r="E401" s="80">
        <v>1810</v>
      </c>
      <c r="F401" s="233">
        <f t="shared" ref="F401:F406" si="303">O401</f>
        <v>10</v>
      </c>
      <c r="G401" s="81">
        <f t="shared" ref="G401:G406" si="304">D401*E401/91809*F401</f>
        <v>150.02995349039855</v>
      </c>
      <c r="H401" s="81">
        <f t="shared" ref="H401:H406" si="305">(D401/1000)*4*F401+(E401/1000)*4*F401</f>
        <v>102.84</v>
      </c>
      <c r="I401" s="82" t="s">
        <v>260</v>
      </c>
      <c r="J401" s="83" t="s">
        <v>205</v>
      </c>
      <c r="L401" s="89">
        <v>2</v>
      </c>
      <c r="M401" s="78">
        <v>5</v>
      </c>
      <c r="N401" s="78"/>
      <c r="O401" s="78">
        <f t="shared" ref="O401:O406" si="306">L401*M401-N401*L401</f>
        <v>10</v>
      </c>
    </row>
    <row r="402" spans="1:16" ht="18" customHeight="1">
      <c r="A402" s="85"/>
      <c r="B402" s="86"/>
      <c r="C402" s="87"/>
      <c r="D402" s="88">
        <v>1688</v>
      </c>
      <c r="E402" s="88">
        <v>1810</v>
      </c>
      <c r="F402" s="89">
        <f t="shared" si="303"/>
        <v>5</v>
      </c>
      <c r="G402" s="90">
        <f t="shared" si="304"/>
        <v>166.39327299066539</v>
      </c>
      <c r="H402" s="90">
        <f t="shared" si="305"/>
        <v>69.960000000000008</v>
      </c>
      <c r="I402" s="91" t="str">
        <f>I401</f>
        <v>10동1라인</v>
      </c>
      <c r="J402" s="92" t="s">
        <v>206</v>
      </c>
      <c r="L402" s="89">
        <v>1</v>
      </c>
      <c r="M402" s="78">
        <f t="shared" ref="M402:M418" si="307">M401</f>
        <v>5</v>
      </c>
      <c r="N402" s="78"/>
      <c r="O402" s="78">
        <f t="shared" si="306"/>
        <v>5</v>
      </c>
    </row>
    <row r="403" spans="1:16" ht="18" customHeight="1">
      <c r="A403" s="85"/>
      <c r="B403" s="86"/>
      <c r="C403" s="87"/>
      <c r="D403" s="88">
        <v>738</v>
      </c>
      <c r="E403" s="88">
        <v>1310</v>
      </c>
      <c r="F403" s="89">
        <f t="shared" si="303"/>
        <v>20</v>
      </c>
      <c r="G403" s="90">
        <f t="shared" si="304"/>
        <v>210.6068032545829</v>
      </c>
      <c r="H403" s="90">
        <f t="shared" si="305"/>
        <v>163.84</v>
      </c>
      <c r="I403" s="91" t="str">
        <f t="shared" ref="I403:I406" si="308">I402</f>
        <v>10동1라인</v>
      </c>
      <c r="J403" s="92" t="s">
        <v>207</v>
      </c>
      <c r="L403" s="89">
        <v>4</v>
      </c>
      <c r="M403" s="78">
        <f t="shared" si="307"/>
        <v>5</v>
      </c>
      <c r="N403" s="78"/>
      <c r="O403" s="78">
        <f t="shared" si="306"/>
        <v>20</v>
      </c>
    </row>
    <row r="404" spans="1:16" ht="18" customHeight="1">
      <c r="A404" s="85"/>
      <c r="B404" s="86"/>
      <c r="C404" s="87"/>
      <c r="D404" s="88">
        <v>438</v>
      </c>
      <c r="E404" s="88">
        <v>910</v>
      </c>
      <c r="F404" s="89">
        <f t="shared" si="303"/>
        <v>10</v>
      </c>
      <c r="G404" s="90">
        <f t="shared" si="304"/>
        <v>43.414044374734502</v>
      </c>
      <c r="H404" s="90">
        <f t="shared" si="305"/>
        <v>53.92</v>
      </c>
      <c r="I404" s="91" t="str">
        <f t="shared" si="308"/>
        <v>10동1라인</v>
      </c>
      <c r="J404" s="92" t="s">
        <v>223</v>
      </c>
      <c r="L404" s="89">
        <v>2</v>
      </c>
      <c r="M404" s="78">
        <f t="shared" si="307"/>
        <v>5</v>
      </c>
      <c r="N404" s="78"/>
      <c r="O404" s="78">
        <f t="shared" si="306"/>
        <v>10</v>
      </c>
    </row>
    <row r="405" spans="1:16" ht="18" customHeight="1">
      <c r="A405" s="85"/>
      <c r="B405" s="86"/>
      <c r="C405" s="87"/>
      <c r="D405" s="88">
        <v>228</v>
      </c>
      <c r="E405" s="88">
        <v>910</v>
      </c>
      <c r="F405" s="89">
        <f t="shared" si="303"/>
        <v>10</v>
      </c>
      <c r="G405" s="90">
        <f t="shared" si="304"/>
        <v>22.59909159232755</v>
      </c>
      <c r="H405" s="90">
        <f t="shared" si="305"/>
        <v>45.519999999999996</v>
      </c>
      <c r="I405" s="91" t="str">
        <f t="shared" si="308"/>
        <v>10동1라인</v>
      </c>
      <c r="J405" s="92" t="s">
        <v>209</v>
      </c>
      <c r="L405" s="89">
        <v>2</v>
      </c>
      <c r="M405" s="78">
        <f t="shared" si="307"/>
        <v>5</v>
      </c>
      <c r="N405" s="78"/>
      <c r="O405" s="78">
        <f t="shared" si="306"/>
        <v>10</v>
      </c>
    </row>
    <row r="406" spans="1:16" ht="18" customHeight="1">
      <c r="A406" s="85"/>
      <c r="B406" s="86"/>
      <c r="C406" s="87"/>
      <c r="D406" s="88">
        <v>438</v>
      </c>
      <c r="E406" s="88">
        <v>270</v>
      </c>
      <c r="F406" s="89">
        <f t="shared" si="303"/>
        <v>10</v>
      </c>
      <c r="G406" s="90">
        <f t="shared" si="304"/>
        <v>12.881090089206941</v>
      </c>
      <c r="H406" s="90">
        <f t="shared" si="305"/>
        <v>28.32</v>
      </c>
      <c r="I406" s="91" t="str">
        <f t="shared" si="308"/>
        <v>10동1라인</v>
      </c>
      <c r="J406" s="92" t="s">
        <v>210</v>
      </c>
      <c r="L406" s="89">
        <v>2</v>
      </c>
      <c r="M406" s="78">
        <f t="shared" si="307"/>
        <v>5</v>
      </c>
      <c r="N406" s="78"/>
      <c r="O406" s="78">
        <f t="shared" si="306"/>
        <v>10</v>
      </c>
    </row>
    <row r="407" spans="1:16" ht="18" customHeight="1">
      <c r="A407" s="85"/>
      <c r="B407" s="93"/>
      <c r="C407" s="87"/>
      <c r="D407" s="325" t="s">
        <v>0</v>
      </c>
      <c r="E407" s="325"/>
      <c r="F407" s="94">
        <f>SUM(F401:F406)</f>
        <v>65</v>
      </c>
      <c r="G407" s="95">
        <f>SUM(G401:G406)</f>
        <v>605.92425579191593</v>
      </c>
      <c r="H407" s="96">
        <f>SUM(H401:H406)</f>
        <v>464.4</v>
      </c>
      <c r="I407" s="97"/>
      <c r="J407" s="162"/>
      <c r="L407" s="250"/>
      <c r="M407" s="250"/>
      <c r="N407" s="250"/>
      <c r="O407" s="250"/>
    </row>
    <row r="408" spans="1:16" ht="18" customHeight="1">
      <c r="A408" s="85"/>
      <c r="B408" s="93"/>
      <c r="C408" s="87"/>
      <c r="D408" s="161"/>
      <c r="E408" s="161"/>
      <c r="F408" s="89"/>
      <c r="G408" s="100"/>
      <c r="H408" s="101"/>
      <c r="I408" s="102"/>
      <c r="J408" s="121"/>
      <c r="L408" s="250"/>
      <c r="M408" s="250"/>
      <c r="N408" s="250"/>
      <c r="O408" s="250"/>
    </row>
    <row r="409" spans="1:16" ht="18" customHeight="1">
      <c r="A409" s="85"/>
      <c r="B409" s="23" t="s">
        <v>197</v>
      </c>
      <c r="C409" s="24">
        <v>22</v>
      </c>
      <c r="D409" s="88">
        <v>761</v>
      </c>
      <c r="E409" s="88">
        <v>1810</v>
      </c>
      <c r="F409" s="89">
        <f t="shared" ref="F409:F414" si="309">O409</f>
        <v>10</v>
      </c>
      <c r="G409" s="90">
        <f t="shared" ref="G409:G414" si="310">D409*E409/91809*F409</f>
        <v>150.02995349039855</v>
      </c>
      <c r="H409" s="90">
        <f t="shared" ref="H409:H414" si="311">(D409/1000)*4*F409+(E409/1000)*4*F409</f>
        <v>102.84</v>
      </c>
      <c r="I409" s="91" t="str">
        <f>I401</f>
        <v>10동1라인</v>
      </c>
      <c r="J409" s="92" t="s">
        <v>212</v>
      </c>
      <c r="L409" s="89">
        <v>2</v>
      </c>
      <c r="M409" s="78">
        <f>M406</f>
        <v>5</v>
      </c>
      <c r="N409" s="78"/>
      <c r="O409" s="78">
        <f t="shared" ref="O409:O414" si="312">L409*M409-N409*L409</f>
        <v>10</v>
      </c>
    </row>
    <row r="410" spans="1:16" ht="18" customHeight="1">
      <c r="A410" s="85"/>
      <c r="B410" s="86"/>
      <c r="C410" s="87"/>
      <c r="D410" s="88">
        <v>1688</v>
      </c>
      <c r="E410" s="88">
        <v>1810</v>
      </c>
      <c r="F410" s="89">
        <f t="shared" si="309"/>
        <v>5</v>
      </c>
      <c r="G410" s="90">
        <f t="shared" si="310"/>
        <v>166.39327299066539</v>
      </c>
      <c r="H410" s="90">
        <f t="shared" si="311"/>
        <v>69.960000000000008</v>
      </c>
      <c r="I410" s="91" t="str">
        <f>I401</f>
        <v>10동1라인</v>
      </c>
      <c r="J410" s="92" t="s">
        <v>213</v>
      </c>
      <c r="L410" s="89">
        <v>1</v>
      </c>
      <c r="M410" s="78">
        <f t="shared" si="307"/>
        <v>5</v>
      </c>
      <c r="N410" s="78"/>
      <c r="O410" s="78">
        <f t="shared" si="312"/>
        <v>5</v>
      </c>
    </row>
    <row r="411" spans="1:16">
      <c r="A411" s="104"/>
      <c r="B411" s="93"/>
      <c r="C411" s="87"/>
      <c r="D411" s="88">
        <v>738</v>
      </c>
      <c r="E411" s="88">
        <v>1310</v>
      </c>
      <c r="F411" s="89">
        <f t="shared" si="309"/>
        <v>20</v>
      </c>
      <c r="G411" s="90">
        <f t="shared" si="310"/>
        <v>210.6068032545829</v>
      </c>
      <c r="H411" s="90">
        <f t="shared" si="311"/>
        <v>163.84</v>
      </c>
      <c r="I411" s="91" t="str">
        <f>I410</f>
        <v>10동1라인</v>
      </c>
      <c r="J411" s="92" t="s">
        <v>214</v>
      </c>
      <c r="L411" s="89">
        <v>4</v>
      </c>
      <c r="M411" s="78">
        <f t="shared" si="307"/>
        <v>5</v>
      </c>
      <c r="N411" s="78"/>
      <c r="O411" s="78">
        <f t="shared" si="312"/>
        <v>20</v>
      </c>
    </row>
    <row r="412" spans="1:16" ht="18" customHeight="1">
      <c r="A412" s="104"/>
      <c r="B412" s="93"/>
      <c r="C412" s="87"/>
      <c r="D412" s="88">
        <v>438</v>
      </c>
      <c r="E412" s="88">
        <v>910</v>
      </c>
      <c r="F412" s="89">
        <f t="shared" si="309"/>
        <v>10</v>
      </c>
      <c r="G412" s="90">
        <f t="shared" si="310"/>
        <v>43.414044374734502</v>
      </c>
      <c r="H412" s="90">
        <f t="shared" si="311"/>
        <v>53.92</v>
      </c>
      <c r="I412" s="91" t="str">
        <f t="shared" ref="I412:I414" si="313">I411</f>
        <v>10동1라인</v>
      </c>
      <c r="J412" s="92" t="s">
        <v>225</v>
      </c>
      <c r="L412" s="89">
        <v>2</v>
      </c>
      <c r="M412" s="78">
        <f t="shared" si="307"/>
        <v>5</v>
      </c>
      <c r="N412" s="78"/>
      <c r="O412" s="78">
        <f t="shared" si="312"/>
        <v>10</v>
      </c>
      <c r="P412" s="64"/>
    </row>
    <row r="413" spans="1:16" ht="18" customHeight="1">
      <c r="A413" s="104"/>
      <c r="B413" s="93"/>
      <c r="C413" s="87"/>
      <c r="D413" s="88">
        <v>228</v>
      </c>
      <c r="E413" s="88">
        <v>910</v>
      </c>
      <c r="F413" s="89">
        <f t="shared" si="309"/>
        <v>10</v>
      </c>
      <c r="G413" s="90">
        <f t="shared" si="310"/>
        <v>22.59909159232755</v>
      </c>
      <c r="H413" s="90">
        <f t="shared" si="311"/>
        <v>45.519999999999996</v>
      </c>
      <c r="I413" s="91" t="str">
        <f t="shared" si="313"/>
        <v>10동1라인</v>
      </c>
      <c r="J413" s="92" t="s">
        <v>216</v>
      </c>
      <c r="L413" s="89">
        <v>2</v>
      </c>
      <c r="M413" s="78">
        <f t="shared" si="307"/>
        <v>5</v>
      </c>
      <c r="N413" s="78"/>
      <c r="O413" s="78">
        <f t="shared" si="312"/>
        <v>10</v>
      </c>
    </row>
    <row r="414" spans="1:16" ht="18" customHeight="1">
      <c r="A414" s="104"/>
      <c r="B414" s="93"/>
      <c r="C414" s="87"/>
      <c r="D414" s="88">
        <v>438</v>
      </c>
      <c r="E414" s="88">
        <v>270</v>
      </c>
      <c r="F414" s="89">
        <f t="shared" si="309"/>
        <v>10</v>
      </c>
      <c r="G414" s="90">
        <f t="shared" si="310"/>
        <v>12.881090089206941</v>
      </c>
      <c r="H414" s="90">
        <f t="shared" si="311"/>
        <v>28.32</v>
      </c>
      <c r="I414" s="91" t="str">
        <f t="shared" si="313"/>
        <v>10동1라인</v>
      </c>
      <c r="J414" s="92" t="s">
        <v>217</v>
      </c>
      <c r="L414" s="89">
        <v>2</v>
      </c>
      <c r="M414" s="78">
        <f t="shared" si="307"/>
        <v>5</v>
      </c>
      <c r="N414" s="78"/>
      <c r="O414" s="78">
        <f t="shared" si="312"/>
        <v>10</v>
      </c>
    </row>
    <row r="415" spans="1:16">
      <c r="A415" s="104"/>
      <c r="B415" s="87"/>
      <c r="C415" s="87"/>
      <c r="D415" s="325" t="s">
        <v>0</v>
      </c>
      <c r="E415" s="325"/>
      <c r="F415" s="171">
        <f>SUM(F409:F414)</f>
        <v>65</v>
      </c>
      <c r="G415" s="95">
        <f>SUM(G409:G414)</f>
        <v>605.92425579191593</v>
      </c>
      <c r="H415" s="95">
        <f>SUM(H409:H414)</f>
        <v>464.4</v>
      </c>
      <c r="I415" s="97"/>
      <c r="J415" s="98"/>
      <c r="L415" s="250"/>
      <c r="M415" s="250"/>
      <c r="N415" s="250"/>
      <c r="O415" s="250"/>
    </row>
    <row r="416" spans="1:16">
      <c r="A416" s="105"/>
      <c r="B416" s="9"/>
      <c r="C416" s="9"/>
      <c r="D416" s="51"/>
      <c r="E416" s="51"/>
      <c r="F416" s="51"/>
      <c r="G416" s="106"/>
      <c r="H416" s="106"/>
      <c r="I416" s="9"/>
      <c r="J416" s="107"/>
      <c r="L416" s="250"/>
      <c r="M416" s="250"/>
      <c r="N416" s="250"/>
      <c r="O416" s="250"/>
    </row>
    <row r="417" spans="1:16" ht="18" customHeight="1">
      <c r="A417" s="85"/>
      <c r="B417" s="163" t="s">
        <v>199</v>
      </c>
      <c r="C417" s="163">
        <v>22</v>
      </c>
      <c r="D417" s="88">
        <v>738</v>
      </c>
      <c r="E417" s="88">
        <v>1810</v>
      </c>
      <c r="F417" s="89">
        <f t="shared" ref="F417:F418" si="314">O417</f>
        <v>10</v>
      </c>
      <c r="G417" s="90">
        <f t="shared" ref="G417:G419" si="315">D417*E417/91809*F417</f>
        <v>145.4955396529752</v>
      </c>
      <c r="H417" s="90">
        <f t="shared" ref="H417:H419" si="316">(D417/1000)*4*F417+(E417/1000)*4*F417</f>
        <v>101.92</v>
      </c>
      <c r="I417" s="91" t="str">
        <f>I409</f>
        <v>10동1라인</v>
      </c>
      <c r="J417" s="92" t="s">
        <v>219</v>
      </c>
      <c r="L417" s="89">
        <v>2</v>
      </c>
      <c r="M417" s="78">
        <f>M414</f>
        <v>5</v>
      </c>
      <c r="N417" s="78"/>
      <c r="O417" s="78">
        <f t="shared" ref="O417:O418" si="317">L417*M417-N417*L417</f>
        <v>10</v>
      </c>
      <c r="P417" s="64"/>
    </row>
    <row r="418" spans="1:16" ht="18" customHeight="1">
      <c r="A418" s="85"/>
      <c r="B418" s="86"/>
      <c r="C418" s="87"/>
      <c r="D418" s="88">
        <v>250</v>
      </c>
      <c r="E418" s="88">
        <v>930</v>
      </c>
      <c r="F418" s="89">
        <f t="shared" si="314"/>
        <v>10</v>
      </c>
      <c r="G418" s="90">
        <f t="shared" si="315"/>
        <v>25.324314609678787</v>
      </c>
      <c r="H418" s="90">
        <f t="shared" si="316"/>
        <v>47.2</v>
      </c>
      <c r="I418" s="91" t="str">
        <f>I417</f>
        <v>10동1라인</v>
      </c>
      <c r="J418" s="92" t="s">
        <v>220</v>
      </c>
      <c r="L418" s="89">
        <v>2</v>
      </c>
      <c r="M418" s="78">
        <f t="shared" si="307"/>
        <v>5</v>
      </c>
      <c r="N418" s="78"/>
      <c r="O418" s="78">
        <f t="shared" si="317"/>
        <v>10</v>
      </c>
    </row>
    <row r="419" spans="1:16" ht="18" customHeight="1">
      <c r="A419" s="85"/>
      <c r="B419" s="86"/>
      <c r="C419" s="87"/>
      <c r="D419" s="88"/>
      <c r="E419" s="88"/>
      <c r="F419" s="89"/>
      <c r="G419" s="90">
        <f t="shared" si="315"/>
        <v>0</v>
      </c>
      <c r="H419" s="90">
        <f t="shared" si="316"/>
        <v>0</v>
      </c>
      <c r="I419" s="91"/>
      <c r="J419" s="92"/>
      <c r="L419" s="250"/>
      <c r="M419" s="250"/>
      <c r="N419" s="250"/>
      <c r="O419" s="250"/>
    </row>
    <row r="420" spans="1:16" ht="18" customHeight="1" thickBot="1">
      <c r="A420" s="222"/>
      <c r="B420" s="223"/>
      <c r="C420" s="224"/>
      <c r="D420" s="364" t="s">
        <v>0</v>
      </c>
      <c r="E420" s="364"/>
      <c r="F420" s="269">
        <f>SUM(F417:F419)</f>
        <v>20</v>
      </c>
      <c r="G420" s="270">
        <f>SUM(G417:G419)</f>
        <v>170.81985426265399</v>
      </c>
      <c r="H420" s="270">
        <f>SUM(H417:H419)</f>
        <v>149.12</v>
      </c>
      <c r="I420" s="271"/>
      <c r="J420" s="272"/>
      <c r="L420" s="250"/>
      <c r="M420" s="250"/>
      <c r="N420" s="250"/>
      <c r="O420" s="250"/>
    </row>
    <row r="421" spans="1:16" ht="18" customHeight="1">
      <c r="A421" s="273" t="s">
        <v>234</v>
      </c>
      <c r="B421" s="231" t="s">
        <v>195</v>
      </c>
      <c r="C421" s="232">
        <v>22</v>
      </c>
      <c r="D421" s="80">
        <v>761</v>
      </c>
      <c r="E421" s="80">
        <v>1810</v>
      </c>
      <c r="F421" s="233">
        <f>O421</f>
        <v>10</v>
      </c>
      <c r="G421" s="81">
        <f t="shared" ref="G421:G427" si="318">D421*E421/91809*F421</f>
        <v>150.02995349039855</v>
      </c>
      <c r="H421" s="81">
        <f t="shared" ref="H421:H427" si="319">(D421/1000)*4*F421+(E421/1000)*4*F421</f>
        <v>102.84</v>
      </c>
      <c r="I421" s="82" t="s">
        <v>261</v>
      </c>
      <c r="J421" s="83" t="s">
        <v>205</v>
      </c>
      <c r="L421" s="89">
        <v>2</v>
      </c>
      <c r="M421" s="78">
        <v>5</v>
      </c>
      <c r="N421" s="84"/>
      <c r="O421" s="78">
        <f>L421*M421-N421*L421</f>
        <v>10</v>
      </c>
      <c r="P421" s="64"/>
    </row>
    <row r="422" spans="1:16" ht="18" customHeight="1">
      <c r="A422" s="85"/>
      <c r="B422" s="86"/>
      <c r="C422" s="87"/>
      <c r="D422" s="88">
        <v>1688</v>
      </c>
      <c r="E422" s="88">
        <v>1810</v>
      </c>
      <c r="F422" s="89">
        <f t="shared" ref="F422:F427" si="320">O422</f>
        <v>5</v>
      </c>
      <c r="G422" s="90">
        <f t="shared" si="318"/>
        <v>166.39327299066539</v>
      </c>
      <c r="H422" s="90">
        <f t="shared" si="319"/>
        <v>69.960000000000008</v>
      </c>
      <c r="I422" s="91" t="str">
        <f>I421</f>
        <v>10동2라인</v>
      </c>
      <c r="J422" s="92" t="s">
        <v>206</v>
      </c>
      <c r="L422" s="89">
        <v>1</v>
      </c>
      <c r="M422" s="78">
        <f>M421</f>
        <v>5</v>
      </c>
      <c r="N422" s="84"/>
      <c r="O422" s="78">
        <f t="shared" ref="O422:O427" si="321">L422*M422-N422*L422</f>
        <v>5</v>
      </c>
    </row>
    <row r="423" spans="1:16" ht="18" customHeight="1">
      <c r="A423" s="85"/>
      <c r="B423" s="86"/>
      <c r="C423" s="87"/>
      <c r="D423" s="88">
        <v>738</v>
      </c>
      <c r="E423" s="88">
        <v>1310</v>
      </c>
      <c r="F423" s="89">
        <f t="shared" si="320"/>
        <v>20</v>
      </c>
      <c r="G423" s="90">
        <f t="shared" si="318"/>
        <v>210.6068032545829</v>
      </c>
      <c r="H423" s="90">
        <f t="shared" si="319"/>
        <v>163.84</v>
      </c>
      <c r="I423" s="91" t="str">
        <f t="shared" ref="I423:I427" si="322">I422</f>
        <v>10동2라인</v>
      </c>
      <c r="J423" s="92" t="s">
        <v>207</v>
      </c>
      <c r="L423" s="89">
        <v>4</v>
      </c>
      <c r="M423" s="78">
        <f t="shared" ref="M423:M426" si="323">M422</f>
        <v>5</v>
      </c>
      <c r="N423" s="78"/>
      <c r="O423" s="78">
        <f t="shared" si="321"/>
        <v>20</v>
      </c>
    </row>
    <row r="424" spans="1:16" ht="18" customHeight="1">
      <c r="A424" s="85"/>
      <c r="B424" s="86"/>
      <c r="C424" s="87"/>
      <c r="D424" s="88">
        <v>288</v>
      </c>
      <c r="E424" s="88">
        <v>910</v>
      </c>
      <c r="F424" s="89">
        <f t="shared" si="320"/>
        <v>10</v>
      </c>
      <c r="G424" s="90">
        <f t="shared" si="318"/>
        <v>28.546220958729535</v>
      </c>
      <c r="H424" s="90">
        <f t="shared" si="319"/>
        <v>47.92</v>
      </c>
      <c r="I424" s="91" t="str">
        <f t="shared" si="322"/>
        <v>10동2라인</v>
      </c>
      <c r="J424" s="92" t="s">
        <v>208</v>
      </c>
      <c r="L424" s="89">
        <v>2</v>
      </c>
      <c r="M424" s="78">
        <f t="shared" si="323"/>
        <v>5</v>
      </c>
      <c r="N424" s="78"/>
      <c r="O424" s="78">
        <f t="shared" si="321"/>
        <v>10</v>
      </c>
    </row>
    <row r="425" spans="1:16" ht="18" customHeight="1">
      <c r="A425" s="85"/>
      <c r="B425" s="86"/>
      <c r="C425" s="87"/>
      <c r="D425" s="88">
        <v>228</v>
      </c>
      <c r="E425" s="88">
        <v>910</v>
      </c>
      <c r="F425" s="89">
        <f t="shared" si="320"/>
        <v>10</v>
      </c>
      <c r="G425" s="90">
        <f t="shared" si="318"/>
        <v>22.59909159232755</v>
      </c>
      <c r="H425" s="90">
        <f t="shared" si="319"/>
        <v>45.519999999999996</v>
      </c>
      <c r="I425" s="91" t="str">
        <f t="shared" si="322"/>
        <v>10동2라인</v>
      </c>
      <c r="J425" s="92" t="s">
        <v>209</v>
      </c>
      <c r="L425" s="89">
        <v>2</v>
      </c>
      <c r="M425" s="78">
        <f t="shared" si="323"/>
        <v>5</v>
      </c>
      <c r="N425" s="78"/>
      <c r="O425" s="78">
        <f t="shared" si="321"/>
        <v>10</v>
      </c>
    </row>
    <row r="426" spans="1:16" ht="18" customHeight="1">
      <c r="A426" s="85"/>
      <c r="B426" s="86"/>
      <c r="C426" s="87"/>
      <c r="D426" s="88">
        <v>438</v>
      </c>
      <c r="E426" s="88">
        <v>270</v>
      </c>
      <c r="F426" s="89">
        <f t="shared" si="320"/>
        <v>10</v>
      </c>
      <c r="G426" s="90">
        <f t="shared" si="318"/>
        <v>12.881090089206941</v>
      </c>
      <c r="H426" s="90">
        <f t="shared" si="319"/>
        <v>28.32</v>
      </c>
      <c r="I426" s="91" t="str">
        <f t="shared" si="322"/>
        <v>10동2라인</v>
      </c>
      <c r="J426" s="92" t="s">
        <v>210</v>
      </c>
      <c r="L426" s="89">
        <v>2</v>
      </c>
      <c r="M426" s="78">
        <f t="shared" si="323"/>
        <v>5</v>
      </c>
      <c r="N426" s="78"/>
      <c r="O426" s="78">
        <f t="shared" si="321"/>
        <v>10</v>
      </c>
    </row>
    <row r="427" spans="1:16" ht="18" customHeight="1">
      <c r="A427" s="85"/>
      <c r="B427" s="86"/>
      <c r="C427" s="87"/>
      <c r="D427" s="88">
        <v>208</v>
      </c>
      <c r="E427" s="88">
        <v>910</v>
      </c>
      <c r="F427" s="89">
        <f t="shared" si="320"/>
        <v>10</v>
      </c>
      <c r="G427" s="90">
        <f t="shared" si="318"/>
        <v>20.616715136860222</v>
      </c>
      <c r="H427" s="90">
        <f t="shared" si="319"/>
        <v>44.72</v>
      </c>
      <c r="I427" s="91" t="str">
        <f t="shared" si="322"/>
        <v>10동2라인</v>
      </c>
      <c r="J427" s="92" t="s">
        <v>211</v>
      </c>
      <c r="L427" s="89">
        <v>2</v>
      </c>
      <c r="M427" s="78">
        <f>M426</f>
        <v>5</v>
      </c>
      <c r="N427" s="78"/>
      <c r="O427" s="78">
        <f t="shared" si="321"/>
        <v>10</v>
      </c>
    </row>
    <row r="428" spans="1:16" ht="18" customHeight="1">
      <c r="A428" s="85"/>
      <c r="B428" s="93"/>
      <c r="C428" s="87"/>
      <c r="D428" s="325" t="s">
        <v>0</v>
      </c>
      <c r="E428" s="325"/>
      <c r="F428" s="94">
        <f>SUM(F421:F427)</f>
        <v>75</v>
      </c>
      <c r="G428" s="95">
        <f>SUM(G421:G427)</f>
        <v>611.67314751277115</v>
      </c>
      <c r="H428" s="96">
        <f>SUM(H421:H427)</f>
        <v>503.12</v>
      </c>
      <c r="I428" s="97"/>
      <c r="J428" s="162"/>
    </row>
    <row r="429" spans="1:16" ht="18" customHeight="1">
      <c r="A429" s="85"/>
      <c r="B429" s="93"/>
      <c r="C429" s="87"/>
      <c r="D429" s="161"/>
      <c r="E429" s="161"/>
      <c r="F429" s="89"/>
      <c r="G429" s="100"/>
      <c r="H429" s="101"/>
      <c r="I429" s="102"/>
      <c r="J429" s="121"/>
      <c r="L429" s="78" t="s">
        <v>48</v>
      </c>
      <c r="M429" s="78" t="s">
        <v>54</v>
      </c>
      <c r="N429" s="78" t="s">
        <v>50</v>
      </c>
      <c r="O429" s="78" t="s">
        <v>55</v>
      </c>
    </row>
    <row r="430" spans="1:16" ht="18" customHeight="1">
      <c r="A430" s="85"/>
      <c r="B430" s="23" t="s">
        <v>197</v>
      </c>
      <c r="C430" s="24">
        <v>22</v>
      </c>
      <c r="D430" s="88">
        <v>761</v>
      </c>
      <c r="E430" s="88">
        <v>1810</v>
      </c>
      <c r="F430" s="89">
        <f t="shared" ref="F430:F436" si="324">O430</f>
        <v>10</v>
      </c>
      <c r="G430" s="90">
        <f t="shared" ref="G430:G436" si="325">D430*E430/91809*F430</f>
        <v>150.02995349039855</v>
      </c>
      <c r="H430" s="90">
        <f t="shared" ref="H430:H436" si="326">(D430/1000)*4*F430+(E430/1000)*4*F430</f>
        <v>102.84</v>
      </c>
      <c r="I430" s="91" t="str">
        <f t="shared" ref="I430:I436" si="327">I421</f>
        <v>10동2라인</v>
      </c>
      <c r="J430" s="92" t="s">
        <v>212</v>
      </c>
      <c r="L430" s="89">
        <v>2</v>
      </c>
      <c r="M430" s="78">
        <f>M421</f>
        <v>5</v>
      </c>
      <c r="N430" s="84"/>
      <c r="O430" s="78">
        <f>L430*M430-N430*L430</f>
        <v>10</v>
      </c>
    </row>
    <row r="431" spans="1:16" ht="18" customHeight="1">
      <c r="A431" s="85"/>
      <c r="B431" s="86"/>
      <c r="C431" s="87"/>
      <c r="D431" s="88">
        <v>1688</v>
      </c>
      <c r="E431" s="88">
        <v>1810</v>
      </c>
      <c r="F431" s="89">
        <f t="shared" si="324"/>
        <v>5</v>
      </c>
      <c r="G431" s="90">
        <f t="shared" si="325"/>
        <v>166.39327299066539</v>
      </c>
      <c r="H431" s="90">
        <f t="shared" si="326"/>
        <v>69.960000000000008</v>
      </c>
      <c r="I431" s="91" t="str">
        <f t="shared" si="327"/>
        <v>10동2라인</v>
      </c>
      <c r="J431" s="92" t="s">
        <v>213</v>
      </c>
      <c r="L431" s="89">
        <v>1</v>
      </c>
      <c r="M431" s="78">
        <f>M430</f>
        <v>5</v>
      </c>
      <c r="N431" s="84"/>
      <c r="O431" s="78">
        <f>L431*M431-N431*L431</f>
        <v>5</v>
      </c>
    </row>
    <row r="432" spans="1:16" ht="18" customHeight="1">
      <c r="A432" s="104"/>
      <c r="B432" s="93"/>
      <c r="C432" s="87"/>
      <c r="D432" s="88">
        <v>738</v>
      </c>
      <c r="E432" s="88">
        <v>1310</v>
      </c>
      <c r="F432" s="89">
        <f t="shared" si="324"/>
        <v>20</v>
      </c>
      <c r="G432" s="90">
        <f t="shared" si="325"/>
        <v>210.6068032545829</v>
      </c>
      <c r="H432" s="90">
        <f t="shared" si="326"/>
        <v>163.84</v>
      </c>
      <c r="I432" s="91" t="str">
        <f t="shared" si="327"/>
        <v>10동2라인</v>
      </c>
      <c r="J432" s="92" t="s">
        <v>214</v>
      </c>
      <c r="L432" s="89">
        <v>4</v>
      </c>
      <c r="M432" s="78">
        <f t="shared" ref="M432:M436" si="328">M431</f>
        <v>5</v>
      </c>
      <c r="N432" s="84"/>
      <c r="O432" s="78">
        <f t="shared" ref="O432:O436" si="329">L432*M432-N432*L432</f>
        <v>20</v>
      </c>
    </row>
    <row r="433" spans="1:16" ht="18" customHeight="1">
      <c r="A433" s="104"/>
      <c r="B433" s="93"/>
      <c r="C433" s="87"/>
      <c r="D433" s="88">
        <v>288</v>
      </c>
      <c r="E433" s="88">
        <v>910</v>
      </c>
      <c r="F433" s="89">
        <f t="shared" si="324"/>
        <v>10</v>
      </c>
      <c r="G433" s="90">
        <f t="shared" si="325"/>
        <v>28.546220958729535</v>
      </c>
      <c r="H433" s="90">
        <f t="shared" si="326"/>
        <v>47.92</v>
      </c>
      <c r="I433" s="91" t="str">
        <f t="shared" si="327"/>
        <v>10동2라인</v>
      </c>
      <c r="J433" s="92" t="s">
        <v>215</v>
      </c>
      <c r="L433" s="89">
        <v>2</v>
      </c>
      <c r="M433" s="78">
        <f t="shared" si="328"/>
        <v>5</v>
      </c>
      <c r="N433" s="78"/>
      <c r="O433" s="78">
        <f t="shared" si="329"/>
        <v>10</v>
      </c>
    </row>
    <row r="434" spans="1:16" ht="18" customHeight="1">
      <c r="A434" s="104"/>
      <c r="B434" s="93"/>
      <c r="C434" s="87"/>
      <c r="D434" s="88">
        <v>228</v>
      </c>
      <c r="E434" s="88">
        <v>910</v>
      </c>
      <c r="F434" s="89">
        <f t="shared" si="324"/>
        <v>10</v>
      </c>
      <c r="G434" s="90">
        <f t="shared" si="325"/>
        <v>22.59909159232755</v>
      </c>
      <c r="H434" s="90">
        <f t="shared" si="326"/>
        <v>45.519999999999996</v>
      </c>
      <c r="I434" s="91" t="str">
        <f t="shared" si="327"/>
        <v>10동2라인</v>
      </c>
      <c r="J434" s="92" t="s">
        <v>216</v>
      </c>
      <c r="L434" s="89">
        <v>2</v>
      </c>
      <c r="M434" s="78">
        <f t="shared" si="328"/>
        <v>5</v>
      </c>
      <c r="N434" s="78"/>
      <c r="O434" s="78">
        <f t="shared" si="329"/>
        <v>10</v>
      </c>
    </row>
    <row r="435" spans="1:16" ht="18" customHeight="1">
      <c r="A435" s="104"/>
      <c r="B435" s="93"/>
      <c r="C435" s="87"/>
      <c r="D435" s="88">
        <v>438</v>
      </c>
      <c r="E435" s="88">
        <v>270</v>
      </c>
      <c r="F435" s="89">
        <f t="shared" si="324"/>
        <v>10</v>
      </c>
      <c r="G435" s="90">
        <f t="shared" si="325"/>
        <v>12.881090089206941</v>
      </c>
      <c r="H435" s="90">
        <f t="shared" si="326"/>
        <v>28.32</v>
      </c>
      <c r="I435" s="91" t="str">
        <f t="shared" si="327"/>
        <v>10동2라인</v>
      </c>
      <c r="J435" s="92" t="s">
        <v>217</v>
      </c>
      <c r="L435" s="89">
        <v>2</v>
      </c>
      <c r="M435" s="78">
        <f t="shared" si="328"/>
        <v>5</v>
      </c>
      <c r="N435" s="78"/>
      <c r="O435" s="78">
        <f t="shared" si="329"/>
        <v>10</v>
      </c>
    </row>
    <row r="436" spans="1:16" ht="18" customHeight="1">
      <c r="A436" s="104"/>
      <c r="B436" s="93"/>
      <c r="C436" s="87"/>
      <c r="D436" s="88">
        <v>208</v>
      </c>
      <c r="E436" s="88">
        <v>910</v>
      </c>
      <c r="F436" s="89">
        <f t="shared" si="324"/>
        <v>10</v>
      </c>
      <c r="G436" s="90">
        <f t="shared" si="325"/>
        <v>20.616715136860222</v>
      </c>
      <c r="H436" s="90">
        <f t="shared" si="326"/>
        <v>44.72</v>
      </c>
      <c r="I436" s="91" t="str">
        <f t="shared" si="327"/>
        <v>10동2라인</v>
      </c>
      <c r="J436" s="92" t="s">
        <v>218</v>
      </c>
      <c r="L436" s="89">
        <v>2</v>
      </c>
      <c r="M436" s="78">
        <f t="shared" si="328"/>
        <v>5</v>
      </c>
      <c r="N436" s="78"/>
      <c r="O436" s="78">
        <f t="shared" si="329"/>
        <v>10</v>
      </c>
    </row>
    <row r="437" spans="1:16" ht="18" customHeight="1">
      <c r="A437" s="104"/>
      <c r="B437" s="87"/>
      <c r="C437" s="87"/>
      <c r="D437" s="325" t="s">
        <v>0</v>
      </c>
      <c r="E437" s="325"/>
      <c r="F437" s="171">
        <f>SUM(F430:F436)</f>
        <v>75</v>
      </c>
      <c r="G437" s="95">
        <f>SUM(G430:G436)</f>
        <v>611.67314751277115</v>
      </c>
      <c r="H437" s="95">
        <f>SUM(H430:H436)</f>
        <v>503.12</v>
      </c>
      <c r="I437" s="97"/>
      <c r="J437" s="98"/>
    </row>
    <row r="438" spans="1:16">
      <c r="A438" s="105"/>
      <c r="B438" s="9"/>
      <c r="C438" s="9"/>
      <c r="D438" s="51"/>
      <c r="E438" s="51"/>
      <c r="F438" s="51"/>
      <c r="G438" s="106"/>
      <c r="H438" s="106"/>
      <c r="I438" s="9"/>
      <c r="J438" s="107"/>
    </row>
    <row r="439" spans="1:16" ht="18" customHeight="1">
      <c r="A439" s="85"/>
      <c r="B439" s="163" t="s">
        <v>199</v>
      </c>
      <c r="C439" s="163">
        <v>22</v>
      </c>
      <c r="D439" s="88">
        <v>738</v>
      </c>
      <c r="E439" s="88">
        <v>1810</v>
      </c>
      <c r="F439" s="89">
        <f t="shared" ref="F439:F440" si="330">O439</f>
        <v>0</v>
      </c>
      <c r="G439" s="90">
        <f t="shared" ref="G439:G440" si="331">D439*E439/91809*F439</f>
        <v>0</v>
      </c>
      <c r="H439" s="90">
        <f t="shared" ref="H439:H440" si="332">(D439/1000)*4*F439+(E439/1000)*4*F439</f>
        <v>0</v>
      </c>
      <c r="I439" s="91" t="str">
        <f>I430</f>
        <v>10동2라인</v>
      </c>
      <c r="J439" s="92" t="s">
        <v>219</v>
      </c>
      <c r="L439" s="89">
        <v>2</v>
      </c>
      <c r="M439" s="78">
        <f>M421</f>
        <v>5</v>
      </c>
      <c r="N439" s="84">
        <v>5</v>
      </c>
      <c r="O439" s="78">
        <f>L439*M439-N439*L439</f>
        <v>0</v>
      </c>
      <c r="P439" s="64" t="s">
        <v>247</v>
      </c>
    </row>
    <row r="440" spans="1:16" ht="18" customHeight="1">
      <c r="A440" s="85"/>
      <c r="B440" s="86"/>
      <c r="C440" s="87"/>
      <c r="D440" s="88">
        <v>250</v>
      </c>
      <c r="E440" s="88">
        <v>930</v>
      </c>
      <c r="F440" s="89">
        <f t="shared" si="330"/>
        <v>10</v>
      </c>
      <c r="G440" s="90">
        <f t="shared" si="331"/>
        <v>25.324314609678787</v>
      </c>
      <c r="H440" s="90">
        <f t="shared" si="332"/>
        <v>47.2</v>
      </c>
      <c r="I440" s="91" t="str">
        <f>I439</f>
        <v>10동2라인</v>
      </c>
      <c r="J440" s="92" t="s">
        <v>220</v>
      </c>
      <c r="L440" s="89">
        <v>2</v>
      </c>
      <c r="M440" s="78">
        <f>M439</f>
        <v>5</v>
      </c>
      <c r="N440" s="84"/>
      <c r="O440" s="78">
        <f t="shared" ref="O440" si="333">L440*M440-N440*L440</f>
        <v>10</v>
      </c>
    </row>
    <row r="441" spans="1:16" ht="18" customHeight="1">
      <c r="A441" s="85"/>
      <c r="B441" s="93"/>
      <c r="C441" s="87"/>
      <c r="D441" s="325" t="s">
        <v>0</v>
      </c>
      <c r="E441" s="325"/>
      <c r="F441" s="94">
        <f>SUM(F439:F440)</f>
        <v>10</v>
      </c>
      <c r="G441" s="95">
        <f>SUM(G439:G440)</f>
        <v>25.324314609678787</v>
      </c>
      <c r="H441" s="95">
        <f>SUM(H439:H440)</f>
        <v>47.2</v>
      </c>
      <c r="I441" s="97"/>
      <c r="J441" s="98"/>
    </row>
    <row r="442" spans="1:16">
      <c r="A442" s="236"/>
      <c r="B442" s="237"/>
      <c r="C442" s="238"/>
      <c r="D442" s="362"/>
      <c r="E442" s="362"/>
      <c r="F442" s="239"/>
      <c r="G442" s="240"/>
      <c r="H442" s="241"/>
      <c r="I442" s="242"/>
      <c r="J442" s="243"/>
    </row>
    <row r="443" spans="1:16" ht="18" customHeight="1">
      <c r="A443" s="244" t="s">
        <v>234</v>
      </c>
      <c r="B443" s="23" t="s">
        <v>195</v>
      </c>
      <c r="C443" s="24">
        <v>22</v>
      </c>
      <c r="D443" s="88">
        <v>761</v>
      </c>
      <c r="E443" s="88">
        <v>1810</v>
      </c>
      <c r="F443" s="89">
        <f>O443</f>
        <v>10</v>
      </c>
      <c r="G443" s="90">
        <f t="shared" ref="G443:G449" si="334">D443*E443/91809*F443</f>
        <v>150.02995349039855</v>
      </c>
      <c r="H443" s="90">
        <f t="shared" ref="H443:H449" si="335">(D443/1000)*4*F443+(E443/1000)*4*F443</f>
        <v>102.84</v>
      </c>
      <c r="I443" s="91" t="s">
        <v>262</v>
      </c>
      <c r="J443" s="92" t="s">
        <v>205</v>
      </c>
      <c r="L443" s="89">
        <v>2</v>
      </c>
      <c r="M443" s="78">
        <v>5</v>
      </c>
      <c r="N443" s="84"/>
      <c r="O443" s="78">
        <f>L443*M443-N443*L443</f>
        <v>10</v>
      </c>
      <c r="P443" s="64"/>
    </row>
    <row r="444" spans="1:16" ht="18" customHeight="1">
      <c r="A444" s="85"/>
      <c r="B444" s="86"/>
      <c r="C444" s="87"/>
      <c r="D444" s="88">
        <v>1688</v>
      </c>
      <c r="E444" s="88">
        <v>1810</v>
      </c>
      <c r="F444" s="89">
        <f t="shared" ref="F444:F449" si="336">O444</f>
        <v>5</v>
      </c>
      <c r="G444" s="90">
        <f t="shared" si="334"/>
        <v>166.39327299066539</v>
      </c>
      <c r="H444" s="90">
        <f t="shared" si="335"/>
        <v>69.960000000000008</v>
      </c>
      <c r="I444" s="91" t="str">
        <f>I443</f>
        <v>10동3라인</v>
      </c>
      <c r="J444" s="92" t="s">
        <v>206</v>
      </c>
      <c r="L444" s="89">
        <v>1</v>
      </c>
      <c r="M444" s="78">
        <f>M443</f>
        <v>5</v>
      </c>
      <c r="N444" s="84"/>
      <c r="O444" s="78">
        <f t="shared" ref="O444:O449" si="337">L444*M444-N444*L444</f>
        <v>5</v>
      </c>
    </row>
    <row r="445" spans="1:16" ht="18" customHeight="1">
      <c r="A445" s="85"/>
      <c r="B445" s="86"/>
      <c r="C445" s="87"/>
      <c r="D445" s="88">
        <v>738</v>
      </c>
      <c r="E445" s="88">
        <v>1310</v>
      </c>
      <c r="F445" s="89">
        <f t="shared" si="336"/>
        <v>20</v>
      </c>
      <c r="G445" s="90">
        <f t="shared" si="334"/>
        <v>210.6068032545829</v>
      </c>
      <c r="H445" s="90">
        <f t="shared" si="335"/>
        <v>163.84</v>
      </c>
      <c r="I445" s="91" t="str">
        <f t="shared" ref="I445:I449" si="338">I444</f>
        <v>10동3라인</v>
      </c>
      <c r="J445" s="92" t="s">
        <v>207</v>
      </c>
      <c r="L445" s="89">
        <v>4</v>
      </c>
      <c r="M445" s="78">
        <f t="shared" ref="M445:M448" si="339">M444</f>
        <v>5</v>
      </c>
      <c r="N445" s="78"/>
      <c r="O445" s="78">
        <f t="shared" si="337"/>
        <v>20</v>
      </c>
    </row>
    <row r="446" spans="1:16" ht="18" customHeight="1">
      <c r="A446" s="85"/>
      <c r="B446" s="86"/>
      <c r="C446" s="87"/>
      <c r="D446" s="88">
        <v>288</v>
      </c>
      <c r="E446" s="88">
        <v>910</v>
      </c>
      <c r="F446" s="89">
        <f t="shared" si="336"/>
        <v>10</v>
      </c>
      <c r="G446" s="90">
        <f t="shared" si="334"/>
        <v>28.546220958729535</v>
      </c>
      <c r="H446" s="90">
        <f t="shared" si="335"/>
        <v>47.92</v>
      </c>
      <c r="I446" s="91" t="str">
        <f t="shared" si="338"/>
        <v>10동3라인</v>
      </c>
      <c r="J446" s="92" t="s">
        <v>208</v>
      </c>
      <c r="L446" s="89">
        <v>2</v>
      </c>
      <c r="M446" s="78">
        <f t="shared" si="339"/>
        <v>5</v>
      </c>
      <c r="N446" s="78"/>
      <c r="O446" s="78">
        <f t="shared" si="337"/>
        <v>10</v>
      </c>
    </row>
    <row r="447" spans="1:16" ht="18" customHeight="1">
      <c r="A447" s="85"/>
      <c r="B447" s="86"/>
      <c r="C447" s="87"/>
      <c r="D447" s="88">
        <v>228</v>
      </c>
      <c r="E447" s="88">
        <v>910</v>
      </c>
      <c r="F447" s="89">
        <f t="shared" si="336"/>
        <v>10</v>
      </c>
      <c r="G447" s="90">
        <f t="shared" si="334"/>
        <v>22.59909159232755</v>
      </c>
      <c r="H447" s="90">
        <f t="shared" si="335"/>
        <v>45.519999999999996</v>
      </c>
      <c r="I447" s="91" t="str">
        <f t="shared" si="338"/>
        <v>10동3라인</v>
      </c>
      <c r="J447" s="92" t="s">
        <v>209</v>
      </c>
      <c r="L447" s="89">
        <v>2</v>
      </c>
      <c r="M447" s="78">
        <f t="shared" si="339"/>
        <v>5</v>
      </c>
      <c r="N447" s="78"/>
      <c r="O447" s="78">
        <f t="shared" si="337"/>
        <v>10</v>
      </c>
    </row>
    <row r="448" spans="1:16" ht="18" customHeight="1">
      <c r="A448" s="85"/>
      <c r="B448" s="86"/>
      <c r="C448" s="87"/>
      <c r="D448" s="88">
        <v>438</v>
      </c>
      <c r="E448" s="88">
        <v>270</v>
      </c>
      <c r="F448" s="89">
        <f t="shared" si="336"/>
        <v>10</v>
      </c>
      <c r="G448" s="90">
        <f t="shared" si="334"/>
        <v>12.881090089206941</v>
      </c>
      <c r="H448" s="90">
        <f t="shared" si="335"/>
        <v>28.32</v>
      </c>
      <c r="I448" s="91" t="str">
        <f t="shared" si="338"/>
        <v>10동3라인</v>
      </c>
      <c r="J448" s="92" t="s">
        <v>210</v>
      </c>
      <c r="L448" s="89">
        <v>2</v>
      </c>
      <c r="M448" s="78">
        <f t="shared" si="339"/>
        <v>5</v>
      </c>
      <c r="N448" s="78"/>
      <c r="O448" s="78">
        <f t="shared" si="337"/>
        <v>10</v>
      </c>
    </row>
    <row r="449" spans="1:16" ht="18" customHeight="1">
      <c r="A449" s="85"/>
      <c r="B449" s="86"/>
      <c r="C449" s="87"/>
      <c r="D449" s="88">
        <v>208</v>
      </c>
      <c r="E449" s="88">
        <v>910</v>
      </c>
      <c r="F449" s="89">
        <f t="shared" si="336"/>
        <v>10</v>
      </c>
      <c r="G449" s="90">
        <f t="shared" si="334"/>
        <v>20.616715136860222</v>
      </c>
      <c r="H449" s="90">
        <f t="shared" si="335"/>
        <v>44.72</v>
      </c>
      <c r="I449" s="91" t="str">
        <f t="shared" si="338"/>
        <v>10동3라인</v>
      </c>
      <c r="J449" s="92" t="s">
        <v>211</v>
      </c>
      <c r="L449" s="89">
        <v>2</v>
      </c>
      <c r="M449" s="78">
        <f>M448</f>
        <v>5</v>
      </c>
      <c r="N449" s="78"/>
      <c r="O449" s="78">
        <f t="shared" si="337"/>
        <v>10</v>
      </c>
    </row>
    <row r="450" spans="1:16" ht="18" customHeight="1">
      <c r="A450" s="85"/>
      <c r="B450" s="93"/>
      <c r="C450" s="87"/>
      <c r="D450" s="325" t="s">
        <v>0</v>
      </c>
      <c r="E450" s="325"/>
      <c r="F450" s="94">
        <f>SUM(F443:F449)</f>
        <v>75</v>
      </c>
      <c r="G450" s="95">
        <f>SUM(G443:G449)</f>
        <v>611.67314751277115</v>
      </c>
      <c r="H450" s="96">
        <f>SUM(H443:H449)</f>
        <v>503.12</v>
      </c>
      <c r="I450" s="97"/>
      <c r="J450" s="162"/>
    </row>
    <row r="451" spans="1:16" ht="18" customHeight="1">
      <c r="A451" s="85"/>
      <c r="B451" s="93"/>
      <c r="C451" s="87"/>
      <c r="D451" s="161"/>
      <c r="E451" s="161"/>
      <c r="F451" s="89"/>
      <c r="G451" s="100"/>
      <c r="H451" s="101"/>
      <c r="I451" s="102"/>
      <c r="J451" s="121"/>
      <c r="L451" s="78" t="s">
        <v>48</v>
      </c>
      <c r="M451" s="78" t="s">
        <v>54</v>
      </c>
      <c r="N451" s="78" t="s">
        <v>50</v>
      </c>
      <c r="O451" s="78" t="s">
        <v>55</v>
      </c>
    </row>
    <row r="452" spans="1:16" ht="18" customHeight="1">
      <c r="A452" s="85"/>
      <c r="B452" s="23" t="s">
        <v>197</v>
      </c>
      <c r="C452" s="24">
        <v>22</v>
      </c>
      <c r="D452" s="88">
        <v>761</v>
      </c>
      <c r="E452" s="88">
        <v>1810</v>
      </c>
      <c r="F452" s="89">
        <f t="shared" ref="F452:F458" si="340">O452</f>
        <v>10</v>
      </c>
      <c r="G452" s="90">
        <f t="shared" ref="G452:G458" si="341">D452*E452/91809*F452</f>
        <v>150.02995349039855</v>
      </c>
      <c r="H452" s="90">
        <f t="shared" ref="H452:H458" si="342">(D452/1000)*4*F452+(E452/1000)*4*F452</f>
        <v>102.84</v>
      </c>
      <c r="I452" s="91" t="str">
        <f t="shared" ref="I452:I458" si="343">I443</f>
        <v>10동3라인</v>
      </c>
      <c r="J452" s="92" t="s">
        <v>212</v>
      </c>
      <c r="L452" s="89">
        <v>2</v>
      </c>
      <c r="M452" s="78">
        <f>M443</f>
        <v>5</v>
      </c>
      <c r="N452" s="84"/>
      <c r="O452" s="78">
        <f>L452*M452-N452*L452</f>
        <v>10</v>
      </c>
    </row>
    <row r="453" spans="1:16" ht="18" customHeight="1">
      <c r="A453" s="85"/>
      <c r="B453" s="86"/>
      <c r="C453" s="87"/>
      <c r="D453" s="88">
        <v>1688</v>
      </c>
      <c r="E453" s="88">
        <v>1810</v>
      </c>
      <c r="F453" s="89">
        <f t="shared" si="340"/>
        <v>5</v>
      </c>
      <c r="G453" s="90">
        <f t="shared" si="341"/>
        <v>166.39327299066539</v>
      </c>
      <c r="H453" s="90">
        <f t="shared" si="342"/>
        <v>69.960000000000008</v>
      </c>
      <c r="I453" s="91" t="str">
        <f t="shared" si="343"/>
        <v>10동3라인</v>
      </c>
      <c r="J453" s="92" t="s">
        <v>213</v>
      </c>
      <c r="L453" s="89">
        <v>1</v>
      </c>
      <c r="M453" s="78">
        <f>M452</f>
        <v>5</v>
      </c>
      <c r="N453" s="84"/>
      <c r="O453" s="78">
        <f>L453*M453-N453*L453</f>
        <v>5</v>
      </c>
    </row>
    <row r="454" spans="1:16" ht="18" customHeight="1">
      <c r="A454" s="104"/>
      <c r="B454" s="93"/>
      <c r="C454" s="87"/>
      <c r="D454" s="88">
        <v>738</v>
      </c>
      <c r="E454" s="88">
        <v>1310</v>
      </c>
      <c r="F454" s="89">
        <f t="shared" si="340"/>
        <v>20</v>
      </c>
      <c r="G454" s="90">
        <f t="shared" si="341"/>
        <v>210.6068032545829</v>
      </c>
      <c r="H454" s="90">
        <f t="shared" si="342"/>
        <v>163.84</v>
      </c>
      <c r="I454" s="91" t="str">
        <f t="shared" si="343"/>
        <v>10동3라인</v>
      </c>
      <c r="J454" s="92" t="s">
        <v>214</v>
      </c>
      <c r="L454" s="89">
        <v>4</v>
      </c>
      <c r="M454" s="78">
        <f t="shared" ref="M454:M458" si="344">M453</f>
        <v>5</v>
      </c>
      <c r="N454" s="84"/>
      <c r="O454" s="78">
        <f t="shared" ref="O454:O458" si="345">L454*M454-N454*L454</f>
        <v>20</v>
      </c>
    </row>
    <row r="455" spans="1:16" ht="18" customHeight="1">
      <c r="A455" s="104"/>
      <c r="B455" s="93"/>
      <c r="C455" s="87"/>
      <c r="D455" s="88">
        <v>288</v>
      </c>
      <c r="E455" s="88">
        <v>910</v>
      </c>
      <c r="F455" s="89">
        <f t="shared" si="340"/>
        <v>10</v>
      </c>
      <c r="G455" s="90">
        <f t="shared" si="341"/>
        <v>28.546220958729535</v>
      </c>
      <c r="H455" s="90">
        <f t="shared" si="342"/>
        <v>47.92</v>
      </c>
      <c r="I455" s="91" t="str">
        <f t="shared" si="343"/>
        <v>10동3라인</v>
      </c>
      <c r="J455" s="92" t="s">
        <v>215</v>
      </c>
      <c r="L455" s="89">
        <v>2</v>
      </c>
      <c r="M455" s="78">
        <f t="shared" si="344"/>
        <v>5</v>
      </c>
      <c r="N455" s="78"/>
      <c r="O455" s="78">
        <f t="shared" si="345"/>
        <v>10</v>
      </c>
    </row>
    <row r="456" spans="1:16" ht="18" customHeight="1">
      <c r="A456" s="104"/>
      <c r="B456" s="93"/>
      <c r="C456" s="87"/>
      <c r="D456" s="88">
        <v>228</v>
      </c>
      <c r="E456" s="88">
        <v>910</v>
      </c>
      <c r="F456" s="89">
        <f t="shared" si="340"/>
        <v>10</v>
      </c>
      <c r="G456" s="90">
        <f t="shared" si="341"/>
        <v>22.59909159232755</v>
      </c>
      <c r="H456" s="90">
        <f t="shared" si="342"/>
        <v>45.519999999999996</v>
      </c>
      <c r="I456" s="91" t="str">
        <f t="shared" si="343"/>
        <v>10동3라인</v>
      </c>
      <c r="J456" s="92" t="s">
        <v>216</v>
      </c>
      <c r="L456" s="89">
        <v>2</v>
      </c>
      <c r="M456" s="78">
        <f t="shared" si="344"/>
        <v>5</v>
      </c>
      <c r="N456" s="78"/>
      <c r="O456" s="78">
        <f t="shared" si="345"/>
        <v>10</v>
      </c>
    </row>
    <row r="457" spans="1:16" ht="18" customHeight="1">
      <c r="A457" s="104"/>
      <c r="B457" s="93"/>
      <c r="C457" s="87"/>
      <c r="D457" s="88">
        <v>438</v>
      </c>
      <c r="E457" s="88">
        <v>270</v>
      </c>
      <c r="F457" s="89">
        <f t="shared" si="340"/>
        <v>10</v>
      </c>
      <c r="G457" s="90">
        <f t="shared" si="341"/>
        <v>12.881090089206941</v>
      </c>
      <c r="H457" s="90">
        <f t="shared" si="342"/>
        <v>28.32</v>
      </c>
      <c r="I457" s="91" t="str">
        <f t="shared" si="343"/>
        <v>10동3라인</v>
      </c>
      <c r="J457" s="92" t="s">
        <v>217</v>
      </c>
      <c r="L457" s="89">
        <v>2</v>
      </c>
      <c r="M457" s="78">
        <f t="shared" si="344"/>
        <v>5</v>
      </c>
      <c r="N457" s="78"/>
      <c r="O457" s="78">
        <f t="shared" si="345"/>
        <v>10</v>
      </c>
    </row>
    <row r="458" spans="1:16" ht="18" customHeight="1">
      <c r="A458" s="104"/>
      <c r="B458" s="93"/>
      <c r="C458" s="87"/>
      <c r="D458" s="88">
        <v>208</v>
      </c>
      <c r="E458" s="88">
        <v>910</v>
      </c>
      <c r="F458" s="89">
        <f t="shared" si="340"/>
        <v>10</v>
      </c>
      <c r="G458" s="90">
        <f t="shared" si="341"/>
        <v>20.616715136860222</v>
      </c>
      <c r="H458" s="90">
        <f t="shared" si="342"/>
        <v>44.72</v>
      </c>
      <c r="I458" s="91" t="str">
        <f t="shared" si="343"/>
        <v>10동3라인</v>
      </c>
      <c r="J458" s="92" t="s">
        <v>218</v>
      </c>
      <c r="L458" s="89">
        <v>2</v>
      </c>
      <c r="M458" s="78">
        <f t="shared" si="344"/>
        <v>5</v>
      </c>
      <c r="N458" s="78"/>
      <c r="O458" s="78">
        <f t="shared" si="345"/>
        <v>10</v>
      </c>
    </row>
    <row r="459" spans="1:16" ht="18" customHeight="1">
      <c r="A459" s="104"/>
      <c r="B459" s="87"/>
      <c r="C459" s="87"/>
      <c r="D459" s="325" t="s">
        <v>0</v>
      </c>
      <c r="E459" s="325"/>
      <c r="F459" s="171">
        <f>SUM(F452:F458)</f>
        <v>75</v>
      </c>
      <c r="G459" s="95">
        <f>SUM(G452:G458)</f>
        <v>611.67314751277115</v>
      </c>
      <c r="H459" s="95">
        <f>SUM(H452:H458)</f>
        <v>503.12</v>
      </c>
      <c r="I459" s="97"/>
      <c r="J459" s="98"/>
    </row>
    <row r="460" spans="1:16">
      <c r="A460" s="105"/>
      <c r="B460" s="9"/>
      <c r="C460" s="9"/>
      <c r="D460" s="51"/>
      <c r="E460" s="51"/>
      <c r="F460" s="51"/>
      <c r="G460" s="106"/>
      <c r="H460" s="106"/>
      <c r="I460" s="9"/>
      <c r="J460" s="107"/>
    </row>
    <row r="461" spans="1:16" ht="18" customHeight="1">
      <c r="A461" s="85"/>
      <c r="B461" s="163" t="s">
        <v>199</v>
      </c>
      <c r="C461" s="163">
        <v>22</v>
      </c>
      <c r="D461" s="88">
        <v>738</v>
      </c>
      <c r="E461" s="88">
        <v>1810</v>
      </c>
      <c r="F461" s="89">
        <f t="shared" ref="F461:F462" si="346">O461</f>
        <v>10</v>
      </c>
      <c r="G461" s="90">
        <f t="shared" ref="G461:G462" si="347">D461*E461/91809*F461</f>
        <v>145.4955396529752</v>
      </c>
      <c r="H461" s="90">
        <f t="shared" ref="H461:H462" si="348">(D461/1000)*4*F461+(E461/1000)*4*F461</f>
        <v>101.92</v>
      </c>
      <c r="I461" s="91" t="str">
        <f>I452</f>
        <v>10동3라인</v>
      </c>
      <c r="J461" s="92" t="s">
        <v>219</v>
      </c>
      <c r="L461" s="89">
        <v>2</v>
      </c>
      <c r="M461" s="78">
        <f>M443</f>
        <v>5</v>
      </c>
      <c r="N461" s="84"/>
      <c r="O461" s="78">
        <f>L461*M461-N461*L461</f>
        <v>10</v>
      </c>
      <c r="P461" s="64"/>
    </row>
    <row r="462" spans="1:16" ht="18" customHeight="1">
      <c r="A462" s="85"/>
      <c r="B462" s="86"/>
      <c r="C462" s="87"/>
      <c r="D462" s="88">
        <v>250</v>
      </c>
      <c r="E462" s="88">
        <v>930</v>
      </c>
      <c r="F462" s="89">
        <f t="shared" si="346"/>
        <v>10</v>
      </c>
      <c r="G462" s="90">
        <f t="shared" si="347"/>
        <v>25.324314609678787</v>
      </c>
      <c r="H462" s="90">
        <f t="shared" si="348"/>
        <v>47.2</v>
      </c>
      <c r="I462" s="91" t="str">
        <f>I461</f>
        <v>10동3라인</v>
      </c>
      <c r="J462" s="92" t="s">
        <v>220</v>
      </c>
      <c r="L462" s="89">
        <v>2</v>
      </c>
      <c r="M462" s="78">
        <f>M461</f>
        <v>5</v>
      </c>
      <c r="N462" s="84"/>
      <c r="O462" s="78">
        <f t="shared" ref="O462" si="349">L462*M462-N462*L462</f>
        <v>10</v>
      </c>
    </row>
    <row r="463" spans="1:16" ht="18" customHeight="1" thickBot="1">
      <c r="A463" s="222"/>
      <c r="B463" s="223"/>
      <c r="C463" s="224"/>
      <c r="D463" s="364" t="s">
        <v>0</v>
      </c>
      <c r="E463" s="364"/>
      <c r="F463" s="269">
        <f>SUM(F461:F462)</f>
        <v>20</v>
      </c>
      <c r="G463" s="270">
        <f>SUM(G461:G462)</f>
        <v>170.81985426265399</v>
      </c>
      <c r="H463" s="270">
        <f>SUM(H461:H462)</f>
        <v>149.12</v>
      </c>
      <c r="I463" s="271"/>
      <c r="J463" s="272"/>
    </row>
    <row r="464" spans="1:16" ht="18" customHeight="1">
      <c r="A464" s="79" t="s">
        <v>235</v>
      </c>
      <c r="B464" s="231" t="s">
        <v>196</v>
      </c>
      <c r="C464" s="232">
        <v>22</v>
      </c>
      <c r="D464" s="80">
        <v>861</v>
      </c>
      <c r="E464" s="80">
        <v>1810</v>
      </c>
      <c r="F464" s="233">
        <f t="shared" ref="F464:F467" si="350">O464</f>
        <v>5</v>
      </c>
      <c r="G464" s="81">
        <f t="shared" ref="G464:G467" si="351">D464*E464/91809*F464</f>
        <v>84.872398130902198</v>
      </c>
      <c r="H464" s="81">
        <f t="shared" ref="H464:H467" si="352">(D464/1000)*4*F464+(E464/1000)*4*F464</f>
        <v>53.42</v>
      </c>
      <c r="I464" s="82" t="s">
        <v>263</v>
      </c>
      <c r="J464" s="83" t="s">
        <v>205</v>
      </c>
      <c r="L464" s="89">
        <v>1</v>
      </c>
      <c r="M464" s="78">
        <v>5</v>
      </c>
      <c r="N464" s="84"/>
      <c r="O464" s="78">
        <f>L464*M464-N464*L464</f>
        <v>5</v>
      </c>
      <c r="P464" s="64"/>
    </row>
    <row r="465" spans="1:16" ht="18" customHeight="1">
      <c r="A465" s="85"/>
      <c r="B465" s="86"/>
      <c r="C465" s="87"/>
      <c r="D465" s="88">
        <v>738</v>
      </c>
      <c r="E465" s="88">
        <v>1310</v>
      </c>
      <c r="F465" s="89">
        <f t="shared" si="350"/>
        <v>20</v>
      </c>
      <c r="G465" s="90">
        <f t="shared" si="351"/>
        <v>210.6068032545829</v>
      </c>
      <c r="H465" s="90">
        <f t="shared" si="352"/>
        <v>163.84</v>
      </c>
      <c r="I465" s="91" t="str">
        <f>I464</f>
        <v>10동4라인</v>
      </c>
      <c r="J465" s="92" t="s">
        <v>207</v>
      </c>
      <c r="L465" s="89">
        <v>4</v>
      </c>
      <c r="M465" s="78">
        <f>M464</f>
        <v>5</v>
      </c>
      <c r="N465" s="84"/>
      <c r="O465" s="78">
        <f t="shared" ref="O465:O467" si="353">L465*M465-N465*L465</f>
        <v>20</v>
      </c>
    </row>
    <row r="466" spans="1:16" ht="18" customHeight="1">
      <c r="A466" s="85"/>
      <c r="B466" s="86"/>
      <c r="C466" s="87"/>
      <c r="D466" s="88">
        <v>228</v>
      </c>
      <c r="E466" s="88">
        <v>910</v>
      </c>
      <c r="F466" s="89">
        <f t="shared" si="350"/>
        <v>10</v>
      </c>
      <c r="G466" s="90">
        <f t="shared" si="351"/>
        <v>22.59909159232755</v>
      </c>
      <c r="H466" s="90">
        <f t="shared" si="352"/>
        <v>45.519999999999996</v>
      </c>
      <c r="I466" s="91" t="str">
        <f t="shared" ref="I466:I467" si="354">I465</f>
        <v>10동4라인</v>
      </c>
      <c r="J466" s="92" t="s">
        <v>209</v>
      </c>
      <c r="L466" s="89">
        <v>2</v>
      </c>
      <c r="M466" s="78">
        <f t="shared" ref="M466:M467" si="355">M465</f>
        <v>5</v>
      </c>
      <c r="N466" s="78"/>
      <c r="O466" s="78">
        <f t="shared" si="353"/>
        <v>10</v>
      </c>
    </row>
    <row r="467" spans="1:16" ht="18" customHeight="1">
      <c r="A467" s="85"/>
      <c r="B467" s="86"/>
      <c r="C467" s="87"/>
      <c r="D467" s="88">
        <v>438</v>
      </c>
      <c r="E467" s="88">
        <v>270</v>
      </c>
      <c r="F467" s="89">
        <f t="shared" si="350"/>
        <v>10</v>
      </c>
      <c r="G467" s="90">
        <f t="shared" si="351"/>
        <v>12.881090089206941</v>
      </c>
      <c r="H467" s="90">
        <f t="shared" si="352"/>
        <v>28.32</v>
      </c>
      <c r="I467" s="91" t="str">
        <f t="shared" si="354"/>
        <v>10동4라인</v>
      </c>
      <c r="J467" s="92" t="s">
        <v>210</v>
      </c>
      <c r="L467" s="89">
        <v>2</v>
      </c>
      <c r="M467" s="78">
        <f t="shared" si="355"/>
        <v>5</v>
      </c>
      <c r="N467" s="78"/>
      <c r="O467" s="78">
        <f t="shared" si="353"/>
        <v>10</v>
      </c>
    </row>
    <row r="468" spans="1:16" ht="18" customHeight="1">
      <c r="A468" s="85"/>
      <c r="B468" s="93"/>
      <c r="C468" s="87"/>
      <c r="D468" s="325" t="s">
        <v>0</v>
      </c>
      <c r="E468" s="325"/>
      <c r="F468" s="94">
        <f>SUM(F464:F467)</f>
        <v>45</v>
      </c>
      <c r="G468" s="95">
        <f>SUM(G464:G467)</f>
        <v>330.95938306701964</v>
      </c>
      <c r="H468" s="96">
        <f>SUM(H464:H467)</f>
        <v>291.09999999999997</v>
      </c>
      <c r="I468" s="97"/>
      <c r="J468" s="162"/>
    </row>
    <row r="469" spans="1:16" ht="18" customHeight="1">
      <c r="A469" s="85"/>
      <c r="B469" s="93"/>
      <c r="C469" s="87"/>
      <c r="D469" s="161"/>
      <c r="E469" s="161"/>
      <c r="F469" s="89"/>
      <c r="G469" s="100"/>
      <c r="H469" s="101"/>
      <c r="I469" s="102"/>
      <c r="J469" s="121"/>
      <c r="L469" s="252"/>
      <c r="M469" s="252"/>
      <c r="N469" s="252"/>
      <c r="O469" s="252"/>
    </row>
    <row r="470" spans="1:16" ht="18" customHeight="1">
      <c r="A470" s="85"/>
      <c r="B470" s="23" t="s">
        <v>198</v>
      </c>
      <c r="C470" s="24">
        <v>22</v>
      </c>
      <c r="D470" s="88">
        <v>861</v>
      </c>
      <c r="E470" s="88">
        <v>1810</v>
      </c>
      <c r="F470" s="89">
        <f t="shared" ref="F470:F474" si="356">O470</f>
        <v>5</v>
      </c>
      <c r="G470" s="90">
        <f t="shared" ref="G470:G474" si="357">D470*E470/91809*F470</f>
        <v>84.872398130902198</v>
      </c>
      <c r="H470" s="90">
        <f t="shared" ref="H470:H474" si="358">(D470/1000)*4*F470+(E470/1000)*4*F470</f>
        <v>53.42</v>
      </c>
      <c r="I470" s="103" t="str">
        <f>I464</f>
        <v>10동4라인</v>
      </c>
      <c r="J470" s="92" t="s">
        <v>212</v>
      </c>
      <c r="L470" s="89">
        <v>1</v>
      </c>
      <c r="M470" s="78">
        <f>M464</f>
        <v>5</v>
      </c>
      <c r="N470" s="84"/>
      <c r="O470" s="78">
        <f>L470*M470-N470*L470</f>
        <v>5</v>
      </c>
    </row>
    <row r="471" spans="1:16" ht="18" customHeight="1">
      <c r="A471" s="85"/>
      <c r="B471" s="86"/>
      <c r="C471" s="87"/>
      <c r="D471" s="88">
        <v>2114</v>
      </c>
      <c r="E471" s="88">
        <v>1810</v>
      </c>
      <c r="F471" s="89">
        <f t="shared" si="356"/>
        <v>5</v>
      </c>
      <c r="G471" s="90">
        <f t="shared" si="357"/>
        <v>208.38588809375989</v>
      </c>
      <c r="H471" s="90">
        <f t="shared" si="358"/>
        <v>78.48</v>
      </c>
      <c r="I471" s="91" t="str">
        <f>I464</f>
        <v>10동4라인</v>
      </c>
      <c r="J471" s="92" t="s">
        <v>213</v>
      </c>
      <c r="L471" s="89">
        <v>1</v>
      </c>
      <c r="M471" s="78">
        <f>M470</f>
        <v>5</v>
      </c>
      <c r="N471" s="84"/>
      <c r="O471" s="78">
        <f>L471*M471-N471*L471</f>
        <v>5</v>
      </c>
    </row>
    <row r="472" spans="1:16" ht="18" customHeight="1">
      <c r="A472" s="104"/>
      <c r="B472" s="93"/>
      <c r="C472" s="87"/>
      <c r="D472" s="88">
        <v>738</v>
      </c>
      <c r="E472" s="88">
        <v>1310</v>
      </c>
      <c r="F472" s="89">
        <f t="shared" si="356"/>
        <v>20</v>
      </c>
      <c r="G472" s="90">
        <f t="shared" si="357"/>
        <v>210.6068032545829</v>
      </c>
      <c r="H472" s="90">
        <f t="shared" si="358"/>
        <v>163.84</v>
      </c>
      <c r="I472" s="91" t="str">
        <f>I471</f>
        <v>10동4라인</v>
      </c>
      <c r="J472" s="92" t="s">
        <v>214</v>
      </c>
      <c r="L472" s="89">
        <v>4</v>
      </c>
      <c r="M472" s="78">
        <f t="shared" ref="M472:M474" si="359">M471</f>
        <v>5</v>
      </c>
      <c r="N472" s="84"/>
      <c r="O472" s="78">
        <f t="shared" ref="O472:O474" si="360">L472*M472-N472*L472</f>
        <v>20</v>
      </c>
    </row>
    <row r="473" spans="1:16" ht="18" customHeight="1">
      <c r="A473" s="104"/>
      <c r="B473" s="93"/>
      <c r="C473" s="87"/>
      <c r="D473" s="88">
        <v>228</v>
      </c>
      <c r="E473" s="88">
        <v>910</v>
      </c>
      <c r="F473" s="89">
        <f t="shared" si="356"/>
        <v>10</v>
      </c>
      <c r="G473" s="90">
        <f t="shared" si="357"/>
        <v>22.59909159232755</v>
      </c>
      <c r="H473" s="90">
        <f t="shared" si="358"/>
        <v>45.519999999999996</v>
      </c>
      <c r="I473" s="91" t="str">
        <f t="shared" ref="I473:I474" si="361">I472</f>
        <v>10동4라인</v>
      </c>
      <c r="J473" s="92" t="s">
        <v>216</v>
      </c>
      <c r="L473" s="89">
        <v>2</v>
      </c>
      <c r="M473" s="78">
        <f t="shared" si="359"/>
        <v>5</v>
      </c>
      <c r="N473" s="78"/>
      <c r="O473" s="78">
        <f t="shared" si="360"/>
        <v>10</v>
      </c>
    </row>
    <row r="474" spans="1:16" ht="18" customHeight="1">
      <c r="A474" s="104"/>
      <c r="B474" s="93"/>
      <c r="C474" s="87"/>
      <c r="D474" s="88">
        <v>438</v>
      </c>
      <c r="E474" s="88">
        <v>270</v>
      </c>
      <c r="F474" s="89">
        <f t="shared" si="356"/>
        <v>10</v>
      </c>
      <c r="G474" s="90">
        <f t="shared" si="357"/>
        <v>12.881090089206941</v>
      </c>
      <c r="H474" s="90">
        <f t="shared" si="358"/>
        <v>28.32</v>
      </c>
      <c r="I474" s="91" t="str">
        <f t="shared" si="361"/>
        <v>10동4라인</v>
      </c>
      <c r="J474" s="92" t="s">
        <v>217</v>
      </c>
      <c r="L474" s="89">
        <v>2</v>
      </c>
      <c r="M474" s="78">
        <f t="shared" si="359"/>
        <v>5</v>
      </c>
      <c r="N474" s="78"/>
      <c r="O474" s="78">
        <f t="shared" si="360"/>
        <v>10</v>
      </c>
    </row>
    <row r="475" spans="1:16" ht="18" customHeight="1">
      <c r="A475" s="104"/>
      <c r="B475" s="87"/>
      <c r="C475" s="87"/>
      <c r="D475" s="325" t="s">
        <v>0</v>
      </c>
      <c r="E475" s="325"/>
      <c r="F475" s="171">
        <f>SUM(F470:F474)</f>
        <v>50</v>
      </c>
      <c r="G475" s="95">
        <f>SUM(G470:G474)</f>
        <v>539.34527116077948</v>
      </c>
      <c r="H475" s="95">
        <f>SUM(H470:H474)</f>
        <v>369.58</v>
      </c>
      <c r="I475" s="97"/>
      <c r="J475" s="98"/>
    </row>
    <row r="476" spans="1:16">
      <c r="A476" s="105"/>
      <c r="B476" s="9"/>
      <c r="C476" s="9"/>
      <c r="D476" s="51"/>
      <c r="E476" s="51"/>
      <c r="F476" s="51"/>
      <c r="G476" s="106"/>
      <c r="H476" s="106"/>
      <c r="I476" s="9"/>
      <c r="J476" s="107"/>
    </row>
    <row r="477" spans="1:16" ht="18" customHeight="1">
      <c r="A477" s="85"/>
      <c r="B477" s="23" t="s">
        <v>237</v>
      </c>
      <c r="C477" s="24">
        <v>22</v>
      </c>
      <c r="D477" s="88">
        <v>2114</v>
      </c>
      <c r="E477" s="88">
        <v>1810</v>
      </c>
      <c r="F477" s="89">
        <f t="shared" ref="F477" si="362">O477</f>
        <v>5</v>
      </c>
      <c r="G477" s="90">
        <f t="shared" ref="G477" si="363">D477*E477/91809*F477</f>
        <v>208.38588809375989</v>
      </c>
      <c r="H477" s="90">
        <f t="shared" ref="H477" si="364">(D477/1000)*4*F477+(E477/1000)*4*F477</f>
        <v>78.48</v>
      </c>
      <c r="I477" s="91" t="str">
        <f>I470</f>
        <v>10동4라인</v>
      </c>
      <c r="J477" s="92" t="s">
        <v>206</v>
      </c>
      <c r="L477" s="89">
        <v>1</v>
      </c>
      <c r="M477" s="78">
        <f>M464</f>
        <v>5</v>
      </c>
      <c r="N477" s="84"/>
      <c r="O477" s="78">
        <f>L477*M477-N477*L477</f>
        <v>5</v>
      </c>
    </row>
    <row r="478" spans="1:16" ht="18" customHeight="1">
      <c r="A478" s="85"/>
      <c r="B478" s="93"/>
      <c r="C478" s="87"/>
      <c r="D478" s="325" t="s">
        <v>0</v>
      </c>
      <c r="E478" s="325"/>
      <c r="F478" s="94">
        <f>SUM(F477:F477)</f>
        <v>5</v>
      </c>
      <c r="G478" s="95">
        <f>SUM(G477:G477)</f>
        <v>208.38588809375989</v>
      </c>
      <c r="H478" s="95">
        <f>SUM(H477:H477)</f>
        <v>78.48</v>
      </c>
      <c r="I478" s="97"/>
      <c r="J478" s="98"/>
    </row>
    <row r="479" spans="1:16" ht="18" customHeight="1">
      <c r="A479" s="218"/>
      <c r="B479" s="219"/>
      <c r="C479" s="220"/>
      <c r="D479" s="161"/>
      <c r="E479" s="161"/>
      <c r="F479" s="89"/>
      <c r="G479" s="100"/>
      <c r="H479" s="100"/>
      <c r="I479" s="102"/>
      <c r="J479" s="221"/>
    </row>
    <row r="480" spans="1:16" ht="18" customHeight="1">
      <c r="A480" s="85"/>
      <c r="B480" s="23" t="s">
        <v>200</v>
      </c>
      <c r="C480" s="24">
        <v>22</v>
      </c>
      <c r="D480" s="88">
        <v>738</v>
      </c>
      <c r="E480" s="88">
        <v>1810</v>
      </c>
      <c r="F480" s="89">
        <f t="shared" ref="F480:F481" si="365">O480</f>
        <v>0</v>
      </c>
      <c r="G480" s="90">
        <f t="shared" ref="G480:G481" si="366">D480*E480/91809*F480</f>
        <v>0</v>
      </c>
      <c r="H480" s="90">
        <f t="shared" ref="H480:H481" si="367">(D480/1000)*4*F480+(E480/1000)*4*F480</f>
        <v>0</v>
      </c>
      <c r="I480" s="91" t="str">
        <f>I477</f>
        <v>10동4라인</v>
      </c>
      <c r="J480" s="92" t="s">
        <v>219</v>
      </c>
      <c r="L480" s="89">
        <v>2</v>
      </c>
      <c r="M480" s="78">
        <f>M477</f>
        <v>5</v>
      </c>
      <c r="N480" s="84">
        <v>5</v>
      </c>
      <c r="O480" s="78">
        <f>L480*M480-N480*L480</f>
        <v>0</v>
      </c>
      <c r="P480" s="64" t="s">
        <v>284</v>
      </c>
    </row>
    <row r="481" spans="1:16" ht="18" customHeight="1">
      <c r="A481" s="85"/>
      <c r="B481" s="86"/>
      <c r="C481" s="87"/>
      <c r="D481" s="88">
        <v>250</v>
      </c>
      <c r="E481" s="88">
        <v>930</v>
      </c>
      <c r="F481" s="89">
        <f t="shared" si="365"/>
        <v>10</v>
      </c>
      <c r="G481" s="90">
        <f t="shared" si="366"/>
        <v>25.324314609678787</v>
      </c>
      <c r="H481" s="90">
        <f t="shared" si="367"/>
        <v>47.2</v>
      </c>
      <c r="I481" s="91" t="str">
        <f>I480</f>
        <v>10동4라인</v>
      </c>
      <c r="J481" s="92" t="s">
        <v>220</v>
      </c>
      <c r="L481" s="89">
        <v>2</v>
      </c>
      <c r="M481" s="78">
        <f>M480</f>
        <v>5</v>
      </c>
      <c r="N481" s="84"/>
      <c r="O481" s="78">
        <f t="shared" ref="O481" si="368">L481*M481-N481*L481</f>
        <v>10</v>
      </c>
    </row>
    <row r="482" spans="1:16" ht="18" customHeight="1">
      <c r="A482" s="85"/>
      <c r="B482" s="93"/>
      <c r="C482" s="87"/>
      <c r="D482" s="325" t="s">
        <v>0</v>
      </c>
      <c r="E482" s="325"/>
      <c r="F482" s="94">
        <f>SUM(F480:F481)</f>
        <v>10</v>
      </c>
      <c r="G482" s="95">
        <f>SUM(G480:G481)</f>
        <v>25.324314609678787</v>
      </c>
      <c r="H482" s="96">
        <f>SUM(H480:H481)</f>
        <v>47.2</v>
      </c>
      <c r="I482" s="97"/>
      <c r="J482" s="162"/>
    </row>
    <row r="483" spans="1:16">
      <c r="A483" s="236"/>
      <c r="B483" s="237"/>
      <c r="C483" s="238"/>
      <c r="D483" s="362"/>
      <c r="E483" s="362"/>
      <c r="F483" s="239"/>
      <c r="G483" s="240"/>
      <c r="H483" s="241"/>
      <c r="I483" s="242"/>
      <c r="J483" s="243"/>
    </row>
    <row r="484" spans="1:16" ht="18" customHeight="1">
      <c r="A484" s="262" t="s">
        <v>234</v>
      </c>
      <c r="B484" s="263" t="s">
        <v>195</v>
      </c>
      <c r="C484" s="264">
        <v>22</v>
      </c>
      <c r="D484" s="265">
        <v>761</v>
      </c>
      <c r="E484" s="265">
        <v>1810</v>
      </c>
      <c r="F484" s="251">
        <f>O484</f>
        <v>20</v>
      </c>
      <c r="G484" s="266">
        <f t="shared" ref="G484:G490" si="369">D484*E484/91809*F484</f>
        <v>300.05990698079711</v>
      </c>
      <c r="H484" s="266">
        <f t="shared" ref="H484:H490" si="370">(D484/1000)*4*F484+(E484/1000)*4*F484</f>
        <v>205.68</v>
      </c>
      <c r="I484" s="267" t="s">
        <v>265</v>
      </c>
      <c r="J484" s="268" t="s">
        <v>205</v>
      </c>
      <c r="L484" s="89">
        <v>2</v>
      </c>
      <c r="M484" s="78">
        <v>10</v>
      </c>
      <c r="N484" s="84"/>
      <c r="O484" s="78">
        <f>L484*M484-N484*L484</f>
        <v>20</v>
      </c>
      <c r="P484" s="64"/>
    </row>
    <row r="485" spans="1:16" ht="18" customHeight="1">
      <c r="A485" s="85"/>
      <c r="B485" s="86"/>
      <c r="C485" s="87"/>
      <c r="D485" s="88">
        <v>1688</v>
      </c>
      <c r="E485" s="88">
        <v>1810</v>
      </c>
      <c r="F485" s="89">
        <f t="shared" ref="F485:F490" si="371">O485</f>
        <v>10</v>
      </c>
      <c r="G485" s="90">
        <f t="shared" si="369"/>
        <v>332.78654598133079</v>
      </c>
      <c r="H485" s="90">
        <f t="shared" si="370"/>
        <v>139.92000000000002</v>
      </c>
      <c r="I485" s="91" t="str">
        <f>I484</f>
        <v>10동5,6라인</v>
      </c>
      <c r="J485" s="92" t="s">
        <v>206</v>
      </c>
      <c r="L485" s="89">
        <v>1</v>
      </c>
      <c r="M485" s="78">
        <f>M484</f>
        <v>10</v>
      </c>
      <c r="N485" s="84"/>
      <c r="O485" s="78">
        <f t="shared" ref="O485:O490" si="372">L485*M485-N485*L485</f>
        <v>10</v>
      </c>
    </row>
    <row r="486" spans="1:16" ht="18" customHeight="1">
      <c r="A486" s="85"/>
      <c r="B486" s="86"/>
      <c r="C486" s="87"/>
      <c r="D486" s="88">
        <v>738</v>
      </c>
      <c r="E486" s="88">
        <v>1310</v>
      </c>
      <c r="F486" s="89">
        <f t="shared" si="371"/>
        <v>40</v>
      </c>
      <c r="G486" s="90">
        <f t="shared" si="369"/>
        <v>421.2136065091658</v>
      </c>
      <c r="H486" s="90">
        <f t="shared" si="370"/>
        <v>327.68</v>
      </c>
      <c r="I486" s="91" t="str">
        <f t="shared" ref="I486:I490" si="373">I485</f>
        <v>10동5,6라인</v>
      </c>
      <c r="J486" s="92" t="s">
        <v>207</v>
      </c>
      <c r="L486" s="89">
        <v>4</v>
      </c>
      <c r="M486" s="78">
        <f t="shared" ref="M486:M489" si="374">M485</f>
        <v>10</v>
      </c>
      <c r="N486" s="78"/>
      <c r="O486" s="78">
        <f t="shared" si="372"/>
        <v>40</v>
      </c>
    </row>
    <row r="487" spans="1:16" ht="18" customHeight="1">
      <c r="A487" s="85"/>
      <c r="B487" s="86"/>
      <c r="C487" s="87"/>
      <c r="D487" s="88">
        <v>288</v>
      </c>
      <c r="E487" s="88">
        <v>910</v>
      </c>
      <c r="F487" s="89">
        <f t="shared" si="371"/>
        <v>20</v>
      </c>
      <c r="G487" s="90">
        <f t="shared" si="369"/>
        <v>57.09244191745907</v>
      </c>
      <c r="H487" s="90">
        <f t="shared" si="370"/>
        <v>95.84</v>
      </c>
      <c r="I487" s="91" t="str">
        <f t="shared" si="373"/>
        <v>10동5,6라인</v>
      </c>
      <c r="J487" s="92" t="s">
        <v>208</v>
      </c>
      <c r="L487" s="89">
        <v>2</v>
      </c>
      <c r="M487" s="78">
        <f t="shared" si="374"/>
        <v>10</v>
      </c>
      <c r="N487" s="78"/>
      <c r="O487" s="78">
        <f t="shared" si="372"/>
        <v>20</v>
      </c>
    </row>
    <row r="488" spans="1:16" ht="18" customHeight="1">
      <c r="A488" s="85"/>
      <c r="B488" s="86"/>
      <c r="C488" s="87"/>
      <c r="D488" s="88">
        <v>228</v>
      </c>
      <c r="E488" s="88">
        <v>910</v>
      </c>
      <c r="F488" s="89">
        <f t="shared" si="371"/>
        <v>20</v>
      </c>
      <c r="G488" s="90">
        <f t="shared" si="369"/>
        <v>45.1981831846551</v>
      </c>
      <c r="H488" s="90">
        <f t="shared" si="370"/>
        <v>91.039999999999992</v>
      </c>
      <c r="I488" s="91" t="str">
        <f t="shared" si="373"/>
        <v>10동5,6라인</v>
      </c>
      <c r="J488" s="92" t="s">
        <v>209</v>
      </c>
      <c r="L488" s="89">
        <v>2</v>
      </c>
      <c r="M488" s="78">
        <f t="shared" si="374"/>
        <v>10</v>
      </c>
      <c r="N488" s="78"/>
      <c r="O488" s="78">
        <f t="shared" si="372"/>
        <v>20</v>
      </c>
    </row>
    <row r="489" spans="1:16" ht="18" customHeight="1">
      <c r="A489" s="85"/>
      <c r="B489" s="86"/>
      <c r="C489" s="87"/>
      <c r="D489" s="88">
        <v>438</v>
      </c>
      <c r="E489" s="88">
        <v>270</v>
      </c>
      <c r="F489" s="89">
        <f t="shared" si="371"/>
        <v>20</v>
      </c>
      <c r="G489" s="90">
        <f t="shared" si="369"/>
        <v>25.762180178413882</v>
      </c>
      <c r="H489" s="90">
        <f t="shared" si="370"/>
        <v>56.64</v>
      </c>
      <c r="I489" s="91" t="str">
        <f t="shared" si="373"/>
        <v>10동5,6라인</v>
      </c>
      <c r="J489" s="92" t="s">
        <v>210</v>
      </c>
      <c r="L489" s="89">
        <v>2</v>
      </c>
      <c r="M489" s="78">
        <f t="shared" si="374"/>
        <v>10</v>
      </c>
      <c r="N489" s="78"/>
      <c r="O489" s="78">
        <f t="shared" si="372"/>
        <v>20</v>
      </c>
    </row>
    <row r="490" spans="1:16" ht="18" customHeight="1">
      <c r="A490" s="85"/>
      <c r="B490" s="86"/>
      <c r="C490" s="87"/>
      <c r="D490" s="88">
        <v>208</v>
      </c>
      <c r="E490" s="88">
        <v>910</v>
      </c>
      <c r="F490" s="89">
        <f t="shared" si="371"/>
        <v>20</v>
      </c>
      <c r="G490" s="90">
        <f t="shared" si="369"/>
        <v>41.233430273720444</v>
      </c>
      <c r="H490" s="90">
        <f t="shared" si="370"/>
        <v>89.44</v>
      </c>
      <c r="I490" s="91" t="str">
        <f t="shared" si="373"/>
        <v>10동5,6라인</v>
      </c>
      <c r="J490" s="92" t="s">
        <v>211</v>
      </c>
      <c r="L490" s="89">
        <v>2</v>
      </c>
      <c r="M490" s="78">
        <f>M489</f>
        <v>10</v>
      </c>
      <c r="N490" s="78"/>
      <c r="O490" s="78">
        <f t="shared" si="372"/>
        <v>20</v>
      </c>
    </row>
    <row r="491" spans="1:16" ht="18" customHeight="1">
      <c r="A491" s="85"/>
      <c r="B491" s="93"/>
      <c r="C491" s="87"/>
      <c r="D491" s="325" t="s">
        <v>0</v>
      </c>
      <c r="E491" s="325"/>
      <c r="F491" s="94">
        <f>SUM(F484:F490)</f>
        <v>150</v>
      </c>
      <c r="G491" s="95">
        <f>SUM(G484:G490)</f>
        <v>1223.3462950255423</v>
      </c>
      <c r="H491" s="96">
        <f>SUM(H484:H490)</f>
        <v>1006.24</v>
      </c>
      <c r="I491" s="97"/>
      <c r="J491" s="162"/>
    </row>
    <row r="492" spans="1:16" ht="18" customHeight="1">
      <c r="A492" s="85"/>
      <c r="B492" s="93"/>
      <c r="C492" s="87"/>
      <c r="D492" s="161"/>
      <c r="E492" s="161"/>
      <c r="F492" s="89"/>
      <c r="G492" s="100"/>
      <c r="H492" s="101"/>
      <c r="I492" s="102"/>
      <c r="J492" s="121"/>
      <c r="L492" s="78" t="s">
        <v>48</v>
      </c>
      <c r="M492" s="78" t="s">
        <v>54</v>
      </c>
      <c r="N492" s="78" t="s">
        <v>50</v>
      </c>
      <c r="O492" s="78" t="s">
        <v>55</v>
      </c>
    </row>
    <row r="493" spans="1:16" ht="18" customHeight="1">
      <c r="A493" s="85"/>
      <c r="B493" s="23" t="s">
        <v>197</v>
      </c>
      <c r="C493" s="24">
        <v>22</v>
      </c>
      <c r="D493" s="88">
        <v>761</v>
      </c>
      <c r="E493" s="88">
        <v>1810</v>
      </c>
      <c r="F493" s="89">
        <f t="shared" ref="F493:F499" si="375">O493</f>
        <v>20</v>
      </c>
      <c r="G493" s="90">
        <f t="shared" ref="G493:G499" si="376">D493*E493/91809*F493</f>
        <v>300.05990698079711</v>
      </c>
      <c r="H493" s="90">
        <f t="shared" ref="H493:H499" si="377">(D493/1000)*4*F493+(E493/1000)*4*F493</f>
        <v>205.68</v>
      </c>
      <c r="I493" s="91" t="str">
        <f t="shared" ref="I493:I499" si="378">I484</f>
        <v>10동5,6라인</v>
      </c>
      <c r="J493" s="92" t="s">
        <v>212</v>
      </c>
      <c r="L493" s="89">
        <v>2</v>
      </c>
      <c r="M493" s="78">
        <f>M484</f>
        <v>10</v>
      </c>
      <c r="N493" s="84"/>
      <c r="O493" s="78">
        <f>L493*M493-N493*L493</f>
        <v>20</v>
      </c>
    </row>
    <row r="494" spans="1:16" ht="18" customHeight="1">
      <c r="A494" s="85"/>
      <c r="B494" s="86"/>
      <c r="C494" s="87"/>
      <c r="D494" s="88">
        <v>1688</v>
      </c>
      <c r="E494" s="88">
        <v>1810</v>
      </c>
      <c r="F494" s="89">
        <f t="shared" si="375"/>
        <v>10</v>
      </c>
      <c r="G494" s="90">
        <f t="shared" si="376"/>
        <v>332.78654598133079</v>
      </c>
      <c r="H494" s="90">
        <f t="shared" si="377"/>
        <v>139.92000000000002</v>
      </c>
      <c r="I494" s="91" t="str">
        <f t="shared" si="378"/>
        <v>10동5,6라인</v>
      </c>
      <c r="J494" s="92" t="s">
        <v>213</v>
      </c>
      <c r="L494" s="89">
        <v>1</v>
      </c>
      <c r="M494" s="78">
        <f>M493</f>
        <v>10</v>
      </c>
      <c r="N494" s="84"/>
      <c r="O494" s="78">
        <f>L494*M494-N494*L494</f>
        <v>10</v>
      </c>
    </row>
    <row r="495" spans="1:16" ht="18" customHeight="1">
      <c r="A495" s="104"/>
      <c r="B495" s="93"/>
      <c r="C495" s="87"/>
      <c r="D495" s="88">
        <v>738</v>
      </c>
      <c r="E495" s="88">
        <v>1310</v>
      </c>
      <c r="F495" s="89">
        <f t="shared" si="375"/>
        <v>40</v>
      </c>
      <c r="G495" s="90">
        <f t="shared" si="376"/>
        <v>421.2136065091658</v>
      </c>
      <c r="H495" s="90">
        <f t="shared" si="377"/>
        <v>327.68</v>
      </c>
      <c r="I495" s="91" t="str">
        <f t="shared" si="378"/>
        <v>10동5,6라인</v>
      </c>
      <c r="J495" s="92" t="s">
        <v>214</v>
      </c>
      <c r="L495" s="89">
        <v>4</v>
      </c>
      <c r="M495" s="78">
        <f t="shared" ref="M495:M499" si="379">M494</f>
        <v>10</v>
      </c>
      <c r="N495" s="84"/>
      <c r="O495" s="78">
        <f t="shared" ref="O495:O499" si="380">L495*M495-N495*L495</f>
        <v>40</v>
      </c>
    </row>
    <row r="496" spans="1:16" ht="18" customHeight="1">
      <c r="A496" s="104"/>
      <c r="B496" s="93"/>
      <c r="C496" s="87"/>
      <c r="D496" s="88">
        <v>288</v>
      </c>
      <c r="E496" s="88">
        <v>910</v>
      </c>
      <c r="F496" s="89">
        <f t="shared" si="375"/>
        <v>20</v>
      </c>
      <c r="G496" s="90">
        <f t="shared" si="376"/>
        <v>57.09244191745907</v>
      </c>
      <c r="H496" s="90">
        <f t="shared" si="377"/>
        <v>95.84</v>
      </c>
      <c r="I496" s="91" t="str">
        <f t="shared" si="378"/>
        <v>10동5,6라인</v>
      </c>
      <c r="J496" s="92" t="s">
        <v>215</v>
      </c>
      <c r="L496" s="89">
        <v>2</v>
      </c>
      <c r="M496" s="78">
        <f t="shared" si="379"/>
        <v>10</v>
      </c>
      <c r="N496" s="78"/>
      <c r="O496" s="78">
        <f t="shared" si="380"/>
        <v>20</v>
      </c>
    </row>
    <row r="497" spans="1:16" ht="18" customHeight="1">
      <c r="A497" s="104"/>
      <c r="B497" s="93"/>
      <c r="C497" s="87"/>
      <c r="D497" s="88">
        <v>228</v>
      </c>
      <c r="E497" s="88">
        <v>910</v>
      </c>
      <c r="F497" s="89">
        <f t="shared" si="375"/>
        <v>20</v>
      </c>
      <c r="G497" s="90">
        <f t="shared" si="376"/>
        <v>45.1981831846551</v>
      </c>
      <c r="H497" s="90">
        <f t="shared" si="377"/>
        <v>91.039999999999992</v>
      </c>
      <c r="I497" s="91" t="str">
        <f t="shared" si="378"/>
        <v>10동5,6라인</v>
      </c>
      <c r="J497" s="92" t="s">
        <v>216</v>
      </c>
      <c r="L497" s="89">
        <v>2</v>
      </c>
      <c r="M497" s="78">
        <f t="shared" si="379"/>
        <v>10</v>
      </c>
      <c r="N497" s="78"/>
      <c r="O497" s="78">
        <f t="shared" si="380"/>
        <v>20</v>
      </c>
    </row>
    <row r="498" spans="1:16" ht="18" customHeight="1">
      <c r="A498" s="104"/>
      <c r="B498" s="93"/>
      <c r="C498" s="87"/>
      <c r="D498" s="88">
        <v>438</v>
      </c>
      <c r="E498" s="88">
        <v>270</v>
      </c>
      <c r="F498" s="89">
        <f t="shared" si="375"/>
        <v>20</v>
      </c>
      <c r="G498" s="90">
        <f t="shared" si="376"/>
        <v>25.762180178413882</v>
      </c>
      <c r="H498" s="90">
        <f t="shared" si="377"/>
        <v>56.64</v>
      </c>
      <c r="I498" s="91" t="str">
        <f t="shared" si="378"/>
        <v>10동5,6라인</v>
      </c>
      <c r="J498" s="92" t="s">
        <v>217</v>
      </c>
      <c r="L498" s="89">
        <v>2</v>
      </c>
      <c r="M498" s="78">
        <f t="shared" si="379"/>
        <v>10</v>
      </c>
      <c r="N498" s="78"/>
      <c r="O498" s="78">
        <f t="shared" si="380"/>
        <v>20</v>
      </c>
    </row>
    <row r="499" spans="1:16" ht="18" customHeight="1">
      <c r="A499" s="104"/>
      <c r="B499" s="93"/>
      <c r="C499" s="87"/>
      <c r="D499" s="88">
        <v>208</v>
      </c>
      <c r="E499" s="88">
        <v>910</v>
      </c>
      <c r="F499" s="89">
        <f t="shared" si="375"/>
        <v>20</v>
      </c>
      <c r="G499" s="90">
        <f t="shared" si="376"/>
        <v>41.233430273720444</v>
      </c>
      <c r="H499" s="90">
        <f t="shared" si="377"/>
        <v>89.44</v>
      </c>
      <c r="I499" s="91" t="str">
        <f t="shared" si="378"/>
        <v>10동5,6라인</v>
      </c>
      <c r="J499" s="92" t="s">
        <v>218</v>
      </c>
      <c r="L499" s="89">
        <v>2</v>
      </c>
      <c r="M499" s="78">
        <f t="shared" si="379"/>
        <v>10</v>
      </c>
      <c r="N499" s="78"/>
      <c r="O499" s="78">
        <f t="shared" si="380"/>
        <v>20</v>
      </c>
    </row>
    <row r="500" spans="1:16" ht="18" customHeight="1">
      <c r="A500" s="104"/>
      <c r="B500" s="87"/>
      <c r="C500" s="87"/>
      <c r="D500" s="325" t="s">
        <v>0</v>
      </c>
      <c r="E500" s="325"/>
      <c r="F500" s="171">
        <f>SUM(F493:F499)</f>
        <v>150</v>
      </c>
      <c r="G500" s="95">
        <f>SUM(G493:G499)</f>
        <v>1223.3462950255423</v>
      </c>
      <c r="H500" s="95">
        <f>SUM(H493:H499)</f>
        <v>1006.24</v>
      </c>
      <c r="I500" s="97"/>
      <c r="J500" s="98"/>
    </row>
    <row r="501" spans="1:16">
      <c r="A501" s="105"/>
      <c r="B501" s="9"/>
      <c r="C501" s="9"/>
      <c r="D501" s="51"/>
      <c r="E501" s="51"/>
      <c r="F501" s="51"/>
      <c r="G501" s="106"/>
      <c r="H501" s="106"/>
      <c r="I501" s="9"/>
      <c r="J501" s="107"/>
    </row>
    <row r="502" spans="1:16" ht="18" customHeight="1">
      <c r="A502" s="85"/>
      <c r="B502" s="163" t="s">
        <v>199</v>
      </c>
      <c r="C502" s="163">
        <v>22</v>
      </c>
      <c r="D502" s="88">
        <v>738</v>
      </c>
      <c r="E502" s="88">
        <v>1810</v>
      </c>
      <c r="F502" s="89">
        <f t="shared" ref="F502:F503" si="381">O502</f>
        <v>20</v>
      </c>
      <c r="G502" s="90">
        <f t="shared" ref="G502:G503" si="382">D502*E502/91809*F502</f>
        <v>290.99107930595039</v>
      </c>
      <c r="H502" s="90">
        <f t="shared" ref="H502:H503" si="383">(D502/1000)*4*F502+(E502/1000)*4*F502</f>
        <v>203.84</v>
      </c>
      <c r="I502" s="91" t="str">
        <f>I493</f>
        <v>10동5,6라인</v>
      </c>
      <c r="J502" s="92" t="s">
        <v>219</v>
      </c>
      <c r="L502" s="89">
        <v>2</v>
      </c>
      <c r="M502" s="78">
        <f>M484</f>
        <v>10</v>
      </c>
      <c r="N502" s="84"/>
      <c r="O502" s="78">
        <f>L502*M502-N502*L502</f>
        <v>20</v>
      </c>
      <c r="P502" s="64"/>
    </row>
    <row r="503" spans="1:16" ht="18" customHeight="1">
      <c r="A503" s="85"/>
      <c r="B503" s="86"/>
      <c r="C503" s="87"/>
      <c r="D503" s="88">
        <v>250</v>
      </c>
      <c r="E503" s="88">
        <v>930</v>
      </c>
      <c r="F503" s="89">
        <f t="shared" si="381"/>
        <v>20</v>
      </c>
      <c r="G503" s="90">
        <f t="shared" si="382"/>
        <v>50.648629219357574</v>
      </c>
      <c r="H503" s="90">
        <f t="shared" si="383"/>
        <v>94.4</v>
      </c>
      <c r="I503" s="91" t="str">
        <f>I502</f>
        <v>10동5,6라인</v>
      </c>
      <c r="J503" s="92" t="s">
        <v>220</v>
      </c>
      <c r="L503" s="89">
        <v>2</v>
      </c>
      <c r="M503" s="78">
        <f>M502</f>
        <v>10</v>
      </c>
      <c r="N503" s="84"/>
      <c r="O503" s="78">
        <f t="shared" ref="O503" si="384">L503*M503-N503*L503</f>
        <v>20</v>
      </c>
    </row>
    <row r="504" spans="1:16" ht="18" customHeight="1">
      <c r="A504" s="85"/>
      <c r="B504" s="93"/>
      <c r="C504" s="87"/>
      <c r="D504" s="325" t="s">
        <v>0</v>
      </c>
      <c r="E504" s="325"/>
      <c r="F504" s="94">
        <f>SUM(F502:F503)</f>
        <v>40</v>
      </c>
      <c r="G504" s="95">
        <f>SUM(G502:G503)</f>
        <v>341.63970852530798</v>
      </c>
      <c r="H504" s="95">
        <f>SUM(H502:H503)</f>
        <v>298.24</v>
      </c>
      <c r="I504" s="97"/>
      <c r="J504" s="98"/>
    </row>
    <row r="505" spans="1:16">
      <c r="A505" s="166"/>
      <c r="B505" s="166"/>
      <c r="C505" s="166"/>
      <c r="D505" s="167"/>
      <c r="E505" s="167"/>
      <c r="F505" s="167"/>
      <c r="G505" s="168"/>
      <c r="H505" s="168"/>
      <c r="I505" s="166"/>
      <c r="J505" s="166"/>
    </row>
    <row r="506" spans="1:16" ht="18" customHeight="1">
      <c r="A506" s="85" t="s">
        <v>235</v>
      </c>
      <c r="B506" s="23" t="s">
        <v>196</v>
      </c>
      <c r="C506" s="24">
        <v>22</v>
      </c>
      <c r="D506" s="88">
        <v>861</v>
      </c>
      <c r="E506" s="88">
        <v>1810</v>
      </c>
      <c r="F506" s="89">
        <f t="shared" ref="F506:F509" si="385">O506</f>
        <v>5</v>
      </c>
      <c r="G506" s="90">
        <f t="shared" ref="G506:G509" si="386">D506*E506/91809*F506</f>
        <v>84.872398130902198</v>
      </c>
      <c r="H506" s="90">
        <f t="shared" ref="H506:H509" si="387">(D506/1000)*4*F506+(E506/1000)*4*F506</f>
        <v>53.42</v>
      </c>
      <c r="I506" s="91" t="s">
        <v>266</v>
      </c>
      <c r="J506" s="92" t="s">
        <v>205</v>
      </c>
      <c r="L506" s="89">
        <v>1</v>
      </c>
      <c r="M506" s="78">
        <v>5</v>
      </c>
      <c r="N506" s="84"/>
      <c r="O506" s="78">
        <f>L506*M506-N506*L506</f>
        <v>5</v>
      </c>
      <c r="P506" s="64"/>
    </row>
    <row r="507" spans="1:16" ht="18" customHeight="1">
      <c r="A507" s="85"/>
      <c r="B507" s="86"/>
      <c r="C507" s="87"/>
      <c r="D507" s="88">
        <v>738</v>
      </c>
      <c r="E507" s="88">
        <v>1310</v>
      </c>
      <c r="F507" s="89">
        <f t="shared" si="385"/>
        <v>20</v>
      </c>
      <c r="G507" s="90">
        <f t="shared" si="386"/>
        <v>210.6068032545829</v>
      </c>
      <c r="H507" s="90">
        <f t="shared" si="387"/>
        <v>163.84</v>
      </c>
      <c r="I507" s="91" t="str">
        <f>I506</f>
        <v>11동1라인</v>
      </c>
      <c r="J507" s="92" t="s">
        <v>207</v>
      </c>
      <c r="L507" s="89">
        <v>4</v>
      </c>
      <c r="M507" s="78">
        <f>M506</f>
        <v>5</v>
      </c>
      <c r="N507" s="84"/>
      <c r="O507" s="78">
        <f t="shared" ref="O507:O509" si="388">L507*M507-N507*L507</f>
        <v>20</v>
      </c>
    </row>
    <row r="508" spans="1:16" ht="18" customHeight="1">
      <c r="A508" s="85"/>
      <c r="B508" s="86"/>
      <c r="C508" s="87"/>
      <c r="D508" s="88">
        <v>228</v>
      </c>
      <c r="E508" s="88">
        <v>910</v>
      </c>
      <c r="F508" s="89">
        <f t="shared" si="385"/>
        <v>10</v>
      </c>
      <c r="G508" s="90">
        <f t="shared" si="386"/>
        <v>22.59909159232755</v>
      </c>
      <c r="H508" s="90">
        <f t="shared" si="387"/>
        <v>45.519999999999996</v>
      </c>
      <c r="I508" s="91" t="str">
        <f t="shared" ref="I508:I509" si="389">I507</f>
        <v>11동1라인</v>
      </c>
      <c r="J508" s="92" t="s">
        <v>209</v>
      </c>
      <c r="L508" s="89">
        <v>2</v>
      </c>
      <c r="M508" s="78">
        <f t="shared" ref="M508:M509" si="390">M507</f>
        <v>5</v>
      </c>
      <c r="N508" s="78"/>
      <c r="O508" s="78">
        <f t="shared" si="388"/>
        <v>10</v>
      </c>
    </row>
    <row r="509" spans="1:16" ht="18" customHeight="1">
      <c r="A509" s="85"/>
      <c r="B509" s="86"/>
      <c r="C509" s="87"/>
      <c r="D509" s="88">
        <v>438</v>
      </c>
      <c r="E509" s="88">
        <v>270</v>
      </c>
      <c r="F509" s="89">
        <f t="shared" si="385"/>
        <v>10</v>
      </c>
      <c r="G509" s="90">
        <f t="shared" si="386"/>
        <v>12.881090089206941</v>
      </c>
      <c r="H509" s="90">
        <f t="shared" si="387"/>
        <v>28.32</v>
      </c>
      <c r="I509" s="91" t="str">
        <f t="shared" si="389"/>
        <v>11동1라인</v>
      </c>
      <c r="J509" s="92" t="s">
        <v>210</v>
      </c>
      <c r="L509" s="89">
        <v>2</v>
      </c>
      <c r="M509" s="78">
        <f t="shared" si="390"/>
        <v>5</v>
      </c>
      <c r="N509" s="78"/>
      <c r="O509" s="78">
        <f t="shared" si="388"/>
        <v>10</v>
      </c>
    </row>
    <row r="510" spans="1:16" ht="18" customHeight="1">
      <c r="A510" s="85"/>
      <c r="B510" s="93"/>
      <c r="C510" s="87"/>
      <c r="D510" s="325" t="s">
        <v>0</v>
      </c>
      <c r="E510" s="325"/>
      <c r="F510" s="94">
        <f>SUM(F506:F509)</f>
        <v>45</v>
      </c>
      <c r="G510" s="95">
        <f>SUM(G506:G509)</f>
        <v>330.95938306701964</v>
      </c>
      <c r="H510" s="96">
        <f>SUM(H506:H509)</f>
        <v>291.09999999999997</v>
      </c>
      <c r="I510" s="97"/>
      <c r="J510" s="162"/>
    </row>
    <row r="511" spans="1:16" ht="18" customHeight="1">
      <c r="A511" s="85"/>
      <c r="B511" s="93"/>
      <c r="C511" s="87"/>
      <c r="D511" s="161"/>
      <c r="E511" s="161"/>
      <c r="F511" s="89"/>
      <c r="G511" s="100"/>
      <c r="H511" s="101"/>
      <c r="I511" s="102"/>
      <c r="J511" s="121"/>
      <c r="L511" s="252"/>
      <c r="M511" s="252"/>
      <c r="N511" s="252"/>
      <c r="O511" s="252"/>
    </row>
    <row r="512" spans="1:16" ht="18" customHeight="1">
      <c r="A512" s="85"/>
      <c r="B512" s="23" t="s">
        <v>198</v>
      </c>
      <c r="C512" s="24">
        <v>22</v>
      </c>
      <c r="D512" s="88">
        <v>861</v>
      </c>
      <c r="E512" s="88">
        <v>1810</v>
      </c>
      <c r="F512" s="89">
        <f t="shared" ref="F512:F516" si="391">O512</f>
        <v>5</v>
      </c>
      <c r="G512" s="90">
        <f t="shared" ref="G512:G516" si="392">D512*E512/91809*F512</f>
        <v>84.872398130902198</v>
      </c>
      <c r="H512" s="90">
        <f t="shared" ref="H512:H516" si="393">(D512/1000)*4*F512+(E512/1000)*4*F512</f>
        <v>53.42</v>
      </c>
      <c r="I512" s="103" t="str">
        <f>I506</f>
        <v>11동1라인</v>
      </c>
      <c r="J512" s="92" t="s">
        <v>212</v>
      </c>
      <c r="L512" s="89">
        <v>1</v>
      </c>
      <c r="M512" s="78">
        <f>M506</f>
        <v>5</v>
      </c>
      <c r="N512" s="84"/>
      <c r="O512" s="78">
        <f>L512*M512-N512*L512</f>
        <v>5</v>
      </c>
    </row>
    <row r="513" spans="1:16" ht="18" customHeight="1">
      <c r="A513" s="85"/>
      <c r="B513" s="86"/>
      <c r="C513" s="87"/>
      <c r="D513" s="88">
        <v>2114</v>
      </c>
      <c r="E513" s="88">
        <v>1810</v>
      </c>
      <c r="F513" s="89">
        <f t="shared" si="391"/>
        <v>5</v>
      </c>
      <c r="G513" s="90">
        <f t="shared" si="392"/>
        <v>208.38588809375989</v>
      </c>
      <c r="H513" s="90">
        <f t="shared" si="393"/>
        <v>78.48</v>
      </c>
      <c r="I513" s="91" t="str">
        <f>I506</f>
        <v>11동1라인</v>
      </c>
      <c r="J513" s="92" t="s">
        <v>213</v>
      </c>
      <c r="L513" s="89">
        <v>1</v>
      </c>
      <c r="M513" s="78">
        <f>M512</f>
        <v>5</v>
      </c>
      <c r="N513" s="84"/>
      <c r="O513" s="78">
        <f>L513*M513-N513*L513</f>
        <v>5</v>
      </c>
    </row>
    <row r="514" spans="1:16" ht="18" customHeight="1">
      <c r="A514" s="104"/>
      <c r="B514" s="93"/>
      <c r="C514" s="87"/>
      <c r="D514" s="88">
        <v>738</v>
      </c>
      <c r="E514" s="88">
        <v>1310</v>
      </c>
      <c r="F514" s="89">
        <f t="shared" si="391"/>
        <v>20</v>
      </c>
      <c r="G514" s="90">
        <f t="shared" si="392"/>
        <v>210.6068032545829</v>
      </c>
      <c r="H514" s="90">
        <f t="shared" si="393"/>
        <v>163.84</v>
      </c>
      <c r="I514" s="91" t="str">
        <f>I513</f>
        <v>11동1라인</v>
      </c>
      <c r="J514" s="92" t="s">
        <v>214</v>
      </c>
      <c r="L514" s="89">
        <v>4</v>
      </c>
      <c r="M514" s="78">
        <f t="shared" ref="M514:M516" si="394">M513</f>
        <v>5</v>
      </c>
      <c r="N514" s="84"/>
      <c r="O514" s="78">
        <f t="shared" ref="O514:O516" si="395">L514*M514-N514*L514</f>
        <v>20</v>
      </c>
    </row>
    <row r="515" spans="1:16" ht="18" customHeight="1">
      <c r="A515" s="104"/>
      <c r="B515" s="93"/>
      <c r="C515" s="87"/>
      <c r="D515" s="88">
        <v>228</v>
      </c>
      <c r="E515" s="88">
        <v>910</v>
      </c>
      <c r="F515" s="89">
        <f t="shared" si="391"/>
        <v>10</v>
      </c>
      <c r="G515" s="90">
        <f t="shared" si="392"/>
        <v>22.59909159232755</v>
      </c>
      <c r="H515" s="90">
        <f t="shared" si="393"/>
        <v>45.519999999999996</v>
      </c>
      <c r="I515" s="91" t="str">
        <f t="shared" ref="I515:I516" si="396">I514</f>
        <v>11동1라인</v>
      </c>
      <c r="J515" s="92" t="s">
        <v>216</v>
      </c>
      <c r="L515" s="89">
        <v>2</v>
      </c>
      <c r="M515" s="78">
        <f t="shared" si="394"/>
        <v>5</v>
      </c>
      <c r="N515" s="78"/>
      <c r="O515" s="78">
        <f t="shared" si="395"/>
        <v>10</v>
      </c>
    </row>
    <row r="516" spans="1:16" ht="18" customHeight="1">
      <c r="A516" s="104"/>
      <c r="B516" s="93"/>
      <c r="C516" s="87"/>
      <c r="D516" s="88">
        <v>438</v>
      </c>
      <c r="E516" s="88">
        <v>270</v>
      </c>
      <c r="F516" s="89">
        <f t="shared" si="391"/>
        <v>10</v>
      </c>
      <c r="G516" s="90">
        <f t="shared" si="392"/>
        <v>12.881090089206941</v>
      </c>
      <c r="H516" s="90">
        <f t="shared" si="393"/>
        <v>28.32</v>
      </c>
      <c r="I516" s="91" t="str">
        <f t="shared" si="396"/>
        <v>11동1라인</v>
      </c>
      <c r="J516" s="92" t="s">
        <v>217</v>
      </c>
      <c r="L516" s="89">
        <v>2</v>
      </c>
      <c r="M516" s="78">
        <f t="shared" si="394"/>
        <v>5</v>
      </c>
      <c r="N516" s="78"/>
      <c r="O516" s="78">
        <f t="shared" si="395"/>
        <v>10</v>
      </c>
    </row>
    <row r="517" spans="1:16" ht="18" customHeight="1">
      <c r="A517" s="104"/>
      <c r="B517" s="87"/>
      <c r="C517" s="87"/>
      <c r="D517" s="325" t="s">
        <v>0</v>
      </c>
      <c r="E517" s="325"/>
      <c r="F517" s="171">
        <f>SUM(F512:F516)</f>
        <v>50</v>
      </c>
      <c r="G517" s="95">
        <f>SUM(G512:G516)</f>
        <v>539.34527116077948</v>
      </c>
      <c r="H517" s="95">
        <f>SUM(H512:H516)</f>
        <v>369.58</v>
      </c>
      <c r="I517" s="97"/>
      <c r="J517" s="98"/>
    </row>
    <row r="518" spans="1:16">
      <c r="A518" s="105"/>
      <c r="B518" s="9"/>
      <c r="C518" s="9"/>
      <c r="D518" s="51"/>
      <c r="E518" s="51"/>
      <c r="F518" s="51"/>
      <c r="G518" s="106"/>
      <c r="H518" s="106"/>
      <c r="I518" s="9"/>
      <c r="J518" s="107"/>
    </row>
    <row r="519" spans="1:16" ht="18" customHeight="1">
      <c r="A519" s="85"/>
      <c r="B519" s="23" t="s">
        <v>237</v>
      </c>
      <c r="C519" s="24">
        <v>22</v>
      </c>
      <c r="D519" s="88">
        <v>2114</v>
      </c>
      <c r="E519" s="88">
        <v>1810</v>
      </c>
      <c r="F519" s="89">
        <f t="shared" ref="F519" si="397">O519</f>
        <v>5</v>
      </c>
      <c r="G519" s="90">
        <f t="shared" ref="G519" si="398">D519*E519/91809*F519</f>
        <v>208.38588809375989</v>
      </c>
      <c r="H519" s="90">
        <f t="shared" ref="H519" si="399">(D519/1000)*4*F519+(E519/1000)*4*F519</f>
        <v>78.48</v>
      </c>
      <c r="I519" s="91" t="str">
        <f>I512</f>
        <v>11동1라인</v>
      </c>
      <c r="J519" s="92" t="s">
        <v>206</v>
      </c>
      <c r="L519" s="89">
        <v>1</v>
      </c>
      <c r="M519" s="78">
        <f>M506</f>
        <v>5</v>
      </c>
      <c r="N519" s="84"/>
      <c r="O519" s="78">
        <f>L519*M519-N519*L519</f>
        <v>5</v>
      </c>
    </row>
    <row r="520" spans="1:16" ht="18" customHeight="1">
      <c r="A520" s="85"/>
      <c r="B520" s="93"/>
      <c r="C520" s="87"/>
      <c r="D520" s="325" t="s">
        <v>0</v>
      </c>
      <c r="E520" s="325"/>
      <c r="F520" s="94">
        <f>SUM(F519:F519)</f>
        <v>5</v>
      </c>
      <c r="G520" s="95">
        <f>SUM(G519:G519)</f>
        <v>208.38588809375989</v>
      </c>
      <c r="H520" s="95">
        <f>SUM(H519:H519)</f>
        <v>78.48</v>
      </c>
      <c r="I520" s="97"/>
      <c r="J520" s="98"/>
    </row>
    <row r="521" spans="1:16" ht="18" customHeight="1">
      <c r="A521" s="218"/>
      <c r="B521" s="219"/>
      <c r="C521" s="220"/>
      <c r="D521" s="161"/>
      <c r="E521" s="161"/>
      <c r="F521" s="89"/>
      <c r="G521" s="100"/>
      <c r="H521" s="100"/>
      <c r="I521" s="102"/>
      <c r="J521" s="221"/>
    </row>
    <row r="522" spans="1:16" ht="18" customHeight="1">
      <c r="A522" s="85"/>
      <c r="B522" s="23" t="s">
        <v>200</v>
      </c>
      <c r="C522" s="24">
        <v>22</v>
      </c>
      <c r="D522" s="88">
        <v>738</v>
      </c>
      <c r="E522" s="88">
        <v>1810</v>
      </c>
      <c r="F522" s="89">
        <f t="shared" ref="F522:F523" si="400">O522</f>
        <v>0</v>
      </c>
      <c r="G522" s="90">
        <f t="shared" ref="G522:G523" si="401">D522*E522/91809*F522</f>
        <v>0</v>
      </c>
      <c r="H522" s="90">
        <f t="shared" ref="H522:H523" si="402">(D522/1000)*4*F522+(E522/1000)*4*F522</f>
        <v>0</v>
      </c>
      <c r="I522" s="91" t="str">
        <f>I519</f>
        <v>11동1라인</v>
      </c>
      <c r="J522" s="92" t="s">
        <v>219</v>
      </c>
      <c r="L522" s="89">
        <v>2</v>
      </c>
      <c r="M522" s="78">
        <f>M519</f>
        <v>5</v>
      </c>
      <c r="N522" s="84">
        <v>5</v>
      </c>
      <c r="O522" s="78">
        <f>L522*M522-N522*L522</f>
        <v>0</v>
      </c>
      <c r="P522" s="64" t="s">
        <v>244</v>
      </c>
    </row>
    <row r="523" spans="1:16" ht="18" customHeight="1">
      <c r="A523" s="85"/>
      <c r="B523" s="86"/>
      <c r="C523" s="87"/>
      <c r="D523" s="88">
        <v>250</v>
      </c>
      <c r="E523" s="88">
        <v>930</v>
      </c>
      <c r="F523" s="89">
        <f t="shared" si="400"/>
        <v>10</v>
      </c>
      <c r="G523" s="90">
        <f t="shared" si="401"/>
        <v>25.324314609678787</v>
      </c>
      <c r="H523" s="90">
        <f t="shared" si="402"/>
        <v>47.2</v>
      </c>
      <c r="I523" s="91" t="str">
        <f>I522</f>
        <v>11동1라인</v>
      </c>
      <c r="J523" s="92" t="s">
        <v>220</v>
      </c>
      <c r="L523" s="89">
        <v>2</v>
      </c>
      <c r="M523" s="78">
        <f>M522</f>
        <v>5</v>
      </c>
      <c r="N523" s="84"/>
      <c r="O523" s="78">
        <f t="shared" ref="O523" si="403">L523*M523-N523*L523</f>
        <v>10</v>
      </c>
    </row>
    <row r="524" spans="1:16" ht="18" customHeight="1">
      <c r="A524" s="85"/>
      <c r="B524" s="93"/>
      <c r="C524" s="87"/>
      <c r="D524" s="325" t="s">
        <v>0</v>
      </c>
      <c r="E524" s="325"/>
      <c r="F524" s="94">
        <f>SUM(F522:F523)</f>
        <v>10</v>
      </c>
      <c r="G524" s="95">
        <f>SUM(G522:G523)</f>
        <v>25.324314609678787</v>
      </c>
      <c r="H524" s="96">
        <f>SUM(H522:H523)</f>
        <v>47.2</v>
      </c>
      <c r="I524" s="97"/>
      <c r="J524" s="162"/>
    </row>
    <row r="525" spans="1:16" ht="18" customHeight="1" thickBot="1">
      <c r="A525" s="222"/>
      <c r="B525" s="223"/>
      <c r="C525" s="224"/>
      <c r="D525" s="225"/>
      <c r="E525" s="225"/>
      <c r="F525" s="226"/>
      <c r="G525" s="227"/>
      <c r="H525" s="228"/>
      <c r="I525" s="229"/>
      <c r="J525" s="230"/>
      <c r="L525" s="78" t="s">
        <v>48</v>
      </c>
      <c r="M525" s="78" t="s">
        <v>49</v>
      </c>
      <c r="N525" s="78" t="s">
        <v>50</v>
      </c>
      <c r="O525" s="78" t="s">
        <v>55</v>
      </c>
    </row>
    <row r="526" spans="1:16" ht="18" customHeight="1">
      <c r="A526" s="79" t="s">
        <v>234</v>
      </c>
      <c r="B526" s="231" t="s">
        <v>195</v>
      </c>
      <c r="C526" s="232">
        <v>22</v>
      </c>
      <c r="D526" s="80">
        <v>761</v>
      </c>
      <c r="E526" s="80">
        <v>1810</v>
      </c>
      <c r="F526" s="233">
        <f>O526</f>
        <v>10</v>
      </c>
      <c r="G526" s="81">
        <f t="shared" ref="G526:G532" si="404">D526*E526/91809*F526</f>
        <v>150.02995349039855</v>
      </c>
      <c r="H526" s="81">
        <f t="shared" ref="H526:H532" si="405">(D526/1000)*4*F526+(E526/1000)*4*F526</f>
        <v>102.84</v>
      </c>
      <c r="I526" s="82" t="s">
        <v>267</v>
      </c>
      <c r="J526" s="83" t="s">
        <v>205</v>
      </c>
      <c r="L526" s="89">
        <v>2</v>
      </c>
      <c r="M526" s="78">
        <v>5</v>
      </c>
      <c r="N526" s="84"/>
      <c r="O526" s="78">
        <f>L526*M526-N526*L526</f>
        <v>10</v>
      </c>
      <c r="P526" s="64"/>
    </row>
    <row r="527" spans="1:16" ht="18" customHeight="1">
      <c r="A527" s="85"/>
      <c r="B527" s="86"/>
      <c r="C527" s="87"/>
      <c r="D527" s="88">
        <v>1688</v>
      </c>
      <c r="E527" s="88">
        <v>1810</v>
      </c>
      <c r="F527" s="89">
        <f t="shared" ref="F527:F532" si="406">O527</f>
        <v>5</v>
      </c>
      <c r="G527" s="90">
        <f t="shared" si="404"/>
        <v>166.39327299066539</v>
      </c>
      <c r="H527" s="90">
        <f t="shared" si="405"/>
        <v>69.960000000000008</v>
      </c>
      <c r="I527" s="91" t="str">
        <f>I526</f>
        <v>11동2라인</v>
      </c>
      <c r="J527" s="92" t="s">
        <v>206</v>
      </c>
      <c r="L527" s="89">
        <v>1</v>
      </c>
      <c r="M527" s="78">
        <f>M526</f>
        <v>5</v>
      </c>
      <c r="N527" s="84"/>
      <c r="O527" s="78">
        <f t="shared" ref="O527:O532" si="407">L527*M527-N527*L527</f>
        <v>5</v>
      </c>
    </row>
    <row r="528" spans="1:16" ht="18" customHeight="1">
      <c r="A528" s="85"/>
      <c r="B528" s="86"/>
      <c r="C528" s="87"/>
      <c r="D528" s="88">
        <v>738</v>
      </c>
      <c r="E528" s="88">
        <v>1310</v>
      </c>
      <c r="F528" s="89">
        <f t="shared" si="406"/>
        <v>20</v>
      </c>
      <c r="G528" s="90">
        <f t="shared" si="404"/>
        <v>210.6068032545829</v>
      </c>
      <c r="H528" s="90">
        <f t="shared" si="405"/>
        <v>163.84</v>
      </c>
      <c r="I528" s="91" t="str">
        <f t="shared" ref="I528:I532" si="408">I527</f>
        <v>11동2라인</v>
      </c>
      <c r="J528" s="92" t="s">
        <v>207</v>
      </c>
      <c r="L528" s="89">
        <v>4</v>
      </c>
      <c r="M528" s="78">
        <f t="shared" ref="M528:M531" si="409">M527</f>
        <v>5</v>
      </c>
      <c r="N528" s="78"/>
      <c r="O528" s="78">
        <f t="shared" si="407"/>
        <v>20</v>
      </c>
    </row>
    <row r="529" spans="1:16" ht="18" customHeight="1">
      <c r="A529" s="85"/>
      <c r="B529" s="86"/>
      <c r="C529" s="87"/>
      <c r="D529" s="88">
        <v>288</v>
      </c>
      <c r="E529" s="88">
        <v>910</v>
      </c>
      <c r="F529" s="89">
        <f t="shared" si="406"/>
        <v>10</v>
      </c>
      <c r="G529" s="90">
        <f t="shared" si="404"/>
        <v>28.546220958729535</v>
      </c>
      <c r="H529" s="90">
        <f t="shared" si="405"/>
        <v>47.92</v>
      </c>
      <c r="I529" s="91" t="str">
        <f t="shared" si="408"/>
        <v>11동2라인</v>
      </c>
      <c r="J529" s="92" t="s">
        <v>208</v>
      </c>
      <c r="L529" s="89">
        <v>2</v>
      </c>
      <c r="M529" s="78">
        <f t="shared" si="409"/>
        <v>5</v>
      </c>
      <c r="N529" s="78"/>
      <c r="O529" s="78">
        <f t="shared" si="407"/>
        <v>10</v>
      </c>
    </row>
    <row r="530" spans="1:16" ht="18" customHeight="1">
      <c r="A530" s="85"/>
      <c r="B530" s="86"/>
      <c r="C530" s="87"/>
      <c r="D530" s="88">
        <v>228</v>
      </c>
      <c r="E530" s="88">
        <v>910</v>
      </c>
      <c r="F530" s="89">
        <f t="shared" si="406"/>
        <v>10</v>
      </c>
      <c r="G530" s="90">
        <f t="shared" si="404"/>
        <v>22.59909159232755</v>
      </c>
      <c r="H530" s="90">
        <f t="shared" si="405"/>
        <v>45.519999999999996</v>
      </c>
      <c r="I530" s="91" t="str">
        <f t="shared" si="408"/>
        <v>11동2라인</v>
      </c>
      <c r="J530" s="92" t="s">
        <v>209</v>
      </c>
      <c r="L530" s="89">
        <v>2</v>
      </c>
      <c r="M530" s="78">
        <f t="shared" si="409"/>
        <v>5</v>
      </c>
      <c r="N530" s="78"/>
      <c r="O530" s="78">
        <f t="shared" si="407"/>
        <v>10</v>
      </c>
    </row>
    <row r="531" spans="1:16" ht="18" customHeight="1">
      <c r="A531" s="85"/>
      <c r="B531" s="86"/>
      <c r="C531" s="87"/>
      <c r="D531" s="88">
        <v>438</v>
      </c>
      <c r="E531" s="88">
        <v>270</v>
      </c>
      <c r="F531" s="89">
        <f t="shared" si="406"/>
        <v>10</v>
      </c>
      <c r="G531" s="90">
        <f t="shared" si="404"/>
        <v>12.881090089206941</v>
      </c>
      <c r="H531" s="90">
        <f t="shared" si="405"/>
        <v>28.32</v>
      </c>
      <c r="I531" s="91" t="str">
        <f t="shared" si="408"/>
        <v>11동2라인</v>
      </c>
      <c r="J531" s="92" t="s">
        <v>210</v>
      </c>
      <c r="L531" s="89">
        <v>2</v>
      </c>
      <c r="M531" s="78">
        <f t="shared" si="409"/>
        <v>5</v>
      </c>
      <c r="N531" s="78"/>
      <c r="O531" s="78">
        <f t="shared" si="407"/>
        <v>10</v>
      </c>
    </row>
    <row r="532" spans="1:16" ht="18" customHeight="1">
      <c r="A532" s="85"/>
      <c r="B532" s="86"/>
      <c r="C532" s="87"/>
      <c r="D532" s="88">
        <v>208</v>
      </c>
      <c r="E532" s="88">
        <v>910</v>
      </c>
      <c r="F532" s="89">
        <f t="shared" si="406"/>
        <v>10</v>
      </c>
      <c r="G532" s="90">
        <f t="shared" si="404"/>
        <v>20.616715136860222</v>
      </c>
      <c r="H532" s="90">
        <f t="shared" si="405"/>
        <v>44.72</v>
      </c>
      <c r="I532" s="91" t="str">
        <f t="shared" si="408"/>
        <v>11동2라인</v>
      </c>
      <c r="J532" s="92" t="s">
        <v>211</v>
      </c>
      <c r="L532" s="89">
        <v>2</v>
      </c>
      <c r="M532" s="78">
        <f>M531</f>
        <v>5</v>
      </c>
      <c r="N532" s="78"/>
      <c r="O532" s="78">
        <f t="shared" si="407"/>
        <v>10</v>
      </c>
    </row>
    <row r="533" spans="1:16" ht="18" customHeight="1">
      <c r="A533" s="85"/>
      <c r="B533" s="93"/>
      <c r="C533" s="87"/>
      <c r="D533" s="325" t="s">
        <v>0</v>
      </c>
      <c r="E533" s="325"/>
      <c r="F533" s="94">
        <f>SUM(F526:F532)</f>
        <v>75</v>
      </c>
      <c r="G533" s="95">
        <f>SUM(G526:G532)</f>
        <v>611.67314751277115</v>
      </c>
      <c r="H533" s="96">
        <f>SUM(H526:H532)</f>
        <v>503.12</v>
      </c>
      <c r="I533" s="97"/>
      <c r="J533" s="162"/>
    </row>
    <row r="534" spans="1:16" ht="18" customHeight="1">
      <c r="A534" s="85"/>
      <c r="B534" s="93"/>
      <c r="C534" s="87"/>
      <c r="D534" s="161"/>
      <c r="E534" s="161"/>
      <c r="F534" s="89"/>
      <c r="G534" s="100"/>
      <c r="H534" s="101"/>
      <c r="I534" s="102"/>
      <c r="J534" s="121"/>
      <c r="L534" s="78" t="s">
        <v>48</v>
      </c>
      <c r="M534" s="78" t="s">
        <v>54</v>
      </c>
      <c r="N534" s="78" t="s">
        <v>50</v>
      </c>
      <c r="O534" s="78" t="s">
        <v>55</v>
      </c>
    </row>
    <row r="535" spans="1:16" ht="18" customHeight="1">
      <c r="A535" s="85"/>
      <c r="B535" s="23" t="s">
        <v>197</v>
      </c>
      <c r="C535" s="24">
        <v>22</v>
      </c>
      <c r="D535" s="88">
        <v>761</v>
      </c>
      <c r="E535" s="88">
        <v>1810</v>
      </c>
      <c r="F535" s="89">
        <f t="shared" ref="F535:F541" si="410">O535</f>
        <v>10</v>
      </c>
      <c r="G535" s="90">
        <f t="shared" ref="G535:G541" si="411">D535*E535/91809*F535</f>
        <v>150.02995349039855</v>
      </c>
      <c r="H535" s="90">
        <f t="shared" ref="H535:H541" si="412">(D535/1000)*4*F535+(E535/1000)*4*F535</f>
        <v>102.84</v>
      </c>
      <c r="I535" s="91" t="str">
        <f t="shared" ref="I535:I541" si="413">I526</f>
        <v>11동2라인</v>
      </c>
      <c r="J535" s="92" t="s">
        <v>212</v>
      </c>
      <c r="L535" s="89">
        <v>2</v>
      </c>
      <c r="M535" s="78">
        <f>M526</f>
        <v>5</v>
      </c>
      <c r="N535" s="84"/>
      <c r="O535" s="78">
        <f>L535*M535-N535*L535</f>
        <v>10</v>
      </c>
    </row>
    <row r="536" spans="1:16" ht="18" customHeight="1">
      <c r="A536" s="85"/>
      <c r="B536" s="86"/>
      <c r="C536" s="87"/>
      <c r="D536" s="88">
        <v>1688</v>
      </c>
      <c r="E536" s="88">
        <v>1810</v>
      </c>
      <c r="F536" s="89">
        <f t="shared" si="410"/>
        <v>5</v>
      </c>
      <c r="G536" s="90">
        <f t="shared" si="411"/>
        <v>166.39327299066539</v>
      </c>
      <c r="H536" s="90">
        <f t="shared" si="412"/>
        <v>69.960000000000008</v>
      </c>
      <c r="I536" s="91" t="str">
        <f t="shared" si="413"/>
        <v>11동2라인</v>
      </c>
      <c r="J536" s="92" t="s">
        <v>213</v>
      </c>
      <c r="L536" s="89">
        <v>1</v>
      </c>
      <c r="M536" s="78">
        <f>M535</f>
        <v>5</v>
      </c>
      <c r="N536" s="84"/>
      <c r="O536" s="78">
        <f>L536*M536-N536*L536</f>
        <v>5</v>
      </c>
    </row>
    <row r="537" spans="1:16" ht="18" customHeight="1">
      <c r="A537" s="104"/>
      <c r="B537" s="93"/>
      <c r="C537" s="87"/>
      <c r="D537" s="88">
        <v>738</v>
      </c>
      <c r="E537" s="88">
        <v>1310</v>
      </c>
      <c r="F537" s="89">
        <f t="shared" si="410"/>
        <v>20</v>
      </c>
      <c r="G537" s="90">
        <f t="shared" si="411"/>
        <v>210.6068032545829</v>
      </c>
      <c r="H537" s="90">
        <f t="shared" si="412"/>
        <v>163.84</v>
      </c>
      <c r="I537" s="91" t="str">
        <f t="shared" si="413"/>
        <v>11동2라인</v>
      </c>
      <c r="J537" s="92" t="s">
        <v>214</v>
      </c>
      <c r="L537" s="89">
        <v>4</v>
      </c>
      <c r="M537" s="78">
        <f t="shared" ref="M537:M541" si="414">M536</f>
        <v>5</v>
      </c>
      <c r="N537" s="84"/>
      <c r="O537" s="78">
        <f t="shared" ref="O537:O541" si="415">L537*M537-N537*L537</f>
        <v>20</v>
      </c>
    </row>
    <row r="538" spans="1:16" ht="18" customHeight="1">
      <c r="A538" s="104"/>
      <c r="B538" s="93"/>
      <c r="C538" s="87"/>
      <c r="D538" s="88">
        <v>288</v>
      </c>
      <c r="E538" s="88">
        <v>910</v>
      </c>
      <c r="F538" s="89">
        <f t="shared" si="410"/>
        <v>10</v>
      </c>
      <c r="G538" s="90">
        <f t="shared" si="411"/>
        <v>28.546220958729535</v>
      </c>
      <c r="H538" s="90">
        <f t="shared" si="412"/>
        <v>47.92</v>
      </c>
      <c r="I538" s="91" t="str">
        <f t="shared" si="413"/>
        <v>11동2라인</v>
      </c>
      <c r="J538" s="92" t="s">
        <v>215</v>
      </c>
      <c r="L538" s="89">
        <v>2</v>
      </c>
      <c r="M538" s="78">
        <f t="shared" si="414"/>
        <v>5</v>
      </c>
      <c r="N538" s="78"/>
      <c r="O538" s="78">
        <f t="shared" si="415"/>
        <v>10</v>
      </c>
    </row>
    <row r="539" spans="1:16" ht="18" customHeight="1">
      <c r="A539" s="104"/>
      <c r="B539" s="93"/>
      <c r="C539" s="87"/>
      <c r="D539" s="88">
        <v>228</v>
      </c>
      <c r="E539" s="88">
        <v>910</v>
      </c>
      <c r="F539" s="89">
        <f t="shared" si="410"/>
        <v>10</v>
      </c>
      <c r="G539" s="90">
        <f t="shared" si="411"/>
        <v>22.59909159232755</v>
      </c>
      <c r="H539" s="90">
        <f t="shared" si="412"/>
        <v>45.519999999999996</v>
      </c>
      <c r="I539" s="91" t="str">
        <f t="shared" si="413"/>
        <v>11동2라인</v>
      </c>
      <c r="J539" s="92" t="s">
        <v>216</v>
      </c>
      <c r="L539" s="89">
        <v>2</v>
      </c>
      <c r="M539" s="78">
        <f t="shared" si="414"/>
        <v>5</v>
      </c>
      <c r="N539" s="78"/>
      <c r="O539" s="78">
        <f t="shared" si="415"/>
        <v>10</v>
      </c>
    </row>
    <row r="540" spans="1:16" ht="18" customHeight="1">
      <c r="A540" s="104"/>
      <c r="B540" s="93"/>
      <c r="C540" s="87"/>
      <c r="D540" s="88">
        <v>438</v>
      </c>
      <c r="E540" s="88">
        <v>270</v>
      </c>
      <c r="F540" s="89">
        <f t="shared" si="410"/>
        <v>10</v>
      </c>
      <c r="G540" s="90">
        <f t="shared" si="411"/>
        <v>12.881090089206941</v>
      </c>
      <c r="H540" s="90">
        <f t="shared" si="412"/>
        <v>28.32</v>
      </c>
      <c r="I540" s="91" t="str">
        <f t="shared" si="413"/>
        <v>11동2라인</v>
      </c>
      <c r="J540" s="92" t="s">
        <v>217</v>
      </c>
      <c r="L540" s="89">
        <v>2</v>
      </c>
      <c r="M540" s="78">
        <f t="shared" si="414"/>
        <v>5</v>
      </c>
      <c r="N540" s="78"/>
      <c r="O540" s="78">
        <f t="shared" si="415"/>
        <v>10</v>
      </c>
    </row>
    <row r="541" spans="1:16" ht="18" customHeight="1">
      <c r="A541" s="104"/>
      <c r="B541" s="93"/>
      <c r="C541" s="87"/>
      <c r="D541" s="88">
        <v>208</v>
      </c>
      <c r="E541" s="88">
        <v>910</v>
      </c>
      <c r="F541" s="89">
        <f t="shared" si="410"/>
        <v>10</v>
      </c>
      <c r="G541" s="90">
        <f t="shared" si="411"/>
        <v>20.616715136860222</v>
      </c>
      <c r="H541" s="90">
        <f t="shared" si="412"/>
        <v>44.72</v>
      </c>
      <c r="I541" s="91" t="str">
        <f t="shared" si="413"/>
        <v>11동2라인</v>
      </c>
      <c r="J541" s="92" t="s">
        <v>218</v>
      </c>
      <c r="L541" s="89">
        <v>2</v>
      </c>
      <c r="M541" s="78">
        <f t="shared" si="414"/>
        <v>5</v>
      </c>
      <c r="N541" s="78"/>
      <c r="O541" s="78">
        <f t="shared" si="415"/>
        <v>10</v>
      </c>
    </row>
    <row r="542" spans="1:16" ht="18" customHeight="1">
      <c r="A542" s="104"/>
      <c r="B542" s="87"/>
      <c r="C542" s="87"/>
      <c r="D542" s="325" t="s">
        <v>0</v>
      </c>
      <c r="E542" s="325"/>
      <c r="F542" s="171">
        <f>SUM(F535:F541)</f>
        <v>75</v>
      </c>
      <c r="G542" s="95">
        <f>SUM(G535:G541)</f>
        <v>611.67314751277115</v>
      </c>
      <c r="H542" s="95">
        <f>SUM(H535:H541)</f>
        <v>503.12</v>
      </c>
      <c r="I542" s="97"/>
      <c r="J542" s="98"/>
    </row>
    <row r="543" spans="1:16">
      <c r="A543" s="105"/>
      <c r="B543" s="9"/>
      <c r="C543" s="9"/>
      <c r="D543" s="51"/>
      <c r="E543" s="51"/>
      <c r="F543" s="51"/>
      <c r="G543" s="106"/>
      <c r="H543" s="106"/>
      <c r="I543" s="9"/>
      <c r="J543" s="107"/>
    </row>
    <row r="544" spans="1:16" ht="18" customHeight="1">
      <c r="A544" s="85"/>
      <c r="B544" s="163" t="s">
        <v>199</v>
      </c>
      <c r="C544" s="163">
        <v>22</v>
      </c>
      <c r="D544" s="88">
        <v>738</v>
      </c>
      <c r="E544" s="88">
        <v>1810</v>
      </c>
      <c r="F544" s="89">
        <f t="shared" ref="F544:F545" si="416">O544</f>
        <v>10</v>
      </c>
      <c r="G544" s="90">
        <f t="shared" ref="G544:G545" si="417">D544*E544/91809*F544</f>
        <v>145.4955396529752</v>
      </c>
      <c r="H544" s="90">
        <f t="shared" ref="H544:H545" si="418">(D544/1000)*4*F544+(E544/1000)*4*F544</f>
        <v>101.92</v>
      </c>
      <c r="I544" s="91" t="str">
        <f>I535</f>
        <v>11동2라인</v>
      </c>
      <c r="J544" s="92" t="s">
        <v>219</v>
      </c>
      <c r="L544" s="89">
        <v>2</v>
      </c>
      <c r="M544" s="78">
        <f>M526</f>
        <v>5</v>
      </c>
      <c r="N544" s="84"/>
      <c r="O544" s="78">
        <f>L544*M544-N544*L544</f>
        <v>10</v>
      </c>
      <c r="P544" s="64"/>
    </row>
    <row r="545" spans="1:16" ht="18" customHeight="1">
      <c r="A545" s="85"/>
      <c r="B545" s="86"/>
      <c r="C545" s="87"/>
      <c r="D545" s="88">
        <v>250</v>
      </c>
      <c r="E545" s="88">
        <v>930</v>
      </c>
      <c r="F545" s="89">
        <f t="shared" si="416"/>
        <v>10</v>
      </c>
      <c r="G545" s="90">
        <f t="shared" si="417"/>
        <v>25.324314609678787</v>
      </c>
      <c r="H545" s="90">
        <f t="shared" si="418"/>
        <v>47.2</v>
      </c>
      <c r="I545" s="91" t="str">
        <f>I544</f>
        <v>11동2라인</v>
      </c>
      <c r="J545" s="92" t="s">
        <v>220</v>
      </c>
      <c r="L545" s="89">
        <v>2</v>
      </c>
      <c r="M545" s="78">
        <f>M544</f>
        <v>5</v>
      </c>
      <c r="N545" s="84"/>
      <c r="O545" s="78">
        <f t="shared" ref="O545" si="419">L545*M545-N545*L545</f>
        <v>10</v>
      </c>
    </row>
    <row r="546" spans="1:16" ht="18" customHeight="1">
      <c r="A546" s="85"/>
      <c r="B546" s="93"/>
      <c r="C546" s="87"/>
      <c r="D546" s="325" t="s">
        <v>0</v>
      </c>
      <c r="E546" s="325"/>
      <c r="F546" s="94">
        <f>SUM(F544:F545)</f>
        <v>20</v>
      </c>
      <c r="G546" s="95">
        <f>SUM(G544:G545)</f>
        <v>170.81985426265399</v>
      </c>
      <c r="H546" s="95">
        <f>SUM(H544:H545)</f>
        <v>149.12</v>
      </c>
      <c r="I546" s="97"/>
      <c r="J546" s="98"/>
    </row>
    <row r="547" spans="1:16">
      <c r="A547" s="236"/>
      <c r="B547" s="237"/>
      <c r="C547" s="238"/>
      <c r="D547" s="362"/>
      <c r="E547" s="362"/>
      <c r="F547" s="239"/>
      <c r="G547" s="240"/>
      <c r="H547" s="241"/>
      <c r="I547" s="242"/>
      <c r="J547" s="243"/>
    </row>
    <row r="548" spans="1:16" ht="18" customHeight="1">
      <c r="A548" s="244" t="s">
        <v>234</v>
      </c>
      <c r="B548" s="23" t="s">
        <v>195</v>
      </c>
      <c r="C548" s="24">
        <v>22</v>
      </c>
      <c r="D548" s="88">
        <v>761</v>
      </c>
      <c r="E548" s="88">
        <v>1810</v>
      </c>
      <c r="F548" s="89">
        <f>O548</f>
        <v>20</v>
      </c>
      <c r="G548" s="90">
        <f t="shared" ref="G548:G554" si="420">D548*E548/91809*F548</f>
        <v>300.05990698079711</v>
      </c>
      <c r="H548" s="90">
        <f t="shared" ref="H548:H554" si="421">(D548/1000)*4*F548+(E548/1000)*4*F548</f>
        <v>205.68</v>
      </c>
      <c r="I548" s="91" t="s">
        <v>268</v>
      </c>
      <c r="J548" s="92" t="s">
        <v>205</v>
      </c>
      <c r="L548" s="89">
        <v>2</v>
      </c>
      <c r="M548" s="78">
        <v>10</v>
      </c>
      <c r="N548" s="84"/>
      <c r="O548" s="78">
        <f>L548*M548-N548*L548</f>
        <v>20</v>
      </c>
      <c r="P548" s="64"/>
    </row>
    <row r="549" spans="1:16" ht="18" customHeight="1">
      <c r="A549" s="85"/>
      <c r="B549" s="86"/>
      <c r="C549" s="87"/>
      <c r="D549" s="88">
        <v>1688</v>
      </c>
      <c r="E549" s="88">
        <v>1810</v>
      </c>
      <c r="F549" s="89">
        <f t="shared" ref="F549:F554" si="422">O549</f>
        <v>10</v>
      </c>
      <c r="G549" s="90">
        <f t="shared" si="420"/>
        <v>332.78654598133079</v>
      </c>
      <c r="H549" s="90">
        <f t="shared" si="421"/>
        <v>139.92000000000002</v>
      </c>
      <c r="I549" s="91" t="str">
        <f>I548</f>
        <v>11동3,5라인</v>
      </c>
      <c r="J549" s="92" t="s">
        <v>206</v>
      </c>
      <c r="L549" s="89">
        <v>1</v>
      </c>
      <c r="M549" s="78">
        <f>M548</f>
        <v>10</v>
      </c>
      <c r="N549" s="84"/>
      <c r="O549" s="78">
        <f t="shared" ref="O549:O554" si="423">L549*M549-N549*L549</f>
        <v>10</v>
      </c>
    </row>
    <row r="550" spans="1:16" ht="18" customHeight="1">
      <c r="A550" s="85"/>
      <c r="B550" s="86"/>
      <c r="C550" s="87"/>
      <c r="D550" s="88">
        <v>738</v>
      </c>
      <c r="E550" s="88">
        <v>1310</v>
      </c>
      <c r="F550" s="89">
        <f t="shared" si="422"/>
        <v>40</v>
      </c>
      <c r="G550" s="90">
        <f t="shared" si="420"/>
        <v>421.2136065091658</v>
      </c>
      <c r="H550" s="90">
        <f t="shared" si="421"/>
        <v>327.68</v>
      </c>
      <c r="I550" s="91" t="str">
        <f t="shared" ref="I550:I554" si="424">I549</f>
        <v>11동3,5라인</v>
      </c>
      <c r="J550" s="92" t="s">
        <v>207</v>
      </c>
      <c r="L550" s="89">
        <v>4</v>
      </c>
      <c r="M550" s="78">
        <f t="shared" ref="M550:M553" si="425">M549</f>
        <v>10</v>
      </c>
      <c r="N550" s="78"/>
      <c r="O550" s="78">
        <f t="shared" si="423"/>
        <v>40</v>
      </c>
    </row>
    <row r="551" spans="1:16" ht="18" customHeight="1">
      <c r="A551" s="85"/>
      <c r="B551" s="86"/>
      <c r="C551" s="87"/>
      <c r="D551" s="88">
        <v>288</v>
      </c>
      <c r="E551" s="88">
        <v>910</v>
      </c>
      <c r="F551" s="89">
        <f t="shared" si="422"/>
        <v>20</v>
      </c>
      <c r="G551" s="90">
        <f t="shared" si="420"/>
        <v>57.09244191745907</v>
      </c>
      <c r="H551" s="90">
        <f t="shared" si="421"/>
        <v>95.84</v>
      </c>
      <c r="I551" s="91" t="str">
        <f t="shared" si="424"/>
        <v>11동3,5라인</v>
      </c>
      <c r="J551" s="92" t="s">
        <v>208</v>
      </c>
      <c r="L551" s="89">
        <v>2</v>
      </c>
      <c r="M551" s="78">
        <f t="shared" si="425"/>
        <v>10</v>
      </c>
      <c r="N551" s="78"/>
      <c r="O551" s="78">
        <f t="shared" si="423"/>
        <v>20</v>
      </c>
    </row>
    <row r="552" spans="1:16" ht="18" customHeight="1">
      <c r="A552" s="85"/>
      <c r="B552" s="86"/>
      <c r="C552" s="87"/>
      <c r="D552" s="88">
        <v>228</v>
      </c>
      <c r="E552" s="88">
        <v>910</v>
      </c>
      <c r="F552" s="89">
        <f t="shared" si="422"/>
        <v>20</v>
      </c>
      <c r="G552" s="90">
        <f t="shared" si="420"/>
        <v>45.1981831846551</v>
      </c>
      <c r="H552" s="90">
        <f t="shared" si="421"/>
        <v>91.039999999999992</v>
      </c>
      <c r="I552" s="91" t="str">
        <f t="shared" si="424"/>
        <v>11동3,5라인</v>
      </c>
      <c r="J552" s="92" t="s">
        <v>209</v>
      </c>
      <c r="L552" s="89">
        <v>2</v>
      </c>
      <c r="M552" s="78">
        <f t="shared" si="425"/>
        <v>10</v>
      </c>
      <c r="N552" s="78"/>
      <c r="O552" s="78">
        <f t="shared" si="423"/>
        <v>20</v>
      </c>
    </row>
    <row r="553" spans="1:16" ht="18" customHeight="1">
      <c r="A553" s="85"/>
      <c r="B553" s="86"/>
      <c r="C553" s="87"/>
      <c r="D553" s="88">
        <v>438</v>
      </c>
      <c r="E553" s="88">
        <v>270</v>
      </c>
      <c r="F553" s="89">
        <f t="shared" si="422"/>
        <v>20</v>
      </c>
      <c r="G553" s="90">
        <f t="shared" si="420"/>
        <v>25.762180178413882</v>
      </c>
      <c r="H553" s="90">
        <f t="shared" si="421"/>
        <v>56.64</v>
      </c>
      <c r="I553" s="91" t="str">
        <f t="shared" si="424"/>
        <v>11동3,5라인</v>
      </c>
      <c r="J553" s="92" t="s">
        <v>210</v>
      </c>
      <c r="L553" s="89">
        <v>2</v>
      </c>
      <c r="M553" s="78">
        <f t="shared" si="425"/>
        <v>10</v>
      </c>
      <c r="N553" s="78"/>
      <c r="O553" s="78">
        <f t="shared" si="423"/>
        <v>20</v>
      </c>
    </row>
    <row r="554" spans="1:16" ht="18" customHeight="1">
      <c r="A554" s="85"/>
      <c r="B554" s="86"/>
      <c r="C554" s="87"/>
      <c r="D554" s="88">
        <v>208</v>
      </c>
      <c r="E554" s="88">
        <v>910</v>
      </c>
      <c r="F554" s="89">
        <f t="shared" si="422"/>
        <v>20</v>
      </c>
      <c r="G554" s="90">
        <f t="shared" si="420"/>
        <v>41.233430273720444</v>
      </c>
      <c r="H554" s="90">
        <f t="shared" si="421"/>
        <v>89.44</v>
      </c>
      <c r="I554" s="91" t="str">
        <f t="shared" si="424"/>
        <v>11동3,5라인</v>
      </c>
      <c r="J554" s="92" t="s">
        <v>211</v>
      </c>
      <c r="L554" s="89">
        <v>2</v>
      </c>
      <c r="M554" s="78">
        <f>M553</f>
        <v>10</v>
      </c>
      <c r="N554" s="78"/>
      <c r="O554" s="78">
        <f t="shared" si="423"/>
        <v>20</v>
      </c>
    </row>
    <row r="555" spans="1:16" ht="18" customHeight="1">
      <c r="A555" s="85"/>
      <c r="B555" s="93"/>
      <c r="C555" s="87"/>
      <c r="D555" s="325" t="s">
        <v>0</v>
      </c>
      <c r="E555" s="325"/>
      <c r="F555" s="94">
        <f>SUM(F548:F554)</f>
        <v>150</v>
      </c>
      <c r="G555" s="95">
        <f>SUM(G548:G554)</f>
        <v>1223.3462950255423</v>
      </c>
      <c r="H555" s="96">
        <f>SUM(H548:H554)</f>
        <v>1006.24</v>
      </c>
      <c r="I555" s="97"/>
      <c r="J555" s="162"/>
    </row>
    <row r="556" spans="1:16" ht="18" customHeight="1">
      <c r="A556" s="85"/>
      <c r="B556" s="93"/>
      <c r="C556" s="87"/>
      <c r="D556" s="161"/>
      <c r="E556" s="161"/>
      <c r="F556" s="89"/>
      <c r="G556" s="100"/>
      <c r="H556" s="101"/>
      <c r="I556" s="102"/>
      <c r="J556" s="121"/>
      <c r="L556" s="78" t="s">
        <v>48</v>
      </c>
      <c r="M556" s="78" t="s">
        <v>54</v>
      </c>
      <c r="N556" s="78" t="s">
        <v>50</v>
      </c>
      <c r="O556" s="78" t="s">
        <v>55</v>
      </c>
    </row>
    <row r="557" spans="1:16" ht="18" customHeight="1">
      <c r="A557" s="85"/>
      <c r="B557" s="23" t="s">
        <v>197</v>
      </c>
      <c r="C557" s="24">
        <v>22</v>
      </c>
      <c r="D557" s="88">
        <v>761</v>
      </c>
      <c r="E557" s="88">
        <v>1810</v>
      </c>
      <c r="F557" s="89">
        <f t="shared" ref="F557:F563" si="426">O557</f>
        <v>20</v>
      </c>
      <c r="G557" s="90">
        <f t="shared" ref="G557:G563" si="427">D557*E557/91809*F557</f>
        <v>300.05990698079711</v>
      </c>
      <c r="H557" s="90">
        <f t="shared" ref="H557:H563" si="428">(D557/1000)*4*F557+(E557/1000)*4*F557</f>
        <v>205.68</v>
      </c>
      <c r="I557" s="91" t="str">
        <f t="shared" ref="I557:I563" si="429">I548</f>
        <v>11동3,5라인</v>
      </c>
      <c r="J557" s="92" t="s">
        <v>212</v>
      </c>
      <c r="L557" s="89">
        <v>2</v>
      </c>
      <c r="M557" s="78">
        <f>M548</f>
        <v>10</v>
      </c>
      <c r="N557" s="84"/>
      <c r="O557" s="78">
        <f>L557*M557-N557*L557</f>
        <v>20</v>
      </c>
    </row>
    <row r="558" spans="1:16" ht="18" customHeight="1">
      <c r="A558" s="85"/>
      <c r="B558" s="86"/>
      <c r="C558" s="87"/>
      <c r="D558" s="88">
        <v>1688</v>
      </c>
      <c r="E558" s="88">
        <v>1810</v>
      </c>
      <c r="F558" s="89">
        <f t="shared" si="426"/>
        <v>10</v>
      </c>
      <c r="G558" s="90">
        <f t="shared" si="427"/>
        <v>332.78654598133079</v>
      </c>
      <c r="H558" s="90">
        <f t="shared" si="428"/>
        <v>139.92000000000002</v>
      </c>
      <c r="I558" s="91" t="str">
        <f t="shared" si="429"/>
        <v>11동3,5라인</v>
      </c>
      <c r="J558" s="92" t="s">
        <v>213</v>
      </c>
      <c r="L558" s="89">
        <v>1</v>
      </c>
      <c r="M558" s="78">
        <f>M557</f>
        <v>10</v>
      </c>
      <c r="N558" s="84"/>
      <c r="O558" s="78">
        <f>L558*M558-N558*L558</f>
        <v>10</v>
      </c>
    </row>
    <row r="559" spans="1:16" ht="18" customHeight="1">
      <c r="A559" s="104"/>
      <c r="B559" s="93"/>
      <c r="C559" s="87"/>
      <c r="D559" s="88">
        <v>738</v>
      </c>
      <c r="E559" s="88">
        <v>1310</v>
      </c>
      <c r="F559" s="89">
        <f t="shared" si="426"/>
        <v>40</v>
      </c>
      <c r="G559" s="90">
        <f t="shared" si="427"/>
        <v>421.2136065091658</v>
      </c>
      <c r="H559" s="90">
        <f t="shared" si="428"/>
        <v>327.68</v>
      </c>
      <c r="I559" s="91" t="str">
        <f t="shared" si="429"/>
        <v>11동3,5라인</v>
      </c>
      <c r="J559" s="92" t="s">
        <v>214</v>
      </c>
      <c r="L559" s="89">
        <v>4</v>
      </c>
      <c r="M559" s="78">
        <f t="shared" ref="M559:M563" si="430">M558</f>
        <v>10</v>
      </c>
      <c r="N559" s="84"/>
      <c r="O559" s="78">
        <f t="shared" ref="O559:O563" si="431">L559*M559-N559*L559</f>
        <v>40</v>
      </c>
    </row>
    <row r="560" spans="1:16" ht="18" customHeight="1">
      <c r="A560" s="104"/>
      <c r="B560" s="93"/>
      <c r="C560" s="87"/>
      <c r="D560" s="88">
        <v>288</v>
      </c>
      <c r="E560" s="88">
        <v>910</v>
      </c>
      <c r="F560" s="89">
        <f t="shared" si="426"/>
        <v>20</v>
      </c>
      <c r="G560" s="90">
        <f t="shared" si="427"/>
        <v>57.09244191745907</v>
      </c>
      <c r="H560" s="90">
        <f t="shared" si="428"/>
        <v>95.84</v>
      </c>
      <c r="I560" s="91" t="str">
        <f t="shared" si="429"/>
        <v>11동3,5라인</v>
      </c>
      <c r="J560" s="92" t="s">
        <v>215</v>
      </c>
      <c r="L560" s="89">
        <v>2</v>
      </c>
      <c r="M560" s="78">
        <f t="shared" si="430"/>
        <v>10</v>
      </c>
      <c r="N560" s="78"/>
      <c r="O560" s="78">
        <f t="shared" si="431"/>
        <v>20</v>
      </c>
    </row>
    <row r="561" spans="1:16" ht="18" customHeight="1">
      <c r="A561" s="104"/>
      <c r="B561" s="93"/>
      <c r="C561" s="87"/>
      <c r="D561" s="88">
        <v>228</v>
      </c>
      <c r="E561" s="88">
        <v>910</v>
      </c>
      <c r="F561" s="89">
        <f t="shared" si="426"/>
        <v>20</v>
      </c>
      <c r="G561" s="90">
        <f t="shared" si="427"/>
        <v>45.1981831846551</v>
      </c>
      <c r="H561" s="90">
        <f t="shared" si="428"/>
        <v>91.039999999999992</v>
      </c>
      <c r="I561" s="91" t="str">
        <f t="shared" si="429"/>
        <v>11동3,5라인</v>
      </c>
      <c r="J561" s="92" t="s">
        <v>216</v>
      </c>
      <c r="L561" s="89">
        <v>2</v>
      </c>
      <c r="M561" s="78">
        <f t="shared" si="430"/>
        <v>10</v>
      </c>
      <c r="N561" s="78"/>
      <c r="O561" s="78">
        <f t="shared" si="431"/>
        <v>20</v>
      </c>
    </row>
    <row r="562" spans="1:16" ht="18" customHeight="1">
      <c r="A562" s="104"/>
      <c r="B562" s="93"/>
      <c r="C562" s="87"/>
      <c r="D562" s="88">
        <v>438</v>
      </c>
      <c r="E562" s="88">
        <v>270</v>
      </c>
      <c r="F562" s="89">
        <f t="shared" si="426"/>
        <v>20</v>
      </c>
      <c r="G562" s="90">
        <f t="shared" si="427"/>
        <v>25.762180178413882</v>
      </c>
      <c r="H562" s="90">
        <f t="shared" si="428"/>
        <v>56.64</v>
      </c>
      <c r="I562" s="91" t="str">
        <f t="shared" si="429"/>
        <v>11동3,5라인</v>
      </c>
      <c r="J562" s="92" t="s">
        <v>217</v>
      </c>
      <c r="L562" s="89">
        <v>2</v>
      </c>
      <c r="M562" s="78">
        <f t="shared" si="430"/>
        <v>10</v>
      </c>
      <c r="N562" s="78"/>
      <c r="O562" s="78">
        <f t="shared" si="431"/>
        <v>20</v>
      </c>
    </row>
    <row r="563" spans="1:16" ht="18" customHeight="1">
      <c r="A563" s="104"/>
      <c r="B563" s="93"/>
      <c r="C563" s="87"/>
      <c r="D563" s="88">
        <v>208</v>
      </c>
      <c r="E563" s="88">
        <v>910</v>
      </c>
      <c r="F563" s="89">
        <f t="shared" si="426"/>
        <v>20</v>
      </c>
      <c r="G563" s="90">
        <f t="shared" si="427"/>
        <v>41.233430273720444</v>
      </c>
      <c r="H563" s="90">
        <f t="shared" si="428"/>
        <v>89.44</v>
      </c>
      <c r="I563" s="91" t="str">
        <f t="shared" si="429"/>
        <v>11동3,5라인</v>
      </c>
      <c r="J563" s="92" t="s">
        <v>218</v>
      </c>
      <c r="L563" s="89">
        <v>2</v>
      </c>
      <c r="M563" s="78">
        <f t="shared" si="430"/>
        <v>10</v>
      </c>
      <c r="N563" s="78"/>
      <c r="O563" s="78">
        <f t="shared" si="431"/>
        <v>20</v>
      </c>
    </row>
    <row r="564" spans="1:16" ht="18" customHeight="1">
      <c r="A564" s="104"/>
      <c r="B564" s="87"/>
      <c r="C564" s="87"/>
      <c r="D564" s="325" t="s">
        <v>0</v>
      </c>
      <c r="E564" s="325"/>
      <c r="F564" s="171">
        <f>SUM(F557:F563)</f>
        <v>150</v>
      </c>
      <c r="G564" s="95">
        <f>SUM(G557:G563)</f>
        <v>1223.3462950255423</v>
      </c>
      <c r="H564" s="95">
        <f>SUM(H557:H563)</f>
        <v>1006.24</v>
      </c>
      <c r="I564" s="97"/>
      <c r="J564" s="98"/>
    </row>
    <row r="565" spans="1:16">
      <c r="A565" s="105"/>
      <c r="B565" s="9"/>
      <c r="C565" s="9"/>
      <c r="D565" s="51"/>
      <c r="E565" s="51"/>
      <c r="F565" s="51"/>
      <c r="G565" s="106"/>
      <c r="H565" s="106"/>
      <c r="I565" s="9"/>
      <c r="J565" s="107"/>
    </row>
    <row r="566" spans="1:16" ht="18" customHeight="1">
      <c r="A566" s="85"/>
      <c r="B566" s="163" t="s">
        <v>199</v>
      </c>
      <c r="C566" s="163">
        <v>22</v>
      </c>
      <c r="D566" s="88">
        <v>738</v>
      </c>
      <c r="E566" s="88">
        <v>1810</v>
      </c>
      <c r="F566" s="89">
        <f t="shared" ref="F566:F567" si="432">O566</f>
        <v>20</v>
      </c>
      <c r="G566" s="90">
        <f t="shared" ref="G566:G567" si="433">D566*E566/91809*F566</f>
        <v>290.99107930595039</v>
      </c>
      <c r="H566" s="90">
        <f t="shared" ref="H566:H567" si="434">(D566/1000)*4*F566+(E566/1000)*4*F566</f>
        <v>203.84</v>
      </c>
      <c r="I566" s="91" t="str">
        <f>I557</f>
        <v>11동3,5라인</v>
      </c>
      <c r="J566" s="92" t="s">
        <v>219</v>
      </c>
      <c r="L566" s="89">
        <v>2</v>
      </c>
      <c r="M566" s="78">
        <f>M548</f>
        <v>10</v>
      </c>
      <c r="N566" s="84"/>
      <c r="O566" s="78">
        <f>L566*M566-N566*L566</f>
        <v>20</v>
      </c>
      <c r="P566" s="64"/>
    </row>
    <row r="567" spans="1:16" ht="18" customHeight="1">
      <c r="A567" s="85"/>
      <c r="B567" s="86"/>
      <c r="C567" s="87"/>
      <c r="D567" s="88">
        <v>250</v>
      </c>
      <c r="E567" s="88">
        <v>930</v>
      </c>
      <c r="F567" s="89">
        <f t="shared" si="432"/>
        <v>20</v>
      </c>
      <c r="G567" s="90">
        <f t="shared" si="433"/>
        <v>50.648629219357574</v>
      </c>
      <c r="H567" s="90">
        <f t="shared" si="434"/>
        <v>94.4</v>
      </c>
      <c r="I567" s="91" t="str">
        <f>I566</f>
        <v>11동3,5라인</v>
      </c>
      <c r="J567" s="92" t="s">
        <v>220</v>
      </c>
      <c r="L567" s="89">
        <v>2</v>
      </c>
      <c r="M567" s="78">
        <f>M566</f>
        <v>10</v>
      </c>
      <c r="N567" s="84"/>
      <c r="O567" s="78">
        <f t="shared" ref="O567" si="435">L567*M567-N567*L567</f>
        <v>20</v>
      </c>
    </row>
    <row r="568" spans="1:16" ht="18" customHeight="1" thickBot="1">
      <c r="A568" s="222"/>
      <c r="B568" s="223"/>
      <c r="C568" s="224"/>
      <c r="D568" s="364" t="s">
        <v>0</v>
      </c>
      <c r="E568" s="364"/>
      <c r="F568" s="269">
        <f>SUM(F566:F567)</f>
        <v>40</v>
      </c>
      <c r="G568" s="270">
        <f>SUM(G566:G567)</f>
        <v>341.63970852530798</v>
      </c>
      <c r="H568" s="270">
        <f>SUM(H566:H567)</f>
        <v>298.24</v>
      </c>
      <c r="I568" s="271"/>
      <c r="J568" s="272"/>
    </row>
    <row r="569" spans="1:16" ht="18" customHeight="1">
      <c r="A569" s="79" t="s">
        <v>235</v>
      </c>
      <c r="B569" s="231" t="s">
        <v>196</v>
      </c>
      <c r="C569" s="232">
        <v>22</v>
      </c>
      <c r="D569" s="80">
        <v>861</v>
      </c>
      <c r="E569" s="80">
        <v>1810</v>
      </c>
      <c r="F569" s="233">
        <f t="shared" ref="F569:F572" si="436">O569</f>
        <v>5</v>
      </c>
      <c r="G569" s="81">
        <f t="shared" ref="G569:G572" si="437">D569*E569/91809*F569</f>
        <v>84.872398130902198</v>
      </c>
      <c r="H569" s="81">
        <f t="shared" ref="H569:H572" si="438">(D569/1000)*4*F569+(E569/1000)*4*F569</f>
        <v>53.42</v>
      </c>
      <c r="I569" s="82" t="s">
        <v>269</v>
      </c>
      <c r="J569" s="83" t="s">
        <v>205</v>
      </c>
      <c r="L569" s="89">
        <v>1</v>
      </c>
      <c r="M569" s="78">
        <v>5</v>
      </c>
      <c r="N569" s="84"/>
      <c r="O569" s="78">
        <f>L569*M569-N569*L569</f>
        <v>5</v>
      </c>
      <c r="P569" s="64"/>
    </row>
    <row r="570" spans="1:16" ht="18" customHeight="1">
      <c r="A570" s="85"/>
      <c r="B570" s="86"/>
      <c r="C570" s="87"/>
      <c r="D570" s="88">
        <v>738</v>
      </c>
      <c r="E570" s="88">
        <v>1310</v>
      </c>
      <c r="F570" s="89">
        <f t="shared" si="436"/>
        <v>20</v>
      </c>
      <c r="G570" s="90">
        <f t="shared" si="437"/>
        <v>210.6068032545829</v>
      </c>
      <c r="H570" s="90">
        <f t="shared" si="438"/>
        <v>163.84</v>
      </c>
      <c r="I570" s="91" t="str">
        <f>I569</f>
        <v>11동4라인</v>
      </c>
      <c r="J570" s="92" t="s">
        <v>207</v>
      </c>
      <c r="L570" s="89">
        <v>4</v>
      </c>
      <c r="M570" s="78">
        <f>M569</f>
        <v>5</v>
      </c>
      <c r="N570" s="84"/>
      <c r="O570" s="78">
        <f t="shared" ref="O570:O572" si="439">L570*M570-N570*L570</f>
        <v>20</v>
      </c>
    </row>
    <row r="571" spans="1:16" ht="18" customHeight="1">
      <c r="A571" s="85"/>
      <c r="B571" s="86"/>
      <c r="C571" s="87"/>
      <c r="D571" s="88">
        <v>228</v>
      </c>
      <c r="E571" s="88">
        <v>910</v>
      </c>
      <c r="F571" s="89">
        <f t="shared" si="436"/>
        <v>10</v>
      </c>
      <c r="G571" s="90">
        <f t="shared" si="437"/>
        <v>22.59909159232755</v>
      </c>
      <c r="H571" s="90">
        <f t="shared" si="438"/>
        <v>45.519999999999996</v>
      </c>
      <c r="I571" s="91" t="str">
        <f t="shared" ref="I571:I572" si="440">I570</f>
        <v>11동4라인</v>
      </c>
      <c r="J571" s="92" t="s">
        <v>209</v>
      </c>
      <c r="L571" s="89">
        <v>2</v>
      </c>
      <c r="M571" s="78">
        <f t="shared" ref="M571:M572" si="441">M570</f>
        <v>5</v>
      </c>
      <c r="N571" s="78"/>
      <c r="O571" s="78">
        <f t="shared" si="439"/>
        <v>10</v>
      </c>
    </row>
    <row r="572" spans="1:16" ht="18" customHeight="1">
      <c r="A572" s="85"/>
      <c r="B572" s="86"/>
      <c r="C572" s="87"/>
      <c r="D572" s="88">
        <v>438</v>
      </c>
      <c r="E572" s="88">
        <v>270</v>
      </c>
      <c r="F572" s="89">
        <f t="shared" si="436"/>
        <v>10</v>
      </c>
      <c r="G572" s="90">
        <f t="shared" si="437"/>
        <v>12.881090089206941</v>
      </c>
      <c r="H572" s="90">
        <f t="shared" si="438"/>
        <v>28.32</v>
      </c>
      <c r="I572" s="91" t="str">
        <f t="shared" si="440"/>
        <v>11동4라인</v>
      </c>
      <c r="J572" s="92" t="s">
        <v>210</v>
      </c>
      <c r="L572" s="89">
        <v>2</v>
      </c>
      <c r="M572" s="78">
        <f t="shared" si="441"/>
        <v>5</v>
      </c>
      <c r="N572" s="78"/>
      <c r="O572" s="78">
        <f t="shared" si="439"/>
        <v>10</v>
      </c>
    </row>
    <row r="573" spans="1:16" ht="18" customHeight="1">
      <c r="A573" s="85"/>
      <c r="B573" s="93"/>
      <c r="C573" s="87"/>
      <c r="D573" s="325" t="s">
        <v>0</v>
      </c>
      <c r="E573" s="325"/>
      <c r="F573" s="94">
        <f>SUM(F569:F572)</f>
        <v>45</v>
      </c>
      <c r="G573" s="95">
        <f>SUM(G569:G572)</f>
        <v>330.95938306701964</v>
      </c>
      <c r="H573" s="96">
        <f>SUM(H569:H572)</f>
        <v>291.09999999999997</v>
      </c>
      <c r="I573" s="97"/>
      <c r="J573" s="162"/>
    </row>
    <row r="574" spans="1:16" ht="18" customHeight="1">
      <c r="A574" s="85"/>
      <c r="B574" s="93"/>
      <c r="C574" s="87"/>
      <c r="D574" s="161"/>
      <c r="E574" s="161"/>
      <c r="F574" s="89"/>
      <c r="G574" s="100"/>
      <c r="H574" s="101"/>
      <c r="I574" s="102"/>
      <c r="J574" s="121"/>
      <c r="L574" s="252"/>
      <c r="M574" s="252"/>
      <c r="N574" s="252"/>
      <c r="O574" s="252"/>
    </row>
    <row r="575" spans="1:16" ht="18" customHeight="1">
      <c r="A575" s="85"/>
      <c r="B575" s="23" t="s">
        <v>198</v>
      </c>
      <c r="C575" s="24">
        <v>22</v>
      </c>
      <c r="D575" s="88">
        <v>861</v>
      </c>
      <c r="E575" s="88">
        <v>1810</v>
      </c>
      <c r="F575" s="89">
        <f t="shared" ref="F575:F579" si="442">O575</f>
        <v>5</v>
      </c>
      <c r="G575" s="90">
        <f t="shared" ref="G575:G579" si="443">D575*E575/91809*F575</f>
        <v>84.872398130902198</v>
      </c>
      <c r="H575" s="90">
        <f t="shared" ref="H575:H579" si="444">(D575/1000)*4*F575+(E575/1000)*4*F575</f>
        <v>53.42</v>
      </c>
      <c r="I575" s="91" t="str">
        <f>I569</f>
        <v>11동4라인</v>
      </c>
      <c r="J575" s="92" t="s">
        <v>212</v>
      </c>
      <c r="L575" s="89">
        <v>1</v>
      </c>
      <c r="M575" s="78">
        <f>M569</f>
        <v>5</v>
      </c>
      <c r="N575" s="84"/>
      <c r="O575" s="78">
        <f>L575*M575-N575*L575</f>
        <v>5</v>
      </c>
    </row>
    <row r="576" spans="1:16" ht="18" customHeight="1">
      <c r="A576" s="85"/>
      <c r="B576" s="86"/>
      <c r="C576" s="87"/>
      <c r="D576" s="88">
        <v>2114</v>
      </c>
      <c r="E576" s="88">
        <v>1810</v>
      </c>
      <c r="F576" s="89">
        <f t="shared" si="442"/>
        <v>5</v>
      </c>
      <c r="G576" s="90">
        <f t="shared" si="443"/>
        <v>208.38588809375989</v>
      </c>
      <c r="H576" s="90">
        <f t="shared" si="444"/>
        <v>78.48</v>
      </c>
      <c r="I576" s="91" t="str">
        <f>I569</f>
        <v>11동4라인</v>
      </c>
      <c r="J576" s="92" t="s">
        <v>213</v>
      </c>
      <c r="L576" s="89">
        <v>1</v>
      </c>
      <c r="M576" s="78">
        <f>M575</f>
        <v>5</v>
      </c>
      <c r="N576" s="84"/>
      <c r="O576" s="78">
        <f>L576*M576-N576*L576</f>
        <v>5</v>
      </c>
    </row>
    <row r="577" spans="1:16" ht="18" customHeight="1">
      <c r="A577" s="104"/>
      <c r="B577" s="93"/>
      <c r="C577" s="87"/>
      <c r="D577" s="88">
        <v>738</v>
      </c>
      <c r="E577" s="88">
        <v>1310</v>
      </c>
      <c r="F577" s="89">
        <f t="shared" si="442"/>
        <v>20</v>
      </c>
      <c r="G577" s="90">
        <f t="shared" si="443"/>
        <v>210.6068032545829</v>
      </c>
      <c r="H577" s="90">
        <f t="shared" si="444"/>
        <v>163.84</v>
      </c>
      <c r="I577" s="91" t="str">
        <f>I576</f>
        <v>11동4라인</v>
      </c>
      <c r="J577" s="92" t="s">
        <v>214</v>
      </c>
      <c r="L577" s="89">
        <v>4</v>
      </c>
      <c r="M577" s="78">
        <f t="shared" ref="M577:M579" si="445">M576</f>
        <v>5</v>
      </c>
      <c r="N577" s="84"/>
      <c r="O577" s="78">
        <f t="shared" ref="O577:O579" si="446">L577*M577-N577*L577</f>
        <v>20</v>
      </c>
    </row>
    <row r="578" spans="1:16" ht="18" customHeight="1">
      <c r="A578" s="104"/>
      <c r="B578" s="93"/>
      <c r="C578" s="87"/>
      <c r="D578" s="88">
        <v>228</v>
      </c>
      <c r="E578" s="88">
        <v>910</v>
      </c>
      <c r="F578" s="89">
        <f t="shared" si="442"/>
        <v>10</v>
      </c>
      <c r="G578" s="90">
        <f t="shared" si="443"/>
        <v>22.59909159232755</v>
      </c>
      <c r="H578" s="90">
        <f t="shared" si="444"/>
        <v>45.519999999999996</v>
      </c>
      <c r="I578" s="91" t="str">
        <f t="shared" ref="I578:I579" si="447">I577</f>
        <v>11동4라인</v>
      </c>
      <c r="J578" s="92" t="s">
        <v>216</v>
      </c>
      <c r="L578" s="89">
        <v>2</v>
      </c>
      <c r="M578" s="78">
        <f t="shared" si="445"/>
        <v>5</v>
      </c>
      <c r="N578" s="78"/>
      <c r="O578" s="78">
        <f t="shared" si="446"/>
        <v>10</v>
      </c>
    </row>
    <row r="579" spans="1:16" ht="18" customHeight="1">
      <c r="A579" s="104"/>
      <c r="B579" s="93"/>
      <c r="C579" s="87"/>
      <c r="D579" s="88">
        <v>438</v>
      </c>
      <c r="E579" s="88">
        <v>270</v>
      </c>
      <c r="F579" s="89">
        <f t="shared" si="442"/>
        <v>10</v>
      </c>
      <c r="G579" s="90">
        <f t="shared" si="443"/>
        <v>12.881090089206941</v>
      </c>
      <c r="H579" s="90">
        <f t="shared" si="444"/>
        <v>28.32</v>
      </c>
      <c r="I579" s="91" t="str">
        <f t="shared" si="447"/>
        <v>11동4라인</v>
      </c>
      <c r="J579" s="92" t="s">
        <v>217</v>
      </c>
      <c r="L579" s="89">
        <v>2</v>
      </c>
      <c r="M579" s="78">
        <f t="shared" si="445"/>
        <v>5</v>
      </c>
      <c r="N579" s="78"/>
      <c r="O579" s="78">
        <f t="shared" si="446"/>
        <v>10</v>
      </c>
    </row>
    <row r="580" spans="1:16" ht="18" customHeight="1">
      <c r="A580" s="104"/>
      <c r="B580" s="87"/>
      <c r="C580" s="87"/>
      <c r="D580" s="325" t="s">
        <v>0</v>
      </c>
      <c r="E580" s="325"/>
      <c r="F580" s="171">
        <f>SUM(F575:F579)</f>
        <v>50</v>
      </c>
      <c r="G580" s="95">
        <f>SUM(G575:G579)</f>
        <v>539.34527116077948</v>
      </c>
      <c r="H580" s="95">
        <f>SUM(H575:H579)</f>
        <v>369.58</v>
      </c>
      <c r="I580" s="97"/>
      <c r="J580" s="98"/>
    </row>
    <row r="581" spans="1:16">
      <c r="A581" s="105"/>
      <c r="B581" s="9"/>
      <c r="C581" s="9"/>
      <c r="D581" s="51"/>
      <c r="E581" s="51"/>
      <c r="F581" s="51"/>
      <c r="G581" s="106"/>
      <c r="H581" s="106"/>
      <c r="I581" s="9"/>
      <c r="J581" s="107"/>
    </row>
    <row r="582" spans="1:16" ht="18" customHeight="1">
      <c r="A582" s="85"/>
      <c r="B582" s="23" t="s">
        <v>237</v>
      </c>
      <c r="C582" s="24">
        <v>22</v>
      </c>
      <c r="D582" s="88">
        <v>2114</v>
      </c>
      <c r="E582" s="88">
        <v>1810</v>
      </c>
      <c r="F582" s="89">
        <f t="shared" ref="F582" si="448">O582</f>
        <v>5</v>
      </c>
      <c r="G582" s="90">
        <f t="shared" ref="G582" si="449">D582*E582/91809*F582</f>
        <v>208.38588809375989</v>
      </c>
      <c r="H582" s="90">
        <f t="shared" ref="H582" si="450">(D582/1000)*4*F582+(E582/1000)*4*F582</f>
        <v>78.48</v>
      </c>
      <c r="I582" s="91" t="str">
        <f>I575</f>
        <v>11동4라인</v>
      </c>
      <c r="J582" s="92" t="s">
        <v>206</v>
      </c>
      <c r="L582" s="89">
        <v>1</v>
      </c>
      <c r="M582" s="78">
        <f>M569</f>
        <v>5</v>
      </c>
      <c r="N582" s="84"/>
      <c r="O582" s="78">
        <f>L582*M582-N582*L582</f>
        <v>5</v>
      </c>
    </row>
    <row r="583" spans="1:16" ht="18" customHeight="1">
      <c r="A583" s="85"/>
      <c r="B583" s="93"/>
      <c r="C583" s="87"/>
      <c r="D583" s="325" t="s">
        <v>0</v>
      </c>
      <c r="E583" s="325"/>
      <c r="F583" s="94">
        <f>SUM(F582:F582)</f>
        <v>5</v>
      </c>
      <c r="G583" s="95">
        <f>SUM(G582:G582)</f>
        <v>208.38588809375989</v>
      </c>
      <c r="H583" s="95">
        <f>SUM(H582:H582)</f>
        <v>78.48</v>
      </c>
      <c r="I583" s="97"/>
      <c r="J583" s="98"/>
    </row>
    <row r="584" spans="1:16" ht="18" customHeight="1">
      <c r="A584" s="218"/>
      <c r="B584" s="219"/>
      <c r="C584" s="220"/>
      <c r="D584" s="161"/>
      <c r="E584" s="161"/>
      <c r="F584" s="89"/>
      <c r="G584" s="100"/>
      <c r="H584" s="100"/>
      <c r="I584" s="102"/>
      <c r="J584" s="221"/>
    </row>
    <row r="585" spans="1:16" ht="18" customHeight="1">
      <c r="A585" s="85"/>
      <c r="B585" s="23" t="s">
        <v>200</v>
      </c>
      <c r="C585" s="24">
        <v>22</v>
      </c>
      <c r="D585" s="88">
        <v>738</v>
      </c>
      <c r="E585" s="88">
        <v>1810</v>
      </c>
      <c r="F585" s="89">
        <f t="shared" ref="F585:F586" si="451">O585</f>
        <v>0</v>
      </c>
      <c r="G585" s="90">
        <f t="shared" ref="G585:G586" si="452">D585*E585/91809*F585</f>
        <v>0</v>
      </c>
      <c r="H585" s="90">
        <f t="shared" ref="H585:H586" si="453">(D585/1000)*4*F585+(E585/1000)*4*F585</f>
        <v>0</v>
      </c>
      <c r="I585" s="91" t="str">
        <f>I582</f>
        <v>11동4라인</v>
      </c>
      <c r="J585" s="92" t="s">
        <v>219</v>
      </c>
      <c r="L585" s="89">
        <v>2</v>
      </c>
      <c r="M585" s="78">
        <f>M582</f>
        <v>5</v>
      </c>
      <c r="N585" s="84">
        <v>5</v>
      </c>
      <c r="O585" s="78">
        <f>L585*M585-N585*L585</f>
        <v>0</v>
      </c>
      <c r="P585" s="64" t="s">
        <v>284</v>
      </c>
    </row>
    <row r="586" spans="1:16" ht="18" customHeight="1">
      <c r="A586" s="85"/>
      <c r="B586" s="86"/>
      <c r="C586" s="87"/>
      <c r="D586" s="88">
        <v>250</v>
      </c>
      <c r="E586" s="88">
        <v>930</v>
      </c>
      <c r="F586" s="89">
        <f t="shared" si="451"/>
        <v>10</v>
      </c>
      <c r="G586" s="90">
        <f t="shared" si="452"/>
        <v>25.324314609678787</v>
      </c>
      <c r="H586" s="90">
        <f t="shared" si="453"/>
        <v>47.2</v>
      </c>
      <c r="I586" s="91" t="str">
        <f>I585</f>
        <v>11동4라인</v>
      </c>
      <c r="J586" s="92" t="s">
        <v>220</v>
      </c>
      <c r="L586" s="89">
        <v>2</v>
      </c>
      <c r="M586" s="78">
        <f>M585</f>
        <v>5</v>
      </c>
      <c r="N586" s="84"/>
      <c r="O586" s="78">
        <f t="shared" ref="O586" si="454">L586*M586-N586*L586</f>
        <v>10</v>
      </c>
    </row>
    <row r="587" spans="1:16" ht="18" customHeight="1">
      <c r="A587" s="85"/>
      <c r="B587" s="93"/>
      <c r="C587" s="87"/>
      <c r="D587" s="325" t="s">
        <v>0</v>
      </c>
      <c r="E587" s="325"/>
      <c r="F587" s="94">
        <f>SUM(F585:F586)</f>
        <v>10</v>
      </c>
      <c r="G587" s="95">
        <f>SUM(G585:G586)</f>
        <v>25.324314609678787</v>
      </c>
      <c r="H587" s="96">
        <f>SUM(H585:H586)</f>
        <v>47.2</v>
      </c>
      <c r="I587" s="97"/>
      <c r="J587" s="162"/>
    </row>
    <row r="588" spans="1:16">
      <c r="A588" s="253"/>
      <c r="B588" s="254"/>
      <c r="C588" s="255"/>
      <c r="D588" s="361"/>
      <c r="E588" s="361"/>
      <c r="F588" s="256"/>
      <c r="G588" s="257"/>
      <c r="H588" s="258"/>
      <c r="I588" s="259"/>
      <c r="J588" s="260"/>
    </row>
    <row r="589" spans="1:16">
      <c r="A589" s="9"/>
      <c r="B589" s="9"/>
      <c r="C589" s="9"/>
      <c r="D589" s="51"/>
      <c r="E589" s="51"/>
      <c r="F589" s="51"/>
      <c r="G589" s="106"/>
      <c r="H589" s="106"/>
      <c r="I589" s="9"/>
      <c r="J589" s="9"/>
    </row>
    <row r="590" spans="1:16">
      <c r="A590" s="9"/>
      <c r="B590" s="9"/>
      <c r="C590" s="9"/>
      <c r="D590" s="51"/>
      <c r="E590" s="51"/>
      <c r="F590" s="51"/>
      <c r="G590" s="106"/>
      <c r="H590" s="106"/>
      <c r="I590" s="9"/>
      <c r="J590" s="9"/>
    </row>
    <row r="591" spans="1:16">
      <c r="A591" s="9"/>
      <c r="B591" s="9"/>
      <c r="C591" s="9"/>
      <c r="D591" s="51"/>
      <c r="E591" s="51"/>
      <c r="F591" s="51"/>
      <c r="G591" s="106"/>
      <c r="H591" s="106"/>
      <c r="I591" s="9"/>
      <c r="J591" s="9"/>
    </row>
    <row r="592" spans="1:16">
      <c r="A592" s="9"/>
      <c r="B592" s="9"/>
      <c r="C592" s="9"/>
      <c r="D592" s="51"/>
      <c r="E592" s="51"/>
      <c r="F592" s="51"/>
      <c r="G592" s="106"/>
      <c r="H592" s="106"/>
      <c r="I592" s="9"/>
      <c r="J592" s="9"/>
    </row>
    <row r="593" spans="1:10">
      <c r="A593" s="9"/>
      <c r="B593" s="9"/>
      <c r="C593" s="9"/>
      <c r="D593" s="51"/>
      <c r="E593" s="51"/>
      <c r="F593" s="51"/>
      <c r="G593" s="106"/>
      <c r="H593" s="106"/>
      <c r="I593" s="9"/>
      <c r="J593" s="9"/>
    </row>
    <row r="594" spans="1:10">
      <c r="A594" s="44" t="s">
        <v>59</v>
      </c>
      <c r="B594" s="23" t="s">
        <v>196</v>
      </c>
      <c r="C594" s="24">
        <v>22</v>
      </c>
      <c r="D594" s="51"/>
      <c r="E594" s="51"/>
      <c r="F594" s="51">
        <f>F573+F555+F533+F510+F491+F468+F450+F428+F407+F386+F365+F343+F320+F301+F279+F257+F234+F213+F193+F171+F148+F127+F107+F86+F64+F41+F22</f>
        <v>2305</v>
      </c>
      <c r="G594" s="51">
        <f t="shared" ref="G594:H594" si="455">G573+G555+G533+G510+G491+G468+G450+G428+G407+G386+G365+G343+G320+G301+G279+G257+G234+G213+G193+G171+G148+G127+G107+G86+G64+G41+G22</f>
        <v>18417.646962716073</v>
      </c>
      <c r="H594" s="51">
        <f t="shared" si="455"/>
        <v>15352.500000000002</v>
      </c>
      <c r="I594" s="9"/>
      <c r="J594" s="9"/>
    </row>
    <row r="595" spans="1:10">
      <c r="A595" s="44" t="s">
        <v>60</v>
      </c>
      <c r="B595" s="23" t="s">
        <v>198</v>
      </c>
      <c r="C595" s="24">
        <v>22</v>
      </c>
      <c r="D595" s="51"/>
      <c r="E595" s="51"/>
      <c r="F595" s="51">
        <f>F580+F564+F542+F517+F500+F475++F459+F437+F415+F394+F374+F352+F327+F310+F288+F266++F241+F221+F202+F180+F155+F135+F115+F95+F73+F48+F31</f>
        <v>2360</v>
      </c>
      <c r="G595" s="51">
        <f t="shared" ref="G595:H595" si="456">G580+G564+G542+G517+G500+G475++G459+G437+G415+G394+G374+G352+G327+G310+G288+G266++G241+G221+G202+G180+G155+G135+G115+G95+G73+G48+G31</f>
        <v>20709.89173174743</v>
      </c>
      <c r="H595" s="51">
        <f t="shared" si="456"/>
        <v>16215.78</v>
      </c>
      <c r="I595" s="9"/>
      <c r="J595" s="9"/>
    </row>
    <row r="596" spans="1:10">
      <c r="A596" s="44" t="s">
        <v>92</v>
      </c>
      <c r="B596" s="23" t="s">
        <v>237</v>
      </c>
      <c r="C596" s="24">
        <v>22</v>
      </c>
      <c r="D596" s="51"/>
      <c r="E596" s="51"/>
      <c r="F596" s="51">
        <f>F583+F520+F478+F330+F244++F158+F51+F224++F138</f>
        <v>55</v>
      </c>
      <c r="G596" s="51">
        <f t="shared" ref="G596:H596" si="457">G583+G520+G478+G330+G244++G158+G51+G224++G138</f>
        <v>2292.2447690313584</v>
      </c>
      <c r="H596" s="51">
        <f t="shared" si="457"/>
        <v>863.28000000000009</v>
      </c>
      <c r="I596" s="9"/>
      <c r="J596" s="9"/>
    </row>
    <row r="597" spans="1:10">
      <c r="A597" s="44" t="s">
        <v>110</v>
      </c>
      <c r="B597" s="23" t="s">
        <v>200</v>
      </c>
      <c r="C597" s="24">
        <v>22</v>
      </c>
      <c r="D597" s="51"/>
      <c r="E597" s="51"/>
      <c r="F597" s="51">
        <f>F587+F568+F546+F524+F504+F482+F463+F441+F420+F399+F378+F356+F334+F314+F292+F270+F248+F228+F206+F184+F162+F142+F120+F99+F77+F55+F35</f>
        <v>600</v>
      </c>
      <c r="G597" s="51">
        <f t="shared" ref="G597:H597" si="458">G587+G568+G546+G524+G504+G482+G463+G441+G420+G399+G378+G356+G334+G314+G292+G270+G248+G228+G206+G184+G162+G142+G120+G99+G77+G55+G35</f>
        <v>4484.3098171203264</v>
      </c>
      <c r="H597" s="51">
        <f t="shared" si="458"/>
        <v>4191.9999999999991</v>
      </c>
      <c r="I597" s="9"/>
      <c r="J597" s="9"/>
    </row>
    <row r="598" spans="1:10">
      <c r="A598" s="44" t="s">
        <v>111</v>
      </c>
      <c r="B598" s="23" t="s">
        <v>90</v>
      </c>
      <c r="C598" s="24">
        <v>22</v>
      </c>
      <c r="D598" s="51"/>
      <c r="E598" s="51"/>
      <c r="F598" s="51"/>
      <c r="G598" s="106"/>
      <c r="H598" s="106"/>
      <c r="I598" s="9"/>
      <c r="J598" s="9"/>
    </row>
    <row r="599" spans="1:10">
      <c r="A599" s="9"/>
      <c r="B599" s="9"/>
      <c r="C599" s="9"/>
      <c r="D599" s="51"/>
      <c r="E599" s="51"/>
      <c r="F599" s="47">
        <f>SUM(F594:F598)</f>
        <v>5320</v>
      </c>
      <c r="G599" s="106">
        <f t="shared" ref="G599:H599" si="459">SUM(G594:G598)</f>
        <v>45904.093280615183</v>
      </c>
      <c r="H599" s="106">
        <f t="shared" si="459"/>
        <v>36623.56</v>
      </c>
      <c r="I599" s="9"/>
      <c r="J599" s="9"/>
    </row>
    <row r="600" spans="1:10">
      <c r="A600" s="9"/>
      <c r="B600" s="9"/>
      <c r="C600" s="9"/>
      <c r="D600" s="51"/>
      <c r="E600" s="51"/>
      <c r="F600" s="51"/>
      <c r="G600" s="106"/>
      <c r="H600" s="106"/>
      <c r="I600" s="9"/>
      <c r="J600" s="9"/>
    </row>
    <row r="601" spans="1:10">
      <c r="A601" s="9"/>
      <c r="B601" s="9"/>
      <c r="C601" s="9"/>
      <c r="D601" s="51"/>
      <c r="E601" s="51"/>
      <c r="F601" s="51"/>
      <c r="G601" s="106"/>
      <c r="H601" s="106"/>
      <c r="I601" s="9"/>
      <c r="J601" s="9"/>
    </row>
  </sheetData>
  <mergeCells count="118">
    <mergeCell ref="D573:E573"/>
    <mergeCell ref="D580:E580"/>
    <mergeCell ref="D583:E583"/>
    <mergeCell ref="D587:E587"/>
    <mergeCell ref="D588:E588"/>
    <mergeCell ref="D542:E542"/>
    <mergeCell ref="D546:E546"/>
    <mergeCell ref="D547:E547"/>
    <mergeCell ref="D555:E555"/>
    <mergeCell ref="D564:E564"/>
    <mergeCell ref="D568:E568"/>
    <mergeCell ref="D504:E504"/>
    <mergeCell ref="D510:E510"/>
    <mergeCell ref="D517:E517"/>
    <mergeCell ref="D520:E520"/>
    <mergeCell ref="D524:E524"/>
    <mergeCell ref="D533:E533"/>
    <mergeCell ref="D475:E475"/>
    <mergeCell ref="D478:E478"/>
    <mergeCell ref="D482:E482"/>
    <mergeCell ref="D483:E483"/>
    <mergeCell ref="D491:E491"/>
    <mergeCell ref="D500:E500"/>
    <mergeCell ref="D441:E441"/>
    <mergeCell ref="D442:E442"/>
    <mergeCell ref="D450:E450"/>
    <mergeCell ref="D459:E459"/>
    <mergeCell ref="D463:E463"/>
    <mergeCell ref="D468:E468"/>
    <mergeCell ref="D400:E400"/>
    <mergeCell ref="D407:E407"/>
    <mergeCell ref="D415:E415"/>
    <mergeCell ref="D420:E420"/>
    <mergeCell ref="D428:E428"/>
    <mergeCell ref="D437:E437"/>
    <mergeCell ref="D365:E365"/>
    <mergeCell ref="D374:E374"/>
    <mergeCell ref="D378:E378"/>
    <mergeCell ref="D386:E386"/>
    <mergeCell ref="D394:E394"/>
    <mergeCell ref="D399:E399"/>
    <mergeCell ref="D330:E330"/>
    <mergeCell ref="D334:E334"/>
    <mergeCell ref="D343:E343"/>
    <mergeCell ref="D352:E352"/>
    <mergeCell ref="D356:E356"/>
    <mergeCell ref="D357:E357"/>
    <mergeCell ref="D292:E292"/>
    <mergeCell ref="D301:E301"/>
    <mergeCell ref="D310:E310"/>
    <mergeCell ref="D314:E314"/>
    <mergeCell ref="D320:E320"/>
    <mergeCell ref="D327:E327"/>
    <mergeCell ref="D257:E257"/>
    <mergeCell ref="D266:E266"/>
    <mergeCell ref="D270:E270"/>
    <mergeCell ref="D271:E271"/>
    <mergeCell ref="D279:E279"/>
    <mergeCell ref="D288:E288"/>
    <mergeCell ref="D224:E224"/>
    <mergeCell ref="D228:E228"/>
    <mergeCell ref="D234:E234"/>
    <mergeCell ref="D241:E241"/>
    <mergeCell ref="D244:E244"/>
    <mergeCell ref="D248:E248"/>
    <mergeCell ref="D193:E193"/>
    <mergeCell ref="D202:E202"/>
    <mergeCell ref="D206:E206"/>
    <mergeCell ref="D207:E207"/>
    <mergeCell ref="D213:E213"/>
    <mergeCell ref="D221:E221"/>
    <mergeCell ref="D158:E158"/>
    <mergeCell ref="D162:E162"/>
    <mergeCell ref="D171:E171"/>
    <mergeCell ref="D180:E180"/>
    <mergeCell ref="D184:E184"/>
    <mergeCell ref="D185:E185"/>
    <mergeCell ref="D127:E127"/>
    <mergeCell ref="D135:E135"/>
    <mergeCell ref="D138:E138"/>
    <mergeCell ref="D142:E142"/>
    <mergeCell ref="D148:E148"/>
    <mergeCell ref="D155:E155"/>
    <mergeCell ref="D95:E95"/>
    <mergeCell ref="D99:E99"/>
    <mergeCell ref="D107:E107"/>
    <mergeCell ref="D115:E115"/>
    <mergeCell ref="D120:E120"/>
    <mergeCell ref="D121:E121"/>
    <mergeCell ref="D55:E55"/>
    <mergeCell ref="D64:E64"/>
    <mergeCell ref="D73:E73"/>
    <mergeCell ref="D77:E77"/>
    <mergeCell ref="D78:E78"/>
    <mergeCell ref="D86:E86"/>
    <mergeCell ref="D35:E35"/>
    <mergeCell ref="D41:E41"/>
    <mergeCell ref="D48:E48"/>
    <mergeCell ref="D51:E51"/>
    <mergeCell ref="B7:E7"/>
    <mergeCell ref="G7:J7"/>
    <mergeCell ref="A10:J10"/>
    <mergeCell ref="A13:A14"/>
    <mergeCell ref="B13:B14"/>
    <mergeCell ref="C13:E13"/>
    <mergeCell ref="F13:F14"/>
    <mergeCell ref="G13:G14"/>
    <mergeCell ref="H13:H14"/>
    <mergeCell ref="I13:J14"/>
    <mergeCell ref="A1:G3"/>
    <mergeCell ref="B4:F4"/>
    <mergeCell ref="H4:J4"/>
    <mergeCell ref="B5:E5"/>
    <mergeCell ref="G5:J5"/>
    <mergeCell ref="B6:E6"/>
    <mergeCell ref="G6:J6"/>
    <mergeCell ref="D22:E22"/>
    <mergeCell ref="D31:E31"/>
  </mergeCells>
  <phoneticPr fontId="4" type="noConversion"/>
  <pageMargins left="0.17" right="0.17" top="0.75" bottom="0.75" header="0.3" footer="0.3"/>
  <pageSetup paperSize="9" scale="87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P601"/>
  <sheetViews>
    <sheetView topLeftCell="A562" workbookViewId="0">
      <selection activeCell="B11" sqref="B11"/>
    </sheetView>
  </sheetViews>
  <sheetFormatPr defaultRowHeight="16.5"/>
  <cols>
    <col min="1" max="1" width="11" customWidth="1"/>
    <col min="2" max="2" width="18.625" customWidth="1"/>
    <col min="3" max="3" width="8.125" customWidth="1"/>
    <col min="4" max="4" width="11" style="122" customWidth="1"/>
    <col min="5" max="5" width="11.5" style="122" customWidth="1"/>
    <col min="6" max="6" width="6.875" style="122" customWidth="1"/>
    <col min="7" max="8" width="10.375" style="13" customWidth="1"/>
    <col min="9" max="10" width="9.375" customWidth="1"/>
  </cols>
  <sheetData>
    <row r="1" spans="1:16" ht="15" customHeight="1">
      <c r="A1" s="350" t="s">
        <v>28</v>
      </c>
      <c r="B1" s="350"/>
      <c r="C1" s="350"/>
      <c r="D1" s="350"/>
      <c r="E1" s="350"/>
      <c r="F1" s="350"/>
      <c r="G1" s="350"/>
      <c r="H1" s="55" t="s">
        <v>29</v>
      </c>
      <c r="I1" s="56"/>
      <c r="J1" s="57"/>
    </row>
    <row r="2" spans="1:16" ht="15" customHeight="1">
      <c r="A2" s="350"/>
      <c r="B2" s="350"/>
      <c r="C2" s="350"/>
      <c r="D2" s="350"/>
      <c r="E2" s="350"/>
      <c r="F2" s="350"/>
      <c r="G2" s="350"/>
      <c r="H2" s="58" t="s">
        <v>364</v>
      </c>
      <c r="I2" s="59"/>
      <c r="J2" s="57"/>
    </row>
    <row r="3" spans="1:16" ht="15" customHeight="1" thickBot="1">
      <c r="A3" s="351"/>
      <c r="B3" s="351"/>
      <c r="C3" s="351"/>
      <c r="D3" s="351"/>
      <c r="E3" s="351"/>
      <c r="F3" s="351"/>
      <c r="G3" s="351"/>
      <c r="H3" s="60"/>
      <c r="I3" s="61"/>
      <c r="J3" s="61"/>
    </row>
    <row r="4" spans="1:16" ht="23.1" customHeight="1">
      <c r="A4" s="62" t="s">
        <v>30</v>
      </c>
      <c r="B4" s="352" t="s">
        <v>113</v>
      </c>
      <c r="C4" s="353"/>
      <c r="D4" s="353"/>
      <c r="E4" s="353"/>
      <c r="F4" s="354"/>
      <c r="G4" s="63" t="s">
        <v>31</v>
      </c>
      <c r="H4" s="355" t="s">
        <v>230</v>
      </c>
      <c r="I4" s="356"/>
      <c r="J4" s="357"/>
      <c r="K4" s="64"/>
    </row>
    <row r="5" spans="1:16" ht="23.1" customHeight="1">
      <c r="A5" s="65" t="s">
        <v>32</v>
      </c>
      <c r="B5" s="358"/>
      <c r="C5" s="359"/>
      <c r="D5" s="359"/>
      <c r="E5" s="360"/>
      <c r="F5" s="66" t="s">
        <v>33</v>
      </c>
      <c r="G5" s="347"/>
      <c r="H5" s="348"/>
      <c r="I5" s="348"/>
      <c r="J5" s="349"/>
    </row>
    <row r="6" spans="1:16" ht="23.1" customHeight="1">
      <c r="A6" s="65" t="s">
        <v>34</v>
      </c>
      <c r="B6" s="346" t="s">
        <v>365</v>
      </c>
      <c r="C6" s="346"/>
      <c r="D6" s="346"/>
      <c r="E6" s="346"/>
      <c r="F6" s="67" t="s">
        <v>35</v>
      </c>
      <c r="G6" s="347"/>
      <c r="H6" s="348"/>
      <c r="I6" s="348"/>
      <c r="J6" s="349"/>
    </row>
    <row r="7" spans="1:16" ht="23.1" customHeight="1" thickBot="1">
      <c r="A7" s="68" t="s">
        <v>36</v>
      </c>
      <c r="B7" s="326" t="s">
        <v>366</v>
      </c>
      <c r="C7" s="326"/>
      <c r="D7" s="326"/>
      <c r="E7" s="326"/>
      <c r="F7" s="69" t="s">
        <v>37</v>
      </c>
      <c r="G7" s="327" t="s">
        <v>231</v>
      </c>
      <c r="H7" s="328"/>
      <c r="I7" s="328"/>
      <c r="J7" s="329"/>
    </row>
    <row r="8" spans="1:16" ht="3" customHeight="1">
      <c r="A8" s="70"/>
      <c r="B8" s="70"/>
      <c r="C8" s="70"/>
      <c r="D8" s="71"/>
      <c r="E8" s="71"/>
      <c r="F8" s="71"/>
      <c r="G8" s="72"/>
      <c r="H8" s="72"/>
      <c r="I8" s="70"/>
      <c r="J8" s="70"/>
    </row>
    <row r="9" spans="1:16" ht="0.75" customHeight="1" thickBot="1">
      <c r="A9" s="70"/>
      <c r="B9" s="70"/>
      <c r="C9" s="70"/>
      <c r="D9" s="71"/>
      <c r="E9" s="71"/>
      <c r="F9" s="71"/>
      <c r="G9" s="72"/>
      <c r="H9" s="72"/>
      <c r="I9" s="70"/>
      <c r="J9" s="70"/>
    </row>
    <row r="10" spans="1:16" ht="30.75" customHeight="1">
      <c r="A10" s="330" t="s">
        <v>38</v>
      </c>
      <c r="B10" s="331"/>
      <c r="C10" s="331"/>
      <c r="D10" s="331"/>
      <c r="E10" s="331"/>
      <c r="F10" s="331"/>
      <c r="G10" s="331"/>
      <c r="H10" s="331"/>
      <c r="I10" s="331"/>
      <c r="J10" s="332"/>
    </row>
    <row r="11" spans="1:16" ht="30.75" customHeight="1">
      <c r="A11" s="274" t="s">
        <v>368</v>
      </c>
      <c r="B11" s="275"/>
      <c r="C11" s="275"/>
      <c r="D11" s="275"/>
      <c r="E11" s="275"/>
      <c r="F11" s="275"/>
      <c r="G11" s="275"/>
      <c r="H11" s="275"/>
      <c r="I11" s="275"/>
      <c r="J11" s="289" t="s">
        <v>309</v>
      </c>
    </row>
    <row r="12" spans="1:16" ht="30.75" customHeight="1" thickBot="1">
      <c r="A12" s="73" t="s">
        <v>232</v>
      </c>
      <c r="B12" s="74"/>
      <c r="C12" s="74"/>
      <c r="D12" s="74"/>
      <c r="E12" s="74"/>
      <c r="F12" s="74"/>
      <c r="G12" s="75"/>
      <c r="H12" s="75"/>
      <c r="I12" s="74"/>
      <c r="J12" s="179" t="s">
        <v>115</v>
      </c>
      <c r="L12" t="s">
        <v>367</v>
      </c>
    </row>
    <row r="13" spans="1:16" ht="18" customHeight="1">
      <c r="A13" s="333" t="s">
        <v>39</v>
      </c>
      <c r="B13" s="335" t="s">
        <v>40</v>
      </c>
      <c r="C13" s="337" t="s">
        <v>7</v>
      </c>
      <c r="D13" s="337"/>
      <c r="E13" s="337"/>
      <c r="F13" s="338" t="s">
        <v>41</v>
      </c>
      <c r="G13" s="340" t="s">
        <v>42</v>
      </c>
      <c r="H13" s="340" t="s">
        <v>43</v>
      </c>
      <c r="I13" s="342" t="s">
        <v>44</v>
      </c>
      <c r="J13" s="343"/>
    </row>
    <row r="14" spans="1:16" ht="18" customHeight="1" thickBot="1">
      <c r="A14" s="334"/>
      <c r="B14" s="336"/>
      <c r="C14" s="76" t="s">
        <v>45</v>
      </c>
      <c r="D14" s="173" t="s">
        <v>46</v>
      </c>
      <c r="E14" s="173" t="s">
        <v>47</v>
      </c>
      <c r="F14" s="339"/>
      <c r="G14" s="341"/>
      <c r="H14" s="341"/>
      <c r="I14" s="344"/>
      <c r="J14" s="345"/>
      <c r="L14" s="78" t="s">
        <v>48</v>
      </c>
      <c r="M14" s="78" t="s">
        <v>49</v>
      </c>
      <c r="N14" s="78" t="s">
        <v>50</v>
      </c>
      <c r="O14" s="78" t="s">
        <v>51</v>
      </c>
    </row>
    <row r="15" spans="1:16" ht="18" customHeight="1">
      <c r="A15" s="79" t="s">
        <v>234</v>
      </c>
      <c r="B15" s="23" t="s">
        <v>195</v>
      </c>
      <c r="C15" s="24">
        <v>22</v>
      </c>
      <c r="D15" s="80">
        <v>761</v>
      </c>
      <c r="E15" s="80">
        <v>1810</v>
      </c>
      <c r="F15" s="89">
        <f>O15</f>
        <v>20</v>
      </c>
      <c r="G15" s="81">
        <f t="shared" ref="G15:G21" si="0">D15*E15/91809*F15</f>
        <v>300.05990698079711</v>
      </c>
      <c r="H15" s="81">
        <f t="shared" ref="H15:H21" si="1">(D15/1000)*4*F15+(E15/1000)*4*F15</f>
        <v>205.68</v>
      </c>
      <c r="I15" s="91" t="s">
        <v>233</v>
      </c>
      <c r="J15" s="92" t="s">
        <v>205</v>
      </c>
      <c r="L15" s="89">
        <v>2</v>
      </c>
      <c r="M15" s="78">
        <v>10</v>
      </c>
      <c r="N15" s="84"/>
      <c r="O15" s="78">
        <f>L15*M15-N15*L15</f>
        <v>20</v>
      </c>
      <c r="P15" s="64"/>
    </row>
    <row r="16" spans="1:16" ht="18" customHeight="1">
      <c r="A16" s="85"/>
      <c r="B16" s="86"/>
      <c r="C16" s="87"/>
      <c r="D16" s="88">
        <v>1688</v>
      </c>
      <c r="E16" s="88">
        <v>1810</v>
      </c>
      <c r="F16" s="89">
        <f t="shared" ref="F16:F21" si="2">O16</f>
        <v>10</v>
      </c>
      <c r="G16" s="90">
        <f t="shared" si="0"/>
        <v>332.78654598133079</v>
      </c>
      <c r="H16" s="90">
        <f t="shared" si="1"/>
        <v>139.92000000000002</v>
      </c>
      <c r="I16" s="91" t="str">
        <f>I15</f>
        <v>1동1,2라인</v>
      </c>
      <c r="J16" s="92" t="s">
        <v>206</v>
      </c>
      <c r="L16" s="89">
        <v>1</v>
      </c>
      <c r="M16" s="78">
        <f>M15</f>
        <v>10</v>
      </c>
      <c r="N16" s="84"/>
      <c r="O16" s="78">
        <f t="shared" ref="O16:O21" si="3">L16*M16-N16*L16</f>
        <v>10</v>
      </c>
    </row>
    <row r="17" spans="1:15" ht="18" customHeight="1">
      <c r="A17" s="85"/>
      <c r="B17" s="86"/>
      <c r="C17" s="87"/>
      <c r="D17" s="88">
        <v>738</v>
      </c>
      <c r="E17" s="88">
        <v>1310</v>
      </c>
      <c r="F17" s="89">
        <f t="shared" si="2"/>
        <v>40</v>
      </c>
      <c r="G17" s="90">
        <f t="shared" si="0"/>
        <v>421.2136065091658</v>
      </c>
      <c r="H17" s="90">
        <f t="shared" si="1"/>
        <v>327.68</v>
      </c>
      <c r="I17" s="91" t="str">
        <f t="shared" ref="I17:I21" si="4">I16</f>
        <v>1동1,2라인</v>
      </c>
      <c r="J17" s="92" t="s">
        <v>207</v>
      </c>
      <c r="L17" s="89">
        <v>4</v>
      </c>
      <c r="M17" s="78">
        <f t="shared" ref="M17:M20" si="5">M16</f>
        <v>10</v>
      </c>
      <c r="N17" s="78"/>
      <c r="O17" s="78">
        <f t="shared" si="3"/>
        <v>40</v>
      </c>
    </row>
    <row r="18" spans="1:15" ht="18" customHeight="1">
      <c r="A18" s="85"/>
      <c r="B18" s="86"/>
      <c r="C18" s="87"/>
      <c r="D18" s="88">
        <v>288</v>
      </c>
      <c r="E18" s="88">
        <v>910</v>
      </c>
      <c r="F18" s="89">
        <f t="shared" si="2"/>
        <v>20</v>
      </c>
      <c r="G18" s="90">
        <f t="shared" si="0"/>
        <v>57.09244191745907</v>
      </c>
      <c r="H18" s="90">
        <f t="shared" si="1"/>
        <v>95.84</v>
      </c>
      <c r="I18" s="91" t="str">
        <f t="shared" si="4"/>
        <v>1동1,2라인</v>
      </c>
      <c r="J18" s="92" t="s">
        <v>208</v>
      </c>
      <c r="L18" s="89">
        <v>2</v>
      </c>
      <c r="M18" s="78">
        <f t="shared" si="5"/>
        <v>10</v>
      </c>
      <c r="N18" s="78"/>
      <c r="O18" s="78">
        <f t="shared" si="3"/>
        <v>20</v>
      </c>
    </row>
    <row r="19" spans="1:15" ht="18" customHeight="1">
      <c r="A19" s="85"/>
      <c r="B19" s="86"/>
      <c r="C19" s="87"/>
      <c r="D19" s="88">
        <v>228</v>
      </c>
      <c r="E19" s="88">
        <v>910</v>
      </c>
      <c r="F19" s="89">
        <f t="shared" si="2"/>
        <v>20</v>
      </c>
      <c r="G19" s="90">
        <f t="shared" si="0"/>
        <v>45.1981831846551</v>
      </c>
      <c r="H19" s="90">
        <f t="shared" si="1"/>
        <v>91.039999999999992</v>
      </c>
      <c r="I19" s="91" t="str">
        <f t="shared" si="4"/>
        <v>1동1,2라인</v>
      </c>
      <c r="J19" s="92" t="s">
        <v>209</v>
      </c>
      <c r="L19" s="89">
        <v>2</v>
      </c>
      <c r="M19" s="78">
        <f t="shared" si="5"/>
        <v>10</v>
      </c>
      <c r="N19" s="78"/>
      <c r="O19" s="78">
        <f t="shared" si="3"/>
        <v>20</v>
      </c>
    </row>
    <row r="20" spans="1:15" ht="18" customHeight="1">
      <c r="A20" s="85"/>
      <c r="B20" s="86"/>
      <c r="C20" s="87"/>
      <c r="D20" s="88">
        <v>438</v>
      </c>
      <c r="E20" s="88">
        <v>270</v>
      </c>
      <c r="F20" s="89">
        <f t="shared" si="2"/>
        <v>20</v>
      </c>
      <c r="G20" s="90">
        <f t="shared" si="0"/>
        <v>25.762180178413882</v>
      </c>
      <c r="H20" s="90">
        <f t="shared" si="1"/>
        <v>56.64</v>
      </c>
      <c r="I20" s="91" t="str">
        <f t="shared" si="4"/>
        <v>1동1,2라인</v>
      </c>
      <c r="J20" s="92" t="s">
        <v>210</v>
      </c>
      <c r="L20" s="89">
        <v>2</v>
      </c>
      <c r="M20" s="78">
        <f t="shared" si="5"/>
        <v>10</v>
      </c>
      <c r="N20" s="78"/>
      <c r="O20" s="78">
        <f t="shared" si="3"/>
        <v>20</v>
      </c>
    </row>
    <row r="21" spans="1:15" ht="18" customHeight="1">
      <c r="A21" s="85"/>
      <c r="B21" s="86"/>
      <c r="C21" s="87"/>
      <c r="D21" s="88">
        <v>208</v>
      </c>
      <c r="E21" s="88">
        <v>910</v>
      </c>
      <c r="F21" s="89">
        <f t="shared" si="2"/>
        <v>20</v>
      </c>
      <c r="G21" s="90">
        <f t="shared" si="0"/>
        <v>41.233430273720444</v>
      </c>
      <c r="H21" s="90">
        <f t="shared" si="1"/>
        <v>89.44</v>
      </c>
      <c r="I21" s="91" t="str">
        <f t="shared" si="4"/>
        <v>1동1,2라인</v>
      </c>
      <c r="J21" s="92" t="s">
        <v>211</v>
      </c>
      <c r="L21" s="89">
        <v>2</v>
      </c>
      <c r="M21" s="78">
        <f>M20</f>
        <v>10</v>
      </c>
      <c r="N21" s="78"/>
      <c r="O21" s="78">
        <f t="shared" si="3"/>
        <v>20</v>
      </c>
    </row>
    <row r="22" spans="1:15" ht="18" customHeight="1">
      <c r="A22" s="85"/>
      <c r="B22" s="93"/>
      <c r="C22" s="87"/>
      <c r="D22" s="325" t="s">
        <v>0</v>
      </c>
      <c r="E22" s="325"/>
      <c r="F22" s="94">
        <f>SUM(F15:F21)</f>
        <v>150</v>
      </c>
      <c r="G22" s="95">
        <f>SUM(G15:G21)</f>
        <v>1223.3462950255423</v>
      </c>
      <c r="H22" s="96">
        <f>SUM(H15:H21)</f>
        <v>1006.24</v>
      </c>
      <c r="I22" s="97"/>
      <c r="J22" s="162"/>
    </row>
    <row r="23" spans="1:15" ht="18" customHeight="1">
      <c r="A23" s="85"/>
      <c r="B23" s="93"/>
      <c r="C23" s="87"/>
      <c r="D23" s="161"/>
      <c r="E23" s="161"/>
      <c r="F23" s="89"/>
      <c r="G23" s="100"/>
      <c r="H23" s="101"/>
      <c r="I23" s="102"/>
      <c r="J23" s="121"/>
      <c r="L23" s="78" t="s">
        <v>48</v>
      </c>
      <c r="M23" s="78" t="s">
        <v>54</v>
      </c>
      <c r="N23" s="78" t="s">
        <v>50</v>
      </c>
      <c r="O23" s="78" t="s">
        <v>55</v>
      </c>
    </row>
    <row r="24" spans="1:15" ht="18" customHeight="1">
      <c r="A24" s="85"/>
      <c r="B24" s="23" t="s">
        <v>197</v>
      </c>
      <c r="C24" s="24">
        <v>22</v>
      </c>
      <c r="D24" s="88">
        <v>761</v>
      </c>
      <c r="E24" s="88">
        <v>1810</v>
      </c>
      <c r="F24" s="89">
        <f t="shared" ref="F24:F30" si="6">O24</f>
        <v>20</v>
      </c>
      <c r="G24" s="90">
        <f t="shared" ref="G24:G30" si="7">D24*E24/91809*F24</f>
        <v>300.05990698079711</v>
      </c>
      <c r="H24" s="90">
        <f t="shared" ref="H24:H30" si="8">(D24/1000)*4*F24+(E24/1000)*4*F24</f>
        <v>205.68</v>
      </c>
      <c r="I24" s="91" t="str">
        <f t="shared" ref="I24:I30" si="9">I15</f>
        <v>1동1,2라인</v>
      </c>
      <c r="J24" s="92" t="s">
        <v>212</v>
      </c>
      <c r="L24" s="89">
        <v>2</v>
      </c>
      <c r="M24" s="78">
        <f>M15</f>
        <v>10</v>
      </c>
      <c r="N24" s="84"/>
      <c r="O24" s="78">
        <f>L24*M24-N24*L24</f>
        <v>20</v>
      </c>
    </row>
    <row r="25" spans="1:15" ht="18" customHeight="1">
      <c r="A25" s="85"/>
      <c r="B25" s="86"/>
      <c r="C25" s="87"/>
      <c r="D25" s="88">
        <v>1688</v>
      </c>
      <c r="E25" s="88">
        <v>1810</v>
      </c>
      <c r="F25" s="89">
        <f t="shared" si="6"/>
        <v>10</v>
      </c>
      <c r="G25" s="90">
        <f t="shared" si="7"/>
        <v>332.78654598133079</v>
      </c>
      <c r="H25" s="90">
        <f t="shared" si="8"/>
        <v>139.92000000000002</v>
      </c>
      <c r="I25" s="91" t="str">
        <f t="shared" si="9"/>
        <v>1동1,2라인</v>
      </c>
      <c r="J25" s="92" t="s">
        <v>213</v>
      </c>
      <c r="L25" s="89">
        <v>1</v>
      </c>
      <c r="M25" s="78">
        <f>M24</f>
        <v>10</v>
      </c>
      <c r="N25" s="84"/>
      <c r="O25" s="78">
        <f>L25*M25-N25*L25</f>
        <v>10</v>
      </c>
    </row>
    <row r="26" spans="1:15" ht="18" customHeight="1">
      <c r="A26" s="104"/>
      <c r="B26" s="93"/>
      <c r="C26" s="87"/>
      <c r="D26" s="88">
        <v>738</v>
      </c>
      <c r="E26" s="88">
        <v>1310</v>
      </c>
      <c r="F26" s="89">
        <f t="shared" si="6"/>
        <v>40</v>
      </c>
      <c r="G26" s="90">
        <f t="shared" si="7"/>
        <v>421.2136065091658</v>
      </c>
      <c r="H26" s="90">
        <f t="shared" si="8"/>
        <v>327.68</v>
      </c>
      <c r="I26" s="91" t="str">
        <f t="shared" si="9"/>
        <v>1동1,2라인</v>
      </c>
      <c r="J26" s="92" t="s">
        <v>214</v>
      </c>
      <c r="L26" s="89">
        <v>4</v>
      </c>
      <c r="M26" s="78">
        <f t="shared" ref="M26:M30" si="10">M25</f>
        <v>10</v>
      </c>
      <c r="N26" s="84"/>
      <c r="O26" s="78">
        <f t="shared" ref="O26:O30" si="11">L26*M26-N26*L26</f>
        <v>40</v>
      </c>
    </row>
    <row r="27" spans="1:15" ht="18" customHeight="1">
      <c r="A27" s="104"/>
      <c r="B27" s="93"/>
      <c r="C27" s="87"/>
      <c r="D27" s="88">
        <v>288</v>
      </c>
      <c r="E27" s="88">
        <v>910</v>
      </c>
      <c r="F27" s="89">
        <f t="shared" si="6"/>
        <v>20</v>
      </c>
      <c r="G27" s="90">
        <f t="shared" si="7"/>
        <v>57.09244191745907</v>
      </c>
      <c r="H27" s="90">
        <f t="shared" si="8"/>
        <v>95.84</v>
      </c>
      <c r="I27" s="91" t="str">
        <f t="shared" si="9"/>
        <v>1동1,2라인</v>
      </c>
      <c r="J27" s="92" t="s">
        <v>215</v>
      </c>
      <c r="L27" s="89">
        <v>2</v>
      </c>
      <c r="M27" s="78">
        <f t="shared" si="10"/>
        <v>10</v>
      </c>
      <c r="N27" s="78"/>
      <c r="O27" s="78">
        <f t="shared" si="11"/>
        <v>20</v>
      </c>
    </row>
    <row r="28" spans="1:15" ht="18" customHeight="1">
      <c r="A28" s="104"/>
      <c r="B28" s="93"/>
      <c r="C28" s="87"/>
      <c r="D28" s="88">
        <v>228</v>
      </c>
      <c r="E28" s="88">
        <v>910</v>
      </c>
      <c r="F28" s="89">
        <f t="shared" si="6"/>
        <v>20</v>
      </c>
      <c r="G28" s="90">
        <f t="shared" si="7"/>
        <v>45.1981831846551</v>
      </c>
      <c r="H28" s="90">
        <f t="shared" si="8"/>
        <v>91.039999999999992</v>
      </c>
      <c r="I28" s="91" t="str">
        <f t="shared" si="9"/>
        <v>1동1,2라인</v>
      </c>
      <c r="J28" s="92" t="s">
        <v>216</v>
      </c>
      <c r="L28" s="89">
        <v>2</v>
      </c>
      <c r="M28" s="78">
        <f t="shared" si="10"/>
        <v>10</v>
      </c>
      <c r="N28" s="78"/>
      <c r="O28" s="78">
        <f t="shared" si="11"/>
        <v>20</v>
      </c>
    </row>
    <row r="29" spans="1:15" ht="18" customHeight="1">
      <c r="A29" s="104"/>
      <c r="B29" s="93"/>
      <c r="C29" s="87"/>
      <c r="D29" s="88">
        <v>438</v>
      </c>
      <c r="E29" s="88">
        <v>270</v>
      </c>
      <c r="F29" s="89">
        <f t="shared" si="6"/>
        <v>20</v>
      </c>
      <c r="G29" s="90">
        <f t="shared" si="7"/>
        <v>25.762180178413882</v>
      </c>
      <c r="H29" s="90">
        <f t="shared" si="8"/>
        <v>56.64</v>
      </c>
      <c r="I29" s="91" t="str">
        <f t="shared" si="9"/>
        <v>1동1,2라인</v>
      </c>
      <c r="J29" s="92" t="s">
        <v>217</v>
      </c>
      <c r="L29" s="89">
        <v>2</v>
      </c>
      <c r="M29" s="78">
        <f t="shared" si="10"/>
        <v>10</v>
      </c>
      <c r="N29" s="78"/>
      <c r="O29" s="78">
        <f t="shared" si="11"/>
        <v>20</v>
      </c>
    </row>
    <row r="30" spans="1:15" ht="18" customHeight="1">
      <c r="A30" s="104"/>
      <c r="B30" s="93"/>
      <c r="C30" s="87"/>
      <c r="D30" s="88">
        <v>208</v>
      </c>
      <c r="E30" s="88">
        <v>910</v>
      </c>
      <c r="F30" s="89">
        <f t="shared" si="6"/>
        <v>20</v>
      </c>
      <c r="G30" s="90">
        <f t="shared" si="7"/>
        <v>41.233430273720444</v>
      </c>
      <c r="H30" s="90">
        <f t="shared" si="8"/>
        <v>89.44</v>
      </c>
      <c r="I30" s="91" t="str">
        <f t="shared" si="9"/>
        <v>1동1,2라인</v>
      </c>
      <c r="J30" s="92" t="s">
        <v>218</v>
      </c>
      <c r="L30" s="89">
        <v>2</v>
      </c>
      <c r="M30" s="78">
        <f t="shared" si="10"/>
        <v>10</v>
      </c>
      <c r="N30" s="78"/>
      <c r="O30" s="78">
        <f t="shared" si="11"/>
        <v>20</v>
      </c>
    </row>
    <row r="31" spans="1:15" ht="18" customHeight="1">
      <c r="A31" s="104"/>
      <c r="B31" s="87"/>
      <c r="C31" s="87"/>
      <c r="D31" s="325" t="s">
        <v>0</v>
      </c>
      <c r="E31" s="325"/>
      <c r="F31" s="171">
        <f>SUM(F24:F30)</f>
        <v>150</v>
      </c>
      <c r="G31" s="95">
        <f>SUM(G24:G30)</f>
        <v>1223.3462950255423</v>
      </c>
      <c r="H31" s="95">
        <f>SUM(H24:H30)</f>
        <v>1006.24</v>
      </c>
      <c r="I31" s="97"/>
      <c r="J31" s="98"/>
    </row>
    <row r="32" spans="1:15">
      <c r="A32" s="105"/>
      <c r="B32" s="9"/>
      <c r="C32" s="9"/>
      <c r="D32" s="51"/>
      <c r="E32" s="51"/>
      <c r="F32" s="51"/>
      <c r="G32" s="106"/>
      <c r="H32" s="106"/>
      <c r="I32" s="9"/>
      <c r="J32" s="107"/>
    </row>
    <row r="33" spans="1:16" ht="18" customHeight="1">
      <c r="A33" s="85"/>
      <c r="B33" s="163" t="s">
        <v>199</v>
      </c>
      <c r="C33" s="163">
        <v>22</v>
      </c>
      <c r="D33" s="88">
        <v>738</v>
      </c>
      <c r="E33" s="88">
        <v>1810</v>
      </c>
      <c r="F33" s="89">
        <f t="shared" ref="F33:F34" si="12">O33</f>
        <v>10</v>
      </c>
      <c r="G33" s="90">
        <f t="shared" ref="G33:G34" si="13">D33*E33/91809*F33</f>
        <v>145.4955396529752</v>
      </c>
      <c r="H33" s="90">
        <f t="shared" ref="H33:H34" si="14">(D33/1000)*4*F33+(E33/1000)*4*F33</f>
        <v>101.92</v>
      </c>
      <c r="I33" s="91" t="str">
        <f>I24</f>
        <v>1동1,2라인</v>
      </c>
      <c r="J33" s="92" t="s">
        <v>219</v>
      </c>
      <c r="L33" s="89">
        <v>2</v>
      </c>
      <c r="M33" s="78">
        <f>M15</f>
        <v>10</v>
      </c>
      <c r="N33" s="84">
        <v>5</v>
      </c>
      <c r="O33" s="78">
        <f>L33*M33-N33*L33</f>
        <v>10</v>
      </c>
      <c r="P33" s="64" t="s">
        <v>244</v>
      </c>
    </row>
    <row r="34" spans="1:16" ht="18" customHeight="1">
      <c r="A34" s="85"/>
      <c r="B34" s="86"/>
      <c r="C34" s="87"/>
      <c r="D34" s="88">
        <v>250</v>
      </c>
      <c r="E34" s="88">
        <v>930</v>
      </c>
      <c r="F34" s="89">
        <f t="shared" si="12"/>
        <v>20</v>
      </c>
      <c r="G34" s="90">
        <f t="shared" si="13"/>
        <v>50.648629219357574</v>
      </c>
      <c r="H34" s="90">
        <f t="shared" si="14"/>
        <v>94.4</v>
      </c>
      <c r="I34" s="91" t="str">
        <f>I33</f>
        <v>1동1,2라인</v>
      </c>
      <c r="J34" s="92" t="s">
        <v>220</v>
      </c>
      <c r="L34" s="89">
        <v>2</v>
      </c>
      <c r="M34" s="78">
        <f>M33</f>
        <v>10</v>
      </c>
      <c r="N34" s="84"/>
      <c r="O34" s="78">
        <f t="shared" ref="O34" si="15">L34*M34-N34*L34</f>
        <v>20</v>
      </c>
    </row>
    <row r="35" spans="1:16" ht="18" customHeight="1">
      <c r="A35" s="85"/>
      <c r="B35" s="93"/>
      <c r="C35" s="87"/>
      <c r="D35" s="325" t="s">
        <v>0</v>
      </c>
      <c r="E35" s="325"/>
      <c r="F35" s="94">
        <f>SUM(F33:F34)</f>
        <v>30</v>
      </c>
      <c r="G35" s="95">
        <f>SUM(G33:G34)</f>
        <v>196.14416887233278</v>
      </c>
      <c r="H35" s="95">
        <f>SUM(H33:H34)</f>
        <v>196.32</v>
      </c>
      <c r="I35" s="97"/>
      <c r="J35" s="98"/>
    </row>
    <row r="36" spans="1:16" ht="18" customHeight="1">
      <c r="A36" s="108"/>
      <c r="B36" s="164"/>
      <c r="C36" s="109"/>
      <c r="D36" s="165"/>
      <c r="E36" s="165"/>
      <c r="F36" s="110"/>
      <c r="G36" s="111"/>
      <c r="H36" s="111"/>
      <c r="I36" s="112"/>
      <c r="J36" s="113"/>
    </row>
    <row r="37" spans="1:16" ht="18" customHeight="1">
      <c r="A37" s="85" t="s">
        <v>235</v>
      </c>
      <c r="B37" s="23" t="s">
        <v>201</v>
      </c>
      <c r="C37" s="24">
        <v>22</v>
      </c>
      <c r="D37" s="88">
        <v>861</v>
      </c>
      <c r="E37" s="88">
        <v>1810</v>
      </c>
      <c r="F37" s="89">
        <f t="shared" ref="F37:F40" si="16">O37</f>
        <v>5</v>
      </c>
      <c r="G37" s="90">
        <f t="shared" ref="G37:G40" si="17">D37*E37/91809*F37</f>
        <v>84.872398130902198</v>
      </c>
      <c r="H37" s="90">
        <f t="shared" ref="H37:H40" si="18">(D37/1000)*4*F37+(E37/1000)*4*F37</f>
        <v>53.42</v>
      </c>
      <c r="I37" s="91" t="s">
        <v>239</v>
      </c>
      <c r="J37" s="92" t="s">
        <v>205</v>
      </c>
      <c r="L37" s="89">
        <v>1</v>
      </c>
      <c r="M37" s="78">
        <v>5</v>
      </c>
      <c r="N37" s="84"/>
      <c r="O37" s="78">
        <f>L37*M37-N37*L37</f>
        <v>5</v>
      </c>
      <c r="P37" s="64"/>
    </row>
    <row r="38" spans="1:16" ht="18" customHeight="1">
      <c r="A38" s="85"/>
      <c r="B38" s="86"/>
      <c r="C38" s="87"/>
      <c r="D38" s="88">
        <v>738</v>
      </c>
      <c r="E38" s="88">
        <v>1310</v>
      </c>
      <c r="F38" s="89">
        <f t="shared" si="16"/>
        <v>20</v>
      </c>
      <c r="G38" s="90">
        <f t="shared" si="17"/>
        <v>210.6068032545829</v>
      </c>
      <c r="H38" s="90">
        <f t="shared" si="18"/>
        <v>163.84</v>
      </c>
      <c r="I38" s="91" t="str">
        <f>I37</f>
        <v>1동3라인</v>
      </c>
      <c r="J38" s="92" t="s">
        <v>207</v>
      </c>
      <c r="L38" s="89">
        <v>4</v>
      </c>
      <c r="M38" s="78">
        <f>M37</f>
        <v>5</v>
      </c>
      <c r="N38" s="84"/>
      <c r="O38" s="78">
        <f t="shared" ref="O38:O40" si="19">L38*M38-N38*L38</f>
        <v>20</v>
      </c>
    </row>
    <row r="39" spans="1:16" ht="18" customHeight="1">
      <c r="A39" s="85"/>
      <c r="B39" s="86"/>
      <c r="C39" s="87"/>
      <c r="D39" s="88">
        <v>228</v>
      </c>
      <c r="E39" s="88">
        <v>910</v>
      </c>
      <c r="F39" s="89">
        <f t="shared" si="16"/>
        <v>10</v>
      </c>
      <c r="G39" s="90">
        <f t="shared" si="17"/>
        <v>22.59909159232755</v>
      </c>
      <c r="H39" s="90">
        <f t="shared" si="18"/>
        <v>45.519999999999996</v>
      </c>
      <c r="I39" s="91" t="str">
        <f t="shared" ref="I39:I40" si="20">I38</f>
        <v>1동3라인</v>
      </c>
      <c r="J39" s="92" t="s">
        <v>209</v>
      </c>
      <c r="L39" s="89">
        <v>2</v>
      </c>
      <c r="M39" s="78">
        <f t="shared" ref="M39:M40" si="21">M38</f>
        <v>5</v>
      </c>
      <c r="N39" s="78"/>
      <c r="O39" s="78">
        <f t="shared" si="19"/>
        <v>10</v>
      </c>
    </row>
    <row r="40" spans="1:16" ht="18" customHeight="1">
      <c r="A40" s="85"/>
      <c r="B40" s="86"/>
      <c r="C40" s="87"/>
      <c r="D40" s="88">
        <v>438</v>
      </c>
      <c r="E40" s="88">
        <v>270</v>
      </c>
      <c r="F40" s="89">
        <f t="shared" si="16"/>
        <v>10</v>
      </c>
      <c r="G40" s="90">
        <f t="shared" si="17"/>
        <v>12.881090089206941</v>
      </c>
      <c r="H40" s="90">
        <f t="shared" si="18"/>
        <v>28.32</v>
      </c>
      <c r="I40" s="91" t="str">
        <f t="shared" si="20"/>
        <v>1동3라인</v>
      </c>
      <c r="J40" s="92" t="s">
        <v>210</v>
      </c>
      <c r="L40" s="89">
        <v>2</v>
      </c>
      <c r="M40" s="78">
        <f t="shared" si="21"/>
        <v>5</v>
      </c>
      <c r="N40" s="78"/>
      <c r="O40" s="78">
        <f t="shared" si="19"/>
        <v>10</v>
      </c>
    </row>
    <row r="41" spans="1:16" ht="18" customHeight="1">
      <c r="A41" s="85"/>
      <c r="B41" s="93"/>
      <c r="C41" s="87"/>
      <c r="D41" s="325" t="s">
        <v>0</v>
      </c>
      <c r="E41" s="325"/>
      <c r="F41" s="94">
        <f>SUM(F37:F40)</f>
        <v>45</v>
      </c>
      <c r="G41" s="95">
        <f>SUM(G37:G40)</f>
        <v>330.95938306701964</v>
      </c>
      <c r="H41" s="96">
        <f>SUM(H37:H40)</f>
        <v>291.09999999999997</v>
      </c>
      <c r="I41" s="97"/>
      <c r="J41" s="162"/>
    </row>
    <row r="42" spans="1:16" ht="18" customHeight="1">
      <c r="A42" s="85"/>
      <c r="B42" s="93"/>
      <c r="C42" s="87"/>
      <c r="D42" s="161"/>
      <c r="E42" s="161"/>
      <c r="F42" s="89"/>
      <c r="G42" s="100"/>
      <c r="H42" s="101"/>
      <c r="I42" s="102"/>
      <c r="J42" s="121"/>
      <c r="L42" s="252"/>
      <c r="M42" s="252"/>
      <c r="N42" s="252"/>
      <c r="O42" s="252"/>
    </row>
    <row r="43" spans="1:16" ht="18" customHeight="1">
      <c r="A43" s="85"/>
      <c r="B43" s="23" t="s">
        <v>198</v>
      </c>
      <c r="C43" s="24">
        <v>22</v>
      </c>
      <c r="D43" s="88">
        <v>861</v>
      </c>
      <c r="E43" s="88">
        <v>1810</v>
      </c>
      <c r="F43" s="89">
        <f t="shared" ref="F43:F47" si="22">O43</f>
        <v>5</v>
      </c>
      <c r="G43" s="90">
        <f t="shared" ref="G43:G47" si="23">D43*E43/91809*F43</f>
        <v>84.872398130902198</v>
      </c>
      <c r="H43" s="90">
        <f t="shared" ref="H43:H47" si="24">(D43/1000)*4*F43+(E43/1000)*4*F43</f>
        <v>53.42</v>
      </c>
      <c r="I43" s="103" t="str">
        <f>I37</f>
        <v>1동3라인</v>
      </c>
      <c r="J43" s="92" t="s">
        <v>212</v>
      </c>
      <c r="L43" s="89">
        <v>1</v>
      </c>
      <c r="M43" s="78">
        <f>M37</f>
        <v>5</v>
      </c>
      <c r="N43" s="84"/>
      <c r="O43" s="78">
        <f>L43*M43-N43*L43</f>
        <v>5</v>
      </c>
    </row>
    <row r="44" spans="1:16" ht="18" customHeight="1">
      <c r="A44" s="85"/>
      <c r="B44" s="86"/>
      <c r="C44" s="87"/>
      <c r="D44" s="88">
        <v>2114</v>
      </c>
      <c r="E44" s="88">
        <v>1810</v>
      </c>
      <c r="F44" s="89">
        <f t="shared" si="22"/>
        <v>5</v>
      </c>
      <c r="G44" s="90">
        <f t="shared" si="23"/>
        <v>208.38588809375989</v>
      </c>
      <c r="H44" s="90">
        <f t="shared" si="24"/>
        <v>78.48</v>
      </c>
      <c r="I44" s="91" t="str">
        <f>I37</f>
        <v>1동3라인</v>
      </c>
      <c r="J44" s="92" t="s">
        <v>213</v>
      </c>
      <c r="L44" s="89">
        <v>1</v>
      </c>
      <c r="M44" s="78">
        <f>M43</f>
        <v>5</v>
      </c>
      <c r="N44" s="84"/>
      <c r="O44" s="78">
        <f>L44*M44-N44*L44</f>
        <v>5</v>
      </c>
    </row>
    <row r="45" spans="1:16" ht="18" customHeight="1">
      <c r="A45" s="104"/>
      <c r="B45" s="93"/>
      <c r="C45" s="87"/>
      <c r="D45" s="88">
        <v>738</v>
      </c>
      <c r="E45" s="88">
        <v>1310</v>
      </c>
      <c r="F45" s="89">
        <f t="shared" si="22"/>
        <v>20</v>
      </c>
      <c r="G45" s="90">
        <f t="shared" si="23"/>
        <v>210.6068032545829</v>
      </c>
      <c r="H45" s="90">
        <f t="shared" si="24"/>
        <v>163.84</v>
      </c>
      <c r="I45" s="91" t="str">
        <f>I44</f>
        <v>1동3라인</v>
      </c>
      <c r="J45" s="92" t="s">
        <v>214</v>
      </c>
      <c r="L45" s="89">
        <v>4</v>
      </c>
      <c r="M45" s="78">
        <f t="shared" ref="M45:M47" si="25">M44</f>
        <v>5</v>
      </c>
      <c r="N45" s="84"/>
      <c r="O45" s="78">
        <f t="shared" ref="O45:O47" si="26">L45*M45-N45*L45</f>
        <v>20</v>
      </c>
    </row>
    <row r="46" spans="1:16" ht="18" customHeight="1">
      <c r="A46" s="104"/>
      <c r="B46" s="93"/>
      <c r="C46" s="87"/>
      <c r="D46" s="88">
        <v>228</v>
      </c>
      <c r="E46" s="88">
        <v>910</v>
      </c>
      <c r="F46" s="89">
        <f t="shared" si="22"/>
        <v>10</v>
      </c>
      <c r="G46" s="90">
        <f t="shared" si="23"/>
        <v>22.59909159232755</v>
      </c>
      <c r="H46" s="90">
        <f t="shared" si="24"/>
        <v>45.519999999999996</v>
      </c>
      <c r="I46" s="91" t="str">
        <f t="shared" ref="I46:I47" si="27">I45</f>
        <v>1동3라인</v>
      </c>
      <c r="J46" s="92" t="s">
        <v>216</v>
      </c>
      <c r="L46" s="89">
        <v>2</v>
      </c>
      <c r="M46" s="78">
        <f t="shared" si="25"/>
        <v>5</v>
      </c>
      <c r="N46" s="78"/>
      <c r="O46" s="78">
        <f t="shared" si="26"/>
        <v>10</v>
      </c>
    </row>
    <row r="47" spans="1:16" ht="18" customHeight="1">
      <c r="A47" s="104"/>
      <c r="B47" s="93"/>
      <c r="C47" s="87"/>
      <c r="D47" s="88">
        <v>438</v>
      </c>
      <c r="E47" s="88">
        <v>270</v>
      </c>
      <c r="F47" s="89">
        <f t="shared" si="22"/>
        <v>10</v>
      </c>
      <c r="G47" s="90">
        <f t="shared" si="23"/>
        <v>12.881090089206941</v>
      </c>
      <c r="H47" s="90">
        <f t="shared" si="24"/>
        <v>28.32</v>
      </c>
      <c r="I47" s="91" t="str">
        <f t="shared" si="27"/>
        <v>1동3라인</v>
      </c>
      <c r="J47" s="92" t="s">
        <v>217</v>
      </c>
      <c r="L47" s="89">
        <v>2</v>
      </c>
      <c r="M47" s="78">
        <f t="shared" si="25"/>
        <v>5</v>
      </c>
      <c r="N47" s="78"/>
      <c r="O47" s="78">
        <f t="shared" si="26"/>
        <v>10</v>
      </c>
    </row>
    <row r="48" spans="1:16" ht="18" customHeight="1">
      <c r="A48" s="104"/>
      <c r="B48" s="87"/>
      <c r="C48" s="87"/>
      <c r="D48" s="325" t="s">
        <v>0</v>
      </c>
      <c r="E48" s="325"/>
      <c r="F48" s="171">
        <f>SUM(F43:F47)</f>
        <v>50</v>
      </c>
      <c r="G48" s="95">
        <f>SUM(G43:G47)</f>
        <v>539.34527116077948</v>
      </c>
      <c r="H48" s="95">
        <f>SUM(H43:H47)</f>
        <v>369.58</v>
      </c>
      <c r="I48" s="97"/>
      <c r="J48" s="98"/>
    </row>
    <row r="49" spans="1:16">
      <c r="A49" s="105"/>
      <c r="B49" s="9"/>
      <c r="C49" s="9"/>
      <c r="D49" s="51"/>
      <c r="E49" s="51"/>
      <c r="F49" s="51"/>
      <c r="G49" s="106"/>
      <c r="H49" s="106"/>
      <c r="I49" s="9"/>
      <c r="J49" s="107"/>
    </row>
    <row r="50" spans="1:16" ht="18" customHeight="1">
      <c r="A50" s="85"/>
      <c r="B50" s="23" t="s">
        <v>237</v>
      </c>
      <c r="C50" s="24">
        <v>22</v>
      </c>
      <c r="D50" s="88">
        <v>2114</v>
      </c>
      <c r="E50" s="88">
        <v>1810</v>
      </c>
      <c r="F50" s="89">
        <f t="shared" ref="F50" si="28">O50</f>
        <v>5</v>
      </c>
      <c r="G50" s="90">
        <f t="shared" ref="G50" si="29">D50*E50/91809*F50</f>
        <v>208.38588809375989</v>
      </c>
      <c r="H50" s="90">
        <f t="shared" ref="H50" si="30">(D50/1000)*4*F50+(E50/1000)*4*F50</f>
        <v>78.48</v>
      </c>
      <c r="I50" s="91" t="str">
        <f>I43</f>
        <v>1동3라인</v>
      </c>
      <c r="J50" s="92" t="s">
        <v>206</v>
      </c>
      <c r="L50" s="89">
        <v>1</v>
      </c>
      <c r="M50" s="78">
        <f>M37</f>
        <v>5</v>
      </c>
      <c r="N50" s="84"/>
      <c r="O50" s="78">
        <f>L50*M50-N50*L50</f>
        <v>5</v>
      </c>
    </row>
    <row r="51" spans="1:16" ht="18" customHeight="1">
      <c r="A51" s="85"/>
      <c r="B51" s="93"/>
      <c r="C51" s="87"/>
      <c r="D51" s="325" t="s">
        <v>0</v>
      </c>
      <c r="E51" s="325"/>
      <c r="F51" s="94">
        <f>SUM(F50:F50)</f>
        <v>5</v>
      </c>
      <c r="G51" s="95">
        <f>SUM(G50:G50)</f>
        <v>208.38588809375989</v>
      </c>
      <c r="H51" s="95">
        <f>SUM(H50:H50)</f>
        <v>78.48</v>
      </c>
      <c r="I51" s="97"/>
      <c r="J51" s="98"/>
    </row>
    <row r="52" spans="1:16" ht="18" customHeight="1">
      <c r="A52" s="218"/>
      <c r="B52" s="219"/>
      <c r="C52" s="220"/>
      <c r="D52" s="161"/>
      <c r="E52" s="161"/>
      <c r="F52" s="89"/>
      <c r="G52" s="100"/>
      <c r="H52" s="100"/>
      <c r="I52" s="102"/>
      <c r="J52" s="221"/>
    </row>
    <row r="53" spans="1:16" ht="18" customHeight="1">
      <c r="A53" s="85"/>
      <c r="B53" s="23" t="s">
        <v>203</v>
      </c>
      <c r="C53" s="24">
        <v>22</v>
      </c>
      <c r="D53" s="88">
        <v>738</v>
      </c>
      <c r="E53" s="88">
        <v>1810</v>
      </c>
      <c r="F53" s="89">
        <f t="shared" ref="F53:F54" si="31">O53</f>
        <v>10</v>
      </c>
      <c r="G53" s="90">
        <f t="shared" ref="G53:G54" si="32">D53*E53/91809*F53</f>
        <v>145.4955396529752</v>
      </c>
      <c r="H53" s="90">
        <f t="shared" ref="H53:H54" si="33">(D53/1000)*4*F53+(E53/1000)*4*F53</f>
        <v>101.92</v>
      </c>
      <c r="I53" s="91" t="str">
        <f>I50</f>
        <v>1동3라인</v>
      </c>
      <c r="J53" s="92" t="s">
        <v>219</v>
      </c>
      <c r="L53" s="89">
        <v>2</v>
      </c>
      <c r="M53" s="78">
        <f>M50</f>
        <v>5</v>
      </c>
      <c r="N53" s="84"/>
      <c r="O53" s="78">
        <f>L53*M53-N53*L53</f>
        <v>10</v>
      </c>
      <c r="P53" s="64"/>
    </row>
    <row r="54" spans="1:16" ht="18" customHeight="1">
      <c r="A54" s="85"/>
      <c r="B54" s="86"/>
      <c r="C54" s="87"/>
      <c r="D54" s="88">
        <v>250</v>
      </c>
      <c r="E54" s="88">
        <v>930</v>
      </c>
      <c r="F54" s="89">
        <f t="shared" si="31"/>
        <v>10</v>
      </c>
      <c r="G54" s="90">
        <f t="shared" si="32"/>
        <v>25.324314609678787</v>
      </c>
      <c r="H54" s="90">
        <f t="shared" si="33"/>
        <v>47.2</v>
      </c>
      <c r="I54" s="91" t="str">
        <f>I53</f>
        <v>1동3라인</v>
      </c>
      <c r="J54" s="92" t="s">
        <v>220</v>
      </c>
      <c r="L54" s="89">
        <v>2</v>
      </c>
      <c r="M54" s="78">
        <f>M53</f>
        <v>5</v>
      </c>
      <c r="N54" s="84"/>
      <c r="O54" s="78">
        <f t="shared" ref="O54" si="34">L54*M54-N54*L54</f>
        <v>10</v>
      </c>
    </row>
    <row r="55" spans="1:16" ht="18" customHeight="1">
      <c r="A55" s="85"/>
      <c r="B55" s="93"/>
      <c r="C55" s="87"/>
      <c r="D55" s="325" t="s">
        <v>0</v>
      </c>
      <c r="E55" s="325"/>
      <c r="F55" s="94">
        <f>SUM(F53:F54)</f>
        <v>20</v>
      </c>
      <c r="G55" s="95">
        <f>SUM(G53:G54)</f>
        <v>170.81985426265399</v>
      </c>
      <c r="H55" s="96">
        <f>SUM(H53:H54)</f>
        <v>149.12</v>
      </c>
      <c r="I55" s="97"/>
      <c r="J55" s="162"/>
    </row>
    <row r="56" spans="1:16" ht="18" customHeight="1" thickBot="1">
      <c r="A56" s="222"/>
      <c r="B56" s="223"/>
      <c r="C56" s="224"/>
      <c r="D56" s="225"/>
      <c r="E56" s="225"/>
      <c r="F56" s="226"/>
      <c r="G56" s="227"/>
      <c r="H56" s="228"/>
      <c r="I56" s="229"/>
      <c r="J56" s="230"/>
      <c r="L56" s="78" t="s">
        <v>48</v>
      </c>
      <c r="M56" s="78" t="s">
        <v>49</v>
      </c>
      <c r="N56" s="78" t="s">
        <v>50</v>
      </c>
      <c r="O56" s="78" t="s">
        <v>55</v>
      </c>
    </row>
    <row r="57" spans="1:16" ht="18" customHeight="1">
      <c r="A57" s="79" t="s">
        <v>234</v>
      </c>
      <c r="B57" s="231" t="s">
        <v>195</v>
      </c>
      <c r="C57" s="232">
        <v>22</v>
      </c>
      <c r="D57" s="80">
        <v>761</v>
      </c>
      <c r="E57" s="80">
        <v>1810</v>
      </c>
      <c r="F57" s="233">
        <f>O57</f>
        <v>10</v>
      </c>
      <c r="G57" s="81">
        <f t="shared" ref="G57:G63" si="35">D57*E57/91809*F57</f>
        <v>150.02995349039855</v>
      </c>
      <c r="H57" s="81">
        <f t="shared" ref="H57:H63" si="36">(D57/1000)*4*F57+(E57/1000)*4*F57</f>
        <v>102.84</v>
      </c>
      <c r="I57" s="82" t="s">
        <v>240</v>
      </c>
      <c r="J57" s="83" t="s">
        <v>205</v>
      </c>
      <c r="L57" s="89">
        <v>2</v>
      </c>
      <c r="M57" s="78">
        <v>5</v>
      </c>
      <c r="N57" s="84"/>
      <c r="O57" s="78">
        <f>L57*M57-N57*L57</f>
        <v>10</v>
      </c>
      <c r="P57" s="64"/>
    </row>
    <row r="58" spans="1:16" ht="18" customHeight="1">
      <c r="A58" s="85"/>
      <c r="B58" s="86"/>
      <c r="C58" s="87"/>
      <c r="D58" s="88">
        <v>1688</v>
      </c>
      <c r="E58" s="88">
        <v>1810</v>
      </c>
      <c r="F58" s="89">
        <f t="shared" ref="F58:F63" si="37">O58</f>
        <v>5</v>
      </c>
      <c r="G58" s="90">
        <f t="shared" si="35"/>
        <v>166.39327299066539</v>
      </c>
      <c r="H58" s="90">
        <f t="shared" si="36"/>
        <v>69.960000000000008</v>
      </c>
      <c r="I58" s="91" t="str">
        <f>I57</f>
        <v>1동4라인</v>
      </c>
      <c r="J58" s="92" t="s">
        <v>206</v>
      </c>
      <c r="L58" s="89">
        <v>1</v>
      </c>
      <c r="M58" s="78">
        <f>M57</f>
        <v>5</v>
      </c>
      <c r="N58" s="84"/>
      <c r="O58" s="78">
        <f t="shared" ref="O58:O63" si="38">L58*M58-N58*L58</f>
        <v>5</v>
      </c>
    </row>
    <row r="59" spans="1:16" ht="18" customHeight="1">
      <c r="A59" s="85"/>
      <c r="B59" s="86"/>
      <c r="C59" s="87"/>
      <c r="D59" s="88">
        <v>738</v>
      </c>
      <c r="E59" s="88">
        <v>1310</v>
      </c>
      <c r="F59" s="89">
        <f t="shared" si="37"/>
        <v>20</v>
      </c>
      <c r="G59" s="90">
        <f t="shared" si="35"/>
        <v>210.6068032545829</v>
      </c>
      <c r="H59" s="90">
        <f t="shared" si="36"/>
        <v>163.84</v>
      </c>
      <c r="I59" s="91" t="str">
        <f t="shared" ref="I59:I63" si="39">I58</f>
        <v>1동4라인</v>
      </c>
      <c r="J59" s="92" t="s">
        <v>207</v>
      </c>
      <c r="L59" s="89">
        <v>4</v>
      </c>
      <c r="M59" s="78">
        <f t="shared" ref="M59:M62" si="40">M58</f>
        <v>5</v>
      </c>
      <c r="N59" s="78"/>
      <c r="O59" s="78">
        <f t="shared" si="38"/>
        <v>20</v>
      </c>
    </row>
    <row r="60" spans="1:16" ht="18" customHeight="1">
      <c r="A60" s="85"/>
      <c r="B60" s="86"/>
      <c r="C60" s="87"/>
      <c r="D60" s="88">
        <v>288</v>
      </c>
      <c r="E60" s="88">
        <v>910</v>
      </c>
      <c r="F60" s="89">
        <f t="shared" si="37"/>
        <v>10</v>
      </c>
      <c r="G60" s="90">
        <f t="shared" si="35"/>
        <v>28.546220958729535</v>
      </c>
      <c r="H60" s="90">
        <f t="shared" si="36"/>
        <v>47.92</v>
      </c>
      <c r="I60" s="91" t="str">
        <f t="shared" si="39"/>
        <v>1동4라인</v>
      </c>
      <c r="J60" s="92" t="s">
        <v>208</v>
      </c>
      <c r="L60" s="89">
        <v>2</v>
      </c>
      <c r="M60" s="78">
        <f t="shared" si="40"/>
        <v>5</v>
      </c>
      <c r="N60" s="78"/>
      <c r="O60" s="78">
        <f t="shared" si="38"/>
        <v>10</v>
      </c>
    </row>
    <row r="61" spans="1:16" ht="18" customHeight="1">
      <c r="A61" s="85"/>
      <c r="B61" s="86"/>
      <c r="C61" s="87"/>
      <c r="D61" s="88">
        <v>228</v>
      </c>
      <c r="E61" s="88">
        <v>910</v>
      </c>
      <c r="F61" s="89">
        <f t="shared" si="37"/>
        <v>10</v>
      </c>
      <c r="G61" s="90">
        <f t="shared" si="35"/>
        <v>22.59909159232755</v>
      </c>
      <c r="H61" s="90">
        <f t="shared" si="36"/>
        <v>45.519999999999996</v>
      </c>
      <c r="I61" s="91" t="str">
        <f t="shared" si="39"/>
        <v>1동4라인</v>
      </c>
      <c r="J61" s="92" t="s">
        <v>209</v>
      </c>
      <c r="L61" s="89">
        <v>2</v>
      </c>
      <c r="M61" s="78">
        <f t="shared" si="40"/>
        <v>5</v>
      </c>
      <c r="N61" s="78"/>
      <c r="O61" s="78">
        <f t="shared" si="38"/>
        <v>10</v>
      </c>
    </row>
    <row r="62" spans="1:16" ht="18" customHeight="1">
      <c r="A62" s="85"/>
      <c r="B62" s="86"/>
      <c r="C62" s="87"/>
      <c r="D62" s="88">
        <v>438</v>
      </c>
      <c r="E62" s="88">
        <v>270</v>
      </c>
      <c r="F62" s="89">
        <f t="shared" si="37"/>
        <v>10</v>
      </c>
      <c r="G62" s="90">
        <f t="shared" si="35"/>
        <v>12.881090089206941</v>
      </c>
      <c r="H62" s="90">
        <f t="shared" si="36"/>
        <v>28.32</v>
      </c>
      <c r="I62" s="91" t="str">
        <f t="shared" si="39"/>
        <v>1동4라인</v>
      </c>
      <c r="J62" s="92" t="s">
        <v>210</v>
      </c>
      <c r="L62" s="89">
        <v>2</v>
      </c>
      <c r="M62" s="78">
        <f t="shared" si="40"/>
        <v>5</v>
      </c>
      <c r="N62" s="78"/>
      <c r="O62" s="78">
        <f t="shared" si="38"/>
        <v>10</v>
      </c>
    </row>
    <row r="63" spans="1:16" ht="18" customHeight="1">
      <c r="A63" s="85"/>
      <c r="B63" s="86"/>
      <c r="C63" s="87"/>
      <c r="D63" s="88">
        <v>208</v>
      </c>
      <c r="E63" s="88">
        <v>910</v>
      </c>
      <c r="F63" s="89">
        <f t="shared" si="37"/>
        <v>10</v>
      </c>
      <c r="G63" s="90">
        <f t="shared" si="35"/>
        <v>20.616715136860222</v>
      </c>
      <c r="H63" s="90">
        <f t="shared" si="36"/>
        <v>44.72</v>
      </c>
      <c r="I63" s="91" t="str">
        <f t="shared" si="39"/>
        <v>1동4라인</v>
      </c>
      <c r="J63" s="92" t="s">
        <v>211</v>
      </c>
      <c r="L63" s="89">
        <v>2</v>
      </c>
      <c r="M63" s="78">
        <f>M62</f>
        <v>5</v>
      </c>
      <c r="N63" s="78"/>
      <c r="O63" s="78">
        <f t="shared" si="38"/>
        <v>10</v>
      </c>
    </row>
    <row r="64" spans="1:16" ht="18" customHeight="1">
      <c r="A64" s="85"/>
      <c r="B64" s="93"/>
      <c r="C64" s="87"/>
      <c r="D64" s="325" t="s">
        <v>0</v>
      </c>
      <c r="E64" s="325"/>
      <c r="F64" s="94">
        <f>SUM(F57:F63)</f>
        <v>75</v>
      </c>
      <c r="G64" s="95">
        <f>SUM(G57:G63)</f>
        <v>611.67314751277115</v>
      </c>
      <c r="H64" s="96">
        <f>SUM(H57:H63)</f>
        <v>503.12</v>
      </c>
      <c r="I64" s="97"/>
      <c r="J64" s="162"/>
    </row>
    <row r="65" spans="1:16" ht="18" customHeight="1">
      <c r="A65" s="85"/>
      <c r="B65" s="93"/>
      <c r="C65" s="87"/>
      <c r="D65" s="161"/>
      <c r="E65" s="161"/>
      <c r="F65" s="89"/>
      <c r="G65" s="100"/>
      <c r="H65" s="101"/>
      <c r="I65" s="102"/>
      <c r="J65" s="121"/>
      <c r="L65" s="78" t="s">
        <v>48</v>
      </c>
      <c r="M65" s="78" t="s">
        <v>54</v>
      </c>
      <c r="N65" s="78" t="s">
        <v>50</v>
      </c>
      <c r="O65" s="78" t="s">
        <v>55</v>
      </c>
    </row>
    <row r="66" spans="1:16" ht="18" customHeight="1">
      <c r="A66" s="85"/>
      <c r="B66" s="23" t="s">
        <v>197</v>
      </c>
      <c r="C66" s="24">
        <v>22</v>
      </c>
      <c r="D66" s="88">
        <v>761</v>
      </c>
      <c r="E66" s="88">
        <v>1810</v>
      </c>
      <c r="F66" s="89">
        <f t="shared" ref="F66:F72" si="41">O66</f>
        <v>10</v>
      </c>
      <c r="G66" s="90">
        <f t="shared" ref="G66:G72" si="42">D66*E66/91809*F66</f>
        <v>150.02995349039855</v>
      </c>
      <c r="H66" s="90">
        <f t="shared" ref="H66:H72" si="43">(D66/1000)*4*F66+(E66/1000)*4*F66</f>
        <v>102.84</v>
      </c>
      <c r="I66" s="91" t="str">
        <f t="shared" ref="I66:I72" si="44">I57</f>
        <v>1동4라인</v>
      </c>
      <c r="J66" s="92" t="s">
        <v>212</v>
      </c>
      <c r="L66" s="89">
        <v>2</v>
      </c>
      <c r="M66" s="78">
        <f>M57</f>
        <v>5</v>
      </c>
      <c r="N66" s="84"/>
      <c r="O66" s="78">
        <f>L66*M66-N66*L66</f>
        <v>10</v>
      </c>
    </row>
    <row r="67" spans="1:16" ht="18" customHeight="1">
      <c r="A67" s="85"/>
      <c r="B67" s="86"/>
      <c r="C67" s="87"/>
      <c r="D67" s="88">
        <v>1688</v>
      </c>
      <c r="E67" s="88">
        <v>1810</v>
      </c>
      <c r="F67" s="89">
        <f t="shared" si="41"/>
        <v>5</v>
      </c>
      <c r="G67" s="90">
        <f t="shared" si="42"/>
        <v>166.39327299066539</v>
      </c>
      <c r="H67" s="90">
        <f t="shared" si="43"/>
        <v>69.960000000000008</v>
      </c>
      <c r="I67" s="91" t="str">
        <f t="shared" si="44"/>
        <v>1동4라인</v>
      </c>
      <c r="J67" s="92" t="s">
        <v>213</v>
      </c>
      <c r="L67" s="89">
        <v>1</v>
      </c>
      <c r="M67" s="78">
        <f>M66</f>
        <v>5</v>
      </c>
      <c r="N67" s="84"/>
      <c r="O67" s="78">
        <f>L67*M67-N67*L67</f>
        <v>5</v>
      </c>
    </row>
    <row r="68" spans="1:16" ht="18" customHeight="1">
      <c r="A68" s="104"/>
      <c r="B68" s="93"/>
      <c r="C68" s="87"/>
      <c r="D68" s="88">
        <v>738</v>
      </c>
      <c r="E68" s="88">
        <v>1310</v>
      </c>
      <c r="F68" s="89">
        <f t="shared" si="41"/>
        <v>20</v>
      </c>
      <c r="G68" s="90">
        <f t="shared" si="42"/>
        <v>210.6068032545829</v>
      </c>
      <c r="H68" s="90">
        <f t="shared" si="43"/>
        <v>163.84</v>
      </c>
      <c r="I68" s="91" t="str">
        <f t="shared" si="44"/>
        <v>1동4라인</v>
      </c>
      <c r="J68" s="92" t="s">
        <v>214</v>
      </c>
      <c r="L68" s="89">
        <v>4</v>
      </c>
      <c r="M68" s="78">
        <f t="shared" ref="M68:M72" si="45">M67</f>
        <v>5</v>
      </c>
      <c r="N68" s="84"/>
      <c r="O68" s="78">
        <f t="shared" ref="O68:O72" si="46">L68*M68-N68*L68</f>
        <v>20</v>
      </c>
    </row>
    <row r="69" spans="1:16" ht="18" customHeight="1">
      <c r="A69" s="104"/>
      <c r="B69" s="93"/>
      <c r="C69" s="87"/>
      <c r="D69" s="88">
        <v>288</v>
      </c>
      <c r="E69" s="88">
        <v>910</v>
      </c>
      <c r="F69" s="89">
        <f t="shared" si="41"/>
        <v>10</v>
      </c>
      <c r="G69" s="90">
        <f t="shared" si="42"/>
        <v>28.546220958729535</v>
      </c>
      <c r="H69" s="90">
        <f t="shared" si="43"/>
        <v>47.92</v>
      </c>
      <c r="I69" s="91" t="str">
        <f t="shared" si="44"/>
        <v>1동4라인</v>
      </c>
      <c r="J69" s="92" t="s">
        <v>215</v>
      </c>
      <c r="L69" s="89">
        <v>2</v>
      </c>
      <c r="M69" s="78">
        <f t="shared" si="45"/>
        <v>5</v>
      </c>
      <c r="N69" s="78"/>
      <c r="O69" s="78">
        <f t="shared" si="46"/>
        <v>10</v>
      </c>
    </row>
    <row r="70" spans="1:16" ht="18" customHeight="1">
      <c r="A70" s="104"/>
      <c r="B70" s="93"/>
      <c r="C70" s="87"/>
      <c r="D70" s="88">
        <v>228</v>
      </c>
      <c r="E70" s="88">
        <v>910</v>
      </c>
      <c r="F70" s="89">
        <f t="shared" si="41"/>
        <v>10</v>
      </c>
      <c r="G70" s="90">
        <f t="shared" si="42"/>
        <v>22.59909159232755</v>
      </c>
      <c r="H70" s="90">
        <f t="shared" si="43"/>
        <v>45.519999999999996</v>
      </c>
      <c r="I70" s="91" t="str">
        <f t="shared" si="44"/>
        <v>1동4라인</v>
      </c>
      <c r="J70" s="92" t="s">
        <v>216</v>
      </c>
      <c r="L70" s="89">
        <v>2</v>
      </c>
      <c r="M70" s="78">
        <f t="shared" si="45"/>
        <v>5</v>
      </c>
      <c r="N70" s="78"/>
      <c r="O70" s="78">
        <f t="shared" si="46"/>
        <v>10</v>
      </c>
    </row>
    <row r="71" spans="1:16" ht="18" customHeight="1">
      <c r="A71" s="104"/>
      <c r="B71" s="93"/>
      <c r="C71" s="87"/>
      <c r="D71" s="88">
        <v>438</v>
      </c>
      <c r="E71" s="88">
        <v>270</v>
      </c>
      <c r="F71" s="89">
        <f t="shared" si="41"/>
        <v>10</v>
      </c>
      <c r="G71" s="90">
        <f t="shared" si="42"/>
        <v>12.881090089206941</v>
      </c>
      <c r="H71" s="90">
        <f t="shared" si="43"/>
        <v>28.32</v>
      </c>
      <c r="I71" s="91" t="str">
        <f t="shared" si="44"/>
        <v>1동4라인</v>
      </c>
      <c r="J71" s="92" t="s">
        <v>217</v>
      </c>
      <c r="L71" s="89">
        <v>2</v>
      </c>
      <c r="M71" s="78">
        <f t="shared" si="45"/>
        <v>5</v>
      </c>
      <c r="N71" s="78"/>
      <c r="O71" s="78">
        <f t="shared" si="46"/>
        <v>10</v>
      </c>
    </row>
    <row r="72" spans="1:16" ht="18" customHeight="1">
      <c r="A72" s="104"/>
      <c r="B72" s="93"/>
      <c r="C72" s="87"/>
      <c r="D72" s="88">
        <v>208</v>
      </c>
      <c r="E72" s="88">
        <v>910</v>
      </c>
      <c r="F72" s="89">
        <f t="shared" si="41"/>
        <v>10</v>
      </c>
      <c r="G72" s="90">
        <f t="shared" si="42"/>
        <v>20.616715136860222</v>
      </c>
      <c r="H72" s="90">
        <f t="shared" si="43"/>
        <v>44.72</v>
      </c>
      <c r="I72" s="91" t="str">
        <f t="shared" si="44"/>
        <v>1동4라인</v>
      </c>
      <c r="J72" s="92" t="s">
        <v>218</v>
      </c>
      <c r="L72" s="89">
        <v>2</v>
      </c>
      <c r="M72" s="78">
        <f t="shared" si="45"/>
        <v>5</v>
      </c>
      <c r="N72" s="78"/>
      <c r="O72" s="78">
        <f t="shared" si="46"/>
        <v>10</v>
      </c>
    </row>
    <row r="73" spans="1:16" ht="18" customHeight="1">
      <c r="A73" s="104"/>
      <c r="B73" s="87"/>
      <c r="C73" s="87"/>
      <c r="D73" s="325" t="s">
        <v>0</v>
      </c>
      <c r="E73" s="325"/>
      <c r="F73" s="171">
        <f>SUM(F66:F72)</f>
        <v>75</v>
      </c>
      <c r="G73" s="95">
        <f>SUM(G66:G72)</f>
        <v>611.67314751277115</v>
      </c>
      <c r="H73" s="95">
        <f>SUM(H66:H72)</f>
        <v>503.12</v>
      </c>
      <c r="I73" s="97"/>
      <c r="J73" s="98"/>
    </row>
    <row r="74" spans="1:16">
      <c r="A74" s="105"/>
      <c r="B74" s="9"/>
      <c r="C74" s="9"/>
      <c r="D74" s="51"/>
      <c r="E74" s="51"/>
      <c r="F74" s="51"/>
      <c r="G74" s="106"/>
      <c r="H74" s="106"/>
      <c r="I74" s="9"/>
      <c r="J74" s="107"/>
    </row>
    <row r="75" spans="1:16" ht="18" customHeight="1">
      <c r="A75" s="85"/>
      <c r="B75" s="163" t="s">
        <v>199</v>
      </c>
      <c r="C75" s="163">
        <v>22</v>
      </c>
      <c r="D75" s="88">
        <v>738</v>
      </c>
      <c r="E75" s="88">
        <v>1810</v>
      </c>
      <c r="F75" s="89">
        <f t="shared" ref="F75:F76" si="47">O75</f>
        <v>10</v>
      </c>
      <c r="G75" s="90">
        <f t="shared" ref="G75:G76" si="48">D75*E75/91809*F75</f>
        <v>145.4955396529752</v>
      </c>
      <c r="H75" s="90">
        <f t="shared" ref="H75:H76" si="49">(D75/1000)*4*F75+(E75/1000)*4*F75</f>
        <v>101.92</v>
      </c>
      <c r="I75" s="91" t="str">
        <f>I66</f>
        <v>1동4라인</v>
      </c>
      <c r="J75" s="92" t="s">
        <v>219</v>
      </c>
      <c r="L75" s="89">
        <v>2</v>
      </c>
      <c r="M75" s="78">
        <f>M57</f>
        <v>5</v>
      </c>
      <c r="N75" s="84"/>
      <c r="O75" s="78">
        <f>L75*M75-N75*L75</f>
        <v>10</v>
      </c>
      <c r="P75" s="64"/>
    </row>
    <row r="76" spans="1:16" ht="18" customHeight="1">
      <c r="A76" s="85"/>
      <c r="B76" s="86"/>
      <c r="C76" s="87"/>
      <c r="D76" s="88">
        <v>250</v>
      </c>
      <c r="E76" s="88">
        <v>930</v>
      </c>
      <c r="F76" s="89">
        <f t="shared" si="47"/>
        <v>10</v>
      </c>
      <c r="G76" s="90">
        <f t="shared" si="48"/>
        <v>25.324314609678787</v>
      </c>
      <c r="H76" s="90">
        <f t="shared" si="49"/>
        <v>47.2</v>
      </c>
      <c r="I76" s="91" t="str">
        <f>I75</f>
        <v>1동4라인</v>
      </c>
      <c r="J76" s="92" t="s">
        <v>220</v>
      </c>
      <c r="L76" s="89">
        <v>2</v>
      </c>
      <c r="M76" s="78">
        <f>M75</f>
        <v>5</v>
      </c>
      <c r="N76" s="84"/>
      <c r="O76" s="78">
        <f t="shared" ref="O76" si="50">L76*M76-N76*L76</f>
        <v>10</v>
      </c>
    </row>
    <row r="77" spans="1:16" ht="18" customHeight="1">
      <c r="A77" s="85"/>
      <c r="B77" s="93"/>
      <c r="C77" s="87"/>
      <c r="D77" s="325" t="s">
        <v>0</v>
      </c>
      <c r="E77" s="325"/>
      <c r="F77" s="94">
        <f>SUM(F75:F76)</f>
        <v>20</v>
      </c>
      <c r="G77" s="95">
        <f>SUM(G75:G76)</f>
        <v>170.81985426265399</v>
      </c>
      <c r="H77" s="95">
        <f>SUM(H75:H76)</f>
        <v>149.12</v>
      </c>
      <c r="I77" s="97"/>
      <c r="J77" s="98"/>
    </row>
    <row r="78" spans="1:16" ht="18" customHeight="1">
      <c r="A78" s="236"/>
      <c r="B78" s="237"/>
      <c r="C78" s="238"/>
      <c r="D78" s="362"/>
      <c r="E78" s="362"/>
      <c r="F78" s="239"/>
      <c r="G78" s="240"/>
      <c r="H78" s="241"/>
      <c r="I78" s="242"/>
      <c r="J78" s="243"/>
    </row>
    <row r="79" spans="1:16" ht="18" customHeight="1">
      <c r="A79" s="244" t="s">
        <v>234</v>
      </c>
      <c r="B79" s="23" t="s">
        <v>195</v>
      </c>
      <c r="C79" s="24">
        <v>22</v>
      </c>
      <c r="D79" s="88">
        <v>761</v>
      </c>
      <c r="E79" s="88">
        <v>1810</v>
      </c>
      <c r="F79" s="89">
        <f>O79</f>
        <v>10</v>
      </c>
      <c r="G79" s="90">
        <f t="shared" ref="G79:G85" si="51">D79*E79/91809*F79</f>
        <v>150.02995349039855</v>
      </c>
      <c r="H79" s="90">
        <f t="shared" ref="H79:H85" si="52">(D79/1000)*4*F79+(E79/1000)*4*F79</f>
        <v>102.84</v>
      </c>
      <c r="I79" s="91" t="s">
        <v>241</v>
      </c>
      <c r="J79" s="163" t="s">
        <v>205</v>
      </c>
      <c r="L79" s="89">
        <v>2</v>
      </c>
      <c r="M79" s="78">
        <v>5</v>
      </c>
      <c r="N79" s="84"/>
      <c r="O79" s="78">
        <f>L79*M79-N79*L79</f>
        <v>10</v>
      </c>
      <c r="P79" s="64"/>
    </row>
    <row r="80" spans="1:16" ht="18" customHeight="1">
      <c r="A80" s="85"/>
      <c r="B80" s="86"/>
      <c r="C80" s="87"/>
      <c r="D80" s="88">
        <v>1688</v>
      </c>
      <c r="E80" s="88">
        <v>1810</v>
      </c>
      <c r="F80" s="89">
        <f t="shared" ref="F80:F85" si="53">O80</f>
        <v>5</v>
      </c>
      <c r="G80" s="90">
        <f t="shared" si="51"/>
        <v>166.39327299066539</v>
      </c>
      <c r="H80" s="90">
        <f t="shared" si="52"/>
        <v>69.960000000000008</v>
      </c>
      <c r="I80" s="91" t="str">
        <f>I79</f>
        <v>1동5라인</v>
      </c>
      <c r="J80" s="92" t="s">
        <v>206</v>
      </c>
      <c r="L80" s="89">
        <v>1</v>
      </c>
      <c r="M80" s="78">
        <f>M79</f>
        <v>5</v>
      </c>
      <c r="N80" s="84"/>
      <c r="O80" s="78">
        <f t="shared" ref="O80:O85" si="54">L80*M80-N80*L80</f>
        <v>5</v>
      </c>
    </row>
    <row r="81" spans="1:15" ht="18" customHeight="1">
      <c r="A81" s="85"/>
      <c r="B81" s="86"/>
      <c r="C81" s="87"/>
      <c r="D81" s="88">
        <v>738</v>
      </c>
      <c r="E81" s="88">
        <v>1310</v>
      </c>
      <c r="F81" s="89">
        <f t="shared" si="53"/>
        <v>20</v>
      </c>
      <c r="G81" s="90">
        <f t="shared" si="51"/>
        <v>210.6068032545829</v>
      </c>
      <c r="H81" s="90">
        <f t="shared" si="52"/>
        <v>163.84</v>
      </c>
      <c r="I81" s="91" t="str">
        <f t="shared" ref="I81:I85" si="55">I80</f>
        <v>1동5라인</v>
      </c>
      <c r="J81" s="92" t="s">
        <v>207</v>
      </c>
      <c r="L81" s="89">
        <v>4</v>
      </c>
      <c r="M81" s="78">
        <f t="shared" ref="M81:M84" si="56">M80</f>
        <v>5</v>
      </c>
      <c r="N81" s="78"/>
      <c r="O81" s="78">
        <f t="shared" si="54"/>
        <v>20</v>
      </c>
    </row>
    <row r="82" spans="1:15" ht="18" customHeight="1">
      <c r="A82" s="85"/>
      <c r="B82" s="86"/>
      <c r="C82" s="87"/>
      <c r="D82" s="88">
        <v>288</v>
      </c>
      <c r="E82" s="88">
        <v>910</v>
      </c>
      <c r="F82" s="89">
        <f t="shared" si="53"/>
        <v>10</v>
      </c>
      <c r="G82" s="90">
        <f t="shared" si="51"/>
        <v>28.546220958729535</v>
      </c>
      <c r="H82" s="90">
        <f t="shared" si="52"/>
        <v>47.92</v>
      </c>
      <c r="I82" s="91" t="str">
        <f t="shared" si="55"/>
        <v>1동5라인</v>
      </c>
      <c r="J82" s="92" t="s">
        <v>208</v>
      </c>
      <c r="L82" s="89">
        <v>2</v>
      </c>
      <c r="M82" s="78">
        <f t="shared" si="56"/>
        <v>5</v>
      </c>
      <c r="N82" s="78"/>
      <c r="O82" s="78">
        <f t="shared" si="54"/>
        <v>10</v>
      </c>
    </row>
    <row r="83" spans="1:15" ht="18" customHeight="1">
      <c r="A83" s="85"/>
      <c r="B83" s="86"/>
      <c r="C83" s="87"/>
      <c r="D83" s="88">
        <v>228</v>
      </c>
      <c r="E83" s="88">
        <v>910</v>
      </c>
      <c r="F83" s="89">
        <f t="shared" si="53"/>
        <v>10</v>
      </c>
      <c r="G83" s="90">
        <f t="shared" si="51"/>
        <v>22.59909159232755</v>
      </c>
      <c r="H83" s="90">
        <f t="shared" si="52"/>
        <v>45.519999999999996</v>
      </c>
      <c r="I83" s="91" t="str">
        <f t="shared" si="55"/>
        <v>1동5라인</v>
      </c>
      <c r="J83" s="92" t="s">
        <v>209</v>
      </c>
      <c r="L83" s="89">
        <v>2</v>
      </c>
      <c r="M83" s="78">
        <f t="shared" si="56"/>
        <v>5</v>
      </c>
      <c r="N83" s="78"/>
      <c r="O83" s="78">
        <f t="shared" si="54"/>
        <v>10</v>
      </c>
    </row>
    <row r="84" spans="1:15" ht="18" customHeight="1">
      <c r="A84" s="85"/>
      <c r="B84" s="86"/>
      <c r="C84" s="87"/>
      <c r="D84" s="88">
        <v>438</v>
      </c>
      <c r="E84" s="88">
        <v>270</v>
      </c>
      <c r="F84" s="89">
        <f t="shared" si="53"/>
        <v>10</v>
      </c>
      <c r="G84" s="90">
        <f t="shared" si="51"/>
        <v>12.881090089206941</v>
      </c>
      <c r="H84" s="90">
        <f t="shared" si="52"/>
        <v>28.32</v>
      </c>
      <c r="I84" s="91" t="str">
        <f t="shared" si="55"/>
        <v>1동5라인</v>
      </c>
      <c r="J84" s="92" t="s">
        <v>210</v>
      </c>
      <c r="L84" s="89">
        <v>2</v>
      </c>
      <c r="M84" s="78">
        <f t="shared" si="56"/>
        <v>5</v>
      </c>
      <c r="N84" s="78"/>
      <c r="O84" s="78">
        <f t="shared" si="54"/>
        <v>10</v>
      </c>
    </row>
    <row r="85" spans="1:15" ht="18" customHeight="1">
      <c r="A85" s="85"/>
      <c r="B85" s="86"/>
      <c r="C85" s="87"/>
      <c r="D85" s="88">
        <v>208</v>
      </c>
      <c r="E85" s="88">
        <v>910</v>
      </c>
      <c r="F85" s="89">
        <f t="shared" si="53"/>
        <v>10</v>
      </c>
      <c r="G85" s="90">
        <f t="shared" si="51"/>
        <v>20.616715136860222</v>
      </c>
      <c r="H85" s="90">
        <f t="shared" si="52"/>
        <v>44.72</v>
      </c>
      <c r="I85" s="91" t="str">
        <f t="shared" si="55"/>
        <v>1동5라인</v>
      </c>
      <c r="J85" s="92" t="s">
        <v>211</v>
      </c>
      <c r="L85" s="89">
        <v>2</v>
      </c>
      <c r="M85" s="78">
        <f>M84</f>
        <v>5</v>
      </c>
      <c r="N85" s="78"/>
      <c r="O85" s="78">
        <f t="shared" si="54"/>
        <v>10</v>
      </c>
    </row>
    <row r="86" spans="1:15" ht="18" customHeight="1">
      <c r="A86" s="85"/>
      <c r="B86" s="93"/>
      <c r="C86" s="87"/>
      <c r="D86" s="325" t="s">
        <v>0</v>
      </c>
      <c r="E86" s="325"/>
      <c r="F86" s="94">
        <f>SUM(F79:F85)</f>
        <v>75</v>
      </c>
      <c r="G86" s="95">
        <f>SUM(G79:G85)</f>
        <v>611.67314751277115</v>
      </c>
      <c r="H86" s="96">
        <f>SUM(H79:H85)</f>
        <v>503.12</v>
      </c>
      <c r="I86" s="97"/>
      <c r="J86" s="162"/>
    </row>
    <row r="87" spans="1:15" ht="18" customHeight="1">
      <c r="A87" s="85"/>
      <c r="B87" s="93"/>
      <c r="C87" s="87"/>
      <c r="D87" s="161"/>
      <c r="E87" s="161"/>
      <c r="F87" s="89"/>
      <c r="G87" s="100"/>
      <c r="H87" s="101"/>
      <c r="I87" s="102"/>
      <c r="J87" s="121"/>
      <c r="L87" s="78" t="s">
        <v>48</v>
      </c>
      <c r="M87" s="78" t="s">
        <v>54</v>
      </c>
      <c r="N87" s="78" t="s">
        <v>50</v>
      </c>
      <c r="O87" s="78" t="s">
        <v>55</v>
      </c>
    </row>
    <row r="88" spans="1:15" ht="18" customHeight="1">
      <c r="A88" s="85"/>
      <c r="B88" s="23" t="s">
        <v>197</v>
      </c>
      <c r="C88" s="24">
        <v>22</v>
      </c>
      <c r="D88" s="88">
        <v>761</v>
      </c>
      <c r="E88" s="88">
        <v>1810</v>
      </c>
      <c r="F88" s="89">
        <f t="shared" ref="F88:F94" si="57">O88</f>
        <v>10</v>
      </c>
      <c r="G88" s="90">
        <f t="shared" ref="G88:G94" si="58">D88*E88/91809*F88</f>
        <v>150.02995349039855</v>
      </c>
      <c r="H88" s="90">
        <f t="shared" ref="H88:H94" si="59">(D88/1000)*4*F88+(E88/1000)*4*F88</f>
        <v>102.84</v>
      </c>
      <c r="I88" s="91" t="str">
        <f t="shared" ref="I88:I94" si="60">I79</f>
        <v>1동5라인</v>
      </c>
      <c r="J88" s="92" t="s">
        <v>212</v>
      </c>
      <c r="L88" s="89">
        <v>2</v>
      </c>
      <c r="M88" s="78">
        <f>M79</f>
        <v>5</v>
      </c>
      <c r="N88" s="84"/>
      <c r="O88" s="78">
        <f>L88*M88-N88*L88</f>
        <v>10</v>
      </c>
    </row>
    <row r="89" spans="1:15" ht="18" customHeight="1">
      <c r="A89" s="85"/>
      <c r="B89" s="86"/>
      <c r="C89" s="87"/>
      <c r="D89" s="88">
        <v>1688</v>
      </c>
      <c r="E89" s="88">
        <v>1810</v>
      </c>
      <c r="F89" s="89">
        <f t="shared" si="57"/>
        <v>5</v>
      </c>
      <c r="G89" s="90">
        <f t="shared" si="58"/>
        <v>166.39327299066539</v>
      </c>
      <c r="H89" s="90">
        <f t="shared" si="59"/>
        <v>69.960000000000008</v>
      </c>
      <c r="I89" s="91" t="str">
        <f t="shared" si="60"/>
        <v>1동5라인</v>
      </c>
      <c r="J89" s="92" t="s">
        <v>213</v>
      </c>
      <c r="L89" s="89">
        <v>1</v>
      </c>
      <c r="M89" s="78">
        <f>M88</f>
        <v>5</v>
      </c>
      <c r="N89" s="84"/>
      <c r="O89" s="78">
        <f>L89*M89-N89*L89</f>
        <v>5</v>
      </c>
    </row>
    <row r="90" spans="1:15" ht="18" customHeight="1">
      <c r="A90" s="104"/>
      <c r="B90" s="93"/>
      <c r="C90" s="87"/>
      <c r="D90" s="88">
        <v>738</v>
      </c>
      <c r="E90" s="88">
        <v>1310</v>
      </c>
      <c r="F90" s="89">
        <f t="shared" si="57"/>
        <v>20</v>
      </c>
      <c r="G90" s="90">
        <f t="shared" si="58"/>
        <v>210.6068032545829</v>
      </c>
      <c r="H90" s="90">
        <f t="shared" si="59"/>
        <v>163.84</v>
      </c>
      <c r="I90" s="91" t="str">
        <f t="shared" si="60"/>
        <v>1동5라인</v>
      </c>
      <c r="J90" s="92" t="s">
        <v>214</v>
      </c>
      <c r="L90" s="89">
        <v>4</v>
      </c>
      <c r="M90" s="78">
        <f t="shared" ref="M90:M94" si="61">M89</f>
        <v>5</v>
      </c>
      <c r="N90" s="84"/>
      <c r="O90" s="78">
        <f t="shared" ref="O90:O94" si="62">L90*M90-N90*L90</f>
        <v>20</v>
      </c>
    </row>
    <row r="91" spans="1:15" ht="18" customHeight="1">
      <c r="A91" s="104"/>
      <c r="B91" s="93"/>
      <c r="C91" s="87"/>
      <c r="D91" s="88">
        <v>288</v>
      </c>
      <c r="E91" s="88">
        <v>910</v>
      </c>
      <c r="F91" s="89">
        <f t="shared" si="57"/>
        <v>10</v>
      </c>
      <c r="G91" s="90">
        <f t="shared" si="58"/>
        <v>28.546220958729535</v>
      </c>
      <c r="H91" s="90">
        <f t="shared" si="59"/>
        <v>47.92</v>
      </c>
      <c r="I91" s="91" t="str">
        <f t="shared" si="60"/>
        <v>1동5라인</v>
      </c>
      <c r="J91" s="92" t="s">
        <v>215</v>
      </c>
      <c r="L91" s="89">
        <v>2</v>
      </c>
      <c r="M91" s="78">
        <f t="shared" si="61"/>
        <v>5</v>
      </c>
      <c r="N91" s="78"/>
      <c r="O91" s="78">
        <f t="shared" si="62"/>
        <v>10</v>
      </c>
    </row>
    <row r="92" spans="1:15" ht="18" customHeight="1">
      <c r="A92" s="104"/>
      <c r="B92" s="93"/>
      <c r="C92" s="87"/>
      <c r="D92" s="88">
        <v>228</v>
      </c>
      <c r="E92" s="88">
        <v>910</v>
      </c>
      <c r="F92" s="89">
        <f t="shared" si="57"/>
        <v>10</v>
      </c>
      <c r="G92" s="90">
        <f t="shared" si="58"/>
        <v>22.59909159232755</v>
      </c>
      <c r="H92" s="90">
        <f t="shared" si="59"/>
        <v>45.519999999999996</v>
      </c>
      <c r="I92" s="91" t="str">
        <f t="shared" si="60"/>
        <v>1동5라인</v>
      </c>
      <c r="J92" s="92" t="s">
        <v>216</v>
      </c>
      <c r="L92" s="89">
        <v>2</v>
      </c>
      <c r="M92" s="78">
        <f t="shared" si="61"/>
        <v>5</v>
      </c>
      <c r="N92" s="78"/>
      <c r="O92" s="78">
        <f t="shared" si="62"/>
        <v>10</v>
      </c>
    </row>
    <row r="93" spans="1:15" ht="18" customHeight="1">
      <c r="A93" s="104"/>
      <c r="B93" s="93"/>
      <c r="C93" s="87"/>
      <c r="D93" s="88">
        <v>438</v>
      </c>
      <c r="E93" s="88">
        <v>270</v>
      </c>
      <c r="F93" s="89">
        <f t="shared" si="57"/>
        <v>10</v>
      </c>
      <c r="G93" s="90">
        <f t="shared" si="58"/>
        <v>12.881090089206941</v>
      </c>
      <c r="H93" s="90">
        <f t="shared" si="59"/>
        <v>28.32</v>
      </c>
      <c r="I93" s="91" t="str">
        <f t="shared" si="60"/>
        <v>1동5라인</v>
      </c>
      <c r="J93" s="92" t="s">
        <v>217</v>
      </c>
      <c r="L93" s="89">
        <v>2</v>
      </c>
      <c r="M93" s="78">
        <f t="shared" si="61"/>
        <v>5</v>
      </c>
      <c r="N93" s="78"/>
      <c r="O93" s="78">
        <f t="shared" si="62"/>
        <v>10</v>
      </c>
    </row>
    <row r="94" spans="1:15" ht="18" customHeight="1">
      <c r="A94" s="104"/>
      <c r="B94" s="93"/>
      <c r="C94" s="87"/>
      <c r="D94" s="88">
        <v>208</v>
      </c>
      <c r="E94" s="88">
        <v>910</v>
      </c>
      <c r="F94" s="89">
        <f t="shared" si="57"/>
        <v>10</v>
      </c>
      <c r="G94" s="90">
        <f t="shared" si="58"/>
        <v>20.616715136860222</v>
      </c>
      <c r="H94" s="90">
        <f t="shared" si="59"/>
        <v>44.72</v>
      </c>
      <c r="I94" s="91" t="str">
        <f t="shared" si="60"/>
        <v>1동5라인</v>
      </c>
      <c r="J94" s="92" t="s">
        <v>218</v>
      </c>
      <c r="L94" s="89">
        <v>2</v>
      </c>
      <c r="M94" s="78">
        <f t="shared" si="61"/>
        <v>5</v>
      </c>
      <c r="N94" s="78"/>
      <c r="O94" s="78">
        <f t="shared" si="62"/>
        <v>10</v>
      </c>
    </row>
    <row r="95" spans="1:15" ht="18" customHeight="1">
      <c r="A95" s="104"/>
      <c r="B95" s="87"/>
      <c r="C95" s="87"/>
      <c r="D95" s="325" t="s">
        <v>0</v>
      </c>
      <c r="E95" s="325"/>
      <c r="F95" s="171">
        <f>SUM(F88:F94)</f>
        <v>75</v>
      </c>
      <c r="G95" s="95">
        <f>SUM(G88:G94)</f>
        <v>611.67314751277115</v>
      </c>
      <c r="H95" s="95">
        <f>SUM(H88:H94)</f>
        <v>503.12</v>
      </c>
      <c r="I95" s="97"/>
      <c r="J95" s="98"/>
    </row>
    <row r="96" spans="1:15">
      <c r="A96" s="105"/>
      <c r="B96" s="9"/>
      <c r="C96" s="9"/>
      <c r="D96" s="51"/>
      <c r="E96" s="51"/>
      <c r="F96" s="51"/>
      <c r="G96" s="106"/>
      <c r="H96" s="106"/>
      <c r="I96" s="9"/>
      <c r="J96" s="107"/>
    </row>
    <row r="97" spans="1:16" ht="18" customHeight="1">
      <c r="A97" s="85"/>
      <c r="B97" s="163" t="s">
        <v>199</v>
      </c>
      <c r="C97" s="163">
        <v>22</v>
      </c>
      <c r="D97" s="88">
        <v>738</v>
      </c>
      <c r="E97" s="88">
        <v>1810</v>
      </c>
      <c r="F97" s="89">
        <f t="shared" ref="F97:F98" si="63">O97</f>
        <v>10</v>
      </c>
      <c r="G97" s="90">
        <f t="shared" ref="G97:G98" si="64">D97*E97/91809*F97</f>
        <v>145.4955396529752</v>
      </c>
      <c r="H97" s="90">
        <f t="shared" ref="H97:H98" si="65">(D97/1000)*4*F97+(E97/1000)*4*F97</f>
        <v>101.92</v>
      </c>
      <c r="I97" s="91" t="str">
        <f>I88</f>
        <v>1동5라인</v>
      </c>
      <c r="J97" s="92" t="s">
        <v>219</v>
      </c>
      <c r="L97" s="89">
        <v>2</v>
      </c>
      <c r="M97" s="78">
        <f>M79</f>
        <v>5</v>
      </c>
      <c r="N97" s="84"/>
      <c r="O97" s="78">
        <f>L97*M97-N97*L97</f>
        <v>10</v>
      </c>
      <c r="P97" s="64"/>
    </row>
    <row r="98" spans="1:16" ht="18" customHeight="1">
      <c r="A98" s="85"/>
      <c r="B98" s="86"/>
      <c r="C98" s="87"/>
      <c r="D98" s="88">
        <v>250</v>
      </c>
      <c r="E98" s="88">
        <v>930</v>
      </c>
      <c r="F98" s="89">
        <f t="shared" si="63"/>
        <v>10</v>
      </c>
      <c r="G98" s="90">
        <f t="shared" si="64"/>
        <v>25.324314609678787</v>
      </c>
      <c r="H98" s="90">
        <f t="shared" si="65"/>
        <v>47.2</v>
      </c>
      <c r="I98" s="91" t="str">
        <f>I97</f>
        <v>1동5라인</v>
      </c>
      <c r="J98" s="92" t="s">
        <v>220</v>
      </c>
      <c r="L98" s="89">
        <v>2</v>
      </c>
      <c r="M98" s="78">
        <f>M97</f>
        <v>5</v>
      </c>
      <c r="N98" s="84"/>
      <c r="O98" s="78">
        <f t="shared" ref="O98" si="66">L98*M98-N98*L98</f>
        <v>10</v>
      </c>
    </row>
    <row r="99" spans="1:16" ht="18" customHeight="1">
      <c r="A99" s="85"/>
      <c r="B99" s="93"/>
      <c r="C99" s="87"/>
      <c r="D99" s="325" t="s">
        <v>0</v>
      </c>
      <c r="E99" s="325"/>
      <c r="F99" s="94">
        <f>SUM(F97:F98)</f>
        <v>20</v>
      </c>
      <c r="G99" s="95">
        <f>SUM(G97:G98)</f>
        <v>170.81985426265399</v>
      </c>
      <c r="H99" s="95">
        <f>SUM(H97:H98)</f>
        <v>149.12</v>
      </c>
      <c r="I99" s="97"/>
      <c r="J99" s="98"/>
    </row>
    <row r="100" spans="1:16" ht="18" customHeight="1" thickBot="1">
      <c r="A100" s="222"/>
      <c r="B100" s="245"/>
      <c r="C100" s="224"/>
      <c r="D100" s="246"/>
      <c r="E100" s="246"/>
      <c r="F100" s="226"/>
      <c r="G100" s="247"/>
      <c r="H100" s="247"/>
      <c r="I100" s="248"/>
      <c r="J100" s="249"/>
      <c r="L100" s="250"/>
      <c r="M100" s="250"/>
      <c r="N100" s="250"/>
      <c r="O100" s="250"/>
    </row>
    <row r="101" spans="1:16" ht="18" customHeight="1">
      <c r="A101" s="79" t="s">
        <v>242</v>
      </c>
      <c r="B101" s="231" t="s">
        <v>195</v>
      </c>
      <c r="C101" s="232">
        <v>22</v>
      </c>
      <c r="D101" s="80">
        <v>761</v>
      </c>
      <c r="E101" s="80">
        <v>1810</v>
      </c>
      <c r="F101" s="233">
        <f t="shared" ref="F101:F106" si="67">O101</f>
        <v>10</v>
      </c>
      <c r="G101" s="81">
        <f t="shared" ref="G101:G106" si="68">D101*E101/91809*F101</f>
        <v>150.02995349039855</v>
      </c>
      <c r="H101" s="81">
        <f t="shared" ref="H101:H106" si="69">(D101/1000)*4*F101+(E101/1000)*4*F101</f>
        <v>102.84</v>
      </c>
      <c r="I101" s="82" t="s">
        <v>243</v>
      </c>
      <c r="J101" s="83" t="s">
        <v>205</v>
      </c>
      <c r="L101" s="89">
        <v>2</v>
      </c>
      <c r="M101" s="78">
        <v>5</v>
      </c>
      <c r="N101" s="78"/>
      <c r="O101" s="78">
        <f t="shared" ref="O101:O106" si="70">L101*M101-N101*L101</f>
        <v>10</v>
      </c>
    </row>
    <row r="102" spans="1:16" ht="18" customHeight="1">
      <c r="A102" s="85"/>
      <c r="B102" s="86"/>
      <c r="C102" s="87"/>
      <c r="D102" s="88">
        <v>1688</v>
      </c>
      <c r="E102" s="88">
        <v>1810</v>
      </c>
      <c r="F102" s="89">
        <f t="shared" si="67"/>
        <v>5</v>
      </c>
      <c r="G102" s="90">
        <f t="shared" si="68"/>
        <v>166.39327299066539</v>
      </c>
      <c r="H102" s="90">
        <f t="shared" si="69"/>
        <v>69.960000000000008</v>
      </c>
      <c r="I102" s="91" t="str">
        <f>I101</f>
        <v>1동6라인</v>
      </c>
      <c r="J102" s="92" t="s">
        <v>206</v>
      </c>
      <c r="L102" s="89">
        <v>1</v>
      </c>
      <c r="M102" s="78">
        <f t="shared" ref="M102:M118" si="71">M101</f>
        <v>5</v>
      </c>
      <c r="N102" s="78"/>
      <c r="O102" s="78">
        <f t="shared" si="70"/>
        <v>5</v>
      </c>
    </row>
    <row r="103" spans="1:16" ht="18" customHeight="1">
      <c r="A103" s="85"/>
      <c r="B103" s="86"/>
      <c r="C103" s="87"/>
      <c r="D103" s="88">
        <v>738</v>
      </c>
      <c r="E103" s="88">
        <v>1310</v>
      </c>
      <c r="F103" s="89">
        <f t="shared" si="67"/>
        <v>20</v>
      </c>
      <c r="G103" s="90">
        <f t="shared" si="68"/>
        <v>210.6068032545829</v>
      </c>
      <c r="H103" s="90">
        <f t="shared" si="69"/>
        <v>163.84</v>
      </c>
      <c r="I103" s="91" t="str">
        <f t="shared" ref="I103:I106" si="72">I102</f>
        <v>1동6라인</v>
      </c>
      <c r="J103" s="92" t="s">
        <v>207</v>
      </c>
      <c r="L103" s="89">
        <v>4</v>
      </c>
      <c r="M103" s="78">
        <f t="shared" si="71"/>
        <v>5</v>
      </c>
      <c r="N103" s="78"/>
      <c r="O103" s="78">
        <f t="shared" si="70"/>
        <v>20</v>
      </c>
    </row>
    <row r="104" spans="1:16" ht="18" customHeight="1">
      <c r="A104" s="85"/>
      <c r="B104" s="86"/>
      <c r="C104" s="87"/>
      <c r="D104" s="88">
        <v>438</v>
      </c>
      <c r="E104" s="88">
        <v>910</v>
      </c>
      <c r="F104" s="89">
        <f t="shared" si="67"/>
        <v>10</v>
      </c>
      <c r="G104" s="90">
        <f t="shared" si="68"/>
        <v>43.414044374734502</v>
      </c>
      <c r="H104" s="90">
        <f t="shared" si="69"/>
        <v>53.92</v>
      </c>
      <c r="I104" s="91" t="str">
        <f t="shared" si="72"/>
        <v>1동6라인</v>
      </c>
      <c r="J104" s="92" t="s">
        <v>223</v>
      </c>
      <c r="L104" s="89">
        <v>2</v>
      </c>
      <c r="M104" s="78">
        <f t="shared" si="71"/>
        <v>5</v>
      </c>
      <c r="N104" s="78"/>
      <c r="O104" s="78">
        <f t="shared" si="70"/>
        <v>10</v>
      </c>
    </row>
    <row r="105" spans="1:16" ht="18" customHeight="1">
      <c r="A105" s="85"/>
      <c r="B105" s="86"/>
      <c r="C105" s="87"/>
      <c r="D105" s="88">
        <v>228</v>
      </c>
      <c r="E105" s="88">
        <v>910</v>
      </c>
      <c r="F105" s="89">
        <f t="shared" si="67"/>
        <v>10</v>
      </c>
      <c r="G105" s="90">
        <f t="shared" si="68"/>
        <v>22.59909159232755</v>
      </c>
      <c r="H105" s="90">
        <f t="shared" si="69"/>
        <v>45.519999999999996</v>
      </c>
      <c r="I105" s="91" t="str">
        <f t="shared" si="72"/>
        <v>1동6라인</v>
      </c>
      <c r="J105" s="92" t="s">
        <v>209</v>
      </c>
      <c r="L105" s="89">
        <v>2</v>
      </c>
      <c r="M105" s="78">
        <f t="shared" si="71"/>
        <v>5</v>
      </c>
      <c r="N105" s="78"/>
      <c r="O105" s="78">
        <f t="shared" si="70"/>
        <v>10</v>
      </c>
    </row>
    <row r="106" spans="1:16" ht="18" customHeight="1">
      <c r="A106" s="85"/>
      <c r="B106" s="86"/>
      <c r="C106" s="87"/>
      <c r="D106" s="88">
        <v>438</v>
      </c>
      <c r="E106" s="88">
        <v>270</v>
      </c>
      <c r="F106" s="89">
        <f t="shared" si="67"/>
        <v>10</v>
      </c>
      <c r="G106" s="90">
        <f t="shared" si="68"/>
        <v>12.881090089206941</v>
      </c>
      <c r="H106" s="90">
        <f t="shared" si="69"/>
        <v>28.32</v>
      </c>
      <c r="I106" s="91" t="str">
        <f t="shared" si="72"/>
        <v>1동6라인</v>
      </c>
      <c r="J106" s="92" t="s">
        <v>210</v>
      </c>
      <c r="L106" s="89">
        <v>2</v>
      </c>
      <c r="M106" s="78">
        <f t="shared" si="71"/>
        <v>5</v>
      </c>
      <c r="N106" s="78"/>
      <c r="O106" s="78">
        <f t="shared" si="70"/>
        <v>10</v>
      </c>
    </row>
    <row r="107" spans="1:16" ht="18" customHeight="1">
      <c r="A107" s="85"/>
      <c r="B107" s="93"/>
      <c r="C107" s="87"/>
      <c r="D107" s="325" t="s">
        <v>0</v>
      </c>
      <c r="E107" s="325"/>
      <c r="F107" s="94">
        <f>SUM(F101:F106)</f>
        <v>65</v>
      </c>
      <c r="G107" s="95">
        <f>SUM(G101:G106)</f>
        <v>605.92425579191593</v>
      </c>
      <c r="H107" s="96">
        <f>SUM(H101:H106)</f>
        <v>464.4</v>
      </c>
      <c r="I107" s="97"/>
      <c r="J107" s="162"/>
      <c r="L107" s="250"/>
      <c r="M107" s="250"/>
      <c r="N107" s="250"/>
      <c r="O107" s="250"/>
    </row>
    <row r="108" spans="1:16" ht="18" customHeight="1">
      <c r="A108" s="85"/>
      <c r="B108" s="93"/>
      <c r="C108" s="87"/>
      <c r="D108" s="161"/>
      <c r="E108" s="161"/>
      <c r="F108" s="89"/>
      <c r="G108" s="100"/>
      <c r="H108" s="101"/>
      <c r="I108" s="102"/>
      <c r="J108" s="121"/>
      <c r="L108" s="250"/>
      <c r="M108" s="250"/>
      <c r="N108" s="250"/>
      <c r="O108" s="250"/>
    </row>
    <row r="109" spans="1:16" ht="18" customHeight="1">
      <c r="A109" s="85"/>
      <c r="B109" s="23" t="s">
        <v>197</v>
      </c>
      <c r="C109" s="24">
        <v>22</v>
      </c>
      <c r="D109" s="88">
        <v>761</v>
      </c>
      <c r="E109" s="88">
        <v>1810</v>
      </c>
      <c r="F109" s="89">
        <f t="shared" ref="F109:F114" si="73">O109</f>
        <v>10</v>
      </c>
      <c r="G109" s="90">
        <f t="shared" ref="G109:G114" si="74">D109*E109/91809*F109</f>
        <v>150.02995349039855</v>
      </c>
      <c r="H109" s="90">
        <f t="shared" ref="H109:H114" si="75">(D109/1000)*4*F109+(E109/1000)*4*F109</f>
        <v>102.84</v>
      </c>
      <c r="I109" s="91" t="str">
        <f>I101</f>
        <v>1동6라인</v>
      </c>
      <c r="J109" s="92" t="s">
        <v>212</v>
      </c>
      <c r="L109" s="89">
        <v>2</v>
      </c>
      <c r="M109" s="78">
        <f>M106</f>
        <v>5</v>
      </c>
      <c r="N109" s="78"/>
      <c r="O109" s="78">
        <f t="shared" ref="O109:O118" si="76">L109*M109-N109*L109</f>
        <v>10</v>
      </c>
    </row>
    <row r="110" spans="1:16" ht="18" customHeight="1">
      <c r="A110" s="85"/>
      <c r="B110" s="86"/>
      <c r="C110" s="87"/>
      <c r="D110" s="88">
        <v>1688</v>
      </c>
      <c r="E110" s="88">
        <v>1810</v>
      </c>
      <c r="F110" s="89">
        <f t="shared" si="73"/>
        <v>5</v>
      </c>
      <c r="G110" s="90">
        <f t="shared" si="74"/>
        <v>166.39327299066539</v>
      </c>
      <c r="H110" s="90">
        <f t="shared" si="75"/>
        <v>69.960000000000008</v>
      </c>
      <c r="I110" s="91" t="str">
        <f>I101</f>
        <v>1동6라인</v>
      </c>
      <c r="J110" s="92" t="s">
        <v>213</v>
      </c>
      <c r="L110" s="89">
        <v>1</v>
      </c>
      <c r="M110" s="78">
        <f t="shared" si="71"/>
        <v>5</v>
      </c>
      <c r="N110" s="78"/>
      <c r="O110" s="78">
        <f t="shared" si="76"/>
        <v>5</v>
      </c>
    </row>
    <row r="111" spans="1:16">
      <c r="A111" s="104"/>
      <c r="B111" s="93"/>
      <c r="C111" s="87"/>
      <c r="D111" s="88">
        <v>738</v>
      </c>
      <c r="E111" s="88">
        <v>1310</v>
      </c>
      <c r="F111" s="89">
        <f t="shared" si="73"/>
        <v>20</v>
      </c>
      <c r="G111" s="90">
        <f t="shared" si="74"/>
        <v>210.6068032545829</v>
      </c>
      <c r="H111" s="90">
        <f t="shared" si="75"/>
        <v>163.84</v>
      </c>
      <c r="I111" s="91" t="str">
        <f>I110</f>
        <v>1동6라인</v>
      </c>
      <c r="J111" s="92" t="s">
        <v>214</v>
      </c>
      <c r="L111" s="89">
        <v>4</v>
      </c>
      <c r="M111" s="78">
        <f t="shared" si="71"/>
        <v>5</v>
      </c>
      <c r="N111" s="78"/>
      <c r="O111" s="78">
        <f t="shared" si="76"/>
        <v>20</v>
      </c>
    </row>
    <row r="112" spans="1:16" ht="18" customHeight="1">
      <c r="A112" s="104"/>
      <c r="B112" s="93"/>
      <c r="C112" s="87"/>
      <c r="D112" s="88">
        <v>438</v>
      </c>
      <c r="E112" s="88">
        <v>910</v>
      </c>
      <c r="F112" s="89">
        <f t="shared" si="73"/>
        <v>10</v>
      </c>
      <c r="G112" s="90">
        <f t="shared" si="74"/>
        <v>43.414044374734502</v>
      </c>
      <c r="H112" s="90">
        <f t="shared" si="75"/>
        <v>53.92</v>
      </c>
      <c r="I112" s="91" t="str">
        <f t="shared" ref="I112:I114" si="77">I111</f>
        <v>1동6라인</v>
      </c>
      <c r="J112" s="92" t="s">
        <v>225</v>
      </c>
      <c r="L112" s="89">
        <v>2</v>
      </c>
      <c r="M112" s="78">
        <f t="shared" si="71"/>
        <v>5</v>
      </c>
      <c r="N112" s="78"/>
      <c r="O112" s="78">
        <f t="shared" si="76"/>
        <v>10</v>
      </c>
      <c r="P112" s="64"/>
    </row>
    <row r="113" spans="1:16" ht="18" customHeight="1">
      <c r="A113" s="104"/>
      <c r="B113" s="93"/>
      <c r="C113" s="87"/>
      <c r="D113" s="88">
        <v>228</v>
      </c>
      <c r="E113" s="88">
        <v>910</v>
      </c>
      <c r="F113" s="89">
        <f t="shared" si="73"/>
        <v>10</v>
      </c>
      <c r="G113" s="90">
        <f t="shared" si="74"/>
        <v>22.59909159232755</v>
      </c>
      <c r="H113" s="90">
        <f t="shared" si="75"/>
        <v>45.519999999999996</v>
      </c>
      <c r="I113" s="91" t="str">
        <f t="shared" si="77"/>
        <v>1동6라인</v>
      </c>
      <c r="J113" s="92" t="s">
        <v>216</v>
      </c>
      <c r="L113" s="89">
        <v>2</v>
      </c>
      <c r="M113" s="78">
        <f t="shared" si="71"/>
        <v>5</v>
      </c>
      <c r="N113" s="78"/>
      <c r="O113" s="78">
        <f t="shared" si="76"/>
        <v>10</v>
      </c>
    </row>
    <row r="114" spans="1:16" ht="18" customHeight="1">
      <c r="A114" s="104"/>
      <c r="B114" s="93"/>
      <c r="C114" s="87"/>
      <c r="D114" s="88">
        <v>438</v>
      </c>
      <c r="E114" s="88">
        <v>270</v>
      </c>
      <c r="F114" s="89">
        <f t="shared" si="73"/>
        <v>10</v>
      </c>
      <c r="G114" s="90">
        <f t="shared" si="74"/>
        <v>12.881090089206941</v>
      </c>
      <c r="H114" s="90">
        <f t="shared" si="75"/>
        <v>28.32</v>
      </c>
      <c r="I114" s="91" t="str">
        <f t="shared" si="77"/>
        <v>1동6라인</v>
      </c>
      <c r="J114" s="92" t="s">
        <v>217</v>
      </c>
      <c r="L114" s="89">
        <v>2</v>
      </c>
      <c r="M114" s="78">
        <f t="shared" si="71"/>
        <v>5</v>
      </c>
      <c r="N114" s="78"/>
      <c r="O114" s="78">
        <f t="shared" si="76"/>
        <v>10</v>
      </c>
    </row>
    <row r="115" spans="1:16">
      <c r="A115" s="104"/>
      <c r="B115" s="87"/>
      <c r="C115" s="87"/>
      <c r="D115" s="325" t="s">
        <v>0</v>
      </c>
      <c r="E115" s="325"/>
      <c r="F115" s="171">
        <f>SUM(F109:F114)</f>
        <v>65</v>
      </c>
      <c r="G115" s="95">
        <f>SUM(G109:G114)</f>
        <v>605.92425579191593</v>
      </c>
      <c r="H115" s="95">
        <f>SUM(H109:H114)</f>
        <v>464.4</v>
      </c>
      <c r="I115" s="97"/>
      <c r="J115" s="98"/>
      <c r="L115" s="250"/>
      <c r="M115" s="250"/>
      <c r="N115" s="250"/>
      <c r="O115" s="250"/>
    </row>
    <row r="116" spans="1:16">
      <c r="A116" s="105"/>
      <c r="B116" s="9"/>
      <c r="C116" s="9"/>
      <c r="D116" s="51"/>
      <c r="E116" s="51"/>
      <c r="F116" s="51"/>
      <c r="G116" s="106"/>
      <c r="H116" s="106"/>
      <c r="I116" s="9"/>
      <c r="J116" s="107"/>
      <c r="L116" s="250"/>
      <c r="M116" s="250"/>
      <c r="N116" s="250"/>
      <c r="O116" s="250"/>
    </row>
    <row r="117" spans="1:16" ht="18" customHeight="1">
      <c r="A117" s="85"/>
      <c r="B117" s="163" t="s">
        <v>199</v>
      </c>
      <c r="C117" s="163">
        <v>22</v>
      </c>
      <c r="D117" s="88">
        <v>738</v>
      </c>
      <c r="E117" s="88">
        <v>1810</v>
      </c>
      <c r="F117" s="89">
        <f t="shared" ref="F117:F118" si="78">O117</f>
        <v>0</v>
      </c>
      <c r="G117" s="90">
        <f t="shared" ref="G117:G119" si="79">D117*E117/91809*F117</f>
        <v>0</v>
      </c>
      <c r="H117" s="90">
        <f t="shared" ref="H117:H119" si="80">(D117/1000)*4*F117+(E117/1000)*4*F117</f>
        <v>0</v>
      </c>
      <c r="I117" s="91" t="str">
        <f>I109</f>
        <v>1동6라인</v>
      </c>
      <c r="J117" s="92" t="s">
        <v>219</v>
      </c>
      <c r="L117" s="89">
        <v>2</v>
      </c>
      <c r="M117" s="78">
        <f>M114</f>
        <v>5</v>
      </c>
      <c r="N117" s="84">
        <v>5</v>
      </c>
      <c r="O117" s="78">
        <f t="shared" si="76"/>
        <v>0</v>
      </c>
      <c r="P117" s="64" t="s">
        <v>245</v>
      </c>
    </row>
    <row r="118" spans="1:16" ht="18" customHeight="1">
      <c r="A118" s="85"/>
      <c r="B118" s="86"/>
      <c r="C118" s="87"/>
      <c r="D118" s="88">
        <v>250</v>
      </c>
      <c r="E118" s="88">
        <v>930</v>
      </c>
      <c r="F118" s="89">
        <f t="shared" si="78"/>
        <v>10</v>
      </c>
      <c r="G118" s="90">
        <f t="shared" si="79"/>
        <v>25.324314609678787</v>
      </c>
      <c r="H118" s="90">
        <f t="shared" si="80"/>
        <v>47.2</v>
      </c>
      <c r="I118" s="91" t="str">
        <f>I117</f>
        <v>1동6라인</v>
      </c>
      <c r="J118" s="92" t="s">
        <v>220</v>
      </c>
      <c r="L118" s="89">
        <v>2</v>
      </c>
      <c r="M118" s="78">
        <f t="shared" si="71"/>
        <v>5</v>
      </c>
      <c r="N118" s="78"/>
      <c r="O118" s="78">
        <f t="shared" si="76"/>
        <v>10</v>
      </c>
    </row>
    <row r="119" spans="1:16" ht="18" customHeight="1">
      <c r="A119" s="85"/>
      <c r="B119" s="86"/>
      <c r="C119" s="87"/>
      <c r="D119" s="88"/>
      <c r="E119" s="88"/>
      <c r="F119" s="89"/>
      <c r="G119" s="90">
        <f t="shared" si="79"/>
        <v>0</v>
      </c>
      <c r="H119" s="90">
        <f t="shared" si="80"/>
        <v>0</v>
      </c>
      <c r="I119" s="91"/>
      <c r="J119" s="92"/>
      <c r="L119" s="250"/>
      <c r="M119" s="250"/>
      <c r="N119" s="250"/>
      <c r="O119" s="250"/>
    </row>
    <row r="120" spans="1:16" ht="18" customHeight="1">
      <c r="A120" s="85"/>
      <c r="B120" s="93"/>
      <c r="C120" s="87"/>
      <c r="D120" s="325" t="s">
        <v>0</v>
      </c>
      <c r="E120" s="325"/>
      <c r="F120" s="94">
        <f>SUM(F117:F119)</f>
        <v>10</v>
      </c>
      <c r="G120" s="95">
        <f>SUM(G117:G119)</f>
        <v>25.324314609678787</v>
      </c>
      <c r="H120" s="95">
        <f>SUM(H117:H119)</f>
        <v>47.2</v>
      </c>
      <c r="I120" s="97"/>
      <c r="J120" s="98"/>
      <c r="L120" s="250"/>
      <c r="M120" s="250"/>
      <c r="N120" s="250"/>
      <c r="O120" s="250"/>
    </row>
    <row r="121" spans="1:16" ht="18" customHeight="1">
      <c r="A121" s="253"/>
      <c r="B121" s="254"/>
      <c r="C121" s="255"/>
      <c r="D121" s="361"/>
      <c r="E121" s="361"/>
      <c r="F121" s="256"/>
      <c r="G121" s="257"/>
      <c r="H121" s="258"/>
      <c r="I121" s="259"/>
      <c r="J121" s="260"/>
      <c r="L121" s="250"/>
      <c r="M121" s="250"/>
      <c r="N121" s="250"/>
      <c r="O121" s="250"/>
    </row>
    <row r="122" spans="1:16" ht="18" customHeight="1">
      <c r="A122" s="85">
        <v>74</v>
      </c>
      <c r="B122" s="23" t="s">
        <v>201</v>
      </c>
      <c r="C122" s="24">
        <v>22</v>
      </c>
      <c r="D122" s="88">
        <v>861</v>
      </c>
      <c r="E122" s="88">
        <v>1810</v>
      </c>
      <c r="F122" s="89">
        <f t="shared" ref="F122:F126" si="81">O122</f>
        <v>10</v>
      </c>
      <c r="G122" s="90">
        <f t="shared" ref="G122:G126" si="82">D122*E122/91809*F122</f>
        <v>169.7447962618044</v>
      </c>
      <c r="H122" s="90">
        <f t="shared" ref="H122:H126" si="83">(D122/1000)*4*F122+(E122/1000)*4*F122</f>
        <v>106.84</v>
      </c>
      <c r="I122" s="91" t="s">
        <v>246</v>
      </c>
      <c r="J122" s="92" t="s">
        <v>205</v>
      </c>
      <c r="L122" s="89">
        <v>1</v>
      </c>
      <c r="M122" s="78">
        <v>10</v>
      </c>
      <c r="N122" s="84"/>
      <c r="O122" s="78">
        <f>L122*M122-N122*L122</f>
        <v>10</v>
      </c>
      <c r="P122" s="64"/>
    </row>
    <row r="123" spans="1:16" ht="18" customHeight="1">
      <c r="A123" s="85"/>
      <c r="B123" s="86"/>
      <c r="C123" s="87"/>
      <c r="D123" s="88">
        <v>738</v>
      </c>
      <c r="E123" s="88">
        <v>1310</v>
      </c>
      <c r="F123" s="89">
        <f t="shared" si="81"/>
        <v>40</v>
      </c>
      <c r="G123" s="90">
        <f t="shared" si="82"/>
        <v>421.2136065091658</v>
      </c>
      <c r="H123" s="90">
        <f t="shared" si="83"/>
        <v>327.68</v>
      </c>
      <c r="I123" s="91" t="str">
        <f>I122</f>
        <v>2동1,2라인</v>
      </c>
      <c r="J123" s="92" t="s">
        <v>207</v>
      </c>
      <c r="L123" s="89">
        <v>4</v>
      </c>
      <c r="M123" s="78">
        <f>M122</f>
        <v>10</v>
      </c>
      <c r="N123" s="84"/>
      <c r="O123" s="78">
        <f t="shared" ref="O123:O126" si="84">L123*M123-N123*L123</f>
        <v>40</v>
      </c>
    </row>
    <row r="124" spans="1:16" ht="18" customHeight="1">
      <c r="A124" s="85"/>
      <c r="B124" s="86"/>
      <c r="C124" s="87"/>
      <c r="D124" s="88">
        <v>288</v>
      </c>
      <c r="E124" s="88">
        <v>910</v>
      </c>
      <c r="F124" s="89">
        <f t="shared" si="81"/>
        <v>20</v>
      </c>
      <c r="G124" s="90">
        <f t="shared" si="82"/>
        <v>57.09244191745907</v>
      </c>
      <c r="H124" s="90">
        <f t="shared" si="83"/>
        <v>95.84</v>
      </c>
      <c r="I124" s="91" t="str">
        <f t="shared" ref="I124:I125" si="85">I123</f>
        <v>2동1,2라인</v>
      </c>
      <c r="J124" s="92" t="s">
        <v>208</v>
      </c>
      <c r="L124" s="89">
        <v>2</v>
      </c>
      <c r="M124" s="78">
        <f t="shared" ref="M124" si="86">M123</f>
        <v>10</v>
      </c>
      <c r="N124" s="78"/>
      <c r="O124" s="78">
        <f t="shared" si="84"/>
        <v>20</v>
      </c>
    </row>
    <row r="125" spans="1:16" ht="18" customHeight="1">
      <c r="A125" s="85"/>
      <c r="B125" s="86"/>
      <c r="C125" s="87"/>
      <c r="D125" s="88">
        <v>228</v>
      </c>
      <c r="E125" s="88">
        <v>910</v>
      </c>
      <c r="F125" s="89">
        <f t="shared" si="81"/>
        <v>20</v>
      </c>
      <c r="G125" s="90">
        <f t="shared" si="82"/>
        <v>45.1981831846551</v>
      </c>
      <c r="H125" s="90">
        <f t="shared" si="83"/>
        <v>91.039999999999992</v>
      </c>
      <c r="I125" s="91" t="str">
        <f t="shared" si="85"/>
        <v>2동1,2라인</v>
      </c>
      <c r="J125" s="92" t="s">
        <v>209</v>
      </c>
      <c r="L125" s="89">
        <v>2</v>
      </c>
      <c r="M125" s="78">
        <f>M124</f>
        <v>10</v>
      </c>
      <c r="N125" s="78"/>
      <c r="O125" s="78">
        <f t="shared" si="84"/>
        <v>20</v>
      </c>
    </row>
    <row r="126" spans="1:16" ht="18" customHeight="1">
      <c r="A126" s="85"/>
      <c r="B126" s="86"/>
      <c r="C126" s="87"/>
      <c r="D126" s="88">
        <v>438</v>
      </c>
      <c r="E126" s="88">
        <v>270</v>
      </c>
      <c r="F126" s="89">
        <f t="shared" si="81"/>
        <v>20</v>
      </c>
      <c r="G126" s="90">
        <f t="shared" si="82"/>
        <v>25.762180178413882</v>
      </c>
      <c r="H126" s="90">
        <f t="shared" si="83"/>
        <v>56.64</v>
      </c>
      <c r="I126" s="91" t="str">
        <f>I124</f>
        <v>2동1,2라인</v>
      </c>
      <c r="J126" s="92" t="s">
        <v>210</v>
      </c>
      <c r="L126" s="89">
        <v>2</v>
      </c>
      <c r="M126" s="78">
        <f>M124</f>
        <v>10</v>
      </c>
      <c r="N126" s="78"/>
      <c r="O126" s="78">
        <f t="shared" si="84"/>
        <v>20</v>
      </c>
    </row>
    <row r="127" spans="1:16" ht="18" customHeight="1">
      <c r="A127" s="85"/>
      <c r="B127" s="93"/>
      <c r="C127" s="87"/>
      <c r="D127" s="325" t="s">
        <v>0</v>
      </c>
      <c r="E127" s="325"/>
      <c r="F127" s="94">
        <f>SUM(F122:F126)</f>
        <v>110</v>
      </c>
      <c r="G127" s="95">
        <f>SUM(G122:G126)</f>
        <v>719.01120805149833</v>
      </c>
      <c r="H127" s="96">
        <f>SUM(H122:H126)</f>
        <v>678.04</v>
      </c>
      <c r="I127" s="97"/>
      <c r="J127" s="162"/>
    </row>
    <row r="128" spans="1:16" ht="18" customHeight="1">
      <c r="A128" s="85"/>
      <c r="B128" s="93"/>
      <c r="C128" s="87"/>
      <c r="D128" s="161"/>
      <c r="E128" s="161"/>
      <c r="F128" s="89"/>
      <c r="G128" s="100"/>
      <c r="H128" s="101"/>
      <c r="I128" s="102"/>
      <c r="J128" s="121"/>
      <c r="L128" s="252"/>
      <c r="M128" s="252"/>
      <c r="N128" s="252"/>
      <c r="O128" s="252"/>
    </row>
    <row r="129" spans="1:16" ht="18" customHeight="1">
      <c r="A129" s="85"/>
      <c r="B129" s="23" t="s">
        <v>198</v>
      </c>
      <c r="C129" s="24">
        <v>22</v>
      </c>
      <c r="D129" s="88">
        <v>861</v>
      </c>
      <c r="E129" s="88">
        <v>1810</v>
      </c>
      <c r="F129" s="89">
        <f t="shared" ref="F129:F134" si="87">O129</f>
        <v>10</v>
      </c>
      <c r="G129" s="90">
        <f t="shared" ref="G129:G134" si="88">D129*E129/91809*F129</f>
        <v>169.7447962618044</v>
      </c>
      <c r="H129" s="90">
        <f t="shared" ref="H129:H134" si="89">(D129/1000)*4*F129+(E129/1000)*4*F129</f>
        <v>106.84</v>
      </c>
      <c r="I129" s="91" t="str">
        <f>I122</f>
        <v>2동1,2라인</v>
      </c>
      <c r="J129" s="92" t="s">
        <v>212</v>
      </c>
      <c r="L129" s="89">
        <v>1</v>
      </c>
      <c r="M129" s="78">
        <f>M122</f>
        <v>10</v>
      </c>
      <c r="N129" s="84"/>
      <c r="O129" s="78">
        <f>L129*M129-N129*L129</f>
        <v>10</v>
      </c>
    </row>
    <row r="130" spans="1:16" ht="18" customHeight="1">
      <c r="A130" s="85"/>
      <c r="B130" s="86"/>
      <c r="C130" s="87"/>
      <c r="D130" s="88">
        <v>2114</v>
      </c>
      <c r="E130" s="88">
        <v>1810</v>
      </c>
      <c r="F130" s="89">
        <f t="shared" si="87"/>
        <v>10</v>
      </c>
      <c r="G130" s="90">
        <f t="shared" si="88"/>
        <v>416.77177618751978</v>
      </c>
      <c r="H130" s="90">
        <f t="shared" si="89"/>
        <v>156.96</v>
      </c>
      <c r="I130" s="91" t="str">
        <f>I122</f>
        <v>2동1,2라인</v>
      </c>
      <c r="J130" s="92" t="s">
        <v>213</v>
      </c>
      <c r="L130" s="89">
        <v>1</v>
      </c>
      <c r="M130" s="78">
        <f>M129</f>
        <v>10</v>
      </c>
      <c r="N130" s="84"/>
      <c r="O130" s="78">
        <f>L130*M130-N130*L130</f>
        <v>10</v>
      </c>
    </row>
    <row r="131" spans="1:16" ht="18" customHeight="1">
      <c r="A131" s="104"/>
      <c r="B131" s="93"/>
      <c r="C131" s="87"/>
      <c r="D131" s="88">
        <v>738</v>
      </c>
      <c r="E131" s="88">
        <v>1310</v>
      </c>
      <c r="F131" s="89">
        <f t="shared" si="87"/>
        <v>40</v>
      </c>
      <c r="G131" s="90">
        <f t="shared" si="88"/>
        <v>421.2136065091658</v>
      </c>
      <c r="H131" s="90">
        <f t="shared" si="89"/>
        <v>327.68</v>
      </c>
      <c r="I131" s="91" t="str">
        <f>I130</f>
        <v>2동1,2라인</v>
      </c>
      <c r="J131" s="92" t="s">
        <v>214</v>
      </c>
      <c r="L131" s="89">
        <v>4</v>
      </c>
      <c r="M131" s="78">
        <f t="shared" ref="M131:M134" si="90">M130</f>
        <v>10</v>
      </c>
      <c r="N131" s="84"/>
      <c r="O131" s="78">
        <f t="shared" ref="O131:O134" si="91">L131*M131-N131*L131</f>
        <v>40</v>
      </c>
    </row>
    <row r="132" spans="1:16" ht="18" customHeight="1">
      <c r="A132" s="104"/>
      <c r="B132" s="93"/>
      <c r="C132" s="87"/>
      <c r="D132" s="88">
        <v>288</v>
      </c>
      <c r="E132" s="88">
        <v>910</v>
      </c>
      <c r="F132" s="89">
        <f t="shared" si="87"/>
        <v>20</v>
      </c>
      <c r="G132" s="90">
        <f t="shared" si="88"/>
        <v>57.09244191745907</v>
      </c>
      <c r="H132" s="90">
        <f t="shared" si="89"/>
        <v>95.84</v>
      </c>
      <c r="I132" s="91" t="str">
        <f>I131</f>
        <v>2동1,2라인</v>
      </c>
      <c r="J132" s="92" t="s">
        <v>215</v>
      </c>
      <c r="L132" s="89">
        <v>2</v>
      </c>
      <c r="M132" s="78">
        <f>M131</f>
        <v>10</v>
      </c>
      <c r="N132" s="84"/>
      <c r="O132" s="78">
        <f t="shared" si="91"/>
        <v>20</v>
      </c>
    </row>
    <row r="133" spans="1:16" ht="18" customHeight="1">
      <c r="A133" s="104"/>
      <c r="B133" s="93"/>
      <c r="C133" s="87"/>
      <c r="D133" s="88">
        <v>228</v>
      </c>
      <c r="E133" s="88">
        <v>910</v>
      </c>
      <c r="F133" s="89">
        <f t="shared" si="87"/>
        <v>20</v>
      </c>
      <c r="G133" s="90">
        <f t="shared" si="88"/>
        <v>45.1981831846551</v>
      </c>
      <c r="H133" s="90">
        <f t="shared" si="89"/>
        <v>91.039999999999992</v>
      </c>
      <c r="I133" s="91" t="str">
        <f>I131</f>
        <v>2동1,2라인</v>
      </c>
      <c r="J133" s="92" t="s">
        <v>216</v>
      </c>
      <c r="L133" s="89">
        <v>2</v>
      </c>
      <c r="M133" s="78">
        <f>M131</f>
        <v>10</v>
      </c>
      <c r="N133" s="78"/>
      <c r="O133" s="78">
        <f t="shared" si="91"/>
        <v>20</v>
      </c>
    </row>
    <row r="134" spans="1:16" ht="18" customHeight="1">
      <c r="A134" s="104"/>
      <c r="B134" s="93"/>
      <c r="C134" s="87"/>
      <c r="D134" s="88">
        <v>438</v>
      </c>
      <c r="E134" s="88">
        <v>270</v>
      </c>
      <c r="F134" s="89">
        <f t="shared" si="87"/>
        <v>20</v>
      </c>
      <c r="G134" s="90">
        <f t="shared" si="88"/>
        <v>25.762180178413882</v>
      </c>
      <c r="H134" s="90">
        <f t="shared" si="89"/>
        <v>56.64</v>
      </c>
      <c r="I134" s="91" t="str">
        <f t="shared" ref="I134" si="92">I133</f>
        <v>2동1,2라인</v>
      </c>
      <c r="J134" s="92" t="s">
        <v>217</v>
      </c>
      <c r="L134" s="89">
        <v>2</v>
      </c>
      <c r="M134" s="78">
        <f t="shared" si="90"/>
        <v>10</v>
      </c>
      <c r="N134" s="78"/>
      <c r="O134" s="78">
        <f t="shared" si="91"/>
        <v>20</v>
      </c>
    </row>
    <row r="135" spans="1:16" ht="18" customHeight="1">
      <c r="A135" s="104"/>
      <c r="B135" s="87"/>
      <c r="C135" s="87"/>
      <c r="D135" s="325" t="s">
        <v>0</v>
      </c>
      <c r="E135" s="325"/>
      <c r="F135" s="171">
        <f>SUM(F129:F134)</f>
        <v>120</v>
      </c>
      <c r="G135" s="95">
        <f>SUM(G129:G134)</f>
        <v>1135.7829842390181</v>
      </c>
      <c r="H135" s="95">
        <f>SUM(H129:H134)</f>
        <v>835</v>
      </c>
      <c r="I135" s="97"/>
      <c r="J135" s="98"/>
    </row>
    <row r="136" spans="1:16">
      <c r="A136" s="105"/>
      <c r="B136" s="9"/>
      <c r="C136" s="9"/>
      <c r="D136" s="51"/>
      <c r="E136" s="51"/>
      <c r="F136" s="51"/>
      <c r="G136" s="106"/>
      <c r="H136" s="106"/>
      <c r="I136" s="9"/>
      <c r="J136" s="107"/>
    </row>
    <row r="137" spans="1:16" ht="18" customHeight="1">
      <c r="A137" s="85"/>
      <c r="B137" s="23" t="s">
        <v>237</v>
      </c>
      <c r="C137" s="24">
        <v>22</v>
      </c>
      <c r="D137" s="88">
        <v>2114</v>
      </c>
      <c r="E137" s="88">
        <v>1810</v>
      </c>
      <c r="F137" s="89">
        <f t="shared" ref="F137" si="93">O137</f>
        <v>10</v>
      </c>
      <c r="G137" s="90">
        <f t="shared" ref="G137" si="94">D137*E137/91809*F137</f>
        <v>416.77177618751978</v>
      </c>
      <c r="H137" s="90">
        <f t="shared" ref="H137" si="95">(D137/1000)*4*F137+(E137/1000)*4*F137</f>
        <v>156.96</v>
      </c>
      <c r="I137" s="91" t="str">
        <f>I129</f>
        <v>2동1,2라인</v>
      </c>
      <c r="J137" s="92" t="s">
        <v>206</v>
      </c>
      <c r="L137" s="89">
        <v>1</v>
      </c>
      <c r="M137" s="78">
        <f>M122</f>
        <v>10</v>
      </c>
      <c r="N137" s="84"/>
      <c r="O137" s="78">
        <f>L137*M137-N137*L137</f>
        <v>10</v>
      </c>
    </row>
    <row r="138" spans="1:16" ht="18" customHeight="1">
      <c r="A138" s="85"/>
      <c r="B138" s="93"/>
      <c r="C138" s="87"/>
      <c r="D138" s="325" t="s">
        <v>0</v>
      </c>
      <c r="E138" s="325"/>
      <c r="F138" s="94">
        <f>SUM(F137:F137)</f>
        <v>10</v>
      </c>
      <c r="G138" s="95">
        <f>SUM(G137:G137)</f>
        <v>416.77177618751978</v>
      </c>
      <c r="H138" s="95">
        <f>SUM(H137:H137)</f>
        <v>156.96</v>
      </c>
      <c r="I138" s="97"/>
      <c r="J138" s="98"/>
    </row>
    <row r="139" spans="1:16" ht="18" customHeight="1">
      <c r="A139" s="218"/>
      <c r="B139" s="219"/>
      <c r="C139" s="220"/>
      <c r="D139" s="161"/>
      <c r="E139" s="161"/>
      <c r="F139" s="89"/>
      <c r="G139" s="100"/>
      <c r="H139" s="100"/>
      <c r="I139" s="102"/>
      <c r="J139" s="221"/>
    </row>
    <row r="140" spans="1:16" ht="18" customHeight="1">
      <c r="A140" s="85"/>
      <c r="B140" s="23" t="s">
        <v>203</v>
      </c>
      <c r="C140" s="24">
        <v>22</v>
      </c>
      <c r="D140" s="88">
        <v>638</v>
      </c>
      <c r="E140" s="88">
        <v>1810</v>
      </c>
      <c r="F140" s="89">
        <f t="shared" ref="F140:F141" si="96">O140</f>
        <v>10</v>
      </c>
      <c r="G140" s="90">
        <f t="shared" ref="G140:G141" si="97">D140*E140/91809*F140</f>
        <v>125.78069688156936</v>
      </c>
      <c r="H140" s="90">
        <f t="shared" ref="H140:H141" si="98">(D140/1000)*4*F140+(E140/1000)*4*F140</f>
        <v>97.92</v>
      </c>
      <c r="I140" s="91" t="str">
        <f>I137</f>
        <v>2동1,2라인</v>
      </c>
      <c r="J140" s="92" t="s">
        <v>219</v>
      </c>
      <c r="L140" s="89">
        <v>2</v>
      </c>
      <c r="M140" s="78">
        <f>M137</f>
        <v>10</v>
      </c>
      <c r="N140" s="84">
        <v>5</v>
      </c>
      <c r="O140" s="78">
        <f>L140*M140-N140*L140</f>
        <v>10</v>
      </c>
      <c r="P140" s="64" t="s">
        <v>247</v>
      </c>
    </row>
    <row r="141" spans="1:16" ht="18" customHeight="1">
      <c r="A141" s="85"/>
      <c r="B141" s="86"/>
      <c r="C141" s="87"/>
      <c r="D141" s="88">
        <v>250</v>
      </c>
      <c r="E141" s="88">
        <v>930</v>
      </c>
      <c r="F141" s="89">
        <f t="shared" si="96"/>
        <v>20</v>
      </c>
      <c r="G141" s="90">
        <f t="shared" si="97"/>
        <v>50.648629219357574</v>
      </c>
      <c r="H141" s="90">
        <f t="shared" si="98"/>
        <v>94.4</v>
      </c>
      <c r="I141" s="91" t="str">
        <f>I140</f>
        <v>2동1,2라인</v>
      </c>
      <c r="J141" s="92" t="s">
        <v>220</v>
      </c>
      <c r="L141" s="89">
        <v>2</v>
      </c>
      <c r="M141" s="78">
        <f>M140</f>
        <v>10</v>
      </c>
      <c r="N141" s="84"/>
      <c r="O141" s="78">
        <f t="shared" ref="O141" si="99">L141*M141-N141*L141</f>
        <v>20</v>
      </c>
    </row>
    <row r="142" spans="1:16" ht="18" customHeight="1">
      <c r="A142" s="85"/>
      <c r="B142" s="93"/>
      <c r="C142" s="87"/>
      <c r="D142" s="325" t="s">
        <v>0</v>
      </c>
      <c r="E142" s="325"/>
      <c r="F142" s="94">
        <f>SUM(F140:F141)</f>
        <v>30</v>
      </c>
      <c r="G142" s="95">
        <f>SUM(G140:G141)</f>
        <v>176.42932610092691</v>
      </c>
      <c r="H142" s="96">
        <f>SUM(H140:H141)</f>
        <v>192.32</v>
      </c>
      <c r="I142" s="97"/>
      <c r="J142" s="162"/>
    </row>
    <row r="143" spans="1:16">
      <c r="A143" s="16"/>
      <c r="B143" s="16"/>
      <c r="C143" s="16"/>
      <c r="D143" s="261"/>
      <c r="E143" s="261"/>
      <c r="F143" s="261"/>
      <c r="G143" s="19"/>
      <c r="H143" s="19"/>
      <c r="I143" s="16"/>
      <c r="J143" s="16"/>
    </row>
    <row r="144" spans="1:16" ht="18" customHeight="1">
      <c r="A144" s="85" t="s">
        <v>235</v>
      </c>
      <c r="B144" s="23" t="s">
        <v>201</v>
      </c>
      <c r="C144" s="24">
        <v>22</v>
      </c>
      <c r="D144" s="88">
        <v>861</v>
      </c>
      <c r="E144" s="88">
        <v>1810</v>
      </c>
      <c r="F144" s="89">
        <f t="shared" ref="F144:F147" si="100">O144</f>
        <v>5</v>
      </c>
      <c r="G144" s="90">
        <f t="shared" ref="G144:G147" si="101">D144*E144/91809*F144</f>
        <v>84.872398130902198</v>
      </c>
      <c r="H144" s="90">
        <f t="shared" ref="H144:H147" si="102">(D144/1000)*4*F144+(E144/1000)*4*F144</f>
        <v>53.42</v>
      </c>
      <c r="I144" s="91" t="s">
        <v>248</v>
      </c>
      <c r="J144" s="92" t="s">
        <v>205</v>
      </c>
      <c r="L144" s="89">
        <v>1</v>
      </c>
      <c r="M144" s="78">
        <v>5</v>
      </c>
      <c r="N144" s="84"/>
      <c r="O144" s="78">
        <f>L144*M144-N144*L144</f>
        <v>5</v>
      </c>
      <c r="P144" s="64"/>
    </row>
    <row r="145" spans="1:16" ht="18" customHeight="1">
      <c r="A145" s="85"/>
      <c r="B145" s="86"/>
      <c r="C145" s="87"/>
      <c r="D145" s="88">
        <v>738</v>
      </c>
      <c r="E145" s="88">
        <v>1310</v>
      </c>
      <c r="F145" s="89">
        <f t="shared" si="100"/>
        <v>20</v>
      </c>
      <c r="G145" s="90">
        <f t="shared" si="101"/>
        <v>210.6068032545829</v>
      </c>
      <c r="H145" s="90">
        <f t="shared" si="102"/>
        <v>163.84</v>
      </c>
      <c r="I145" s="91" t="str">
        <f>I144</f>
        <v>2동3라인</v>
      </c>
      <c r="J145" s="92" t="s">
        <v>207</v>
      </c>
      <c r="L145" s="89">
        <v>4</v>
      </c>
      <c r="M145" s="78">
        <f>M144</f>
        <v>5</v>
      </c>
      <c r="N145" s="84"/>
      <c r="O145" s="78">
        <f t="shared" ref="O145:O147" si="103">L145*M145-N145*L145</f>
        <v>20</v>
      </c>
    </row>
    <row r="146" spans="1:16" ht="18" customHeight="1">
      <c r="A146" s="85"/>
      <c r="B146" s="86"/>
      <c r="C146" s="87"/>
      <c r="D146" s="88">
        <v>228</v>
      </c>
      <c r="E146" s="88">
        <v>910</v>
      </c>
      <c r="F146" s="89">
        <f t="shared" si="100"/>
        <v>10</v>
      </c>
      <c r="G146" s="90">
        <f t="shared" si="101"/>
        <v>22.59909159232755</v>
      </c>
      <c r="H146" s="90">
        <f t="shared" si="102"/>
        <v>45.519999999999996</v>
      </c>
      <c r="I146" s="91" t="str">
        <f t="shared" ref="I146:I147" si="104">I145</f>
        <v>2동3라인</v>
      </c>
      <c r="J146" s="92" t="s">
        <v>209</v>
      </c>
      <c r="L146" s="89">
        <v>2</v>
      </c>
      <c r="M146" s="78">
        <f t="shared" ref="M146:M147" si="105">M145</f>
        <v>5</v>
      </c>
      <c r="N146" s="78"/>
      <c r="O146" s="78">
        <f t="shared" si="103"/>
        <v>10</v>
      </c>
    </row>
    <row r="147" spans="1:16" ht="18" customHeight="1">
      <c r="A147" s="85"/>
      <c r="B147" s="86"/>
      <c r="C147" s="87"/>
      <c r="D147" s="88">
        <v>438</v>
      </c>
      <c r="E147" s="88">
        <v>270</v>
      </c>
      <c r="F147" s="89">
        <f t="shared" si="100"/>
        <v>10</v>
      </c>
      <c r="G147" s="90">
        <f t="shared" si="101"/>
        <v>12.881090089206941</v>
      </c>
      <c r="H147" s="90">
        <f t="shared" si="102"/>
        <v>28.32</v>
      </c>
      <c r="I147" s="91" t="str">
        <f t="shared" si="104"/>
        <v>2동3라인</v>
      </c>
      <c r="J147" s="92" t="s">
        <v>210</v>
      </c>
      <c r="L147" s="89">
        <v>2</v>
      </c>
      <c r="M147" s="78">
        <f t="shared" si="105"/>
        <v>5</v>
      </c>
      <c r="N147" s="78"/>
      <c r="O147" s="78">
        <f t="shared" si="103"/>
        <v>10</v>
      </c>
    </row>
    <row r="148" spans="1:16" ht="18" customHeight="1">
      <c r="A148" s="85"/>
      <c r="B148" s="93"/>
      <c r="C148" s="87"/>
      <c r="D148" s="325" t="s">
        <v>0</v>
      </c>
      <c r="E148" s="325"/>
      <c r="F148" s="94">
        <f>SUM(F144:F147)</f>
        <v>45</v>
      </c>
      <c r="G148" s="95">
        <f>SUM(G144:G147)</f>
        <v>330.95938306701964</v>
      </c>
      <c r="H148" s="96">
        <f>SUM(H144:H147)</f>
        <v>291.09999999999997</v>
      </c>
      <c r="I148" s="97"/>
      <c r="J148" s="162"/>
    </row>
    <row r="149" spans="1:16" ht="18" customHeight="1">
      <c r="A149" s="85"/>
      <c r="B149" s="93"/>
      <c r="C149" s="87"/>
      <c r="D149" s="161"/>
      <c r="E149" s="161"/>
      <c r="F149" s="89"/>
      <c r="G149" s="100"/>
      <c r="H149" s="101"/>
      <c r="I149" s="102"/>
      <c r="J149" s="121"/>
      <c r="L149" s="252"/>
      <c r="M149" s="252"/>
      <c r="N149" s="252"/>
      <c r="O149" s="252"/>
    </row>
    <row r="150" spans="1:16" ht="18" customHeight="1">
      <c r="A150" s="85"/>
      <c r="B150" s="23" t="s">
        <v>198</v>
      </c>
      <c r="C150" s="24">
        <v>22</v>
      </c>
      <c r="D150" s="88">
        <v>861</v>
      </c>
      <c r="E150" s="88">
        <v>1810</v>
      </c>
      <c r="F150" s="89">
        <f t="shared" ref="F150:F154" si="106">O150</f>
        <v>5</v>
      </c>
      <c r="G150" s="90">
        <f t="shared" ref="G150:G154" si="107">D150*E150/91809*F150</f>
        <v>84.872398130902198</v>
      </c>
      <c r="H150" s="90">
        <f t="shared" ref="H150:H154" si="108">(D150/1000)*4*F150+(E150/1000)*4*F150</f>
        <v>53.42</v>
      </c>
      <c r="I150" s="91" t="str">
        <f>I144</f>
        <v>2동3라인</v>
      </c>
      <c r="J150" s="92" t="s">
        <v>212</v>
      </c>
      <c r="L150" s="89">
        <v>1</v>
      </c>
      <c r="M150" s="78">
        <f>M144</f>
        <v>5</v>
      </c>
      <c r="N150" s="84"/>
      <c r="O150" s="78">
        <f>L150*M150-N150*L150</f>
        <v>5</v>
      </c>
    </row>
    <row r="151" spans="1:16" ht="18" customHeight="1">
      <c r="A151" s="85"/>
      <c r="B151" s="86"/>
      <c r="C151" s="87"/>
      <c r="D151" s="88">
        <v>2114</v>
      </c>
      <c r="E151" s="88">
        <v>1810</v>
      </c>
      <c r="F151" s="89">
        <f t="shared" si="106"/>
        <v>5</v>
      </c>
      <c r="G151" s="90">
        <f t="shared" si="107"/>
        <v>208.38588809375989</v>
      </c>
      <c r="H151" s="90">
        <f t="shared" si="108"/>
        <v>78.48</v>
      </c>
      <c r="I151" s="91" t="str">
        <f>I144</f>
        <v>2동3라인</v>
      </c>
      <c r="J151" s="92" t="s">
        <v>213</v>
      </c>
      <c r="L151" s="89">
        <v>1</v>
      </c>
      <c r="M151" s="78">
        <f>M150</f>
        <v>5</v>
      </c>
      <c r="N151" s="84"/>
      <c r="O151" s="78">
        <f>L151*M151-N151*L151</f>
        <v>5</v>
      </c>
    </row>
    <row r="152" spans="1:16" ht="18" customHeight="1">
      <c r="A152" s="104"/>
      <c r="B152" s="93"/>
      <c r="C152" s="87"/>
      <c r="D152" s="88">
        <v>738</v>
      </c>
      <c r="E152" s="88">
        <v>1310</v>
      </c>
      <c r="F152" s="89">
        <f t="shared" si="106"/>
        <v>20</v>
      </c>
      <c r="G152" s="90">
        <f t="shared" si="107"/>
        <v>210.6068032545829</v>
      </c>
      <c r="H152" s="90">
        <f t="shared" si="108"/>
        <v>163.84</v>
      </c>
      <c r="I152" s="91" t="str">
        <f>I151</f>
        <v>2동3라인</v>
      </c>
      <c r="J152" s="92" t="s">
        <v>214</v>
      </c>
      <c r="L152" s="89">
        <v>4</v>
      </c>
      <c r="M152" s="78">
        <f t="shared" ref="M152:M154" si="109">M151</f>
        <v>5</v>
      </c>
      <c r="N152" s="84"/>
      <c r="O152" s="78">
        <f t="shared" ref="O152:O154" si="110">L152*M152-N152*L152</f>
        <v>20</v>
      </c>
    </row>
    <row r="153" spans="1:16" ht="18" customHeight="1">
      <c r="A153" s="104"/>
      <c r="B153" s="93"/>
      <c r="C153" s="87"/>
      <c r="D153" s="88">
        <v>228</v>
      </c>
      <c r="E153" s="88">
        <v>910</v>
      </c>
      <c r="F153" s="89">
        <f t="shared" si="106"/>
        <v>10</v>
      </c>
      <c r="G153" s="90">
        <f t="shared" si="107"/>
        <v>22.59909159232755</v>
      </c>
      <c r="H153" s="90">
        <f t="shared" si="108"/>
        <v>45.519999999999996</v>
      </c>
      <c r="I153" s="91" t="str">
        <f t="shared" ref="I153:I154" si="111">I152</f>
        <v>2동3라인</v>
      </c>
      <c r="J153" s="92" t="s">
        <v>216</v>
      </c>
      <c r="L153" s="89">
        <v>2</v>
      </c>
      <c r="M153" s="78">
        <f t="shared" si="109"/>
        <v>5</v>
      </c>
      <c r="N153" s="78"/>
      <c r="O153" s="78">
        <f t="shared" si="110"/>
        <v>10</v>
      </c>
    </row>
    <row r="154" spans="1:16" ht="18" customHeight="1">
      <c r="A154" s="104"/>
      <c r="B154" s="93"/>
      <c r="C154" s="87"/>
      <c r="D154" s="88">
        <v>438</v>
      </c>
      <c r="E154" s="88">
        <v>270</v>
      </c>
      <c r="F154" s="89">
        <f t="shared" si="106"/>
        <v>10</v>
      </c>
      <c r="G154" s="90">
        <f t="shared" si="107"/>
        <v>12.881090089206941</v>
      </c>
      <c r="H154" s="90">
        <f t="shared" si="108"/>
        <v>28.32</v>
      </c>
      <c r="I154" s="91" t="str">
        <f t="shared" si="111"/>
        <v>2동3라인</v>
      </c>
      <c r="J154" s="92" t="s">
        <v>217</v>
      </c>
      <c r="L154" s="89">
        <v>2</v>
      </c>
      <c r="M154" s="78">
        <f t="shared" si="109"/>
        <v>5</v>
      </c>
      <c r="N154" s="78"/>
      <c r="O154" s="78">
        <f t="shared" si="110"/>
        <v>10</v>
      </c>
    </row>
    <row r="155" spans="1:16" ht="18" customHeight="1">
      <c r="A155" s="104"/>
      <c r="B155" s="87"/>
      <c r="C155" s="87"/>
      <c r="D155" s="325" t="s">
        <v>0</v>
      </c>
      <c r="E155" s="325"/>
      <c r="F155" s="171">
        <f>SUM(F150:F154)</f>
        <v>50</v>
      </c>
      <c r="G155" s="95">
        <f>SUM(G150:G154)</f>
        <v>539.34527116077948</v>
      </c>
      <c r="H155" s="95">
        <f>SUM(H150:H154)</f>
        <v>369.58</v>
      </c>
      <c r="I155" s="97"/>
      <c r="J155" s="98"/>
    </row>
    <row r="156" spans="1:16">
      <c r="A156" s="105"/>
      <c r="B156" s="9"/>
      <c r="C156" s="9"/>
      <c r="D156" s="51"/>
      <c r="E156" s="51"/>
      <c r="F156" s="51"/>
      <c r="G156" s="106"/>
      <c r="H156" s="106"/>
      <c r="I156" s="9"/>
      <c r="J156" s="107"/>
    </row>
    <row r="157" spans="1:16" ht="18" customHeight="1">
      <c r="A157" s="85"/>
      <c r="B157" s="23" t="s">
        <v>237</v>
      </c>
      <c r="C157" s="24">
        <v>22</v>
      </c>
      <c r="D157" s="88">
        <v>2114</v>
      </c>
      <c r="E157" s="88">
        <v>1810</v>
      </c>
      <c r="F157" s="89">
        <f t="shared" ref="F157" si="112">O157</f>
        <v>5</v>
      </c>
      <c r="G157" s="90">
        <f t="shared" ref="G157" si="113">D157*E157/91809*F157</f>
        <v>208.38588809375989</v>
      </c>
      <c r="H157" s="90">
        <f t="shared" ref="H157" si="114">(D157/1000)*4*F157+(E157/1000)*4*F157</f>
        <v>78.48</v>
      </c>
      <c r="I157" s="91" t="str">
        <f>I150</f>
        <v>2동3라인</v>
      </c>
      <c r="J157" s="92" t="s">
        <v>206</v>
      </c>
      <c r="L157" s="89">
        <v>1</v>
      </c>
      <c r="M157" s="78">
        <f>M144</f>
        <v>5</v>
      </c>
      <c r="N157" s="84"/>
      <c r="O157" s="78">
        <f>L157*M157-N157*L157</f>
        <v>5</v>
      </c>
    </row>
    <row r="158" spans="1:16" ht="18" customHeight="1">
      <c r="A158" s="85"/>
      <c r="B158" s="93"/>
      <c r="C158" s="87"/>
      <c r="D158" s="325" t="s">
        <v>0</v>
      </c>
      <c r="E158" s="325"/>
      <c r="F158" s="94">
        <f>SUM(F157:F157)</f>
        <v>5</v>
      </c>
      <c r="G158" s="95">
        <f>SUM(G157:G157)</f>
        <v>208.38588809375989</v>
      </c>
      <c r="H158" s="95">
        <f>SUM(H157:H157)</f>
        <v>78.48</v>
      </c>
      <c r="I158" s="97"/>
      <c r="J158" s="98"/>
    </row>
    <row r="159" spans="1:16" ht="18" customHeight="1">
      <c r="A159" s="218"/>
      <c r="B159" s="219"/>
      <c r="C159" s="220"/>
      <c r="D159" s="161"/>
      <c r="E159" s="161"/>
      <c r="F159" s="89"/>
      <c r="G159" s="100"/>
      <c r="H159" s="100"/>
      <c r="I159" s="102"/>
      <c r="J159" s="221"/>
    </row>
    <row r="160" spans="1:16" ht="18" customHeight="1">
      <c r="A160" s="85"/>
      <c r="B160" s="23" t="s">
        <v>203</v>
      </c>
      <c r="C160" s="24">
        <v>22</v>
      </c>
      <c r="D160" s="88">
        <v>738</v>
      </c>
      <c r="E160" s="88">
        <v>1810</v>
      </c>
      <c r="F160" s="89">
        <f t="shared" ref="F160:F161" si="115">O160</f>
        <v>0</v>
      </c>
      <c r="G160" s="90">
        <f t="shared" ref="G160:G161" si="116">D160*E160/91809*F160</f>
        <v>0</v>
      </c>
      <c r="H160" s="90">
        <f t="shared" ref="H160:H161" si="117">(D160/1000)*4*F160+(E160/1000)*4*F160</f>
        <v>0</v>
      </c>
      <c r="I160" s="91" t="str">
        <f>I157</f>
        <v>2동3라인</v>
      </c>
      <c r="J160" s="92" t="s">
        <v>219</v>
      </c>
      <c r="L160" s="89">
        <v>2</v>
      </c>
      <c r="M160" s="78">
        <f>M157</f>
        <v>5</v>
      </c>
      <c r="N160" s="84">
        <v>5</v>
      </c>
      <c r="O160" s="78">
        <f>L160*M160-N160*L160</f>
        <v>0</v>
      </c>
      <c r="P160" s="64" t="s">
        <v>281</v>
      </c>
    </row>
    <row r="161" spans="1:16" ht="18" customHeight="1">
      <c r="A161" s="85"/>
      <c r="B161" s="86"/>
      <c r="C161" s="87"/>
      <c r="D161" s="88">
        <v>250</v>
      </c>
      <c r="E161" s="88">
        <v>930</v>
      </c>
      <c r="F161" s="89">
        <f t="shared" si="115"/>
        <v>10</v>
      </c>
      <c r="G161" s="90">
        <f t="shared" si="116"/>
        <v>25.324314609678787</v>
      </c>
      <c r="H161" s="90">
        <f t="shared" si="117"/>
        <v>47.2</v>
      </c>
      <c r="I161" s="91" t="str">
        <f>I160</f>
        <v>2동3라인</v>
      </c>
      <c r="J161" s="92" t="s">
        <v>220</v>
      </c>
      <c r="L161" s="89">
        <v>2</v>
      </c>
      <c r="M161" s="78">
        <f>M160</f>
        <v>5</v>
      </c>
      <c r="N161" s="84"/>
      <c r="O161" s="78">
        <f t="shared" ref="O161" si="118">L161*M161-N161*L161</f>
        <v>10</v>
      </c>
    </row>
    <row r="162" spans="1:16" ht="18" customHeight="1">
      <c r="A162" s="85"/>
      <c r="B162" s="93"/>
      <c r="C162" s="87"/>
      <c r="D162" s="325" t="s">
        <v>0</v>
      </c>
      <c r="E162" s="325"/>
      <c r="F162" s="94">
        <f>SUM(F160:F161)</f>
        <v>10</v>
      </c>
      <c r="G162" s="95">
        <f>SUM(G160:G161)</f>
        <v>25.324314609678787</v>
      </c>
      <c r="H162" s="96">
        <f>SUM(H160:H161)</f>
        <v>47.2</v>
      </c>
      <c r="I162" s="97"/>
      <c r="J162" s="162"/>
    </row>
    <row r="163" spans="1:16" ht="18" customHeight="1" thickBot="1">
      <c r="A163" s="222"/>
      <c r="B163" s="223"/>
      <c r="C163" s="224"/>
      <c r="D163" s="225"/>
      <c r="E163" s="225"/>
      <c r="F163" s="226"/>
      <c r="G163" s="227"/>
      <c r="H163" s="228"/>
      <c r="I163" s="229"/>
      <c r="J163" s="230"/>
      <c r="L163" s="78" t="s">
        <v>48</v>
      </c>
      <c r="M163" s="78" t="s">
        <v>49</v>
      </c>
      <c r="N163" s="78" t="s">
        <v>50</v>
      </c>
      <c r="O163" s="78" t="s">
        <v>55</v>
      </c>
    </row>
    <row r="164" spans="1:16" ht="18" customHeight="1">
      <c r="A164" s="79" t="s">
        <v>234</v>
      </c>
      <c r="B164" s="231" t="s">
        <v>195</v>
      </c>
      <c r="C164" s="232">
        <v>22</v>
      </c>
      <c r="D164" s="80">
        <v>761</v>
      </c>
      <c r="E164" s="80">
        <v>1810</v>
      </c>
      <c r="F164" s="233">
        <f>O164</f>
        <v>10</v>
      </c>
      <c r="G164" s="81">
        <f t="shared" ref="G164:G170" si="119">D164*E164/91809*F164</f>
        <v>150.02995349039855</v>
      </c>
      <c r="H164" s="81">
        <f t="shared" ref="H164:H170" si="120">(D164/1000)*4*F164+(E164/1000)*4*F164</f>
        <v>102.84</v>
      </c>
      <c r="I164" s="82" t="s">
        <v>249</v>
      </c>
      <c r="J164" s="83" t="s">
        <v>205</v>
      </c>
      <c r="L164" s="89">
        <v>2</v>
      </c>
      <c r="M164" s="78">
        <v>5</v>
      </c>
      <c r="N164" s="84"/>
      <c r="O164" s="78">
        <f>L164*M164-N164*L164</f>
        <v>10</v>
      </c>
      <c r="P164" s="64"/>
    </row>
    <row r="165" spans="1:16" ht="18" customHeight="1">
      <c r="A165" s="85"/>
      <c r="B165" s="86"/>
      <c r="C165" s="87"/>
      <c r="D165" s="88">
        <v>1688</v>
      </c>
      <c r="E165" s="88">
        <v>1810</v>
      </c>
      <c r="F165" s="89">
        <f t="shared" ref="F165:F170" si="121">O165</f>
        <v>5</v>
      </c>
      <c r="G165" s="90">
        <f t="shared" si="119"/>
        <v>166.39327299066539</v>
      </c>
      <c r="H165" s="90">
        <f t="shared" si="120"/>
        <v>69.960000000000008</v>
      </c>
      <c r="I165" s="91" t="str">
        <f>I164</f>
        <v>2동4라인</v>
      </c>
      <c r="J165" s="92" t="s">
        <v>206</v>
      </c>
      <c r="L165" s="89">
        <v>1</v>
      </c>
      <c r="M165" s="78">
        <f>M164</f>
        <v>5</v>
      </c>
      <c r="N165" s="84"/>
      <c r="O165" s="78">
        <f t="shared" ref="O165:O170" si="122">L165*M165-N165*L165</f>
        <v>5</v>
      </c>
    </row>
    <row r="166" spans="1:16" ht="18" customHeight="1">
      <c r="A166" s="85"/>
      <c r="B166" s="86"/>
      <c r="C166" s="87"/>
      <c r="D166" s="88">
        <v>738</v>
      </c>
      <c r="E166" s="88">
        <v>1310</v>
      </c>
      <c r="F166" s="89">
        <f t="shared" si="121"/>
        <v>20</v>
      </c>
      <c r="G166" s="90">
        <f t="shared" si="119"/>
        <v>210.6068032545829</v>
      </c>
      <c r="H166" s="90">
        <f t="shared" si="120"/>
        <v>163.84</v>
      </c>
      <c r="I166" s="91" t="str">
        <f t="shared" ref="I166:I170" si="123">I165</f>
        <v>2동4라인</v>
      </c>
      <c r="J166" s="92" t="s">
        <v>207</v>
      </c>
      <c r="L166" s="89">
        <v>4</v>
      </c>
      <c r="M166" s="78">
        <f t="shared" ref="M166:M169" si="124">M165</f>
        <v>5</v>
      </c>
      <c r="N166" s="78"/>
      <c r="O166" s="78">
        <f t="shared" si="122"/>
        <v>20</v>
      </c>
    </row>
    <row r="167" spans="1:16" ht="18" customHeight="1">
      <c r="A167" s="85"/>
      <c r="B167" s="86"/>
      <c r="C167" s="87"/>
      <c r="D167" s="88">
        <v>288</v>
      </c>
      <c r="E167" s="88">
        <v>910</v>
      </c>
      <c r="F167" s="89">
        <f t="shared" si="121"/>
        <v>10</v>
      </c>
      <c r="G167" s="90">
        <f t="shared" si="119"/>
        <v>28.546220958729535</v>
      </c>
      <c r="H167" s="90">
        <f t="shared" si="120"/>
        <v>47.92</v>
      </c>
      <c r="I167" s="91" t="str">
        <f t="shared" si="123"/>
        <v>2동4라인</v>
      </c>
      <c r="J167" s="92" t="s">
        <v>208</v>
      </c>
      <c r="L167" s="89">
        <v>2</v>
      </c>
      <c r="M167" s="78">
        <f t="shared" si="124"/>
        <v>5</v>
      </c>
      <c r="N167" s="78"/>
      <c r="O167" s="78">
        <f t="shared" si="122"/>
        <v>10</v>
      </c>
    </row>
    <row r="168" spans="1:16" ht="18" customHeight="1">
      <c r="A168" s="85"/>
      <c r="B168" s="86"/>
      <c r="C168" s="87"/>
      <c r="D168" s="88">
        <v>228</v>
      </c>
      <c r="E168" s="88">
        <v>910</v>
      </c>
      <c r="F168" s="89">
        <f t="shared" si="121"/>
        <v>10</v>
      </c>
      <c r="G168" s="90">
        <f t="shared" si="119"/>
        <v>22.59909159232755</v>
      </c>
      <c r="H168" s="90">
        <f t="shared" si="120"/>
        <v>45.519999999999996</v>
      </c>
      <c r="I168" s="91" t="str">
        <f t="shared" si="123"/>
        <v>2동4라인</v>
      </c>
      <c r="J168" s="92" t="s">
        <v>209</v>
      </c>
      <c r="L168" s="89">
        <v>2</v>
      </c>
      <c r="M168" s="78">
        <f t="shared" si="124"/>
        <v>5</v>
      </c>
      <c r="N168" s="78"/>
      <c r="O168" s="78">
        <f t="shared" si="122"/>
        <v>10</v>
      </c>
    </row>
    <row r="169" spans="1:16" ht="18" customHeight="1">
      <c r="A169" s="85"/>
      <c r="B169" s="86"/>
      <c r="C169" s="87"/>
      <c r="D169" s="88">
        <v>438</v>
      </c>
      <c r="E169" s="88">
        <v>270</v>
      </c>
      <c r="F169" s="89">
        <f t="shared" si="121"/>
        <v>10</v>
      </c>
      <c r="G169" s="90">
        <f t="shared" si="119"/>
        <v>12.881090089206941</v>
      </c>
      <c r="H169" s="90">
        <f t="shared" si="120"/>
        <v>28.32</v>
      </c>
      <c r="I169" s="91" t="str">
        <f t="shared" si="123"/>
        <v>2동4라인</v>
      </c>
      <c r="J169" s="92" t="s">
        <v>210</v>
      </c>
      <c r="L169" s="89">
        <v>2</v>
      </c>
      <c r="M169" s="78">
        <f t="shared" si="124"/>
        <v>5</v>
      </c>
      <c r="N169" s="78"/>
      <c r="O169" s="78">
        <f t="shared" si="122"/>
        <v>10</v>
      </c>
    </row>
    <row r="170" spans="1:16" ht="18" customHeight="1">
      <c r="A170" s="85"/>
      <c r="B170" s="86"/>
      <c r="C170" s="87"/>
      <c r="D170" s="88">
        <v>208</v>
      </c>
      <c r="E170" s="88">
        <v>910</v>
      </c>
      <c r="F170" s="89">
        <f t="shared" si="121"/>
        <v>10</v>
      </c>
      <c r="G170" s="90">
        <f t="shared" si="119"/>
        <v>20.616715136860222</v>
      </c>
      <c r="H170" s="90">
        <f t="shared" si="120"/>
        <v>44.72</v>
      </c>
      <c r="I170" s="91" t="str">
        <f t="shared" si="123"/>
        <v>2동4라인</v>
      </c>
      <c r="J170" s="92" t="s">
        <v>211</v>
      </c>
      <c r="L170" s="89">
        <v>2</v>
      </c>
      <c r="M170" s="78">
        <f>M169</f>
        <v>5</v>
      </c>
      <c r="N170" s="78"/>
      <c r="O170" s="78">
        <f t="shared" si="122"/>
        <v>10</v>
      </c>
    </row>
    <row r="171" spans="1:16" ht="18" customHeight="1">
      <c r="A171" s="85"/>
      <c r="B171" s="93"/>
      <c r="C171" s="87"/>
      <c r="D171" s="325" t="s">
        <v>0</v>
      </c>
      <c r="E171" s="325"/>
      <c r="F171" s="94">
        <f>SUM(F164:F170)</f>
        <v>75</v>
      </c>
      <c r="G171" s="95">
        <f>SUM(G164:G170)</f>
        <v>611.67314751277115</v>
      </c>
      <c r="H171" s="96">
        <f>SUM(H164:H170)</f>
        <v>503.12</v>
      </c>
      <c r="I171" s="97"/>
      <c r="J171" s="162"/>
    </row>
    <row r="172" spans="1:16" ht="18" customHeight="1">
      <c r="A172" s="85"/>
      <c r="B172" s="93"/>
      <c r="C172" s="87"/>
      <c r="D172" s="161"/>
      <c r="E172" s="161"/>
      <c r="F172" s="89"/>
      <c r="G172" s="100"/>
      <c r="H172" s="101"/>
      <c r="I172" s="102"/>
      <c r="J172" s="121"/>
      <c r="L172" s="78" t="s">
        <v>48</v>
      </c>
      <c r="M172" s="78" t="s">
        <v>54</v>
      </c>
      <c r="N172" s="78" t="s">
        <v>50</v>
      </c>
      <c r="O172" s="78" t="s">
        <v>55</v>
      </c>
    </row>
    <row r="173" spans="1:16" ht="18" customHeight="1">
      <c r="A173" s="85"/>
      <c r="B173" s="23" t="s">
        <v>197</v>
      </c>
      <c r="C173" s="24">
        <v>22</v>
      </c>
      <c r="D173" s="88">
        <v>761</v>
      </c>
      <c r="E173" s="88">
        <v>1810</v>
      </c>
      <c r="F173" s="89">
        <f t="shared" ref="F173:F179" si="125">O173</f>
        <v>10</v>
      </c>
      <c r="G173" s="90">
        <f t="shared" ref="G173:G179" si="126">D173*E173/91809*F173</f>
        <v>150.02995349039855</v>
      </c>
      <c r="H173" s="90">
        <f t="shared" ref="H173:H179" si="127">(D173/1000)*4*F173+(E173/1000)*4*F173</f>
        <v>102.84</v>
      </c>
      <c r="I173" s="91" t="str">
        <f t="shared" ref="I173:I179" si="128">I164</f>
        <v>2동4라인</v>
      </c>
      <c r="J173" s="92" t="s">
        <v>212</v>
      </c>
      <c r="L173" s="89">
        <v>2</v>
      </c>
      <c r="M173" s="78">
        <f>M164</f>
        <v>5</v>
      </c>
      <c r="N173" s="84"/>
      <c r="O173" s="78">
        <f>L173*M173-N173*L173</f>
        <v>10</v>
      </c>
    </row>
    <row r="174" spans="1:16" ht="18" customHeight="1">
      <c r="A174" s="85"/>
      <c r="B174" s="86"/>
      <c r="C174" s="87"/>
      <c r="D174" s="88">
        <v>1688</v>
      </c>
      <c r="E174" s="88">
        <v>1810</v>
      </c>
      <c r="F174" s="89">
        <f t="shared" si="125"/>
        <v>5</v>
      </c>
      <c r="G174" s="90">
        <f t="shared" si="126"/>
        <v>166.39327299066539</v>
      </c>
      <c r="H174" s="90">
        <f t="shared" si="127"/>
        <v>69.960000000000008</v>
      </c>
      <c r="I174" s="91" t="str">
        <f t="shared" si="128"/>
        <v>2동4라인</v>
      </c>
      <c r="J174" s="92" t="s">
        <v>213</v>
      </c>
      <c r="L174" s="89">
        <v>1</v>
      </c>
      <c r="M174" s="78">
        <f>M173</f>
        <v>5</v>
      </c>
      <c r="N174" s="84"/>
      <c r="O174" s="78">
        <f>L174*M174-N174*L174</f>
        <v>5</v>
      </c>
    </row>
    <row r="175" spans="1:16" ht="18" customHeight="1">
      <c r="A175" s="104"/>
      <c r="B175" s="93"/>
      <c r="C175" s="87"/>
      <c r="D175" s="88">
        <v>738</v>
      </c>
      <c r="E175" s="88">
        <v>1310</v>
      </c>
      <c r="F175" s="89">
        <f t="shared" si="125"/>
        <v>20</v>
      </c>
      <c r="G175" s="90">
        <f t="shared" si="126"/>
        <v>210.6068032545829</v>
      </c>
      <c r="H175" s="90">
        <f t="shared" si="127"/>
        <v>163.84</v>
      </c>
      <c r="I175" s="91" t="str">
        <f t="shared" si="128"/>
        <v>2동4라인</v>
      </c>
      <c r="J175" s="92" t="s">
        <v>214</v>
      </c>
      <c r="L175" s="89">
        <v>4</v>
      </c>
      <c r="M175" s="78">
        <f t="shared" ref="M175:M179" si="129">M174</f>
        <v>5</v>
      </c>
      <c r="N175" s="84"/>
      <c r="O175" s="78">
        <f t="shared" ref="O175:O179" si="130">L175*M175-N175*L175</f>
        <v>20</v>
      </c>
    </row>
    <row r="176" spans="1:16" ht="18" customHeight="1">
      <c r="A176" s="104"/>
      <c r="B176" s="93"/>
      <c r="C176" s="87"/>
      <c r="D176" s="88">
        <v>288</v>
      </c>
      <c r="E176" s="88">
        <v>910</v>
      </c>
      <c r="F176" s="89">
        <f t="shared" si="125"/>
        <v>10</v>
      </c>
      <c r="G176" s="90">
        <f t="shared" si="126"/>
        <v>28.546220958729535</v>
      </c>
      <c r="H176" s="90">
        <f t="shared" si="127"/>
        <v>47.92</v>
      </c>
      <c r="I176" s="91" t="str">
        <f t="shared" si="128"/>
        <v>2동4라인</v>
      </c>
      <c r="J176" s="92" t="s">
        <v>215</v>
      </c>
      <c r="L176" s="89">
        <v>2</v>
      </c>
      <c r="M176" s="78">
        <f t="shared" si="129"/>
        <v>5</v>
      </c>
      <c r="N176" s="78"/>
      <c r="O176" s="78">
        <f t="shared" si="130"/>
        <v>10</v>
      </c>
    </row>
    <row r="177" spans="1:16" ht="18" customHeight="1">
      <c r="A177" s="104"/>
      <c r="B177" s="93"/>
      <c r="C177" s="87"/>
      <c r="D177" s="88">
        <v>228</v>
      </c>
      <c r="E177" s="88">
        <v>910</v>
      </c>
      <c r="F177" s="89">
        <f t="shared" si="125"/>
        <v>10</v>
      </c>
      <c r="G177" s="90">
        <f t="shared" si="126"/>
        <v>22.59909159232755</v>
      </c>
      <c r="H177" s="90">
        <f t="shared" si="127"/>
        <v>45.519999999999996</v>
      </c>
      <c r="I177" s="91" t="str">
        <f t="shared" si="128"/>
        <v>2동4라인</v>
      </c>
      <c r="J177" s="92" t="s">
        <v>216</v>
      </c>
      <c r="L177" s="89">
        <v>2</v>
      </c>
      <c r="M177" s="78">
        <f t="shared" si="129"/>
        <v>5</v>
      </c>
      <c r="N177" s="78"/>
      <c r="O177" s="78">
        <f t="shared" si="130"/>
        <v>10</v>
      </c>
    </row>
    <row r="178" spans="1:16" ht="18" customHeight="1">
      <c r="A178" s="104"/>
      <c r="B178" s="93"/>
      <c r="C178" s="87"/>
      <c r="D178" s="88">
        <v>438</v>
      </c>
      <c r="E178" s="88">
        <v>270</v>
      </c>
      <c r="F178" s="89">
        <f t="shared" si="125"/>
        <v>10</v>
      </c>
      <c r="G178" s="90">
        <f t="shared" si="126"/>
        <v>12.881090089206941</v>
      </c>
      <c r="H178" s="90">
        <f t="shared" si="127"/>
        <v>28.32</v>
      </c>
      <c r="I178" s="91" t="str">
        <f t="shared" si="128"/>
        <v>2동4라인</v>
      </c>
      <c r="J178" s="92" t="s">
        <v>217</v>
      </c>
      <c r="L178" s="89">
        <v>2</v>
      </c>
      <c r="M178" s="78">
        <f t="shared" si="129"/>
        <v>5</v>
      </c>
      <c r="N178" s="78"/>
      <c r="O178" s="78">
        <f t="shared" si="130"/>
        <v>10</v>
      </c>
    </row>
    <row r="179" spans="1:16" ht="18" customHeight="1">
      <c r="A179" s="104"/>
      <c r="B179" s="93"/>
      <c r="C179" s="87"/>
      <c r="D179" s="88">
        <v>208</v>
      </c>
      <c r="E179" s="88">
        <v>910</v>
      </c>
      <c r="F179" s="89">
        <f t="shared" si="125"/>
        <v>10</v>
      </c>
      <c r="G179" s="90">
        <f t="shared" si="126"/>
        <v>20.616715136860222</v>
      </c>
      <c r="H179" s="90">
        <f t="shared" si="127"/>
        <v>44.72</v>
      </c>
      <c r="I179" s="91" t="str">
        <f t="shared" si="128"/>
        <v>2동4라인</v>
      </c>
      <c r="J179" s="92" t="s">
        <v>218</v>
      </c>
      <c r="L179" s="89">
        <v>2</v>
      </c>
      <c r="M179" s="78">
        <f t="shared" si="129"/>
        <v>5</v>
      </c>
      <c r="N179" s="78"/>
      <c r="O179" s="78">
        <f t="shared" si="130"/>
        <v>10</v>
      </c>
    </row>
    <row r="180" spans="1:16" ht="18" customHeight="1">
      <c r="A180" s="104"/>
      <c r="B180" s="87"/>
      <c r="C180" s="87"/>
      <c r="D180" s="325" t="s">
        <v>0</v>
      </c>
      <c r="E180" s="325"/>
      <c r="F180" s="171">
        <f>SUM(F173:F179)</f>
        <v>75</v>
      </c>
      <c r="G180" s="95">
        <f>SUM(G173:G179)</f>
        <v>611.67314751277115</v>
      </c>
      <c r="H180" s="95">
        <f>SUM(H173:H179)</f>
        <v>503.12</v>
      </c>
      <c r="I180" s="97"/>
      <c r="J180" s="98"/>
    </row>
    <row r="181" spans="1:16">
      <c r="A181" s="105"/>
      <c r="B181" s="9"/>
      <c r="C181" s="9"/>
      <c r="D181" s="51"/>
      <c r="E181" s="51"/>
      <c r="F181" s="51"/>
      <c r="G181" s="106"/>
      <c r="H181" s="106"/>
      <c r="I181" s="9"/>
      <c r="J181" s="107"/>
    </row>
    <row r="182" spans="1:16" ht="18" customHeight="1">
      <c r="A182" s="85"/>
      <c r="B182" s="163" t="s">
        <v>199</v>
      </c>
      <c r="C182" s="163">
        <v>22</v>
      </c>
      <c r="D182" s="88">
        <v>738</v>
      </c>
      <c r="E182" s="88">
        <v>1810</v>
      </c>
      <c r="F182" s="89">
        <f t="shared" ref="F182:F183" si="131">O182</f>
        <v>10</v>
      </c>
      <c r="G182" s="90">
        <f t="shared" ref="G182:G183" si="132">D182*E182/91809*F182</f>
        <v>145.4955396529752</v>
      </c>
      <c r="H182" s="90">
        <f t="shared" ref="H182:H183" si="133">(D182/1000)*4*F182+(E182/1000)*4*F182</f>
        <v>101.92</v>
      </c>
      <c r="I182" s="91" t="str">
        <f>I173</f>
        <v>2동4라인</v>
      </c>
      <c r="J182" s="92" t="s">
        <v>219</v>
      </c>
      <c r="L182" s="89">
        <v>2</v>
      </c>
      <c r="M182" s="78">
        <f>M164</f>
        <v>5</v>
      </c>
      <c r="N182" s="84"/>
      <c r="O182" s="78">
        <f>L182*M182-N182*L182</f>
        <v>10</v>
      </c>
      <c r="P182" s="64"/>
    </row>
    <row r="183" spans="1:16" ht="18" customHeight="1">
      <c r="A183" s="85"/>
      <c r="B183" s="86"/>
      <c r="C183" s="87"/>
      <c r="D183" s="88">
        <v>250</v>
      </c>
      <c r="E183" s="88">
        <v>930</v>
      </c>
      <c r="F183" s="89">
        <f t="shared" si="131"/>
        <v>10</v>
      </c>
      <c r="G183" s="90">
        <f t="shared" si="132"/>
        <v>25.324314609678787</v>
      </c>
      <c r="H183" s="90">
        <f t="shared" si="133"/>
        <v>47.2</v>
      </c>
      <c r="I183" s="91" t="str">
        <f>I182</f>
        <v>2동4라인</v>
      </c>
      <c r="J183" s="92" t="s">
        <v>220</v>
      </c>
      <c r="L183" s="89">
        <v>2</v>
      </c>
      <c r="M183" s="78">
        <f>M182</f>
        <v>5</v>
      </c>
      <c r="N183" s="84"/>
      <c r="O183" s="78">
        <f t="shared" ref="O183" si="134">L183*M183-N183*L183</f>
        <v>10</v>
      </c>
    </row>
    <row r="184" spans="1:16" ht="18" customHeight="1">
      <c r="A184" s="85"/>
      <c r="B184" s="93"/>
      <c r="C184" s="87"/>
      <c r="D184" s="325" t="s">
        <v>0</v>
      </c>
      <c r="E184" s="325"/>
      <c r="F184" s="94">
        <f>SUM(F182:F183)</f>
        <v>20</v>
      </c>
      <c r="G184" s="95">
        <f>SUM(G182:G183)</f>
        <v>170.81985426265399</v>
      </c>
      <c r="H184" s="95">
        <f>SUM(H182:H183)</f>
        <v>149.12</v>
      </c>
      <c r="I184" s="97"/>
      <c r="J184" s="98"/>
    </row>
    <row r="185" spans="1:16" ht="18" customHeight="1">
      <c r="A185" s="108"/>
      <c r="B185" s="164"/>
      <c r="C185" s="109"/>
      <c r="D185" s="363"/>
      <c r="E185" s="363"/>
      <c r="F185" s="110"/>
      <c r="G185" s="111"/>
      <c r="H185" s="234"/>
      <c r="I185" s="112"/>
      <c r="J185" s="235"/>
    </row>
    <row r="186" spans="1:16" ht="18" customHeight="1">
      <c r="A186" s="262" t="s">
        <v>234</v>
      </c>
      <c r="B186" s="263" t="s">
        <v>195</v>
      </c>
      <c r="C186" s="264">
        <v>22</v>
      </c>
      <c r="D186" s="265">
        <v>761</v>
      </c>
      <c r="E186" s="265">
        <v>1810</v>
      </c>
      <c r="F186" s="251">
        <f>O186</f>
        <v>20</v>
      </c>
      <c r="G186" s="266">
        <f t="shared" ref="G186:G192" si="135">D186*E186/91809*F186</f>
        <v>300.05990698079711</v>
      </c>
      <c r="H186" s="266">
        <f t="shared" ref="H186:H192" si="136">(D186/1000)*4*F186+(E186/1000)*4*F186</f>
        <v>205.68</v>
      </c>
      <c r="I186" s="267" t="s">
        <v>250</v>
      </c>
      <c r="J186" s="268" t="s">
        <v>205</v>
      </c>
      <c r="L186" s="89">
        <v>2</v>
      </c>
      <c r="M186" s="78">
        <v>10</v>
      </c>
      <c r="N186" s="84"/>
      <c r="O186" s="78">
        <f>L186*M186-N186*L186</f>
        <v>20</v>
      </c>
      <c r="P186" s="64"/>
    </row>
    <row r="187" spans="1:16" ht="18" customHeight="1">
      <c r="A187" s="85"/>
      <c r="B187" s="86"/>
      <c r="C187" s="87"/>
      <c r="D187" s="88">
        <v>1688</v>
      </c>
      <c r="E187" s="88">
        <v>1810</v>
      </c>
      <c r="F187" s="89">
        <f t="shared" ref="F187:F192" si="137">O187</f>
        <v>10</v>
      </c>
      <c r="G187" s="90">
        <f t="shared" si="135"/>
        <v>332.78654598133079</v>
      </c>
      <c r="H187" s="90">
        <f t="shared" si="136"/>
        <v>139.92000000000002</v>
      </c>
      <c r="I187" s="91" t="str">
        <f>I186</f>
        <v>2동5,6라인</v>
      </c>
      <c r="J187" s="92" t="s">
        <v>206</v>
      </c>
      <c r="L187" s="89">
        <v>1</v>
      </c>
      <c r="M187" s="78">
        <f>M186</f>
        <v>10</v>
      </c>
      <c r="N187" s="84"/>
      <c r="O187" s="78">
        <f t="shared" ref="O187:O192" si="138">L187*M187-N187*L187</f>
        <v>10</v>
      </c>
    </row>
    <row r="188" spans="1:16" ht="18" customHeight="1">
      <c r="A188" s="85"/>
      <c r="B188" s="86"/>
      <c r="C188" s="87"/>
      <c r="D188" s="88">
        <v>738</v>
      </c>
      <c r="E188" s="88">
        <v>1310</v>
      </c>
      <c r="F188" s="89">
        <f t="shared" si="137"/>
        <v>40</v>
      </c>
      <c r="G188" s="90">
        <f t="shared" si="135"/>
        <v>421.2136065091658</v>
      </c>
      <c r="H188" s="90">
        <f t="shared" si="136"/>
        <v>327.68</v>
      </c>
      <c r="I188" s="91" t="str">
        <f t="shared" ref="I188:I192" si="139">I187</f>
        <v>2동5,6라인</v>
      </c>
      <c r="J188" s="92" t="s">
        <v>207</v>
      </c>
      <c r="L188" s="89">
        <v>4</v>
      </c>
      <c r="M188" s="78">
        <f t="shared" ref="M188:M191" si="140">M187</f>
        <v>10</v>
      </c>
      <c r="N188" s="78"/>
      <c r="O188" s="78">
        <f t="shared" si="138"/>
        <v>40</v>
      </c>
    </row>
    <row r="189" spans="1:16" ht="18" customHeight="1">
      <c r="A189" s="85"/>
      <c r="B189" s="86"/>
      <c r="C189" s="87"/>
      <c r="D189" s="88">
        <v>288</v>
      </c>
      <c r="E189" s="88">
        <v>910</v>
      </c>
      <c r="F189" s="89">
        <f t="shared" si="137"/>
        <v>20</v>
      </c>
      <c r="G189" s="90">
        <f t="shared" si="135"/>
        <v>57.09244191745907</v>
      </c>
      <c r="H189" s="90">
        <f t="shared" si="136"/>
        <v>95.84</v>
      </c>
      <c r="I189" s="91" t="str">
        <f t="shared" si="139"/>
        <v>2동5,6라인</v>
      </c>
      <c r="J189" s="92" t="s">
        <v>208</v>
      </c>
      <c r="L189" s="89">
        <v>2</v>
      </c>
      <c r="M189" s="78">
        <f t="shared" si="140"/>
        <v>10</v>
      </c>
      <c r="N189" s="78"/>
      <c r="O189" s="78">
        <f t="shared" si="138"/>
        <v>20</v>
      </c>
    </row>
    <row r="190" spans="1:16" ht="18" customHeight="1">
      <c r="A190" s="85"/>
      <c r="B190" s="86"/>
      <c r="C190" s="87"/>
      <c r="D190" s="88">
        <v>228</v>
      </c>
      <c r="E190" s="88">
        <v>910</v>
      </c>
      <c r="F190" s="89">
        <f t="shared" si="137"/>
        <v>20</v>
      </c>
      <c r="G190" s="90">
        <f t="shared" si="135"/>
        <v>45.1981831846551</v>
      </c>
      <c r="H190" s="90">
        <f t="shared" si="136"/>
        <v>91.039999999999992</v>
      </c>
      <c r="I190" s="91" t="str">
        <f t="shared" si="139"/>
        <v>2동5,6라인</v>
      </c>
      <c r="J190" s="92" t="s">
        <v>209</v>
      </c>
      <c r="L190" s="89">
        <v>2</v>
      </c>
      <c r="M190" s="78">
        <f t="shared" si="140"/>
        <v>10</v>
      </c>
      <c r="N190" s="78"/>
      <c r="O190" s="78">
        <f t="shared" si="138"/>
        <v>20</v>
      </c>
    </row>
    <row r="191" spans="1:16" ht="18" customHeight="1">
      <c r="A191" s="85"/>
      <c r="B191" s="86"/>
      <c r="C191" s="87"/>
      <c r="D191" s="88">
        <v>438</v>
      </c>
      <c r="E191" s="88">
        <v>270</v>
      </c>
      <c r="F191" s="89">
        <f t="shared" si="137"/>
        <v>20</v>
      </c>
      <c r="G191" s="90">
        <f t="shared" si="135"/>
        <v>25.762180178413882</v>
      </c>
      <c r="H191" s="90">
        <f t="shared" si="136"/>
        <v>56.64</v>
      </c>
      <c r="I191" s="91" t="str">
        <f t="shared" si="139"/>
        <v>2동5,6라인</v>
      </c>
      <c r="J191" s="92" t="s">
        <v>210</v>
      </c>
      <c r="L191" s="89">
        <v>2</v>
      </c>
      <c r="M191" s="78">
        <f t="shared" si="140"/>
        <v>10</v>
      </c>
      <c r="N191" s="78"/>
      <c r="O191" s="78">
        <f t="shared" si="138"/>
        <v>20</v>
      </c>
    </row>
    <row r="192" spans="1:16" ht="18" customHeight="1">
      <c r="A192" s="85"/>
      <c r="B192" s="86"/>
      <c r="C192" s="87"/>
      <c r="D192" s="88">
        <v>208</v>
      </c>
      <c r="E192" s="88">
        <v>910</v>
      </c>
      <c r="F192" s="89">
        <f t="shared" si="137"/>
        <v>20</v>
      </c>
      <c r="G192" s="90">
        <f t="shared" si="135"/>
        <v>41.233430273720444</v>
      </c>
      <c r="H192" s="90">
        <f t="shared" si="136"/>
        <v>89.44</v>
      </c>
      <c r="I192" s="91" t="str">
        <f t="shared" si="139"/>
        <v>2동5,6라인</v>
      </c>
      <c r="J192" s="92" t="s">
        <v>211</v>
      </c>
      <c r="L192" s="89">
        <v>2</v>
      </c>
      <c r="M192" s="78">
        <f>M191</f>
        <v>10</v>
      </c>
      <c r="N192" s="78"/>
      <c r="O192" s="78">
        <f t="shared" si="138"/>
        <v>20</v>
      </c>
    </row>
    <row r="193" spans="1:16" ht="18" customHeight="1">
      <c r="A193" s="85"/>
      <c r="B193" s="93"/>
      <c r="C193" s="87"/>
      <c r="D193" s="325" t="s">
        <v>0</v>
      </c>
      <c r="E193" s="325"/>
      <c r="F193" s="94">
        <f>SUM(F186:F192)</f>
        <v>150</v>
      </c>
      <c r="G193" s="95">
        <f>SUM(G186:G192)</f>
        <v>1223.3462950255423</v>
      </c>
      <c r="H193" s="96">
        <f>SUM(H186:H192)</f>
        <v>1006.24</v>
      </c>
      <c r="I193" s="97"/>
      <c r="J193" s="162"/>
    </row>
    <row r="194" spans="1:16" ht="18" customHeight="1">
      <c r="A194" s="85"/>
      <c r="B194" s="93"/>
      <c r="C194" s="87"/>
      <c r="D194" s="161"/>
      <c r="E194" s="161"/>
      <c r="F194" s="89"/>
      <c r="G194" s="100"/>
      <c r="H194" s="101"/>
      <c r="I194" s="102"/>
      <c r="J194" s="121"/>
      <c r="L194" s="78" t="s">
        <v>48</v>
      </c>
      <c r="M194" s="78" t="s">
        <v>54</v>
      </c>
      <c r="N194" s="78" t="s">
        <v>50</v>
      </c>
      <c r="O194" s="78" t="s">
        <v>55</v>
      </c>
    </row>
    <row r="195" spans="1:16" ht="18" customHeight="1">
      <c r="A195" s="85"/>
      <c r="B195" s="23" t="s">
        <v>197</v>
      </c>
      <c r="C195" s="24">
        <v>22</v>
      </c>
      <c r="D195" s="88">
        <v>761</v>
      </c>
      <c r="E195" s="88">
        <v>1810</v>
      </c>
      <c r="F195" s="89">
        <f t="shared" ref="F195:F201" si="141">O195</f>
        <v>20</v>
      </c>
      <c r="G195" s="90">
        <f t="shared" ref="G195:G201" si="142">D195*E195/91809*F195</f>
        <v>300.05990698079711</v>
      </c>
      <c r="H195" s="90">
        <f t="shared" ref="H195:H201" si="143">(D195/1000)*4*F195+(E195/1000)*4*F195</f>
        <v>205.68</v>
      </c>
      <c r="I195" s="91" t="str">
        <f t="shared" ref="I195:I201" si="144">I186</f>
        <v>2동5,6라인</v>
      </c>
      <c r="J195" s="92" t="s">
        <v>212</v>
      </c>
      <c r="L195" s="89">
        <v>2</v>
      </c>
      <c r="M195" s="78">
        <f>M186</f>
        <v>10</v>
      </c>
      <c r="N195" s="84"/>
      <c r="O195" s="78">
        <f>L195*M195-N195*L195</f>
        <v>20</v>
      </c>
    </row>
    <row r="196" spans="1:16" ht="18" customHeight="1">
      <c r="A196" s="85"/>
      <c r="B196" s="86"/>
      <c r="C196" s="87"/>
      <c r="D196" s="88">
        <v>1688</v>
      </c>
      <c r="E196" s="88">
        <v>1810</v>
      </c>
      <c r="F196" s="89">
        <f t="shared" si="141"/>
        <v>10</v>
      </c>
      <c r="G196" s="90">
        <f t="shared" si="142"/>
        <v>332.78654598133079</v>
      </c>
      <c r="H196" s="90">
        <f t="shared" si="143"/>
        <v>139.92000000000002</v>
      </c>
      <c r="I196" s="91" t="str">
        <f t="shared" si="144"/>
        <v>2동5,6라인</v>
      </c>
      <c r="J196" s="92" t="s">
        <v>213</v>
      </c>
      <c r="L196" s="89">
        <v>1</v>
      </c>
      <c r="M196" s="78">
        <f>M195</f>
        <v>10</v>
      </c>
      <c r="N196" s="84"/>
      <c r="O196" s="78">
        <f>L196*M196-N196*L196</f>
        <v>10</v>
      </c>
    </row>
    <row r="197" spans="1:16" ht="18" customHeight="1">
      <c r="A197" s="104"/>
      <c r="B197" s="93"/>
      <c r="C197" s="87"/>
      <c r="D197" s="88">
        <v>738</v>
      </c>
      <c r="E197" s="88">
        <v>1310</v>
      </c>
      <c r="F197" s="89">
        <f t="shared" si="141"/>
        <v>40</v>
      </c>
      <c r="G197" s="90">
        <f t="shared" si="142"/>
        <v>421.2136065091658</v>
      </c>
      <c r="H197" s="90">
        <f t="shared" si="143"/>
        <v>327.68</v>
      </c>
      <c r="I197" s="91" t="str">
        <f t="shared" si="144"/>
        <v>2동5,6라인</v>
      </c>
      <c r="J197" s="92" t="s">
        <v>214</v>
      </c>
      <c r="L197" s="89">
        <v>4</v>
      </c>
      <c r="M197" s="78">
        <f t="shared" ref="M197:M201" si="145">M196</f>
        <v>10</v>
      </c>
      <c r="N197" s="84"/>
      <c r="O197" s="78">
        <f t="shared" ref="O197:O201" si="146">L197*M197-N197*L197</f>
        <v>40</v>
      </c>
    </row>
    <row r="198" spans="1:16" ht="18" customHeight="1">
      <c r="A198" s="104"/>
      <c r="B198" s="93"/>
      <c r="C198" s="87"/>
      <c r="D198" s="88">
        <v>288</v>
      </c>
      <c r="E198" s="88">
        <v>910</v>
      </c>
      <c r="F198" s="89">
        <f t="shared" si="141"/>
        <v>20</v>
      </c>
      <c r="G198" s="90">
        <f t="shared" si="142"/>
        <v>57.09244191745907</v>
      </c>
      <c r="H198" s="90">
        <f t="shared" si="143"/>
        <v>95.84</v>
      </c>
      <c r="I198" s="91" t="str">
        <f t="shared" si="144"/>
        <v>2동5,6라인</v>
      </c>
      <c r="J198" s="92" t="s">
        <v>215</v>
      </c>
      <c r="L198" s="89">
        <v>2</v>
      </c>
      <c r="M198" s="78">
        <f t="shared" si="145"/>
        <v>10</v>
      </c>
      <c r="N198" s="78"/>
      <c r="O198" s="78">
        <f t="shared" si="146"/>
        <v>20</v>
      </c>
    </row>
    <row r="199" spans="1:16" ht="18" customHeight="1">
      <c r="A199" s="104"/>
      <c r="B199" s="93"/>
      <c r="C199" s="87"/>
      <c r="D199" s="88">
        <v>228</v>
      </c>
      <c r="E199" s="88">
        <v>910</v>
      </c>
      <c r="F199" s="89">
        <f t="shared" si="141"/>
        <v>20</v>
      </c>
      <c r="G199" s="90">
        <f t="shared" si="142"/>
        <v>45.1981831846551</v>
      </c>
      <c r="H199" s="90">
        <f t="shared" si="143"/>
        <v>91.039999999999992</v>
      </c>
      <c r="I199" s="91" t="str">
        <f t="shared" si="144"/>
        <v>2동5,6라인</v>
      </c>
      <c r="J199" s="92" t="s">
        <v>216</v>
      </c>
      <c r="L199" s="89">
        <v>2</v>
      </c>
      <c r="M199" s="78">
        <f t="shared" si="145"/>
        <v>10</v>
      </c>
      <c r="N199" s="78"/>
      <c r="O199" s="78">
        <f t="shared" si="146"/>
        <v>20</v>
      </c>
    </row>
    <row r="200" spans="1:16" ht="18" customHeight="1">
      <c r="A200" s="104"/>
      <c r="B200" s="93"/>
      <c r="C200" s="87"/>
      <c r="D200" s="88">
        <v>438</v>
      </c>
      <c r="E200" s="88">
        <v>270</v>
      </c>
      <c r="F200" s="89">
        <f t="shared" si="141"/>
        <v>20</v>
      </c>
      <c r="G200" s="90">
        <f t="shared" si="142"/>
        <v>25.762180178413882</v>
      </c>
      <c r="H200" s="90">
        <f t="shared" si="143"/>
        <v>56.64</v>
      </c>
      <c r="I200" s="91" t="str">
        <f t="shared" si="144"/>
        <v>2동5,6라인</v>
      </c>
      <c r="J200" s="92" t="s">
        <v>217</v>
      </c>
      <c r="L200" s="89">
        <v>2</v>
      </c>
      <c r="M200" s="78">
        <f t="shared" si="145"/>
        <v>10</v>
      </c>
      <c r="N200" s="78"/>
      <c r="O200" s="78">
        <f t="shared" si="146"/>
        <v>20</v>
      </c>
    </row>
    <row r="201" spans="1:16" ht="18" customHeight="1">
      <c r="A201" s="104"/>
      <c r="B201" s="93"/>
      <c r="C201" s="87"/>
      <c r="D201" s="88">
        <v>208</v>
      </c>
      <c r="E201" s="88">
        <v>910</v>
      </c>
      <c r="F201" s="89">
        <f t="shared" si="141"/>
        <v>20</v>
      </c>
      <c r="G201" s="90">
        <f t="shared" si="142"/>
        <v>41.233430273720444</v>
      </c>
      <c r="H201" s="90">
        <f t="shared" si="143"/>
        <v>89.44</v>
      </c>
      <c r="I201" s="91" t="str">
        <f t="shared" si="144"/>
        <v>2동5,6라인</v>
      </c>
      <c r="J201" s="92" t="s">
        <v>218</v>
      </c>
      <c r="L201" s="89">
        <v>2</v>
      </c>
      <c r="M201" s="78">
        <f t="shared" si="145"/>
        <v>10</v>
      </c>
      <c r="N201" s="78"/>
      <c r="O201" s="78">
        <f t="shared" si="146"/>
        <v>20</v>
      </c>
    </row>
    <row r="202" spans="1:16" ht="18" customHeight="1">
      <c r="A202" s="104"/>
      <c r="B202" s="87"/>
      <c r="C202" s="87"/>
      <c r="D202" s="325" t="s">
        <v>0</v>
      </c>
      <c r="E202" s="325"/>
      <c r="F202" s="171">
        <f>SUM(F195:F201)</f>
        <v>150</v>
      </c>
      <c r="G202" s="95">
        <f>SUM(G195:G201)</f>
        <v>1223.3462950255423</v>
      </c>
      <c r="H202" s="95">
        <f>SUM(H195:H201)</f>
        <v>1006.24</v>
      </c>
      <c r="I202" s="97"/>
      <c r="J202" s="98"/>
    </row>
    <row r="203" spans="1:16">
      <c r="A203" s="105"/>
      <c r="B203" s="9"/>
      <c r="C203" s="9"/>
      <c r="D203" s="51"/>
      <c r="E203" s="51"/>
      <c r="F203" s="51"/>
      <c r="G203" s="106"/>
      <c r="H203" s="106"/>
      <c r="I203" s="9"/>
      <c r="J203" s="107"/>
    </row>
    <row r="204" spans="1:16" ht="18" customHeight="1">
      <c r="A204" s="85"/>
      <c r="B204" s="163" t="s">
        <v>199</v>
      </c>
      <c r="C204" s="163">
        <v>22</v>
      </c>
      <c r="D204" s="88">
        <v>738</v>
      </c>
      <c r="E204" s="88">
        <v>1810</v>
      </c>
      <c r="F204" s="89">
        <f t="shared" ref="F204:F205" si="147">O204</f>
        <v>20</v>
      </c>
      <c r="G204" s="90">
        <f t="shared" ref="G204:G205" si="148">D204*E204/91809*F204</f>
        <v>290.99107930595039</v>
      </c>
      <c r="H204" s="90">
        <f t="shared" ref="H204:H205" si="149">(D204/1000)*4*F204+(E204/1000)*4*F204</f>
        <v>203.84</v>
      </c>
      <c r="I204" s="91" t="str">
        <f>I195</f>
        <v>2동5,6라인</v>
      </c>
      <c r="J204" s="92" t="s">
        <v>219</v>
      </c>
      <c r="L204" s="89">
        <v>2</v>
      </c>
      <c r="M204" s="78">
        <f>M186</f>
        <v>10</v>
      </c>
      <c r="N204" s="84"/>
      <c r="O204" s="78">
        <f>L204*M204-N204*L204</f>
        <v>20</v>
      </c>
      <c r="P204" s="64"/>
    </row>
    <row r="205" spans="1:16" ht="18" customHeight="1">
      <c r="A205" s="85"/>
      <c r="B205" s="86"/>
      <c r="C205" s="87"/>
      <c r="D205" s="88">
        <v>250</v>
      </c>
      <c r="E205" s="88">
        <v>930</v>
      </c>
      <c r="F205" s="89">
        <f t="shared" si="147"/>
        <v>20</v>
      </c>
      <c r="G205" s="90">
        <f t="shared" si="148"/>
        <v>50.648629219357574</v>
      </c>
      <c r="H205" s="90">
        <f t="shared" si="149"/>
        <v>94.4</v>
      </c>
      <c r="I205" s="91" t="str">
        <f>I204</f>
        <v>2동5,6라인</v>
      </c>
      <c r="J205" s="92" t="s">
        <v>220</v>
      </c>
      <c r="L205" s="89">
        <v>2</v>
      </c>
      <c r="M205" s="78">
        <f>M204</f>
        <v>10</v>
      </c>
      <c r="N205" s="84"/>
      <c r="O205" s="78">
        <f t="shared" ref="O205" si="150">L205*M205-N205*L205</f>
        <v>20</v>
      </c>
    </row>
    <row r="206" spans="1:16" ht="18" customHeight="1">
      <c r="A206" s="85"/>
      <c r="B206" s="93"/>
      <c r="C206" s="87"/>
      <c r="D206" s="325" t="s">
        <v>0</v>
      </c>
      <c r="E206" s="325"/>
      <c r="F206" s="94">
        <f>SUM(F204:F205)</f>
        <v>40</v>
      </c>
      <c r="G206" s="95">
        <f>SUM(G204:G205)</f>
        <v>341.63970852530798</v>
      </c>
      <c r="H206" s="95">
        <f>SUM(H204:H205)</f>
        <v>298.24</v>
      </c>
      <c r="I206" s="97"/>
      <c r="J206" s="98"/>
    </row>
    <row r="207" spans="1:16" ht="18" customHeight="1">
      <c r="A207" s="253"/>
      <c r="B207" s="254"/>
      <c r="C207" s="255"/>
      <c r="D207" s="361"/>
      <c r="E207" s="361"/>
      <c r="F207" s="256"/>
      <c r="G207" s="257"/>
      <c r="H207" s="258"/>
      <c r="I207" s="259"/>
      <c r="J207" s="260"/>
      <c r="L207" s="250"/>
      <c r="M207" s="250"/>
      <c r="N207" s="250"/>
      <c r="O207" s="250"/>
    </row>
    <row r="208" spans="1:16" ht="18" customHeight="1">
      <c r="A208" s="85">
        <v>74</v>
      </c>
      <c r="B208" s="23" t="s">
        <v>201</v>
      </c>
      <c r="C208" s="24">
        <v>22</v>
      </c>
      <c r="D208" s="88">
        <v>861</v>
      </c>
      <c r="E208" s="88">
        <v>1810</v>
      </c>
      <c r="F208" s="89">
        <f t="shared" ref="F208:F212" si="151">O208</f>
        <v>10</v>
      </c>
      <c r="G208" s="90">
        <f t="shared" ref="G208:G212" si="152">D208*E208/91809*F208</f>
        <v>169.7447962618044</v>
      </c>
      <c r="H208" s="90">
        <f t="shared" ref="H208:H212" si="153">(D208/1000)*4*F208+(E208/1000)*4*F208</f>
        <v>106.84</v>
      </c>
      <c r="I208" s="91" t="s">
        <v>251</v>
      </c>
      <c r="J208" s="92" t="s">
        <v>205</v>
      </c>
      <c r="L208" s="89">
        <v>1</v>
      </c>
      <c r="M208" s="78">
        <v>10</v>
      </c>
      <c r="N208" s="84"/>
      <c r="O208" s="78">
        <f>L208*M208-N208*L208</f>
        <v>10</v>
      </c>
      <c r="P208" s="64"/>
    </row>
    <row r="209" spans="1:15" ht="18" customHeight="1">
      <c r="A209" s="85"/>
      <c r="B209" s="86"/>
      <c r="C209" s="87"/>
      <c r="D209" s="88">
        <v>738</v>
      </c>
      <c r="E209" s="88">
        <v>1310</v>
      </c>
      <c r="F209" s="89">
        <f t="shared" si="151"/>
        <v>40</v>
      </c>
      <c r="G209" s="90">
        <f t="shared" si="152"/>
        <v>421.2136065091658</v>
      </c>
      <c r="H209" s="90">
        <f t="shared" si="153"/>
        <v>327.68</v>
      </c>
      <c r="I209" s="91" t="str">
        <f>I208</f>
        <v>3동1,2라인</v>
      </c>
      <c r="J209" s="92" t="s">
        <v>207</v>
      </c>
      <c r="L209" s="89">
        <v>4</v>
      </c>
      <c r="M209" s="78">
        <f>M208</f>
        <v>10</v>
      </c>
      <c r="N209" s="84"/>
      <c r="O209" s="78">
        <f t="shared" ref="O209:O212" si="154">L209*M209-N209*L209</f>
        <v>40</v>
      </c>
    </row>
    <row r="210" spans="1:15" ht="18" customHeight="1">
      <c r="A210" s="85"/>
      <c r="B210" s="86"/>
      <c r="C210" s="87"/>
      <c r="D210" s="88">
        <v>288</v>
      </c>
      <c r="E210" s="88">
        <v>910</v>
      </c>
      <c r="F210" s="89">
        <f t="shared" si="151"/>
        <v>20</v>
      </c>
      <c r="G210" s="90">
        <f t="shared" si="152"/>
        <v>57.09244191745907</v>
      </c>
      <c r="H210" s="90">
        <f t="shared" si="153"/>
        <v>95.84</v>
      </c>
      <c r="I210" s="91" t="str">
        <f t="shared" ref="I210:I211" si="155">I209</f>
        <v>3동1,2라인</v>
      </c>
      <c r="J210" s="92" t="s">
        <v>208</v>
      </c>
      <c r="L210" s="89">
        <v>2</v>
      </c>
      <c r="M210" s="78">
        <f t="shared" ref="M210" si="156">M209</f>
        <v>10</v>
      </c>
      <c r="N210" s="78"/>
      <c r="O210" s="78">
        <f t="shared" si="154"/>
        <v>20</v>
      </c>
    </row>
    <row r="211" spans="1:15" ht="18" customHeight="1">
      <c r="A211" s="85"/>
      <c r="B211" s="86"/>
      <c r="C211" s="87"/>
      <c r="D211" s="88">
        <v>228</v>
      </c>
      <c r="E211" s="88">
        <v>910</v>
      </c>
      <c r="F211" s="89">
        <f t="shared" si="151"/>
        <v>20</v>
      </c>
      <c r="G211" s="90">
        <f t="shared" si="152"/>
        <v>45.1981831846551</v>
      </c>
      <c r="H211" s="90">
        <f t="shared" si="153"/>
        <v>91.039999999999992</v>
      </c>
      <c r="I211" s="91" t="str">
        <f t="shared" si="155"/>
        <v>3동1,2라인</v>
      </c>
      <c r="J211" s="92" t="s">
        <v>209</v>
      </c>
      <c r="L211" s="89">
        <v>2</v>
      </c>
      <c r="M211" s="78">
        <f>M210</f>
        <v>10</v>
      </c>
      <c r="N211" s="78"/>
      <c r="O211" s="78">
        <f t="shared" si="154"/>
        <v>20</v>
      </c>
    </row>
    <row r="212" spans="1:15" ht="18" customHeight="1">
      <c r="A212" s="85"/>
      <c r="B212" s="86"/>
      <c r="C212" s="87"/>
      <c r="D212" s="88">
        <v>438</v>
      </c>
      <c r="E212" s="88">
        <v>270</v>
      </c>
      <c r="F212" s="89">
        <f t="shared" si="151"/>
        <v>20</v>
      </c>
      <c r="G212" s="90">
        <f t="shared" si="152"/>
        <v>25.762180178413882</v>
      </c>
      <c r="H212" s="90">
        <f t="shared" si="153"/>
        <v>56.64</v>
      </c>
      <c r="I212" s="91" t="str">
        <f>I210</f>
        <v>3동1,2라인</v>
      </c>
      <c r="J212" s="92" t="s">
        <v>210</v>
      </c>
      <c r="L212" s="89">
        <v>2</v>
      </c>
      <c r="M212" s="78">
        <f>M210</f>
        <v>10</v>
      </c>
      <c r="N212" s="78"/>
      <c r="O212" s="78">
        <f t="shared" si="154"/>
        <v>20</v>
      </c>
    </row>
    <row r="213" spans="1:15" ht="18" customHeight="1">
      <c r="A213" s="85"/>
      <c r="B213" s="93"/>
      <c r="C213" s="87"/>
      <c r="D213" s="325" t="s">
        <v>0</v>
      </c>
      <c r="E213" s="325"/>
      <c r="F213" s="94">
        <f>SUM(F208:F212)</f>
        <v>110</v>
      </c>
      <c r="G213" s="95">
        <f>SUM(G208:G212)</f>
        <v>719.01120805149833</v>
      </c>
      <c r="H213" s="96">
        <f>SUM(H208:H212)</f>
        <v>678.04</v>
      </c>
      <c r="I213" s="97"/>
      <c r="J213" s="162"/>
    </row>
    <row r="214" spans="1:15" ht="18" customHeight="1">
      <c r="A214" s="85"/>
      <c r="B214" s="93"/>
      <c r="C214" s="87"/>
      <c r="D214" s="161"/>
      <c r="E214" s="161"/>
      <c r="F214" s="89"/>
      <c r="G214" s="100"/>
      <c r="H214" s="101"/>
      <c r="I214" s="102"/>
      <c r="J214" s="121"/>
      <c r="L214" s="252"/>
      <c r="M214" s="252"/>
      <c r="N214" s="252"/>
      <c r="O214" s="252"/>
    </row>
    <row r="215" spans="1:15" ht="18" customHeight="1">
      <c r="A215" s="85"/>
      <c r="B215" s="23" t="s">
        <v>198</v>
      </c>
      <c r="C215" s="24">
        <v>22</v>
      </c>
      <c r="D215" s="88">
        <v>861</v>
      </c>
      <c r="E215" s="88">
        <v>1810</v>
      </c>
      <c r="F215" s="89">
        <f t="shared" ref="F215:F220" si="157">O215</f>
        <v>10</v>
      </c>
      <c r="G215" s="90">
        <f t="shared" ref="G215:G220" si="158">D215*E215/91809*F215</f>
        <v>169.7447962618044</v>
      </c>
      <c r="H215" s="90">
        <f t="shared" ref="H215:H220" si="159">(D215/1000)*4*F215+(E215/1000)*4*F215</f>
        <v>106.84</v>
      </c>
      <c r="I215" s="91" t="str">
        <f>I208</f>
        <v>3동1,2라인</v>
      </c>
      <c r="J215" s="92" t="s">
        <v>212</v>
      </c>
      <c r="L215" s="89">
        <v>1</v>
      </c>
      <c r="M215" s="78">
        <f>M208</f>
        <v>10</v>
      </c>
      <c r="N215" s="84"/>
      <c r="O215" s="78">
        <f>L215*M215-N215*L215</f>
        <v>10</v>
      </c>
    </row>
    <row r="216" spans="1:15" ht="18" customHeight="1">
      <c r="A216" s="85"/>
      <c r="B216" s="86"/>
      <c r="C216" s="87"/>
      <c r="D216" s="88">
        <v>2114</v>
      </c>
      <c r="E216" s="88">
        <v>1810</v>
      </c>
      <c r="F216" s="89">
        <f t="shared" si="157"/>
        <v>10</v>
      </c>
      <c r="G216" s="90">
        <f t="shared" si="158"/>
        <v>416.77177618751978</v>
      </c>
      <c r="H216" s="90">
        <f t="shared" si="159"/>
        <v>156.96</v>
      </c>
      <c r="I216" s="91" t="str">
        <f>I208</f>
        <v>3동1,2라인</v>
      </c>
      <c r="J216" s="92" t="s">
        <v>213</v>
      </c>
      <c r="L216" s="89">
        <v>1</v>
      </c>
      <c r="M216" s="78">
        <f>M215</f>
        <v>10</v>
      </c>
      <c r="N216" s="84"/>
      <c r="O216" s="78">
        <f>L216*M216-N216*L216</f>
        <v>10</v>
      </c>
    </row>
    <row r="217" spans="1:15" ht="18" customHeight="1">
      <c r="A217" s="104"/>
      <c r="B217" s="93"/>
      <c r="C217" s="87"/>
      <c r="D217" s="88">
        <v>738</v>
      </c>
      <c r="E217" s="88">
        <v>1310</v>
      </c>
      <c r="F217" s="89">
        <f t="shared" si="157"/>
        <v>40</v>
      </c>
      <c r="G217" s="90">
        <f t="shared" si="158"/>
        <v>421.2136065091658</v>
      </c>
      <c r="H217" s="90">
        <f t="shared" si="159"/>
        <v>327.68</v>
      </c>
      <c r="I217" s="91" t="str">
        <f>I216</f>
        <v>3동1,2라인</v>
      </c>
      <c r="J217" s="92" t="s">
        <v>214</v>
      </c>
      <c r="L217" s="89">
        <v>4</v>
      </c>
      <c r="M217" s="78">
        <f t="shared" ref="M217:M220" si="160">M216</f>
        <v>10</v>
      </c>
      <c r="N217" s="84"/>
      <c r="O217" s="78">
        <f t="shared" ref="O217:O220" si="161">L217*M217-N217*L217</f>
        <v>40</v>
      </c>
    </row>
    <row r="218" spans="1:15" ht="18" customHeight="1">
      <c r="A218" s="104"/>
      <c r="B218" s="93"/>
      <c r="C218" s="87"/>
      <c r="D218" s="88">
        <v>288</v>
      </c>
      <c r="E218" s="88">
        <v>910</v>
      </c>
      <c r="F218" s="89">
        <f t="shared" si="157"/>
        <v>20</v>
      </c>
      <c r="G218" s="90">
        <f t="shared" si="158"/>
        <v>57.09244191745907</v>
      </c>
      <c r="H218" s="90">
        <f t="shared" si="159"/>
        <v>95.84</v>
      </c>
      <c r="I218" s="91" t="str">
        <f>I217</f>
        <v>3동1,2라인</v>
      </c>
      <c r="J218" s="92" t="s">
        <v>215</v>
      </c>
      <c r="L218" s="89">
        <v>2</v>
      </c>
      <c r="M218" s="78">
        <f>M217</f>
        <v>10</v>
      </c>
      <c r="N218" s="84"/>
      <c r="O218" s="78">
        <f t="shared" si="161"/>
        <v>20</v>
      </c>
    </row>
    <row r="219" spans="1:15" ht="18" customHeight="1">
      <c r="A219" s="104"/>
      <c r="B219" s="93"/>
      <c r="C219" s="87"/>
      <c r="D219" s="88">
        <v>228</v>
      </c>
      <c r="E219" s="88">
        <v>910</v>
      </c>
      <c r="F219" s="89">
        <f t="shared" si="157"/>
        <v>20</v>
      </c>
      <c r="G219" s="90">
        <f t="shared" si="158"/>
        <v>45.1981831846551</v>
      </c>
      <c r="H219" s="90">
        <f t="shared" si="159"/>
        <v>91.039999999999992</v>
      </c>
      <c r="I219" s="91" t="str">
        <f>I217</f>
        <v>3동1,2라인</v>
      </c>
      <c r="J219" s="92" t="s">
        <v>216</v>
      </c>
      <c r="L219" s="89">
        <v>2</v>
      </c>
      <c r="M219" s="78">
        <f>M217</f>
        <v>10</v>
      </c>
      <c r="N219" s="78"/>
      <c r="O219" s="78">
        <f t="shared" si="161"/>
        <v>20</v>
      </c>
    </row>
    <row r="220" spans="1:15" ht="18" customHeight="1">
      <c r="A220" s="104"/>
      <c r="B220" s="93"/>
      <c r="C220" s="87"/>
      <c r="D220" s="88">
        <v>438</v>
      </c>
      <c r="E220" s="88">
        <v>270</v>
      </c>
      <c r="F220" s="89">
        <f t="shared" si="157"/>
        <v>20</v>
      </c>
      <c r="G220" s="90">
        <f t="shared" si="158"/>
        <v>25.762180178413882</v>
      </c>
      <c r="H220" s="90">
        <f t="shared" si="159"/>
        <v>56.64</v>
      </c>
      <c r="I220" s="91" t="str">
        <f t="shared" ref="I220" si="162">I219</f>
        <v>3동1,2라인</v>
      </c>
      <c r="J220" s="92" t="s">
        <v>217</v>
      </c>
      <c r="L220" s="89">
        <v>2</v>
      </c>
      <c r="M220" s="78">
        <f t="shared" si="160"/>
        <v>10</v>
      </c>
      <c r="N220" s="78"/>
      <c r="O220" s="78">
        <f t="shared" si="161"/>
        <v>20</v>
      </c>
    </row>
    <row r="221" spans="1:15" ht="18" customHeight="1">
      <c r="A221" s="104"/>
      <c r="B221" s="87"/>
      <c r="C221" s="87"/>
      <c r="D221" s="325" t="s">
        <v>0</v>
      </c>
      <c r="E221" s="325"/>
      <c r="F221" s="171">
        <f>SUM(F215:F220)</f>
        <v>120</v>
      </c>
      <c r="G221" s="95">
        <f>SUM(G215:G220)</f>
        <v>1135.7829842390181</v>
      </c>
      <c r="H221" s="95">
        <f>SUM(H215:H220)</f>
        <v>835</v>
      </c>
      <c r="I221" s="97"/>
      <c r="J221" s="98"/>
    </row>
    <row r="222" spans="1:15">
      <c r="A222" s="105"/>
      <c r="B222" s="9"/>
      <c r="C222" s="9"/>
      <c r="D222" s="51"/>
      <c r="E222" s="51"/>
      <c r="F222" s="51"/>
      <c r="G222" s="106"/>
      <c r="H222" s="106"/>
      <c r="I222" s="9"/>
      <c r="J222" s="107"/>
    </row>
    <row r="223" spans="1:15" ht="18" customHeight="1">
      <c r="A223" s="85"/>
      <c r="B223" s="23" t="s">
        <v>237</v>
      </c>
      <c r="C223" s="24">
        <v>22</v>
      </c>
      <c r="D223" s="88">
        <v>2114</v>
      </c>
      <c r="E223" s="88">
        <v>1810</v>
      </c>
      <c r="F223" s="89">
        <f t="shared" ref="F223" si="163">O223</f>
        <v>10</v>
      </c>
      <c r="G223" s="90">
        <f t="shared" ref="G223" si="164">D223*E223/91809*F223</f>
        <v>416.77177618751978</v>
      </c>
      <c r="H223" s="90">
        <f t="shared" ref="H223" si="165">(D223/1000)*4*F223+(E223/1000)*4*F223</f>
        <v>156.96</v>
      </c>
      <c r="I223" s="91" t="str">
        <f>I215</f>
        <v>3동1,2라인</v>
      </c>
      <c r="J223" s="92" t="s">
        <v>206</v>
      </c>
      <c r="L223" s="89">
        <v>1</v>
      </c>
      <c r="M223" s="78">
        <f>M208</f>
        <v>10</v>
      </c>
      <c r="N223" s="84"/>
      <c r="O223" s="78">
        <f>L223*M223-N223*L223</f>
        <v>10</v>
      </c>
    </row>
    <row r="224" spans="1:15" ht="18" customHeight="1">
      <c r="A224" s="85"/>
      <c r="B224" s="93"/>
      <c r="C224" s="87"/>
      <c r="D224" s="325" t="s">
        <v>0</v>
      </c>
      <c r="E224" s="325"/>
      <c r="F224" s="94">
        <f>SUM(F223:F223)</f>
        <v>10</v>
      </c>
      <c r="G224" s="95">
        <f>SUM(G223:G223)</f>
        <v>416.77177618751978</v>
      </c>
      <c r="H224" s="95">
        <f>SUM(H223:H223)</f>
        <v>156.96</v>
      </c>
      <c r="I224" s="97"/>
      <c r="J224" s="98"/>
    </row>
    <row r="225" spans="1:16" ht="18" customHeight="1">
      <c r="A225" s="218"/>
      <c r="B225" s="219"/>
      <c r="C225" s="220"/>
      <c r="D225" s="161"/>
      <c r="E225" s="161"/>
      <c r="F225" s="89"/>
      <c r="G225" s="100"/>
      <c r="H225" s="100"/>
      <c r="I225" s="102"/>
      <c r="J225" s="221"/>
    </row>
    <row r="226" spans="1:16" ht="18" customHeight="1">
      <c r="A226" s="85"/>
      <c r="B226" s="23" t="s">
        <v>203</v>
      </c>
      <c r="C226" s="24">
        <v>22</v>
      </c>
      <c r="D226" s="88">
        <v>638</v>
      </c>
      <c r="E226" s="88">
        <v>1810</v>
      </c>
      <c r="F226" s="89">
        <f t="shared" ref="F226:F227" si="166">O226</f>
        <v>10</v>
      </c>
      <c r="G226" s="90">
        <f t="shared" ref="G226:G227" si="167">D226*E226/91809*F226</f>
        <v>125.78069688156936</v>
      </c>
      <c r="H226" s="90">
        <f t="shared" ref="H226:H227" si="168">(D226/1000)*4*F226+(E226/1000)*4*F226</f>
        <v>97.92</v>
      </c>
      <c r="I226" s="91" t="str">
        <f>I223</f>
        <v>3동1,2라인</v>
      </c>
      <c r="J226" s="92" t="s">
        <v>219</v>
      </c>
      <c r="L226" s="89">
        <v>2</v>
      </c>
      <c r="M226" s="78">
        <f>M223</f>
        <v>10</v>
      </c>
      <c r="N226" s="84">
        <v>5</v>
      </c>
      <c r="O226" s="78">
        <f>L226*M226-N226*L226</f>
        <v>10</v>
      </c>
      <c r="P226" s="64" t="s">
        <v>247</v>
      </c>
    </row>
    <row r="227" spans="1:16" ht="18" customHeight="1">
      <c r="A227" s="85"/>
      <c r="B227" s="86"/>
      <c r="C227" s="87"/>
      <c r="D227" s="88">
        <v>250</v>
      </c>
      <c r="E227" s="88">
        <v>930</v>
      </c>
      <c r="F227" s="89">
        <f t="shared" si="166"/>
        <v>20</v>
      </c>
      <c r="G227" s="90">
        <f t="shared" si="167"/>
        <v>50.648629219357574</v>
      </c>
      <c r="H227" s="90">
        <f t="shared" si="168"/>
        <v>94.4</v>
      </c>
      <c r="I227" s="91" t="str">
        <f>I226</f>
        <v>3동1,2라인</v>
      </c>
      <c r="J227" s="92" t="s">
        <v>220</v>
      </c>
      <c r="L227" s="89">
        <v>2</v>
      </c>
      <c r="M227" s="78">
        <f>M226</f>
        <v>10</v>
      </c>
      <c r="N227" s="84"/>
      <c r="O227" s="78">
        <f t="shared" ref="O227" si="169">L227*M227-N227*L227</f>
        <v>20</v>
      </c>
    </row>
    <row r="228" spans="1:16" ht="18" customHeight="1">
      <c r="A228" s="85"/>
      <c r="B228" s="93"/>
      <c r="C228" s="87"/>
      <c r="D228" s="325" t="s">
        <v>0</v>
      </c>
      <c r="E228" s="325"/>
      <c r="F228" s="94">
        <f>SUM(F226:F227)</f>
        <v>30</v>
      </c>
      <c r="G228" s="95">
        <f>SUM(G226:G227)</f>
        <v>176.42932610092691</v>
      </c>
      <c r="H228" s="96">
        <f>SUM(H226:H227)</f>
        <v>192.32</v>
      </c>
      <c r="I228" s="97"/>
      <c r="J228" s="162"/>
    </row>
    <row r="229" spans="1:16">
      <c r="A229" s="16"/>
      <c r="B229" s="16"/>
      <c r="C229" s="16"/>
      <c r="D229" s="261"/>
      <c r="E229" s="261"/>
      <c r="F229" s="261"/>
      <c r="G229" s="19"/>
      <c r="H229" s="19"/>
      <c r="I229" s="16"/>
      <c r="J229" s="16"/>
    </row>
    <row r="230" spans="1:16" ht="18" customHeight="1">
      <c r="A230" s="85" t="s">
        <v>235</v>
      </c>
      <c r="B230" s="23" t="s">
        <v>201</v>
      </c>
      <c r="C230" s="24">
        <v>22</v>
      </c>
      <c r="D230" s="88">
        <v>861</v>
      </c>
      <c r="E230" s="88">
        <v>1810</v>
      </c>
      <c r="F230" s="89">
        <f t="shared" ref="F230:F233" si="170">O230</f>
        <v>5</v>
      </c>
      <c r="G230" s="90">
        <f t="shared" ref="G230:G233" si="171">D230*E230/91809*F230</f>
        <v>84.872398130902198</v>
      </c>
      <c r="H230" s="90">
        <f t="shared" ref="H230:H233" si="172">(D230/1000)*4*F230+(E230/1000)*4*F230</f>
        <v>53.42</v>
      </c>
      <c r="I230" s="91" t="s">
        <v>252</v>
      </c>
      <c r="J230" s="92" t="s">
        <v>205</v>
      </c>
      <c r="L230" s="89">
        <v>1</v>
      </c>
      <c r="M230" s="78">
        <v>5</v>
      </c>
      <c r="N230" s="84"/>
      <c r="O230" s="78">
        <f>L230*M230-N230*L230</f>
        <v>5</v>
      </c>
      <c r="P230" s="64"/>
    </row>
    <row r="231" spans="1:16" ht="18" customHeight="1">
      <c r="A231" s="85"/>
      <c r="B231" s="86"/>
      <c r="C231" s="87"/>
      <c r="D231" s="88">
        <v>738</v>
      </c>
      <c r="E231" s="88">
        <v>1310</v>
      </c>
      <c r="F231" s="89">
        <f t="shared" si="170"/>
        <v>20</v>
      </c>
      <c r="G231" s="90">
        <f t="shared" si="171"/>
        <v>210.6068032545829</v>
      </c>
      <c r="H231" s="90">
        <f t="shared" si="172"/>
        <v>163.84</v>
      </c>
      <c r="I231" s="91" t="str">
        <f>I230</f>
        <v>3동3라인</v>
      </c>
      <c r="J231" s="92" t="s">
        <v>207</v>
      </c>
      <c r="L231" s="89">
        <v>4</v>
      </c>
      <c r="M231" s="78">
        <f>M230</f>
        <v>5</v>
      </c>
      <c r="N231" s="84"/>
      <c r="O231" s="78">
        <f t="shared" ref="O231:O233" si="173">L231*M231-N231*L231</f>
        <v>20</v>
      </c>
    </row>
    <row r="232" spans="1:16" ht="18" customHeight="1">
      <c r="A232" s="85"/>
      <c r="B232" s="86"/>
      <c r="C232" s="87"/>
      <c r="D232" s="88">
        <v>228</v>
      </c>
      <c r="E232" s="88">
        <v>910</v>
      </c>
      <c r="F232" s="89">
        <f t="shared" si="170"/>
        <v>10</v>
      </c>
      <c r="G232" s="90">
        <f t="shared" si="171"/>
        <v>22.59909159232755</v>
      </c>
      <c r="H232" s="90">
        <f t="shared" si="172"/>
        <v>45.519999999999996</v>
      </c>
      <c r="I232" s="91" t="str">
        <f t="shared" ref="I232:I233" si="174">I231</f>
        <v>3동3라인</v>
      </c>
      <c r="J232" s="92" t="s">
        <v>209</v>
      </c>
      <c r="L232" s="89">
        <v>2</v>
      </c>
      <c r="M232" s="78">
        <f t="shared" ref="M232:M233" si="175">M231</f>
        <v>5</v>
      </c>
      <c r="N232" s="78"/>
      <c r="O232" s="78">
        <f t="shared" si="173"/>
        <v>10</v>
      </c>
    </row>
    <row r="233" spans="1:16" ht="18" customHeight="1">
      <c r="A233" s="85"/>
      <c r="B233" s="86"/>
      <c r="C233" s="87"/>
      <c r="D233" s="88">
        <v>438</v>
      </c>
      <c r="E233" s="88">
        <v>270</v>
      </c>
      <c r="F233" s="89">
        <f t="shared" si="170"/>
        <v>10</v>
      </c>
      <c r="G233" s="90">
        <f t="shared" si="171"/>
        <v>12.881090089206941</v>
      </c>
      <c r="H233" s="90">
        <f t="shared" si="172"/>
        <v>28.32</v>
      </c>
      <c r="I233" s="91" t="str">
        <f t="shared" si="174"/>
        <v>3동3라인</v>
      </c>
      <c r="J233" s="92" t="s">
        <v>210</v>
      </c>
      <c r="L233" s="89">
        <v>2</v>
      </c>
      <c r="M233" s="78">
        <f t="shared" si="175"/>
        <v>5</v>
      </c>
      <c r="N233" s="78"/>
      <c r="O233" s="78">
        <f t="shared" si="173"/>
        <v>10</v>
      </c>
    </row>
    <row r="234" spans="1:16" ht="18" customHeight="1">
      <c r="A234" s="85"/>
      <c r="B234" s="93"/>
      <c r="C234" s="87"/>
      <c r="D234" s="325" t="s">
        <v>0</v>
      </c>
      <c r="E234" s="325"/>
      <c r="F234" s="94">
        <f>SUM(F230:F233)</f>
        <v>45</v>
      </c>
      <c r="G234" s="95">
        <f>SUM(G230:G233)</f>
        <v>330.95938306701964</v>
      </c>
      <c r="H234" s="96">
        <f>SUM(H230:H233)</f>
        <v>291.09999999999997</v>
      </c>
      <c r="I234" s="97"/>
      <c r="J234" s="162"/>
    </row>
    <row r="235" spans="1:16" ht="18" customHeight="1">
      <c r="A235" s="85"/>
      <c r="B235" s="93"/>
      <c r="C235" s="87"/>
      <c r="D235" s="161"/>
      <c r="E235" s="161"/>
      <c r="F235" s="89"/>
      <c r="G235" s="100"/>
      <c r="H235" s="101"/>
      <c r="I235" s="102"/>
      <c r="J235" s="121"/>
      <c r="L235" s="252"/>
      <c r="M235" s="252"/>
      <c r="N235" s="252"/>
      <c r="O235" s="252"/>
    </row>
    <row r="236" spans="1:16" ht="18" customHeight="1">
      <c r="A236" s="85"/>
      <c r="B236" s="23" t="s">
        <v>198</v>
      </c>
      <c r="C236" s="24">
        <v>22</v>
      </c>
      <c r="D236" s="88">
        <v>861</v>
      </c>
      <c r="E236" s="88">
        <v>1810</v>
      </c>
      <c r="F236" s="89">
        <f t="shared" ref="F236:F240" si="176">O236</f>
        <v>5</v>
      </c>
      <c r="G236" s="90">
        <f t="shared" ref="G236:G240" si="177">D236*E236/91809*F236</f>
        <v>84.872398130902198</v>
      </c>
      <c r="H236" s="90">
        <f t="shared" ref="H236:H240" si="178">(D236/1000)*4*F236+(E236/1000)*4*F236</f>
        <v>53.42</v>
      </c>
      <c r="I236" s="91" t="str">
        <f>I230</f>
        <v>3동3라인</v>
      </c>
      <c r="J236" s="92" t="s">
        <v>212</v>
      </c>
      <c r="L236" s="89">
        <v>1</v>
      </c>
      <c r="M236" s="78">
        <f>M230</f>
        <v>5</v>
      </c>
      <c r="N236" s="84"/>
      <c r="O236" s="78">
        <f>L236*M236-N236*L236</f>
        <v>5</v>
      </c>
    </row>
    <row r="237" spans="1:16" ht="18" customHeight="1">
      <c r="A237" s="85"/>
      <c r="B237" s="86"/>
      <c r="C237" s="87"/>
      <c r="D237" s="88">
        <v>2114</v>
      </c>
      <c r="E237" s="88">
        <v>1810</v>
      </c>
      <c r="F237" s="89">
        <f t="shared" si="176"/>
        <v>5</v>
      </c>
      <c r="G237" s="90">
        <f t="shared" si="177"/>
        <v>208.38588809375989</v>
      </c>
      <c r="H237" s="90">
        <f t="shared" si="178"/>
        <v>78.48</v>
      </c>
      <c r="I237" s="91" t="str">
        <f>I230</f>
        <v>3동3라인</v>
      </c>
      <c r="J237" s="92" t="s">
        <v>213</v>
      </c>
      <c r="L237" s="89">
        <v>1</v>
      </c>
      <c r="M237" s="78">
        <f>M236</f>
        <v>5</v>
      </c>
      <c r="N237" s="84"/>
      <c r="O237" s="78">
        <f>L237*M237-N237*L237</f>
        <v>5</v>
      </c>
    </row>
    <row r="238" spans="1:16" ht="18" customHeight="1">
      <c r="A238" s="104"/>
      <c r="B238" s="93"/>
      <c r="C238" s="87"/>
      <c r="D238" s="88">
        <v>738</v>
      </c>
      <c r="E238" s="88">
        <v>1310</v>
      </c>
      <c r="F238" s="89">
        <f t="shared" si="176"/>
        <v>20</v>
      </c>
      <c r="G238" s="90">
        <f t="shared" si="177"/>
        <v>210.6068032545829</v>
      </c>
      <c r="H238" s="90">
        <f t="shared" si="178"/>
        <v>163.84</v>
      </c>
      <c r="I238" s="91" t="str">
        <f>I237</f>
        <v>3동3라인</v>
      </c>
      <c r="J238" s="92" t="s">
        <v>214</v>
      </c>
      <c r="L238" s="89">
        <v>4</v>
      </c>
      <c r="M238" s="78">
        <f t="shared" ref="M238:M240" si="179">M237</f>
        <v>5</v>
      </c>
      <c r="N238" s="84"/>
      <c r="O238" s="78">
        <f t="shared" ref="O238:O240" si="180">L238*M238-N238*L238</f>
        <v>20</v>
      </c>
    </row>
    <row r="239" spans="1:16" ht="18" customHeight="1">
      <c r="A239" s="104"/>
      <c r="B239" s="93"/>
      <c r="C239" s="87"/>
      <c r="D239" s="88">
        <v>228</v>
      </c>
      <c r="E239" s="88">
        <v>910</v>
      </c>
      <c r="F239" s="89">
        <f t="shared" si="176"/>
        <v>10</v>
      </c>
      <c r="G239" s="90">
        <f t="shared" si="177"/>
        <v>22.59909159232755</v>
      </c>
      <c r="H239" s="90">
        <f t="shared" si="178"/>
        <v>45.519999999999996</v>
      </c>
      <c r="I239" s="91" t="str">
        <f t="shared" ref="I239:I240" si="181">I238</f>
        <v>3동3라인</v>
      </c>
      <c r="J239" s="92" t="s">
        <v>216</v>
      </c>
      <c r="L239" s="89">
        <v>2</v>
      </c>
      <c r="M239" s="78">
        <f t="shared" si="179"/>
        <v>5</v>
      </c>
      <c r="N239" s="78"/>
      <c r="O239" s="78">
        <f t="shared" si="180"/>
        <v>10</v>
      </c>
    </row>
    <row r="240" spans="1:16" ht="18" customHeight="1">
      <c r="A240" s="104"/>
      <c r="B240" s="93"/>
      <c r="C240" s="87"/>
      <c r="D240" s="88">
        <v>438</v>
      </c>
      <c r="E240" s="88">
        <v>270</v>
      </c>
      <c r="F240" s="89">
        <f t="shared" si="176"/>
        <v>10</v>
      </c>
      <c r="G240" s="90">
        <f t="shared" si="177"/>
        <v>12.881090089206941</v>
      </c>
      <c r="H240" s="90">
        <f t="shared" si="178"/>
        <v>28.32</v>
      </c>
      <c r="I240" s="91" t="str">
        <f t="shared" si="181"/>
        <v>3동3라인</v>
      </c>
      <c r="J240" s="92" t="s">
        <v>217</v>
      </c>
      <c r="L240" s="89">
        <v>2</v>
      </c>
      <c r="M240" s="78">
        <f t="shared" si="179"/>
        <v>5</v>
      </c>
      <c r="N240" s="78"/>
      <c r="O240" s="78">
        <f t="shared" si="180"/>
        <v>10</v>
      </c>
    </row>
    <row r="241" spans="1:16" ht="18" customHeight="1">
      <c r="A241" s="104"/>
      <c r="B241" s="87"/>
      <c r="C241" s="87"/>
      <c r="D241" s="325" t="s">
        <v>0</v>
      </c>
      <c r="E241" s="325"/>
      <c r="F241" s="171">
        <f>SUM(F236:F240)</f>
        <v>50</v>
      </c>
      <c r="G241" s="95">
        <f>SUM(G236:G240)</f>
        <v>539.34527116077948</v>
      </c>
      <c r="H241" s="95">
        <f>SUM(H236:H240)</f>
        <v>369.58</v>
      </c>
      <c r="I241" s="97"/>
      <c r="J241" s="98"/>
    </row>
    <row r="242" spans="1:16">
      <c r="A242" s="105"/>
      <c r="B242" s="9"/>
      <c r="C242" s="9"/>
      <c r="D242" s="51"/>
      <c r="E242" s="51"/>
      <c r="F242" s="51"/>
      <c r="G242" s="106"/>
      <c r="H242" s="106"/>
      <c r="I242" s="9"/>
      <c r="J242" s="107"/>
    </row>
    <row r="243" spans="1:16" ht="18" customHeight="1">
      <c r="A243" s="85"/>
      <c r="B243" s="23" t="s">
        <v>237</v>
      </c>
      <c r="C243" s="24">
        <v>22</v>
      </c>
      <c r="D243" s="88">
        <v>2114</v>
      </c>
      <c r="E243" s="88">
        <v>1810</v>
      </c>
      <c r="F243" s="89">
        <f t="shared" ref="F243" si="182">O243</f>
        <v>5</v>
      </c>
      <c r="G243" s="90">
        <f t="shared" ref="G243" si="183">D243*E243/91809*F243</f>
        <v>208.38588809375989</v>
      </c>
      <c r="H243" s="90">
        <f t="shared" ref="H243" si="184">(D243/1000)*4*F243+(E243/1000)*4*F243</f>
        <v>78.48</v>
      </c>
      <c r="I243" s="91" t="str">
        <f>I236</f>
        <v>3동3라인</v>
      </c>
      <c r="J243" s="92" t="s">
        <v>206</v>
      </c>
      <c r="L243" s="89">
        <v>1</v>
      </c>
      <c r="M243" s="78">
        <f>M230</f>
        <v>5</v>
      </c>
      <c r="N243" s="84"/>
      <c r="O243" s="78">
        <f>L243*M243-N243*L243</f>
        <v>5</v>
      </c>
    </row>
    <row r="244" spans="1:16" ht="18" customHeight="1">
      <c r="A244" s="85"/>
      <c r="B244" s="93"/>
      <c r="C244" s="87"/>
      <c r="D244" s="325" t="s">
        <v>0</v>
      </c>
      <c r="E244" s="325"/>
      <c r="F244" s="94">
        <f>SUM(F243:F243)</f>
        <v>5</v>
      </c>
      <c r="G244" s="95">
        <f>SUM(G243:G243)</f>
        <v>208.38588809375989</v>
      </c>
      <c r="H244" s="95">
        <f>SUM(H243:H243)</f>
        <v>78.48</v>
      </c>
      <c r="I244" s="97"/>
      <c r="J244" s="98"/>
    </row>
    <row r="245" spans="1:16" ht="18" customHeight="1">
      <c r="A245" s="218"/>
      <c r="B245" s="219"/>
      <c r="C245" s="220"/>
      <c r="D245" s="161"/>
      <c r="E245" s="161"/>
      <c r="F245" s="89"/>
      <c r="G245" s="100"/>
      <c r="H245" s="100"/>
      <c r="I245" s="102"/>
      <c r="J245" s="221"/>
    </row>
    <row r="246" spans="1:16" ht="18" customHeight="1">
      <c r="A246" s="85"/>
      <c r="B246" s="23" t="s">
        <v>203</v>
      </c>
      <c r="C246" s="24">
        <v>22</v>
      </c>
      <c r="D246" s="88">
        <v>738</v>
      </c>
      <c r="E246" s="88">
        <v>1810</v>
      </c>
      <c r="F246" s="89">
        <f t="shared" ref="F246:F247" si="185">O246</f>
        <v>10</v>
      </c>
      <c r="G246" s="90">
        <f t="shared" ref="G246:G247" si="186">D246*E246/91809*F246</f>
        <v>145.4955396529752</v>
      </c>
      <c r="H246" s="90">
        <f t="shared" ref="H246:H247" si="187">(D246/1000)*4*F246+(E246/1000)*4*F246</f>
        <v>101.92</v>
      </c>
      <c r="I246" s="91" t="str">
        <f>I243</f>
        <v>3동3라인</v>
      </c>
      <c r="J246" s="92" t="s">
        <v>219</v>
      </c>
      <c r="L246" s="89">
        <v>2</v>
      </c>
      <c r="M246" s="78">
        <f>M243</f>
        <v>5</v>
      </c>
      <c r="N246" s="84"/>
      <c r="O246" s="78">
        <f>L246*M246-N246*L246</f>
        <v>10</v>
      </c>
      <c r="P246" s="64"/>
    </row>
    <row r="247" spans="1:16" ht="18" customHeight="1">
      <c r="A247" s="85"/>
      <c r="B247" s="86"/>
      <c r="C247" s="87"/>
      <c r="D247" s="88">
        <v>250</v>
      </c>
      <c r="E247" s="88">
        <v>930</v>
      </c>
      <c r="F247" s="89">
        <f t="shared" si="185"/>
        <v>10</v>
      </c>
      <c r="G247" s="90">
        <f t="shared" si="186"/>
        <v>25.324314609678787</v>
      </c>
      <c r="H247" s="90">
        <f t="shared" si="187"/>
        <v>47.2</v>
      </c>
      <c r="I247" s="91" t="str">
        <f>I246</f>
        <v>3동3라인</v>
      </c>
      <c r="J247" s="92" t="s">
        <v>220</v>
      </c>
      <c r="L247" s="89">
        <v>2</v>
      </c>
      <c r="M247" s="78">
        <f>M246</f>
        <v>5</v>
      </c>
      <c r="N247" s="84"/>
      <c r="O247" s="78">
        <f t="shared" ref="O247" si="188">L247*M247-N247*L247</f>
        <v>10</v>
      </c>
    </row>
    <row r="248" spans="1:16" ht="18" customHeight="1">
      <c r="A248" s="85"/>
      <c r="B248" s="93"/>
      <c r="C248" s="87"/>
      <c r="D248" s="325" t="s">
        <v>0</v>
      </c>
      <c r="E248" s="325"/>
      <c r="F248" s="94">
        <f>SUM(F246:F247)</f>
        <v>20</v>
      </c>
      <c r="G248" s="95">
        <f>SUM(G246:G247)</f>
        <v>170.81985426265399</v>
      </c>
      <c r="H248" s="96">
        <f>SUM(H246:H247)</f>
        <v>149.12</v>
      </c>
      <c r="I248" s="97"/>
      <c r="J248" s="162"/>
    </row>
    <row r="249" spans="1:16" ht="18" customHeight="1" thickBot="1">
      <c r="A249" s="222"/>
      <c r="B249" s="223"/>
      <c r="C249" s="224"/>
      <c r="D249" s="225"/>
      <c r="E249" s="225"/>
      <c r="F249" s="226"/>
      <c r="G249" s="227"/>
      <c r="H249" s="228"/>
      <c r="I249" s="229"/>
      <c r="J249" s="230"/>
      <c r="L249" s="78" t="s">
        <v>48</v>
      </c>
      <c r="M249" s="78" t="s">
        <v>49</v>
      </c>
      <c r="N249" s="78" t="s">
        <v>50</v>
      </c>
      <c r="O249" s="78" t="s">
        <v>55</v>
      </c>
    </row>
    <row r="250" spans="1:16" ht="18" customHeight="1">
      <c r="A250" s="79" t="s">
        <v>234</v>
      </c>
      <c r="B250" s="231" t="s">
        <v>195</v>
      </c>
      <c r="C250" s="232">
        <v>22</v>
      </c>
      <c r="D250" s="80">
        <v>761</v>
      </c>
      <c r="E250" s="80">
        <v>1810</v>
      </c>
      <c r="F250" s="233">
        <f>O250</f>
        <v>10</v>
      </c>
      <c r="G250" s="81">
        <f t="shared" ref="G250:G256" si="189">D250*E250/91809*F250</f>
        <v>150.02995349039855</v>
      </c>
      <c r="H250" s="81">
        <f t="shared" ref="H250:H256" si="190">(D250/1000)*4*F250+(E250/1000)*4*F250</f>
        <v>102.84</v>
      </c>
      <c r="I250" s="82" t="s">
        <v>253</v>
      </c>
      <c r="J250" s="83" t="s">
        <v>205</v>
      </c>
      <c r="L250" s="89">
        <v>2</v>
      </c>
      <c r="M250" s="78">
        <v>5</v>
      </c>
      <c r="N250" s="84"/>
      <c r="O250" s="78">
        <f>L250*M250-N250*L250</f>
        <v>10</v>
      </c>
      <c r="P250" s="64"/>
    </row>
    <row r="251" spans="1:16" ht="18" customHeight="1">
      <c r="A251" s="85"/>
      <c r="B251" s="86"/>
      <c r="C251" s="87"/>
      <c r="D251" s="88">
        <v>1688</v>
      </c>
      <c r="E251" s="88">
        <v>1810</v>
      </c>
      <c r="F251" s="89">
        <f t="shared" ref="F251:F256" si="191">O251</f>
        <v>5</v>
      </c>
      <c r="G251" s="90">
        <f t="shared" si="189"/>
        <v>166.39327299066539</v>
      </c>
      <c r="H251" s="90">
        <f t="shared" si="190"/>
        <v>69.960000000000008</v>
      </c>
      <c r="I251" s="91" t="str">
        <f>I250</f>
        <v>3동4라인</v>
      </c>
      <c r="J251" s="92" t="s">
        <v>206</v>
      </c>
      <c r="L251" s="89">
        <v>1</v>
      </c>
      <c r="M251" s="78">
        <f>M250</f>
        <v>5</v>
      </c>
      <c r="N251" s="84"/>
      <c r="O251" s="78">
        <f t="shared" ref="O251:O256" si="192">L251*M251-N251*L251</f>
        <v>5</v>
      </c>
    </row>
    <row r="252" spans="1:16" ht="18" customHeight="1">
      <c r="A252" s="85"/>
      <c r="B252" s="86"/>
      <c r="C252" s="87"/>
      <c r="D252" s="88">
        <v>738</v>
      </c>
      <c r="E252" s="88">
        <v>1310</v>
      </c>
      <c r="F252" s="89">
        <f t="shared" si="191"/>
        <v>20</v>
      </c>
      <c r="G252" s="90">
        <f t="shared" si="189"/>
        <v>210.6068032545829</v>
      </c>
      <c r="H252" s="90">
        <f t="shared" si="190"/>
        <v>163.84</v>
      </c>
      <c r="I252" s="91" t="str">
        <f t="shared" ref="I252:I256" si="193">I251</f>
        <v>3동4라인</v>
      </c>
      <c r="J252" s="92" t="s">
        <v>207</v>
      </c>
      <c r="L252" s="89">
        <v>4</v>
      </c>
      <c r="M252" s="78">
        <f t="shared" ref="M252:M255" si="194">M251</f>
        <v>5</v>
      </c>
      <c r="N252" s="78"/>
      <c r="O252" s="78">
        <f t="shared" si="192"/>
        <v>20</v>
      </c>
    </row>
    <row r="253" spans="1:16" ht="18" customHeight="1">
      <c r="A253" s="85"/>
      <c r="B253" s="86"/>
      <c r="C253" s="87"/>
      <c r="D253" s="88">
        <v>288</v>
      </c>
      <c r="E253" s="88">
        <v>910</v>
      </c>
      <c r="F253" s="89">
        <f t="shared" si="191"/>
        <v>10</v>
      </c>
      <c r="G253" s="90">
        <f t="shared" si="189"/>
        <v>28.546220958729535</v>
      </c>
      <c r="H253" s="90">
        <f t="shared" si="190"/>
        <v>47.92</v>
      </c>
      <c r="I253" s="91" t="str">
        <f t="shared" si="193"/>
        <v>3동4라인</v>
      </c>
      <c r="J253" s="92" t="s">
        <v>208</v>
      </c>
      <c r="L253" s="89">
        <v>2</v>
      </c>
      <c r="M253" s="78">
        <f t="shared" si="194"/>
        <v>5</v>
      </c>
      <c r="N253" s="78"/>
      <c r="O253" s="78">
        <f t="shared" si="192"/>
        <v>10</v>
      </c>
    </row>
    <row r="254" spans="1:16" ht="18" customHeight="1">
      <c r="A254" s="85"/>
      <c r="B254" s="86"/>
      <c r="C254" s="87"/>
      <c r="D254" s="88">
        <v>228</v>
      </c>
      <c r="E254" s="88">
        <v>910</v>
      </c>
      <c r="F254" s="89">
        <f t="shared" si="191"/>
        <v>10</v>
      </c>
      <c r="G254" s="90">
        <f t="shared" si="189"/>
        <v>22.59909159232755</v>
      </c>
      <c r="H254" s="90">
        <f t="shared" si="190"/>
        <v>45.519999999999996</v>
      </c>
      <c r="I254" s="91" t="str">
        <f t="shared" si="193"/>
        <v>3동4라인</v>
      </c>
      <c r="J254" s="92" t="s">
        <v>209</v>
      </c>
      <c r="L254" s="89">
        <v>2</v>
      </c>
      <c r="M254" s="78">
        <f t="shared" si="194"/>
        <v>5</v>
      </c>
      <c r="N254" s="78"/>
      <c r="O254" s="78">
        <f t="shared" si="192"/>
        <v>10</v>
      </c>
    </row>
    <row r="255" spans="1:16" ht="18" customHeight="1">
      <c r="A255" s="85"/>
      <c r="B255" s="86"/>
      <c r="C255" s="87"/>
      <c r="D255" s="88">
        <v>438</v>
      </c>
      <c r="E255" s="88">
        <v>270</v>
      </c>
      <c r="F255" s="89">
        <f t="shared" si="191"/>
        <v>10</v>
      </c>
      <c r="G255" s="90">
        <f t="shared" si="189"/>
        <v>12.881090089206941</v>
      </c>
      <c r="H255" s="90">
        <f t="shared" si="190"/>
        <v>28.32</v>
      </c>
      <c r="I255" s="91" t="str">
        <f t="shared" si="193"/>
        <v>3동4라인</v>
      </c>
      <c r="J255" s="92" t="s">
        <v>210</v>
      </c>
      <c r="L255" s="89">
        <v>2</v>
      </c>
      <c r="M255" s="78">
        <f t="shared" si="194"/>
        <v>5</v>
      </c>
      <c r="N255" s="78"/>
      <c r="O255" s="78">
        <f t="shared" si="192"/>
        <v>10</v>
      </c>
    </row>
    <row r="256" spans="1:16" ht="18" customHeight="1">
      <c r="A256" s="85"/>
      <c r="B256" s="86"/>
      <c r="C256" s="87"/>
      <c r="D256" s="88">
        <v>208</v>
      </c>
      <c r="E256" s="88">
        <v>910</v>
      </c>
      <c r="F256" s="89">
        <f t="shared" si="191"/>
        <v>10</v>
      </c>
      <c r="G256" s="90">
        <f t="shared" si="189"/>
        <v>20.616715136860222</v>
      </c>
      <c r="H256" s="90">
        <f t="shared" si="190"/>
        <v>44.72</v>
      </c>
      <c r="I256" s="91" t="str">
        <f t="shared" si="193"/>
        <v>3동4라인</v>
      </c>
      <c r="J256" s="92" t="s">
        <v>211</v>
      </c>
      <c r="L256" s="89">
        <v>2</v>
      </c>
      <c r="M256" s="78">
        <f>M255</f>
        <v>5</v>
      </c>
      <c r="N256" s="78"/>
      <c r="O256" s="78">
        <f t="shared" si="192"/>
        <v>10</v>
      </c>
    </row>
    <row r="257" spans="1:16" ht="18" customHeight="1">
      <c r="A257" s="85"/>
      <c r="B257" s="93"/>
      <c r="C257" s="87"/>
      <c r="D257" s="325" t="s">
        <v>0</v>
      </c>
      <c r="E257" s="325"/>
      <c r="F257" s="94">
        <f>SUM(F250:F256)</f>
        <v>75</v>
      </c>
      <c r="G257" s="95">
        <f>SUM(G250:G256)</f>
        <v>611.67314751277115</v>
      </c>
      <c r="H257" s="96">
        <f>SUM(H250:H256)</f>
        <v>503.12</v>
      </c>
      <c r="I257" s="97"/>
      <c r="J257" s="162"/>
    </row>
    <row r="258" spans="1:16" ht="18" customHeight="1">
      <c r="A258" s="85"/>
      <c r="B258" s="93"/>
      <c r="C258" s="87"/>
      <c r="D258" s="161"/>
      <c r="E258" s="161"/>
      <c r="F258" s="89"/>
      <c r="G258" s="100"/>
      <c r="H258" s="101"/>
      <c r="I258" s="102"/>
      <c r="J258" s="121"/>
      <c r="L258" s="78" t="s">
        <v>48</v>
      </c>
      <c r="M258" s="78" t="s">
        <v>54</v>
      </c>
      <c r="N258" s="78" t="s">
        <v>50</v>
      </c>
      <c r="O258" s="78" t="s">
        <v>55</v>
      </c>
    </row>
    <row r="259" spans="1:16" ht="18" customHeight="1">
      <c r="A259" s="85"/>
      <c r="B259" s="23" t="s">
        <v>197</v>
      </c>
      <c r="C259" s="24">
        <v>22</v>
      </c>
      <c r="D259" s="88">
        <v>761</v>
      </c>
      <c r="E259" s="88">
        <v>1810</v>
      </c>
      <c r="F259" s="89">
        <f t="shared" ref="F259:F265" si="195">O259</f>
        <v>10</v>
      </c>
      <c r="G259" s="90">
        <f t="shared" ref="G259:G265" si="196">D259*E259/91809*F259</f>
        <v>150.02995349039855</v>
      </c>
      <c r="H259" s="90">
        <f t="shared" ref="H259:H265" si="197">(D259/1000)*4*F259+(E259/1000)*4*F259</f>
        <v>102.84</v>
      </c>
      <c r="I259" s="91" t="str">
        <f t="shared" ref="I259:I265" si="198">I250</f>
        <v>3동4라인</v>
      </c>
      <c r="J259" s="92" t="s">
        <v>212</v>
      </c>
      <c r="L259" s="89">
        <v>2</v>
      </c>
      <c r="M259" s="78">
        <f>M250</f>
        <v>5</v>
      </c>
      <c r="N259" s="84"/>
      <c r="O259" s="78">
        <f>L259*M259-N259*L259</f>
        <v>10</v>
      </c>
    </row>
    <row r="260" spans="1:16" ht="18" customHeight="1">
      <c r="A260" s="85"/>
      <c r="B260" s="86"/>
      <c r="C260" s="87"/>
      <c r="D260" s="88">
        <v>1688</v>
      </c>
      <c r="E260" s="88">
        <v>1810</v>
      </c>
      <c r="F260" s="89">
        <f t="shared" si="195"/>
        <v>5</v>
      </c>
      <c r="G260" s="90">
        <f t="shared" si="196"/>
        <v>166.39327299066539</v>
      </c>
      <c r="H260" s="90">
        <f t="shared" si="197"/>
        <v>69.960000000000008</v>
      </c>
      <c r="I260" s="91" t="str">
        <f t="shared" si="198"/>
        <v>3동4라인</v>
      </c>
      <c r="J260" s="92" t="s">
        <v>213</v>
      </c>
      <c r="L260" s="89">
        <v>1</v>
      </c>
      <c r="M260" s="78">
        <f>M259</f>
        <v>5</v>
      </c>
      <c r="N260" s="84"/>
      <c r="O260" s="78">
        <f>L260*M260-N260*L260</f>
        <v>5</v>
      </c>
    </row>
    <row r="261" spans="1:16" ht="18" customHeight="1">
      <c r="A261" s="104"/>
      <c r="B261" s="93"/>
      <c r="C261" s="87"/>
      <c r="D261" s="88">
        <v>738</v>
      </c>
      <c r="E261" s="88">
        <v>1310</v>
      </c>
      <c r="F261" s="89">
        <f t="shared" si="195"/>
        <v>20</v>
      </c>
      <c r="G261" s="90">
        <f t="shared" si="196"/>
        <v>210.6068032545829</v>
      </c>
      <c r="H261" s="90">
        <f t="shared" si="197"/>
        <v>163.84</v>
      </c>
      <c r="I261" s="91" t="str">
        <f t="shared" si="198"/>
        <v>3동4라인</v>
      </c>
      <c r="J261" s="92" t="s">
        <v>214</v>
      </c>
      <c r="L261" s="89">
        <v>4</v>
      </c>
      <c r="M261" s="78">
        <f t="shared" ref="M261:M265" si="199">M260</f>
        <v>5</v>
      </c>
      <c r="N261" s="84"/>
      <c r="O261" s="78">
        <f t="shared" ref="O261:O265" si="200">L261*M261-N261*L261</f>
        <v>20</v>
      </c>
    </row>
    <row r="262" spans="1:16" ht="18" customHeight="1">
      <c r="A262" s="104"/>
      <c r="B262" s="93"/>
      <c r="C262" s="87"/>
      <c r="D262" s="88">
        <v>288</v>
      </c>
      <c r="E262" s="88">
        <v>910</v>
      </c>
      <c r="F262" s="89">
        <f t="shared" si="195"/>
        <v>10</v>
      </c>
      <c r="G262" s="90">
        <f t="shared" si="196"/>
        <v>28.546220958729535</v>
      </c>
      <c r="H262" s="90">
        <f t="shared" si="197"/>
        <v>47.92</v>
      </c>
      <c r="I262" s="91" t="str">
        <f t="shared" si="198"/>
        <v>3동4라인</v>
      </c>
      <c r="J262" s="92" t="s">
        <v>215</v>
      </c>
      <c r="L262" s="89">
        <v>2</v>
      </c>
      <c r="M262" s="78">
        <f t="shared" si="199"/>
        <v>5</v>
      </c>
      <c r="N262" s="78"/>
      <c r="O262" s="78">
        <f t="shared" si="200"/>
        <v>10</v>
      </c>
    </row>
    <row r="263" spans="1:16" ht="18" customHeight="1">
      <c r="A263" s="104"/>
      <c r="B263" s="93"/>
      <c r="C263" s="87"/>
      <c r="D263" s="88">
        <v>228</v>
      </c>
      <c r="E263" s="88">
        <v>910</v>
      </c>
      <c r="F263" s="89">
        <f t="shared" si="195"/>
        <v>10</v>
      </c>
      <c r="G263" s="90">
        <f t="shared" si="196"/>
        <v>22.59909159232755</v>
      </c>
      <c r="H263" s="90">
        <f t="shared" si="197"/>
        <v>45.519999999999996</v>
      </c>
      <c r="I263" s="91" t="str">
        <f t="shared" si="198"/>
        <v>3동4라인</v>
      </c>
      <c r="J263" s="92" t="s">
        <v>216</v>
      </c>
      <c r="L263" s="89">
        <v>2</v>
      </c>
      <c r="M263" s="78">
        <f t="shared" si="199"/>
        <v>5</v>
      </c>
      <c r="N263" s="78"/>
      <c r="O263" s="78">
        <f t="shared" si="200"/>
        <v>10</v>
      </c>
    </row>
    <row r="264" spans="1:16" ht="18" customHeight="1">
      <c r="A264" s="104"/>
      <c r="B264" s="93"/>
      <c r="C264" s="87"/>
      <c r="D264" s="88">
        <v>438</v>
      </c>
      <c r="E264" s="88">
        <v>270</v>
      </c>
      <c r="F264" s="89">
        <f t="shared" si="195"/>
        <v>10</v>
      </c>
      <c r="G264" s="90">
        <f t="shared" si="196"/>
        <v>12.881090089206941</v>
      </c>
      <c r="H264" s="90">
        <f t="shared" si="197"/>
        <v>28.32</v>
      </c>
      <c r="I264" s="91" t="str">
        <f t="shared" si="198"/>
        <v>3동4라인</v>
      </c>
      <c r="J264" s="92" t="s">
        <v>217</v>
      </c>
      <c r="L264" s="89">
        <v>2</v>
      </c>
      <c r="M264" s="78">
        <f t="shared" si="199"/>
        <v>5</v>
      </c>
      <c r="N264" s="78"/>
      <c r="O264" s="78">
        <f t="shared" si="200"/>
        <v>10</v>
      </c>
    </row>
    <row r="265" spans="1:16" ht="18" customHeight="1">
      <c r="A265" s="104"/>
      <c r="B265" s="93"/>
      <c r="C265" s="87"/>
      <c r="D265" s="88">
        <v>208</v>
      </c>
      <c r="E265" s="88">
        <v>910</v>
      </c>
      <c r="F265" s="89">
        <f t="shared" si="195"/>
        <v>10</v>
      </c>
      <c r="G265" s="90">
        <f t="shared" si="196"/>
        <v>20.616715136860222</v>
      </c>
      <c r="H265" s="90">
        <f t="shared" si="197"/>
        <v>44.72</v>
      </c>
      <c r="I265" s="91" t="str">
        <f t="shared" si="198"/>
        <v>3동4라인</v>
      </c>
      <c r="J265" s="92" t="s">
        <v>218</v>
      </c>
      <c r="L265" s="89">
        <v>2</v>
      </c>
      <c r="M265" s="78">
        <f t="shared" si="199"/>
        <v>5</v>
      </c>
      <c r="N265" s="78"/>
      <c r="O265" s="78">
        <f t="shared" si="200"/>
        <v>10</v>
      </c>
    </row>
    <row r="266" spans="1:16" ht="18" customHeight="1">
      <c r="A266" s="104"/>
      <c r="B266" s="87"/>
      <c r="C266" s="87"/>
      <c r="D266" s="325" t="s">
        <v>0</v>
      </c>
      <c r="E266" s="325"/>
      <c r="F266" s="171">
        <f>SUM(F259:F265)</f>
        <v>75</v>
      </c>
      <c r="G266" s="95">
        <f>SUM(G259:G265)</f>
        <v>611.67314751277115</v>
      </c>
      <c r="H266" s="95">
        <f>SUM(H259:H265)</f>
        <v>503.12</v>
      </c>
      <c r="I266" s="97"/>
      <c r="J266" s="98"/>
    </row>
    <row r="267" spans="1:16">
      <c r="A267" s="105"/>
      <c r="B267" s="9"/>
      <c r="C267" s="9"/>
      <c r="D267" s="51"/>
      <c r="E267" s="51"/>
      <c r="F267" s="51"/>
      <c r="G267" s="106"/>
      <c r="H267" s="106"/>
      <c r="I267" s="9"/>
      <c r="J267" s="107"/>
    </row>
    <row r="268" spans="1:16" ht="18" customHeight="1">
      <c r="A268" s="85"/>
      <c r="B268" s="163" t="s">
        <v>199</v>
      </c>
      <c r="C268" s="163">
        <v>22</v>
      </c>
      <c r="D268" s="88">
        <v>738</v>
      </c>
      <c r="E268" s="88">
        <v>1810</v>
      </c>
      <c r="F268" s="89">
        <f t="shared" ref="F268:F269" si="201">O268</f>
        <v>10</v>
      </c>
      <c r="G268" s="90">
        <f t="shared" ref="G268:G269" si="202">D268*E268/91809*F268</f>
        <v>145.4955396529752</v>
      </c>
      <c r="H268" s="90">
        <f t="shared" ref="H268:H269" si="203">(D268/1000)*4*F268+(E268/1000)*4*F268</f>
        <v>101.92</v>
      </c>
      <c r="I268" s="91" t="str">
        <f>I259</f>
        <v>3동4라인</v>
      </c>
      <c r="J268" s="92" t="s">
        <v>219</v>
      </c>
      <c r="L268" s="89">
        <v>2</v>
      </c>
      <c r="M268" s="78">
        <f>M250</f>
        <v>5</v>
      </c>
      <c r="N268" s="84"/>
      <c r="O268" s="78">
        <f>L268*M268-N268*L268</f>
        <v>10</v>
      </c>
      <c r="P268" s="64"/>
    </row>
    <row r="269" spans="1:16" ht="18" customHeight="1">
      <c r="A269" s="85"/>
      <c r="B269" s="86"/>
      <c r="C269" s="87"/>
      <c r="D269" s="88">
        <v>250</v>
      </c>
      <c r="E269" s="88">
        <v>930</v>
      </c>
      <c r="F269" s="89">
        <f t="shared" si="201"/>
        <v>10</v>
      </c>
      <c r="G269" s="90">
        <f t="shared" si="202"/>
        <v>25.324314609678787</v>
      </c>
      <c r="H269" s="90">
        <f t="shared" si="203"/>
        <v>47.2</v>
      </c>
      <c r="I269" s="91" t="str">
        <f>I268</f>
        <v>3동4라인</v>
      </c>
      <c r="J269" s="92" t="s">
        <v>220</v>
      </c>
      <c r="L269" s="89">
        <v>2</v>
      </c>
      <c r="M269" s="78">
        <f>M268</f>
        <v>5</v>
      </c>
      <c r="N269" s="84"/>
      <c r="O269" s="78">
        <f t="shared" ref="O269" si="204">L269*M269-N269*L269</f>
        <v>10</v>
      </c>
    </row>
    <row r="270" spans="1:16" ht="18" customHeight="1">
      <c r="A270" s="85"/>
      <c r="B270" s="93"/>
      <c r="C270" s="87"/>
      <c r="D270" s="325" t="s">
        <v>0</v>
      </c>
      <c r="E270" s="325"/>
      <c r="F270" s="94">
        <f>SUM(F268:F269)</f>
        <v>20</v>
      </c>
      <c r="G270" s="95">
        <f>SUM(G268:G269)</f>
        <v>170.81985426265399</v>
      </c>
      <c r="H270" s="95">
        <f>SUM(H268:H269)</f>
        <v>149.12</v>
      </c>
      <c r="I270" s="97"/>
      <c r="J270" s="98"/>
    </row>
    <row r="271" spans="1:16" ht="18" customHeight="1">
      <c r="A271" s="108"/>
      <c r="B271" s="164"/>
      <c r="C271" s="109"/>
      <c r="D271" s="363"/>
      <c r="E271" s="363"/>
      <c r="F271" s="110"/>
      <c r="G271" s="111"/>
      <c r="H271" s="234"/>
      <c r="I271" s="112"/>
      <c r="J271" s="235"/>
    </row>
    <row r="272" spans="1:16" ht="18" customHeight="1">
      <c r="A272" s="262" t="s">
        <v>234</v>
      </c>
      <c r="B272" s="263" t="s">
        <v>195</v>
      </c>
      <c r="C272" s="264">
        <v>22</v>
      </c>
      <c r="D272" s="265">
        <v>761</v>
      </c>
      <c r="E272" s="265">
        <v>1810</v>
      </c>
      <c r="F272" s="251">
        <f>O272</f>
        <v>20</v>
      </c>
      <c r="G272" s="266">
        <f t="shared" ref="G272:G278" si="205">D272*E272/91809*F272</f>
        <v>300.05990698079711</v>
      </c>
      <c r="H272" s="266">
        <f t="shared" ref="H272:H278" si="206">(D272/1000)*4*F272+(E272/1000)*4*F272</f>
        <v>205.68</v>
      </c>
      <c r="I272" s="267" t="s">
        <v>254</v>
      </c>
      <c r="J272" s="268" t="s">
        <v>205</v>
      </c>
      <c r="L272" s="89">
        <v>2</v>
      </c>
      <c r="M272" s="78">
        <v>10</v>
      </c>
      <c r="N272" s="84"/>
      <c r="O272" s="78">
        <f>L272*M272-N272*L272</f>
        <v>20</v>
      </c>
      <c r="P272" s="64"/>
    </row>
    <row r="273" spans="1:15" ht="18" customHeight="1">
      <c r="A273" s="85"/>
      <c r="B273" s="86"/>
      <c r="C273" s="87"/>
      <c r="D273" s="88">
        <v>1688</v>
      </c>
      <c r="E273" s="88">
        <v>1810</v>
      </c>
      <c r="F273" s="89">
        <f t="shared" ref="F273:F278" si="207">O273</f>
        <v>10</v>
      </c>
      <c r="G273" s="90">
        <f t="shared" si="205"/>
        <v>332.78654598133079</v>
      </c>
      <c r="H273" s="90">
        <f t="shared" si="206"/>
        <v>139.92000000000002</v>
      </c>
      <c r="I273" s="91" t="str">
        <f>I272</f>
        <v>3동5,6라인</v>
      </c>
      <c r="J273" s="92" t="s">
        <v>206</v>
      </c>
      <c r="L273" s="89">
        <v>1</v>
      </c>
      <c r="M273" s="78">
        <f>M272</f>
        <v>10</v>
      </c>
      <c r="N273" s="84"/>
      <c r="O273" s="78">
        <f t="shared" ref="O273:O278" si="208">L273*M273-N273*L273</f>
        <v>10</v>
      </c>
    </row>
    <row r="274" spans="1:15" ht="18" customHeight="1">
      <c r="A274" s="85"/>
      <c r="B274" s="86"/>
      <c r="C274" s="87"/>
      <c r="D274" s="88">
        <v>738</v>
      </c>
      <c r="E274" s="88">
        <v>1310</v>
      </c>
      <c r="F274" s="89">
        <f t="shared" si="207"/>
        <v>40</v>
      </c>
      <c r="G274" s="90">
        <f t="shared" si="205"/>
        <v>421.2136065091658</v>
      </c>
      <c r="H274" s="90">
        <f t="shared" si="206"/>
        <v>327.68</v>
      </c>
      <c r="I274" s="91" t="str">
        <f t="shared" ref="I274:I278" si="209">I273</f>
        <v>3동5,6라인</v>
      </c>
      <c r="J274" s="92" t="s">
        <v>207</v>
      </c>
      <c r="L274" s="89">
        <v>4</v>
      </c>
      <c r="M274" s="78">
        <f t="shared" ref="M274:M277" si="210">M273</f>
        <v>10</v>
      </c>
      <c r="N274" s="78"/>
      <c r="O274" s="78">
        <f t="shared" si="208"/>
        <v>40</v>
      </c>
    </row>
    <row r="275" spans="1:15" ht="18" customHeight="1">
      <c r="A275" s="85"/>
      <c r="B275" s="86"/>
      <c r="C275" s="87"/>
      <c r="D275" s="88">
        <v>288</v>
      </c>
      <c r="E275" s="88">
        <v>910</v>
      </c>
      <c r="F275" s="89">
        <f t="shared" si="207"/>
        <v>20</v>
      </c>
      <c r="G275" s="90">
        <f t="shared" si="205"/>
        <v>57.09244191745907</v>
      </c>
      <c r="H275" s="90">
        <f t="shared" si="206"/>
        <v>95.84</v>
      </c>
      <c r="I275" s="91" t="str">
        <f t="shared" si="209"/>
        <v>3동5,6라인</v>
      </c>
      <c r="J275" s="92" t="s">
        <v>208</v>
      </c>
      <c r="L275" s="89">
        <v>2</v>
      </c>
      <c r="M275" s="78">
        <f t="shared" si="210"/>
        <v>10</v>
      </c>
      <c r="N275" s="78"/>
      <c r="O275" s="78">
        <f t="shared" si="208"/>
        <v>20</v>
      </c>
    </row>
    <row r="276" spans="1:15" ht="18" customHeight="1">
      <c r="A276" s="85"/>
      <c r="B276" s="86"/>
      <c r="C276" s="87"/>
      <c r="D276" s="88">
        <v>228</v>
      </c>
      <c r="E276" s="88">
        <v>910</v>
      </c>
      <c r="F276" s="89">
        <f t="shared" si="207"/>
        <v>20</v>
      </c>
      <c r="G276" s="90">
        <f t="shared" si="205"/>
        <v>45.1981831846551</v>
      </c>
      <c r="H276" s="90">
        <f t="shared" si="206"/>
        <v>91.039999999999992</v>
      </c>
      <c r="I276" s="91" t="str">
        <f t="shared" si="209"/>
        <v>3동5,6라인</v>
      </c>
      <c r="J276" s="92" t="s">
        <v>209</v>
      </c>
      <c r="L276" s="89">
        <v>2</v>
      </c>
      <c r="M276" s="78">
        <f t="shared" si="210"/>
        <v>10</v>
      </c>
      <c r="N276" s="78"/>
      <c r="O276" s="78">
        <f t="shared" si="208"/>
        <v>20</v>
      </c>
    </row>
    <row r="277" spans="1:15" ht="18" customHeight="1">
      <c r="A277" s="85"/>
      <c r="B277" s="86"/>
      <c r="C277" s="87"/>
      <c r="D277" s="88">
        <v>438</v>
      </c>
      <c r="E277" s="88">
        <v>270</v>
      </c>
      <c r="F277" s="89">
        <f t="shared" si="207"/>
        <v>20</v>
      </c>
      <c r="G277" s="90">
        <f t="shared" si="205"/>
        <v>25.762180178413882</v>
      </c>
      <c r="H277" s="90">
        <f t="shared" si="206"/>
        <v>56.64</v>
      </c>
      <c r="I277" s="91" t="str">
        <f t="shared" si="209"/>
        <v>3동5,6라인</v>
      </c>
      <c r="J277" s="92" t="s">
        <v>210</v>
      </c>
      <c r="L277" s="89">
        <v>2</v>
      </c>
      <c r="M277" s="78">
        <f t="shared" si="210"/>
        <v>10</v>
      </c>
      <c r="N277" s="78"/>
      <c r="O277" s="78">
        <f t="shared" si="208"/>
        <v>20</v>
      </c>
    </row>
    <row r="278" spans="1:15" ht="18" customHeight="1">
      <c r="A278" s="85"/>
      <c r="B278" s="86"/>
      <c r="C278" s="87"/>
      <c r="D278" s="88">
        <v>208</v>
      </c>
      <c r="E278" s="88">
        <v>910</v>
      </c>
      <c r="F278" s="89">
        <f t="shared" si="207"/>
        <v>20</v>
      </c>
      <c r="G278" s="90">
        <f t="shared" si="205"/>
        <v>41.233430273720444</v>
      </c>
      <c r="H278" s="90">
        <f t="shared" si="206"/>
        <v>89.44</v>
      </c>
      <c r="I278" s="91" t="str">
        <f t="shared" si="209"/>
        <v>3동5,6라인</v>
      </c>
      <c r="J278" s="92" t="s">
        <v>211</v>
      </c>
      <c r="L278" s="89">
        <v>2</v>
      </c>
      <c r="M278" s="78">
        <f>M277</f>
        <v>10</v>
      </c>
      <c r="N278" s="78"/>
      <c r="O278" s="78">
        <f t="shared" si="208"/>
        <v>20</v>
      </c>
    </row>
    <row r="279" spans="1:15" ht="18" customHeight="1">
      <c r="A279" s="85"/>
      <c r="B279" s="93"/>
      <c r="C279" s="87"/>
      <c r="D279" s="325" t="s">
        <v>0</v>
      </c>
      <c r="E279" s="325"/>
      <c r="F279" s="94">
        <f>SUM(F272:F278)</f>
        <v>150</v>
      </c>
      <c r="G279" s="95">
        <f>SUM(G272:G278)</f>
        <v>1223.3462950255423</v>
      </c>
      <c r="H279" s="96">
        <f>SUM(H272:H278)</f>
        <v>1006.24</v>
      </c>
      <c r="I279" s="97"/>
      <c r="J279" s="162"/>
    </row>
    <row r="280" spans="1:15" ht="18" customHeight="1">
      <c r="A280" s="85"/>
      <c r="B280" s="93"/>
      <c r="C280" s="87"/>
      <c r="D280" s="161"/>
      <c r="E280" s="161"/>
      <c r="F280" s="89"/>
      <c r="G280" s="100"/>
      <c r="H280" s="101"/>
      <c r="I280" s="102"/>
      <c r="J280" s="121"/>
      <c r="L280" s="78" t="s">
        <v>48</v>
      </c>
      <c r="M280" s="78" t="s">
        <v>54</v>
      </c>
      <c r="N280" s="78" t="s">
        <v>50</v>
      </c>
      <c r="O280" s="78" t="s">
        <v>55</v>
      </c>
    </row>
    <row r="281" spans="1:15" ht="18" customHeight="1">
      <c r="A281" s="85"/>
      <c r="B281" s="23" t="s">
        <v>197</v>
      </c>
      <c r="C281" s="24">
        <v>22</v>
      </c>
      <c r="D281" s="88">
        <v>761</v>
      </c>
      <c r="E281" s="88">
        <v>1810</v>
      </c>
      <c r="F281" s="89">
        <f t="shared" ref="F281:F287" si="211">O281</f>
        <v>20</v>
      </c>
      <c r="G281" s="90">
        <f t="shared" ref="G281:G287" si="212">D281*E281/91809*F281</f>
        <v>300.05990698079711</v>
      </c>
      <c r="H281" s="90">
        <f t="shared" ref="H281:H287" si="213">(D281/1000)*4*F281+(E281/1000)*4*F281</f>
        <v>205.68</v>
      </c>
      <c r="I281" s="91" t="str">
        <f t="shared" ref="I281:I287" si="214">I272</f>
        <v>3동5,6라인</v>
      </c>
      <c r="J281" s="92" t="s">
        <v>212</v>
      </c>
      <c r="L281" s="89">
        <v>2</v>
      </c>
      <c r="M281" s="78">
        <f>M272</f>
        <v>10</v>
      </c>
      <c r="N281" s="84"/>
      <c r="O281" s="78">
        <f>L281*M281-N281*L281</f>
        <v>20</v>
      </c>
    </row>
    <row r="282" spans="1:15" ht="18" customHeight="1">
      <c r="A282" s="85"/>
      <c r="B282" s="86"/>
      <c r="C282" s="87"/>
      <c r="D282" s="88">
        <v>1688</v>
      </c>
      <c r="E282" s="88">
        <v>1810</v>
      </c>
      <c r="F282" s="89">
        <f t="shared" si="211"/>
        <v>10</v>
      </c>
      <c r="G282" s="90">
        <f t="shared" si="212"/>
        <v>332.78654598133079</v>
      </c>
      <c r="H282" s="90">
        <f t="shared" si="213"/>
        <v>139.92000000000002</v>
      </c>
      <c r="I282" s="91" t="str">
        <f t="shared" si="214"/>
        <v>3동5,6라인</v>
      </c>
      <c r="J282" s="92" t="s">
        <v>213</v>
      </c>
      <c r="L282" s="89">
        <v>1</v>
      </c>
      <c r="M282" s="78">
        <f>M281</f>
        <v>10</v>
      </c>
      <c r="N282" s="84"/>
      <c r="O282" s="78">
        <f>L282*M282-N282*L282</f>
        <v>10</v>
      </c>
    </row>
    <row r="283" spans="1:15" ht="18" customHeight="1">
      <c r="A283" s="104"/>
      <c r="B283" s="93"/>
      <c r="C283" s="87"/>
      <c r="D283" s="88">
        <v>738</v>
      </c>
      <c r="E283" s="88">
        <v>1310</v>
      </c>
      <c r="F283" s="89">
        <f t="shared" si="211"/>
        <v>40</v>
      </c>
      <c r="G283" s="90">
        <f t="shared" si="212"/>
        <v>421.2136065091658</v>
      </c>
      <c r="H283" s="90">
        <f t="shared" si="213"/>
        <v>327.68</v>
      </c>
      <c r="I283" s="91" t="str">
        <f t="shared" si="214"/>
        <v>3동5,6라인</v>
      </c>
      <c r="J283" s="92" t="s">
        <v>214</v>
      </c>
      <c r="L283" s="89">
        <v>4</v>
      </c>
      <c r="M283" s="78">
        <f t="shared" ref="M283:M287" si="215">M282</f>
        <v>10</v>
      </c>
      <c r="N283" s="84"/>
      <c r="O283" s="78">
        <f t="shared" ref="O283:O287" si="216">L283*M283-N283*L283</f>
        <v>40</v>
      </c>
    </row>
    <row r="284" spans="1:15" ht="18" customHeight="1">
      <c r="A284" s="104"/>
      <c r="B284" s="93"/>
      <c r="C284" s="87"/>
      <c r="D284" s="88">
        <v>288</v>
      </c>
      <c r="E284" s="88">
        <v>910</v>
      </c>
      <c r="F284" s="89">
        <f t="shared" si="211"/>
        <v>20</v>
      </c>
      <c r="G284" s="90">
        <f t="shared" si="212"/>
        <v>57.09244191745907</v>
      </c>
      <c r="H284" s="90">
        <f t="shared" si="213"/>
        <v>95.84</v>
      </c>
      <c r="I284" s="91" t="str">
        <f t="shared" si="214"/>
        <v>3동5,6라인</v>
      </c>
      <c r="J284" s="92" t="s">
        <v>215</v>
      </c>
      <c r="L284" s="89">
        <v>2</v>
      </c>
      <c r="M284" s="78">
        <f t="shared" si="215"/>
        <v>10</v>
      </c>
      <c r="N284" s="78"/>
      <c r="O284" s="78">
        <f t="shared" si="216"/>
        <v>20</v>
      </c>
    </row>
    <row r="285" spans="1:15" ht="18" customHeight="1">
      <c r="A285" s="104"/>
      <c r="B285" s="93"/>
      <c r="C285" s="87"/>
      <c r="D285" s="88">
        <v>228</v>
      </c>
      <c r="E285" s="88">
        <v>910</v>
      </c>
      <c r="F285" s="89">
        <f t="shared" si="211"/>
        <v>20</v>
      </c>
      <c r="G285" s="90">
        <f t="shared" si="212"/>
        <v>45.1981831846551</v>
      </c>
      <c r="H285" s="90">
        <f t="shared" si="213"/>
        <v>91.039999999999992</v>
      </c>
      <c r="I285" s="91" t="str">
        <f t="shared" si="214"/>
        <v>3동5,6라인</v>
      </c>
      <c r="J285" s="92" t="s">
        <v>216</v>
      </c>
      <c r="L285" s="89">
        <v>2</v>
      </c>
      <c r="M285" s="78">
        <f t="shared" si="215"/>
        <v>10</v>
      </c>
      <c r="N285" s="78"/>
      <c r="O285" s="78">
        <f t="shared" si="216"/>
        <v>20</v>
      </c>
    </row>
    <row r="286" spans="1:15" ht="18" customHeight="1">
      <c r="A286" s="104"/>
      <c r="B286" s="93"/>
      <c r="C286" s="87"/>
      <c r="D286" s="88">
        <v>438</v>
      </c>
      <c r="E286" s="88">
        <v>270</v>
      </c>
      <c r="F286" s="89">
        <f t="shared" si="211"/>
        <v>20</v>
      </c>
      <c r="G286" s="90">
        <f t="shared" si="212"/>
        <v>25.762180178413882</v>
      </c>
      <c r="H286" s="90">
        <f t="shared" si="213"/>
        <v>56.64</v>
      </c>
      <c r="I286" s="91" t="str">
        <f t="shared" si="214"/>
        <v>3동5,6라인</v>
      </c>
      <c r="J286" s="92" t="s">
        <v>217</v>
      </c>
      <c r="L286" s="89">
        <v>2</v>
      </c>
      <c r="M286" s="78">
        <f t="shared" si="215"/>
        <v>10</v>
      </c>
      <c r="N286" s="78"/>
      <c r="O286" s="78">
        <f t="shared" si="216"/>
        <v>20</v>
      </c>
    </row>
    <row r="287" spans="1:15" ht="18" customHeight="1">
      <c r="A287" s="104"/>
      <c r="B287" s="93"/>
      <c r="C287" s="87"/>
      <c r="D287" s="88">
        <v>208</v>
      </c>
      <c r="E287" s="88">
        <v>910</v>
      </c>
      <c r="F287" s="89">
        <f t="shared" si="211"/>
        <v>20</v>
      </c>
      <c r="G287" s="90">
        <f t="shared" si="212"/>
        <v>41.233430273720444</v>
      </c>
      <c r="H287" s="90">
        <f t="shared" si="213"/>
        <v>89.44</v>
      </c>
      <c r="I287" s="91" t="str">
        <f t="shared" si="214"/>
        <v>3동5,6라인</v>
      </c>
      <c r="J287" s="92" t="s">
        <v>218</v>
      </c>
      <c r="L287" s="89">
        <v>2</v>
      </c>
      <c r="M287" s="78">
        <f t="shared" si="215"/>
        <v>10</v>
      </c>
      <c r="N287" s="78"/>
      <c r="O287" s="78">
        <f t="shared" si="216"/>
        <v>20</v>
      </c>
    </row>
    <row r="288" spans="1:15" ht="18" customHeight="1">
      <c r="A288" s="104"/>
      <c r="B288" s="87"/>
      <c r="C288" s="87"/>
      <c r="D288" s="325" t="s">
        <v>0</v>
      </c>
      <c r="E288" s="325"/>
      <c r="F288" s="171">
        <f>SUM(F281:F287)</f>
        <v>150</v>
      </c>
      <c r="G288" s="95">
        <f>SUM(G281:G287)</f>
        <v>1223.3462950255423</v>
      </c>
      <c r="H288" s="95">
        <f>SUM(H281:H287)</f>
        <v>1006.24</v>
      </c>
      <c r="I288" s="97"/>
      <c r="J288" s="98"/>
    </row>
    <row r="289" spans="1:16">
      <c r="A289" s="105"/>
      <c r="B289" s="9"/>
      <c r="C289" s="9"/>
      <c r="D289" s="51"/>
      <c r="E289" s="51"/>
      <c r="F289" s="51"/>
      <c r="G289" s="106"/>
      <c r="H289" s="106"/>
      <c r="I289" s="9"/>
      <c r="J289" s="107"/>
    </row>
    <row r="290" spans="1:16" ht="18" customHeight="1">
      <c r="A290" s="85"/>
      <c r="B290" s="163" t="s">
        <v>199</v>
      </c>
      <c r="C290" s="163">
        <v>22</v>
      </c>
      <c r="D290" s="88">
        <v>738</v>
      </c>
      <c r="E290" s="88">
        <v>1810</v>
      </c>
      <c r="F290" s="89">
        <f t="shared" ref="F290:F291" si="217">O290</f>
        <v>20</v>
      </c>
      <c r="G290" s="90">
        <f t="shared" ref="G290:G291" si="218">D290*E290/91809*F290</f>
        <v>290.99107930595039</v>
      </c>
      <c r="H290" s="90">
        <f t="shared" ref="H290:H291" si="219">(D290/1000)*4*F290+(E290/1000)*4*F290</f>
        <v>203.84</v>
      </c>
      <c r="I290" s="91" t="str">
        <f>I281</f>
        <v>3동5,6라인</v>
      </c>
      <c r="J290" s="92" t="s">
        <v>219</v>
      </c>
      <c r="L290" s="89">
        <v>2</v>
      </c>
      <c r="M290" s="78">
        <f>M272</f>
        <v>10</v>
      </c>
      <c r="N290" s="84"/>
      <c r="O290" s="78">
        <f>L290*M290-N290*L290</f>
        <v>20</v>
      </c>
      <c r="P290" s="64"/>
    </row>
    <row r="291" spans="1:16" ht="18" customHeight="1">
      <c r="A291" s="85"/>
      <c r="B291" s="86"/>
      <c r="C291" s="87"/>
      <c r="D291" s="88">
        <v>250</v>
      </c>
      <c r="E291" s="88">
        <v>930</v>
      </c>
      <c r="F291" s="89">
        <f t="shared" si="217"/>
        <v>20</v>
      </c>
      <c r="G291" s="90">
        <f t="shared" si="218"/>
        <v>50.648629219357574</v>
      </c>
      <c r="H291" s="90">
        <f t="shared" si="219"/>
        <v>94.4</v>
      </c>
      <c r="I291" s="91" t="str">
        <f>I290</f>
        <v>3동5,6라인</v>
      </c>
      <c r="J291" s="92" t="s">
        <v>220</v>
      </c>
      <c r="L291" s="89">
        <v>2</v>
      </c>
      <c r="M291" s="78">
        <f>M290</f>
        <v>10</v>
      </c>
      <c r="N291" s="84"/>
      <c r="O291" s="78">
        <f t="shared" ref="O291" si="220">L291*M291-N291*L291</f>
        <v>20</v>
      </c>
    </row>
    <row r="292" spans="1:16" ht="18" customHeight="1">
      <c r="A292" s="85"/>
      <c r="B292" s="93"/>
      <c r="C292" s="87"/>
      <c r="D292" s="325" t="s">
        <v>0</v>
      </c>
      <c r="E292" s="325"/>
      <c r="F292" s="94">
        <f>SUM(F290:F291)</f>
        <v>40</v>
      </c>
      <c r="G292" s="95">
        <f>SUM(G290:G291)</f>
        <v>341.63970852530798</v>
      </c>
      <c r="H292" s="95">
        <f>SUM(H290:H291)</f>
        <v>298.24</v>
      </c>
      <c r="I292" s="97"/>
      <c r="J292" s="98"/>
    </row>
    <row r="293" spans="1:16" ht="18" customHeight="1">
      <c r="A293" s="114"/>
      <c r="B293" s="169"/>
      <c r="C293" s="115"/>
      <c r="D293" s="170"/>
      <c r="E293" s="170"/>
      <c r="F293" s="116"/>
      <c r="G293" s="117"/>
      <c r="H293" s="117"/>
      <c r="I293" s="118"/>
      <c r="J293" s="119"/>
    </row>
    <row r="294" spans="1:16" ht="18" customHeight="1">
      <c r="A294" s="262" t="s">
        <v>234</v>
      </c>
      <c r="B294" s="263" t="s">
        <v>195</v>
      </c>
      <c r="C294" s="264">
        <v>22</v>
      </c>
      <c r="D294" s="265">
        <v>761</v>
      </c>
      <c r="E294" s="265">
        <v>1810</v>
      </c>
      <c r="F294" s="251">
        <f>O294</f>
        <v>20</v>
      </c>
      <c r="G294" s="266">
        <f t="shared" ref="G294:G300" si="221">D294*E294/91809*F294</f>
        <v>300.05990698079711</v>
      </c>
      <c r="H294" s="266">
        <f t="shared" ref="H294:H300" si="222">(D294/1000)*4*F294+(E294/1000)*4*F294</f>
        <v>205.68</v>
      </c>
      <c r="I294" s="267" t="s">
        <v>255</v>
      </c>
      <c r="J294" s="268" t="s">
        <v>205</v>
      </c>
      <c r="L294" s="89">
        <v>2</v>
      </c>
      <c r="M294" s="78">
        <v>10</v>
      </c>
      <c r="N294" s="84"/>
      <c r="O294" s="78">
        <f>L294*M294-N294*L294</f>
        <v>20</v>
      </c>
      <c r="P294" s="64"/>
    </row>
    <row r="295" spans="1:16" ht="18" customHeight="1">
      <c r="A295" s="85"/>
      <c r="B295" s="86"/>
      <c r="C295" s="87"/>
      <c r="D295" s="88">
        <v>1688</v>
      </c>
      <c r="E295" s="88">
        <v>1810</v>
      </c>
      <c r="F295" s="89">
        <f t="shared" ref="F295:F300" si="223">O295</f>
        <v>10</v>
      </c>
      <c r="G295" s="90">
        <f t="shared" si="221"/>
        <v>332.78654598133079</v>
      </c>
      <c r="H295" s="90">
        <f t="shared" si="222"/>
        <v>139.92000000000002</v>
      </c>
      <c r="I295" s="91" t="str">
        <f>I294</f>
        <v>9동1,2라인</v>
      </c>
      <c r="J295" s="92" t="s">
        <v>206</v>
      </c>
      <c r="L295" s="89">
        <v>1</v>
      </c>
      <c r="M295" s="78">
        <f>M294</f>
        <v>10</v>
      </c>
      <c r="N295" s="84"/>
      <c r="O295" s="78">
        <f t="shared" ref="O295:O300" si="224">L295*M295-N295*L295</f>
        <v>10</v>
      </c>
    </row>
    <row r="296" spans="1:16" ht="18" customHeight="1">
      <c r="A296" s="85"/>
      <c r="B296" s="86"/>
      <c r="C296" s="87"/>
      <c r="D296" s="88">
        <v>738</v>
      </c>
      <c r="E296" s="88">
        <v>1310</v>
      </c>
      <c r="F296" s="89">
        <f t="shared" si="223"/>
        <v>40</v>
      </c>
      <c r="G296" s="90">
        <f t="shared" si="221"/>
        <v>421.2136065091658</v>
      </c>
      <c r="H296" s="90">
        <f t="shared" si="222"/>
        <v>327.68</v>
      </c>
      <c r="I296" s="91" t="str">
        <f t="shared" ref="I296:I300" si="225">I295</f>
        <v>9동1,2라인</v>
      </c>
      <c r="J296" s="92" t="s">
        <v>207</v>
      </c>
      <c r="L296" s="89">
        <v>4</v>
      </c>
      <c r="M296" s="78">
        <f t="shared" ref="M296:M299" si="226">M295</f>
        <v>10</v>
      </c>
      <c r="N296" s="78"/>
      <c r="O296" s="78">
        <f t="shared" si="224"/>
        <v>40</v>
      </c>
    </row>
    <row r="297" spans="1:16" ht="18" customHeight="1">
      <c r="A297" s="85"/>
      <c r="B297" s="86"/>
      <c r="C297" s="87"/>
      <c r="D297" s="88">
        <v>288</v>
      </c>
      <c r="E297" s="88">
        <v>910</v>
      </c>
      <c r="F297" s="89">
        <f t="shared" si="223"/>
        <v>20</v>
      </c>
      <c r="G297" s="90">
        <f t="shared" si="221"/>
        <v>57.09244191745907</v>
      </c>
      <c r="H297" s="90">
        <f t="shared" si="222"/>
        <v>95.84</v>
      </c>
      <c r="I297" s="91" t="str">
        <f t="shared" si="225"/>
        <v>9동1,2라인</v>
      </c>
      <c r="J297" s="92" t="s">
        <v>208</v>
      </c>
      <c r="L297" s="89">
        <v>2</v>
      </c>
      <c r="M297" s="78">
        <f t="shared" si="226"/>
        <v>10</v>
      </c>
      <c r="N297" s="78"/>
      <c r="O297" s="78">
        <f t="shared" si="224"/>
        <v>20</v>
      </c>
    </row>
    <row r="298" spans="1:16" ht="18" customHeight="1">
      <c r="A298" s="85"/>
      <c r="B298" s="86"/>
      <c r="C298" s="87"/>
      <c r="D298" s="88">
        <v>228</v>
      </c>
      <c r="E298" s="88">
        <v>910</v>
      </c>
      <c r="F298" s="89">
        <f t="shared" si="223"/>
        <v>20</v>
      </c>
      <c r="G298" s="90">
        <f t="shared" si="221"/>
        <v>45.1981831846551</v>
      </c>
      <c r="H298" s="90">
        <f t="shared" si="222"/>
        <v>91.039999999999992</v>
      </c>
      <c r="I298" s="91" t="str">
        <f t="shared" si="225"/>
        <v>9동1,2라인</v>
      </c>
      <c r="J298" s="92" t="s">
        <v>209</v>
      </c>
      <c r="L298" s="89">
        <v>2</v>
      </c>
      <c r="M298" s="78">
        <f t="shared" si="226"/>
        <v>10</v>
      </c>
      <c r="N298" s="78"/>
      <c r="O298" s="78">
        <f t="shared" si="224"/>
        <v>20</v>
      </c>
    </row>
    <row r="299" spans="1:16" ht="18" customHeight="1">
      <c r="A299" s="85"/>
      <c r="B299" s="86"/>
      <c r="C299" s="87"/>
      <c r="D299" s="88">
        <v>438</v>
      </c>
      <c r="E299" s="88">
        <v>270</v>
      </c>
      <c r="F299" s="89">
        <f t="shared" si="223"/>
        <v>20</v>
      </c>
      <c r="G299" s="90">
        <f t="shared" si="221"/>
        <v>25.762180178413882</v>
      </c>
      <c r="H299" s="90">
        <f t="shared" si="222"/>
        <v>56.64</v>
      </c>
      <c r="I299" s="91" t="str">
        <f t="shared" si="225"/>
        <v>9동1,2라인</v>
      </c>
      <c r="J299" s="92" t="s">
        <v>210</v>
      </c>
      <c r="L299" s="89">
        <v>2</v>
      </c>
      <c r="M299" s="78">
        <f t="shared" si="226"/>
        <v>10</v>
      </c>
      <c r="N299" s="78"/>
      <c r="O299" s="78">
        <f t="shared" si="224"/>
        <v>20</v>
      </c>
    </row>
    <row r="300" spans="1:16" ht="18" customHeight="1">
      <c r="A300" s="85"/>
      <c r="B300" s="86"/>
      <c r="C300" s="87"/>
      <c r="D300" s="88">
        <v>208</v>
      </c>
      <c r="E300" s="88">
        <v>910</v>
      </c>
      <c r="F300" s="89">
        <f t="shared" si="223"/>
        <v>20</v>
      </c>
      <c r="G300" s="90">
        <f t="shared" si="221"/>
        <v>41.233430273720444</v>
      </c>
      <c r="H300" s="90">
        <f t="shared" si="222"/>
        <v>89.44</v>
      </c>
      <c r="I300" s="91" t="str">
        <f t="shared" si="225"/>
        <v>9동1,2라인</v>
      </c>
      <c r="J300" s="92" t="s">
        <v>211</v>
      </c>
      <c r="L300" s="89">
        <v>2</v>
      </c>
      <c r="M300" s="78">
        <f>M299</f>
        <v>10</v>
      </c>
      <c r="N300" s="78"/>
      <c r="O300" s="78">
        <f t="shared" si="224"/>
        <v>20</v>
      </c>
    </row>
    <row r="301" spans="1:16" ht="18" customHeight="1">
      <c r="A301" s="85"/>
      <c r="B301" s="93"/>
      <c r="C301" s="87"/>
      <c r="D301" s="325" t="s">
        <v>0</v>
      </c>
      <c r="E301" s="325"/>
      <c r="F301" s="94">
        <f>SUM(F294:F300)</f>
        <v>150</v>
      </c>
      <c r="G301" s="95">
        <f>SUM(G294:G300)</f>
        <v>1223.3462950255423</v>
      </c>
      <c r="H301" s="96">
        <f>SUM(H294:H300)</f>
        <v>1006.24</v>
      </c>
      <c r="I301" s="97"/>
      <c r="J301" s="162"/>
    </row>
    <row r="302" spans="1:16" ht="18" customHeight="1">
      <c r="A302" s="85"/>
      <c r="B302" s="93"/>
      <c r="C302" s="87"/>
      <c r="D302" s="161"/>
      <c r="E302" s="161"/>
      <c r="F302" s="89"/>
      <c r="G302" s="100"/>
      <c r="H302" s="101"/>
      <c r="I302" s="102"/>
      <c r="J302" s="121"/>
      <c r="L302" s="78" t="s">
        <v>48</v>
      </c>
      <c r="M302" s="78" t="s">
        <v>54</v>
      </c>
      <c r="N302" s="78" t="s">
        <v>50</v>
      </c>
      <c r="O302" s="78" t="s">
        <v>55</v>
      </c>
    </row>
    <row r="303" spans="1:16" ht="18" customHeight="1">
      <c r="A303" s="85"/>
      <c r="B303" s="23" t="s">
        <v>197</v>
      </c>
      <c r="C303" s="24">
        <v>22</v>
      </c>
      <c r="D303" s="88">
        <v>761</v>
      </c>
      <c r="E303" s="88">
        <v>1810</v>
      </c>
      <c r="F303" s="89">
        <f t="shared" ref="F303:F309" si="227">O303</f>
        <v>20</v>
      </c>
      <c r="G303" s="90">
        <f t="shared" ref="G303:G309" si="228">D303*E303/91809*F303</f>
        <v>300.05990698079711</v>
      </c>
      <c r="H303" s="90">
        <f t="shared" ref="H303:H309" si="229">(D303/1000)*4*F303+(E303/1000)*4*F303</f>
        <v>205.68</v>
      </c>
      <c r="I303" s="91" t="str">
        <f t="shared" ref="I303:I309" si="230">I294</f>
        <v>9동1,2라인</v>
      </c>
      <c r="J303" s="92" t="s">
        <v>212</v>
      </c>
      <c r="L303" s="89">
        <v>2</v>
      </c>
      <c r="M303" s="78">
        <f>M294</f>
        <v>10</v>
      </c>
      <c r="N303" s="84"/>
      <c r="O303" s="78">
        <f>L303*M303-N303*L303</f>
        <v>20</v>
      </c>
    </row>
    <row r="304" spans="1:16" ht="18" customHeight="1">
      <c r="A304" s="85"/>
      <c r="B304" s="86"/>
      <c r="C304" s="87"/>
      <c r="D304" s="88">
        <v>1688</v>
      </c>
      <c r="E304" s="88">
        <v>1810</v>
      </c>
      <c r="F304" s="89">
        <f t="shared" si="227"/>
        <v>10</v>
      </c>
      <c r="G304" s="90">
        <f t="shared" si="228"/>
        <v>332.78654598133079</v>
      </c>
      <c r="H304" s="90">
        <f t="shared" si="229"/>
        <v>139.92000000000002</v>
      </c>
      <c r="I304" s="91" t="str">
        <f t="shared" si="230"/>
        <v>9동1,2라인</v>
      </c>
      <c r="J304" s="92" t="s">
        <v>213</v>
      </c>
      <c r="L304" s="89">
        <v>1</v>
      </c>
      <c r="M304" s="78">
        <f>M303</f>
        <v>10</v>
      </c>
      <c r="N304" s="84"/>
      <c r="O304" s="78">
        <f>L304*M304-N304*L304</f>
        <v>10</v>
      </c>
    </row>
    <row r="305" spans="1:16" ht="18" customHeight="1">
      <c r="A305" s="104"/>
      <c r="B305" s="93"/>
      <c r="C305" s="87"/>
      <c r="D305" s="88">
        <v>738</v>
      </c>
      <c r="E305" s="88">
        <v>1310</v>
      </c>
      <c r="F305" s="89">
        <f t="shared" si="227"/>
        <v>40</v>
      </c>
      <c r="G305" s="90">
        <f t="shared" si="228"/>
        <v>421.2136065091658</v>
      </c>
      <c r="H305" s="90">
        <f t="shared" si="229"/>
        <v>327.68</v>
      </c>
      <c r="I305" s="91" t="str">
        <f t="shared" si="230"/>
        <v>9동1,2라인</v>
      </c>
      <c r="J305" s="92" t="s">
        <v>214</v>
      </c>
      <c r="L305" s="89">
        <v>4</v>
      </c>
      <c r="M305" s="78">
        <f t="shared" ref="M305:M309" si="231">M304</f>
        <v>10</v>
      </c>
      <c r="N305" s="84"/>
      <c r="O305" s="78">
        <f t="shared" ref="O305:O309" si="232">L305*M305-N305*L305</f>
        <v>40</v>
      </c>
    </row>
    <row r="306" spans="1:16" ht="18" customHeight="1">
      <c r="A306" s="104"/>
      <c r="B306" s="93"/>
      <c r="C306" s="87"/>
      <c r="D306" s="88">
        <v>288</v>
      </c>
      <c r="E306" s="88">
        <v>910</v>
      </c>
      <c r="F306" s="89">
        <f t="shared" si="227"/>
        <v>20</v>
      </c>
      <c r="G306" s="90">
        <f t="shared" si="228"/>
        <v>57.09244191745907</v>
      </c>
      <c r="H306" s="90">
        <f t="shared" si="229"/>
        <v>95.84</v>
      </c>
      <c r="I306" s="91" t="str">
        <f t="shared" si="230"/>
        <v>9동1,2라인</v>
      </c>
      <c r="J306" s="92" t="s">
        <v>215</v>
      </c>
      <c r="L306" s="89">
        <v>2</v>
      </c>
      <c r="M306" s="78">
        <f t="shared" si="231"/>
        <v>10</v>
      </c>
      <c r="N306" s="78"/>
      <c r="O306" s="78">
        <f t="shared" si="232"/>
        <v>20</v>
      </c>
    </row>
    <row r="307" spans="1:16" ht="18" customHeight="1">
      <c r="A307" s="104"/>
      <c r="B307" s="93"/>
      <c r="C307" s="87"/>
      <c r="D307" s="88">
        <v>228</v>
      </c>
      <c r="E307" s="88">
        <v>910</v>
      </c>
      <c r="F307" s="89">
        <f t="shared" si="227"/>
        <v>20</v>
      </c>
      <c r="G307" s="90">
        <f t="shared" si="228"/>
        <v>45.1981831846551</v>
      </c>
      <c r="H307" s="90">
        <f t="shared" si="229"/>
        <v>91.039999999999992</v>
      </c>
      <c r="I307" s="91" t="str">
        <f t="shared" si="230"/>
        <v>9동1,2라인</v>
      </c>
      <c r="J307" s="92" t="s">
        <v>216</v>
      </c>
      <c r="L307" s="89">
        <v>2</v>
      </c>
      <c r="M307" s="78">
        <f t="shared" si="231"/>
        <v>10</v>
      </c>
      <c r="N307" s="78"/>
      <c r="O307" s="78">
        <f t="shared" si="232"/>
        <v>20</v>
      </c>
    </row>
    <row r="308" spans="1:16" ht="18" customHeight="1">
      <c r="A308" s="104"/>
      <c r="B308" s="93"/>
      <c r="C308" s="87"/>
      <c r="D308" s="88">
        <v>438</v>
      </c>
      <c r="E308" s="88">
        <v>270</v>
      </c>
      <c r="F308" s="89">
        <f t="shared" si="227"/>
        <v>20</v>
      </c>
      <c r="G308" s="90">
        <f t="shared" si="228"/>
        <v>25.762180178413882</v>
      </c>
      <c r="H308" s="90">
        <f t="shared" si="229"/>
        <v>56.64</v>
      </c>
      <c r="I308" s="91" t="str">
        <f t="shared" si="230"/>
        <v>9동1,2라인</v>
      </c>
      <c r="J308" s="92" t="s">
        <v>217</v>
      </c>
      <c r="L308" s="89">
        <v>2</v>
      </c>
      <c r="M308" s="78">
        <f t="shared" si="231"/>
        <v>10</v>
      </c>
      <c r="N308" s="78"/>
      <c r="O308" s="78">
        <f t="shared" si="232"/>
        <v>20</v>
      </c>
    </row>
    <row r="309" spans="1:16" ht="18" customHeight="1">
      <c r="A309" s="104"/>
      <c r="B309" s="93"/>
      <c r="C309" s="87"/>
      <c r="D309" s="88">
        <v>208</v>
      </c>
      <c r="E309" s="88">
        <v>910</v>
      </c>
      <c r="F309" s="89">
        <f t="shared" si="227"/>
        <v>20</v>
      </c>
      <c r="G309" s="90">
        <f t="shared" si="228"/>
        <v>41.233430273720444</v>
      </c>
      <c r="H309" s="90">
        <f t="shared" si="229"/>
        <v>89.44</v>
      </c>
      <c r="I309" s="91" t="str">
        <f t="shared" si="230"/>
        <v>9동1,2라인</v>
      </c>
      <c r="J309" s="92" t="s">
        <v>218</v>
      </c>
      <c r="L309" s="89">
        <v>2</v>
      </c>
      <c r="M309" s="78">
        <f t="shared" si="231"/>
        <v>10</v>
      </c>
      <c r="N309" s="78"/>
      <c r="O309" s="78">
        <f t="shared" si="232"/>
        <v>20</v>
      </c>
    </row>
    <row r="310" spans="1:16" ht="18" customHeight="1">
      <c r="A310" s="104"/>
      <c r="B310" s="87"/>
      <c r="C310" s="87"/>
      <c r="D310" s="325" t="s">
        <v>0</v>
      </c>
      <c r="E310" s="325"/>
      <c r="F310" s="171">
        <f>SUM(F303:F309)</f>
        <v>150</v>
      </c>
      <c r="G310" s="95">
        <f>SUM(G303:G309)</f>
        <v>1223.3462950255423</v>
      </c>
      <c r="H310" s="95">
        <f>SUM(H303:H309)</f>
        <v>1006.24</v>
      </c>
      <c r="I310" s="97"/>
      <c r="J310" s="98"/>
    </row>
    <row r="311" spans="1:16">
      <c r="A311" s="105"/>
      <c r="B311" s="9"/>
      <c r="C311" s="9"/>
      <c r="D311" s="51"/>
      <c r="E311" s="51"/>
      <c r="F311" s="51"/>
      <c r="G311" s="106"/>
      <c r="H311" s="106"/>
      <c r="I311" s="9"/>
      <c r="J311" s="107"/>
    </row>
    <row r="312" spans="1:16" ht="18" customHeight="1">
      <c r="A312" s="85"/>
      <c r="B312" s="163" t="s">
        <v>199</v>
      </c>
      <c r="C312" s="163">
        <v>22</v>
      </c>
      <c r="D312" s="88">
        <v>738</v>
      </c>
      <c r="E312" s="88">
        <v>1810</v>
      </c>
      <c r="F312" s="89">
        <f t="shared" ref="F312:F313" si="233">O312</f>
        <v>10</v>
      </c>
      <c r="G312" s="90">
        <f t="shared" ref="G312:G313" si="234">D312*E312/91809*F312</f>
        <v>145.4955396529752</v>
      </c>
      <c r="H312" s="90">
        <f t="shared" ref="H312:H313" si="235">(D312/1000)*4*F312+(E312/1000)*4*F312</f>
        <v>101.92</v>
      </c>
      <c r="I312" s="91" t="str">
        <f>I303</f>
        <v>9동1,2라인</v>
      </c>
      <c r="J312" s="92" t="s">
        <v>219</v>
      </c>
      <c r="L312" s="89">
        <v>2</v>
      </c>
      <c r="M312" s="78">
        <f>M294</f>
        <v>10</v>
      </c>
      <c r="N312" s="84">
        <v>5</v>
      </c>
      <c r="O312" s="78">
        <f>L312*M312-N312*L312</f>
        <v>10</v>
      </c>
      <c r="P312" s="64" t="s">
        <v>244</v>
      </c>
    </row>
    <row r="313" spans="1:16" ht="18" customHeight="1">
      <c r="A313" s="85"/>
      <c r="B313" s="86"/>
      <c r="C313" s="87"/>
      <c r="D313" s="88">
        <v>250</v>
      </c>
      <c r="E313" s="88">
        <v>930</v>
      </c>
      <c r="F313" s="89">
        <f t="shared" si="233"/>
        <v>20</v>
      </c>
      <c r="G313" s="90">
        <f t="shared" si="234"/>
        <v>50.648629219357574</v>
      </c>
      <c r="H313" s="90">
        <f t="shared" si="235"/>
        <v>94.4</v>
      </c>
      <c r="I313" s="91" t="str">
        <f>I312</f>
        <v>9동1,2라인</v>
      </c>
      <c r="J313" s="92" t="s">
        <v>220</v>
      </c>
      <c r="L313" s="89">
        <v>2</v>
      </c>
      <c r="M313" s="78">
        <f>M312</f>
        <v>10</v>
      </c>
      <c r="N313" s="84"/>
      <c r="O313" s="78">
        <f t="shared" ref="O313" si="236">L313*M313-N313*L313</f>
        <v>20</v>
      </c>
    </row>
    <row r="314" spans="1:16" ht="18" customHeight="1">
      <c r="A314" s="85"/>
      <c r="B314" s="93"/>
      <c r="C314" s="87"/>
      <c r="D314" s="325" t="s">
        <v>0</v>
      </c>
      <c r="E314" s="325"/>
      <c r="F314" s="94">
        <f>SUM(F312:F313)</f>
        <v>30</v>
      </c>
      <c r="G314" s="95">
        <f>SUM(G312:G313)</f>
        <v>196.14416887233278</v>
      </c>
      <c r="H314" s="95">
        <f>SUM(H312:H313)</f>
        <v>196.32</v>
      </c>
      <c r="I314" s="97"/>
      <c r="J314" s="98"/>
    </row>
    <row r="315" spans="1:16" ht="18" customHeight="1">
      <c r="A315" s="108"/>
      <c r="B315" s="164"/>
      <c r="C315" s="109"/>
      <c r="D315" s="165"/>
      <c r="E315" s="165"/>
      <c r="F315" s="110"/>
      <c r="G315" s="111"/>
      <c r="H315" s="111"/>
      <c r="I315" s="112"/>
      <c r="J315" s="113"/>
    </row>
    <row r="316" spans="1:16" ht="18" customHeight="1">
      <c r="A316" s="85" t="s">
        <v>235</v>
      </c>
      <c r="B316" s="23" t="s">
        <v>201</v>
      </c>
      <c r="C316" s="24">
        <v>22</v>
      </c>
      <c r="D316" s="88">
        <v>861</v>
      </c>
      <c r="E316" s="88">
        <v>1810</v>
      </c>
      <c r="F316" s="89">
        <f t="shared" ref="F316:F319" si="237">O316</f>
        <v>5</v>
      </c>
      <c r="G316" s="90">
        <f t="shared" ref="G316:G319" si="238">D316*E316/91809*F316</f>
        <v>84.872398130902198</v>
      </c>
      <c r="H316" s="90">
        <f t="shared" ref="H316:H319" si="239">(D316/1000)*4*F316+(E316/1000)*4*F316</f>
        <v>53.42</v>
      </c>
      <c r="I316" s="91" t="s">
        <v>256</v>
      </c>
      <c r="J316" s="92" t="s">
        <v>205</v>
      </c>
      <c r="L316" s="89">
        <v>1</v>
      </c>
      <c r="M316" s="78">
        <v>5</v>
      </c>
      <c r="N316" s="84"/>
      <c r="O316" s="78">
        <f>L316*M316-N316*L316</f>
        <v>5</v>
      </c>
      <c r="P316" s="64"/>
    </row>
    <row r="317" spans="1:16" ht="18" customHeight="1">
      <c r="A317" s="85"/>
      <c r="B317" s="86"/>
      <c r="C317" s="87"/>
      <c r="D317" s="88">
        <v>738</v>
      </c>
      <c r="E317" s="88">
        <v>1310</v>
      </c>
      <c r="F317" s="89">
        <f t="shared" si="237"/>
        <v>20</v>
      </c>
      <c r="G317" s="90">
        <f t="shared" si="238"/>
        <v>210.6068032545829</v>
      </c>
      <c r="H317" s="90">
        <f t="shared" si="239"/>
        <v>163.84</v>
      </c>
      <c r="I317" s="91" t="str">
        <f>I316</f>
        <v>9동3라인</v>
      </c>
      <c r="J317" s="92" t="s">
        <v>207</v>
      </c>
      <c r="L317" s="89">
        <v>4</v>
      </c>
      <c r="M317" s="78">
        <f>M316</f>
        <v>5</v>
      </c>
      <c r="N317" s="84"/>
      <c r="O317" s="78">
        <f t="shared" ref="O317:O319" si="240">L317*M317-N317*L317</f>
        <v>20</v>
      </c>
    </row>
    <row r="318" spans="1:16" ht="18" customHeight="1">
      <c r="A318" s="85"/>
      <c r="B318" s="86"/>
      <c r="C318" s="87"/>
      <c r="D318" s="88">
        <v>228</v>
      </c>
      <c r="E318" s="88">
        <v>910</v>
      </c>
      <c r="F318" s="89">
        <f t="shared" si="237"/>
        <v>10</v>
      </c>
      <c r="G318" s="90">
        <f t="shared" si="238"/>
        <v>22.59909159232755</v>
      </c>
      <c r="H318" s="90">
        <f t="shared" si="239"/>
        <v>45.519999999999996</v>
      </c>
      <c r="I318" s="91" t="str">
        <f t="shared" ref="I318:I319" si="241">I317</f>
        <v>9동3라인</v>
      </c>
      <c r="J318" s="92" t="s">
        <v>209</v>
      </c>
      <c r="L318" s="89">
        <v>2</v>
      </c>
      <c r="M318" s="78">
        <f t="shared" ref="M318:M319" si="242">M317</f>
        <v>5</v>
      </c>
      <c r="N318" s="78"/>
      <c r="O318" s="78">
        <f t="shared" si="240"/>
        <v>10</v>
      </c>
    </row>
    <row r="319" spans="1:16" ht="18" customHeight="1">
      <c r="A319" s="85"/>
      <c r="B319" s="86"/>
      <c r="C319" s="87"/>
      <c r="D319" s="88">
        <v>438</v>
      </c>
      <c r="E319" s="88">
        <v>270</v>
      </c>
      <c r="F319" s="89">
        <f t="shared" si="237"/>
        <v>10</v>
      </c>
      <c r="G319" s="90">
        <f t="shared" si="238"/>
        <v>12.881090089206941</v>
      </c>
      <c r="H319" s="90">
        <f t="shared" si="239"/>
        <v>28.32</v>
      </c>
      <c r="I319" s="91" t="str">
        <f t="shared" si="241"/>
        <v>9동3라인</v>
      </c>
      <c r="J319" s="92" t="s">
        <v>210</v>
      </c>
      <c r="L319" s="89">
        <v>2</v>
      </c>
      <c r="M319" s="78">
        <f t="shared" si="242"/>
        <v>5</v>
      </c>
      <c r="N319" s="78"/>
      <c r="O319" s="78">
        <f t="shared" si="240"/>
        <v>10</v>
      </c>
    </row>
    <row r="320" spans="1:16" ht="18" customHeight="1">
      <c r="A320" s="85"/>
      <c r="B320" s="93"/>
      <c r="C320" s="87"/>
      <c r="D320" s="325" t="s">
        <v>0</v>
      </c>
      <c r="E320" s="325"/>
      <c r="F320" s="94">
        <f>SUM(F316:F319)</f>
        <v>45</v>
      </c>
      <c r="G320" s="95">
        <f>SUM(G316:G319)</f>
        <v>330.95938306701964</v>
      </c>
      <c r="H320" s="96">
        <f>SUM(H316:H319)</f>
        <v>291.09999999999997</v>
      </c>
      <c r="I320" s="97"/>
      <c r="J320" s="162"/>
    </row>
    <row r="321" spans="1:16" ht="18" customHeight="1">
      <c r="A321" s="85"/>
      <c r="B321" s="93"/>
      <c r="C321" s="87"/>
      <c r="D321" s="161"/>
      <c r="E321" s="161"/>
      <c r="F321" s="89"/>
      <c r="G321" s="100"/>
      <c r="H321" s="101"/>
      <c r="I321" s="102"/>
      <c r="J321" s="121"/>
      <c r="L321" s="252"/>
      <c r="M321" s="252"/>
      <c r="N321" s="252"/>
      <c r="O321" s="252"/>
    </row>
    <row r="322" spans="1:16" ht="18" customHeight="1">
      <c r="A322" s="85"/>
      <c r="B322" s="23" t="s">
        <v>198</v>
      </c>
      <c r="C322" s="24">
        <v>22</v>
      </c>
      <c r="D322" s="88">
        <v>861</v>
      </c>
      <c r="E322" s="88">
        <v>1810</v>
      </c>
      <c r="F322" s="89">
        <f t="shared" ref="F322:F326" si="243">O322</f>
        <v>5</v>
      </c>
      <c r="G322" s="90">
        <f t="shared" ref="G322:G326" si="244">D322*E322/91809*F322</f>
        <v>84.872398130902198</v>
      </c>
      <c r="H322" s="90">
        <f t="shared" ref="H322:H326" si="245">(D322/1000)*4*F322+(E322/1000)*4*F322</f>
        <v>53.42</v>
      </c>
      <c r="I322" s="103" t="str">
        <f>I316</f>
        <v>9동3라인</v>
      </c>
      <c r="J322" s="92" t="s">
        <v>212</v>
      </c>
      <c r="L322" s="89">
        <v>1</v>
      </c>
      <c r="M322" s="78">
        <f>M316</f>
        <v>5</v>
      </c>
      <c r="N322" s="84"/>
      <c r="O322" s="78">
        <f>L322*M322-N322*L322</f>
        <v>5</v>
      </c>
    </row>
    <row r="323" spans="1:16" ht="18" customHeight="1">
      <c r="A323" s="85"/>
      <c r="B323" s="86"/>
      <c r="C323" s="87"/>
      <c r="D323" s="88">
        <v>2114</v>
      </c>
      <c r="E323" s="88">
        <v>1810</v>
      </c>
      <c r="F323" s="89">
        <f t="shared" si="243"/>
        <v>5</v>
      </c>
      <c r="G323" s="90">
        <f t="shared" si="244"/>
        <v>208.38588809375989</v>
      </c>
      <c r="H323" s="90">
        <f t="shared" si="245"/>
        <v>78.48</v>
      </c>
      <c r="I323" s="91" t="str">
        <f>I316</f>
        <v>9동3라인</v>
      </c>
      <c r="J323" s="92" t="s">
        <v>213</v>
      </c>
      <c r="L323" s="89">
        <v>1</v>
      </c>
      <c r="M323" s="78">
        <f>M322</f>
        <v>5</v>
      </c>
      <c r="N323" s="84"/>
      <c r="O323" s="78">
        <f>L323*M323-N323*L323</f>
        <v>5</v>
      </c>
    </row>
    <row r="324" spans="1:16" ht="18" customHeight="1">
      <c r="A324" s="104"/>
      <c r="B324" s="93"/>
      <c r="C324" s="87"/>
      <c r="D324" s="88">
        <v>738</v>
      </c>
      <c r="E324" s="88">
        <v>1310</v>
      </c>
      <c r="F324" s="89">
        <f t="shared" si="243"/>
        <v>20</v>
      </c>
      <c r="G324" s="90">
        <f t="shared" si="244"/>
        <v>210.6068032545829</v>
      </c>
      <c r="H324" s="90">
        <f t="shared" si="245"/>
        <v>163.84</v>
      </c>
      <c r="I324" s="91" t="str">
        <f>I323</f>
        <v>9동3라인</v>
      </c>
      <c r="J324" s="92" t="s">
        <v>214</v>
      </c>
      <c r="L324" s="89">
        <v>4</v>
      </c>
      <c r="M324" s="78">
        <f t="shared" ref="M324:M326" si="246">M323</f>
        <v>5</v>
      </c>
      <c r="N324" s="84"/>
      <c r="O324" s="78">
        <f t="shared" ref="O324:O326" si="247">L324*M324-N324*L324</f>
        <v>20</v>
      </c>
    </row>
    <row r="325" spans="1:16" ht="18" customHeight="1">
      <c r="A325" s="104"/>
      <c r="B325" s="93"/>
      <c r="C325" s="87"/>
      <c r="D325" s="88">
        <v>228</v>
      </c>
      <c r="E325" s="88">
        <v>910</v>
      </c>
      <c r="F325" s="89">
        <f t="shared" si="243"/>
        <v>10</v>
      </c>
      <c r="G325" s="90">
        <f t="shared" si="244"/>
        <v>22.59909159232755</v>
      </c>
      <c r="H325" s="90">
        <f t="shared" si="245"/>
        <v>45.519999999999996</v>
      </c>
      <c r="I325" s="91" t="str">
        <f t="shared" ref="I325:I326" si="248">I324</f>
        <v>9동3라인</v>
      </c>
      <c r="J325" s="92" t="s">
        <v>216</v>
      </c>
      <c r="L325" s="89">
        <v>2</v>
      </c>
      <c r="M325" s="78">
        <f t="shared" si="246"/>
        <v>5</v>
      </c>
      <c r="N325" s="78"/>
      <c r="O325" s="78">
        <f t="shared" si="247"/>
        <v>10</v>
      </c>
    </row>
    <row r="326" spans="1:16" ht="18" customHeight="1">
      <c r="A326" s="104"/>
      <c r="B326" s="93"/>
      <c r="C326" s="87"/>
      <c r="D326" s="88">
        <v>438</v>
      </c>
      <c r="E326" s="88">
        <v>270</v>
      </c>
      <c r="F326" s="89">
        <f t="shared" si="243"/>
        <v>10</v>
      </c>
      <c r="G326" s="90">
        <f t="shared" si="244"/>
        <v>12.881090089206941</v>
      </c>
      <c r="H326" s="90">
        <f t="shared" si="245"/>
        <v>28.32</v>
      </c>
      <c r="I326" s="91" t="str">
        <f t="shared" si="248"/>
        <v>9동3라인</v>
      </c>
      <c r="J326" s="92" t="s">
        <v>217</v>
      </c>
      <c r="L326" s="89">
        <v>2</v>
      </c>
      <c r="M326" s="78">
        <f t="shared" si="246"/>
        <v>5</v>
      </c>
      <c r="N326" s="78"/>
      <c r="O326" s="78">
        <f t="shared" si="247"/>
        <v>10</v>
      </c>
    </row>
    <row r="327" spans="1:16" ht="18" customHeight="1">
      <c r="A327" s="104"/>
      <c r="B327" s="87"/>
      <c r="C327" s="87"/>
      <c r="D327" s="325" t="s">
        <v>0</v>
      </c>
      <c r="E327" s="325"/>
      <c r="F327" s="171">
        <f>SUM(F322:F326)</f>
        <v>50</v>
      </c>
      <c r="G327" s="95">
        <f>SUM(G322:G326)</f>
        <v>539.34527116077948</v>
      </c>
      <c r="H327" s="95">
        <f>SUM(H322:H326)</f>
        <v>369.58</v>
      </c>
      <c r="I327" s="97"/>
      <c r="J327" s="98"/>
    </row>
    <row r="328" spans="1:16">
      <c r="A328" s="105"/>
      <c r="B328" s="9"/>
      <c r="C328" s="9"/>
      <c r="D328" s="51"/>
      <c r="E328" s="51"/>
      <c r="F328" s="51"/>
      <c r="G328" s="106"/>
      <c r="H328" s="106"/>
      <c r="I328" s="9"/>
      <c r="J328" s="107"/>
    </row>
    <row r="329" spans="1:16" ht="18" customHeight="1">
      <c r="A329" s="85"/>
      <c r="B329" s="23" t="s">
        <v>237</v>
      </c>
      <c r="C329" s="24">
        <v>22</v>
      </c>
      <c r="D329" s="88">
        <v>2114</v>
      </c>
      <c r="E329" s="88">
        <v>1810</v>
      </c>
      <c r="F329" s="89">
        <f t="shared" ref="F329" si="249">O329</f>
        <v>5</v>
      </c>
      <c r="G329" s="90">
        <f t="shared" ref="G329" si="250">D329*E329/91809*F329</f>
        <v>208.38588809375989</v>
      </c>
      <c r="H329" s="90">
        <f t="shared" ref="H329" si="251">(D329/1000)*4*F329+(E329/1000)*4*F329</f>
        <v>78.48</v>
      </c>
      <c r="I329" s="91" t="str">
        <f>I322</f>
        <v>9동3라인</v>
      </c>
      <c r="J329" s="92" t="s">
        <v>206</v>
      </c>
      <c r="L329" s="89">
        <v>1</v>
      </c>
      <c r="M329" s="78">
        <f>M316</f>
        <v>5</v>
      </c>
      <c r="N329" s="84"/>
      <c r="O329" s="78">
        <f>L329*M329-N329*L329</f>
        <v>5</v>
      </c>
    </row>
    <row r="330" spans="1:16" ht="18" customHeight="1">
      <c r="A330" s="85"/>
      <c r="B330" s="93"/>
      <c r="C330" s="87"/>
      <c r="D330" s="325" t="s">
        <v>0</v>
      </c>
      <c r="E330" s="325"/>
      <c r="F330" s="94">
        <f>SUM(F329:F329)</f>
        <v>5</v>
      </c>
      <c r="G330" s="95">
        <f>SUM(G329:G329)</f>
        <v>208.38588809375989</v>
      </c>
      <c r="H330" s="95">
        <f>SUM(H329:H329)</f>
        <v>78.48</v>
      </c>
      <c r="I330" s="97"/>
      <c r="J330" s="98"/>
    </row>
    <row r="331" spans="1:16" ht="18" customHeight="1">
      <c r="A331" s="218"/>
      <c r="B331" s="219"/>
      <c r="C331" s="220"/>
      <c r="D331" s="161"/>
      <c r="E331" s="161"/>
      <c r="F331" s="89"/>
      <c r="G331" s="100"/>
      <c r="H331" s="100"/>
      <c r="I331" s="102"/>
      <c r="J331" s="221"/>
    </row>
    <row r="332" spans="1:16" ht="18" customHeight="1">
      <c r="A332" s="85"/>
      <c r="B332" s="23" t="s">
        <v>203</v>
      </c>
      <c r="C332" s="24">
        <v>22</v>
      </c>
      <c r="D332" s="88">
        <v>738</v>
      </c>
      <c r="E332" s="88">
        <v>1810</v>
      </c>
      <c r="F332" s="89">
        <f t="shared" ref="F332:F333" si="252">O332</f>
        <v>10</v>
      </c>
      <c r="G332" s="90">
        <f t="shared" ref="G332:G333" si="253">D332*E332/91809*F332</f>
        <v>145.4955396529752</v>
      </c>
      <c r="H332" s="90">
        <f t="shared" ref="H332:H333" si="254">(D332/1000)*4*F332+(E332/1000)*4*F332</f>
        <v>101.92</v>
      </c>
      <c r="I332" s="91" t="str">
        <f>I329</f>
        <v>9동3라인</v>
      </c>
      <c r="J332" s="92" t="s">
        <v>219</v>
      </c>
      <c r="L332" s="89">
        <v>2</v>
      </c>
      <c r="M332" s="78">
        <f>M329</f>
        <v>5</v>
      </c>
      <c r="N332" s="84"/>
      <c r="O332" s="78">
        <f>L332*M332-N332*L332</f>
        <v>10</v>
      </c>
      <c r="P332" s="64"/>
    </row>
    <row r="333" spans="1:16" ht="18" customHeight="1">
      <c r="A333" s="85"/>
      <c r="B333" s="86"/>
      <c r="C333" s="87"/>
      <c r="D333" s="88">
        <v>250</v>
      </c>
      <c r="E333" s="88">
        <v>930</v>
      </c>
      <c r="F333" s="89">
        <f t="shared" si="252"/>
        <v>10</v>
      </c>
      <c r="G333" s="90">
        <f t="shared" si="253"/>
        <v>25.324314609678787</v>
      </c>
      <c r="H333" s="90">
        <f t="shared" si="254"/>
        <v>47.2</v>
      </c>
      <c r="I333" s="91" t="str">
        <f>I332</f>
        <v>9동3라인</v>
      </c>
      <c r="J333" s="92" t="s">
        <v>220</v>
      </c>
      <c r="L333" s="89">
        <v>2</v>
      </c>
      <c r="M333" s="78">
        <f>M332</f>
        <v>5</v>
      </c>
      <c r="N333" s="84"/>
      <c r="O333" s="78">
        <f t="shared" ref="O333" si="255">L333*M333-N333*L333</f>
        <v>10</v>
      </c>
    </row>
    <row r="334" spans="1:16" ht="18" customHeight="1">
      <c r="A334" s="85"/>
      <c r="B334" s="93"/>
      <c r="C334" s="87"/>
      <c r="D334" s="325" t="s">
        <v>0</v>
      </c>
      <c r="E334" s="325"/>
      <c r="F334" s="94">
        <f>SUM(F332:F333)</f>
        <v>20</v>
      </c>
      <c r="G334" s="95">
        <f>SUM(G332:G333)</f>
        <v>170.81985426265399</v>
      </c>
      <c r="H334" s="96">
        <f>SUM(H332:H333)</f>
        <v>149.12</v>
      </c>
      <c r="I334" s="97"/>
      <c r="J334" s="162"/>
    </row>
    <row r="335" spans="1:16" ht="18" customHeight="1" thickBot="1">
      <c r="A335" s="222"/>
      <c r="B335" s="223"/>
      <c r="C335" s="224"/>
      <c r="D335" s="225"/>
      <c r="E335" s="225"/>
      <c r="F335" s="226"/>
      <c r="G335" s="227"/>
      <c r="H335" s="228"/>
      <c r="I335" s="229"/>
      <c r="J335" s="230"/>
      <c r="L335" s="78" t="s">
        <v>48</v>
      </c>
      <c r="M335" s="78" t="s">
        <v>49</v>
      </c>
      <c r="N335" s="78" t="s">
        <v>50</v>
      </c>
      <c r="O335" s="78" t="s">
        <v>55</v>
      </c>
    </row>
    <row r="336" spans="1:16" ht="18" customHeight="1">
      <c r="A336" s="79" t="s">
        <v>234</v>
      </c>
      <c r="B336" s="231" t="s">
        <v>195</v>
      </c>
      <c r="C336" s="232">
        <v>22</v>
      </c>
      <c r="D336" s="80">
        <v>761</v>
      </c>
      <c r="E336" s="80">
        <v>1810</v>
      </c>
      <c r="F336" s="233">
        <f>O336</f>
        <v>10</v>
      </c>
      <c r="G336" s="81">
        <f t="shared" ref="G336:G342" si="256">D336*E336/91809*F336</f>
        <v>150.02995349039855</v>
      </c>
      <c r="H336" s="81">
        <f t="shared" ref="H336:H342" si="257">(D336/1000)*4*F336+(E336/1000)*4*F336</f>
        <v>102.84</v>
      </c>
      <c r="I336" s="82" t="s">
        <v>257</v>
      </c>
      <c r="J336" s="83" t="s">
        <v>205</v>
      </c>
      <c r="L336" s="89">
        <v>2</v>
      </c>
      <c r="M336" s="78">
        <v>5</v>
      </c>
      <c r="N336" s="84"/>
      <c r="O336" s="78">
        <f>L336*M336-N336*L336</f>
        <v>10</v>
      </c>
      <c r="P336" s="64"/>
    </row>
    <row r="337" spans="1:15" ht="18" customHeight="1">
      <c r="A337" s="85"/>
      <c r="B337" s="86"/>
      <c r="C337" s="87"/>
      <c r="D337" s="88">
        <v>1688</v>
      </c>
      <c r="E337" s="88">
        <v>1810</v>
      </c>
      <c r="F337" s="89">
        <f t="shared" ref="F337:F342" si="258">O337</f>
        <v>5</v>
      </c>
      <c r="G337" s="90">
        <f t="shared" si="256"/>
        <v>166.39327299066539</v>
      </c>
      <c r="H337" s="90">
        <f t="shared" si="257"/>
        <v>69.960000000000008</v>
      </c>
      <c r="I337" s="91" t="str">
        <f>I336</f>
        <v>9동4라인</v>
      </c>
      <c r="J337" s="92" t="s">
        <v>206</v>
      </c>
      <c r="L337" s="89">
        <v>1</v>
      </c>
      <c r="M337" s="78">
        <f>M336</f>
        <v>5</v>
      </c>
      <c r="N337" s="84"/>
      <c r="O337" s="78">
        <f t="shared" ref="O337:O342" si="259">L337*M337-N337*L337</f>
        <v>5</v>
      </c>
    </row>
    <row r="338" spans="1:15" ht="18" customHeight="1">
      <c r="A338" s="85"/>
      <c r="B338" s="86"/>
      <c r="C338" s="87"/>
      <c r="D338" s="88">
        <v>738</v>
      </c>
      <c r="E338" s="88">
        <v>1310</v>
      </c>
      <c r="F338" s="89">
        <f t="shared" si="258"/>
        <v>20</v>
      </c>
      <c r="G338" s="90">
        <f t="shared" si="256"/>
        <v>210.6068032545829</v>
      </c>
      <c r="H338" s="90">
        <f t="shared" si="257"/>
        <v>163.84</v>
      </c>
      <c r="I338" s="91" t="str">
        <f t="shared" ref="I338:I342" si="260">I337</f>
        <v>9동4라인</v>
      </c>
      <c r="J338" s="92" t="s">
        <v>207</v>
      </c>
      <c r="L338" s="89">
        <v>4</v>
      </c>
      <c r="M338" s="78">
        <f t="shared" ref="M338:M341" si="261">M337</f>
        <v>5</v>
      </c>
      <c r="N338" s="78"/>
      <c r="O338" s="78">
        <f t="shared" si="259"/>
        <v>20</v>
      </c>
    </row>
    <row r="339" spans="1:15" ht="18" customHeight="1">
      <c r="A339" s="85"/>
      <c r="B339" s="86"/>
      <c r="C339" s="87"/>
      <c r="D339" s="88">
        <v>288</v>
      </c>
      <c r="E339" s="88">
        <v>910</v>
      </c>
      <c r="F339" s="89">
        <f t="shared" si="258"/>
        <v>10</v>
      </c>
      <c r="G339" s="90">
        <f t="shared" si="256"/>
        <v>28.546220958729535</v>
      </c>
      <c r="H339" s="90">
        <f t="shared" si="257"/>
        <v>47.92</v>
      </c>
      <c r="I339" s="91" t="str">
        <f t="shared" si="260"/>
        <v>9동4라인</v>
      </c>
      <c r="J339" s="92" t="s">
        <v>208</v>
      </c>
      <c r="L339" s="89">
        <v>2</v>
      </c>
      <c r="M339" s="78">
        <f t="shared" si="261"/>
        <v>5</v>
      </c>
      <c r="N339" s="78"/>
      <c r="O339" s="78">
        <f t="shared" si="259"/>
        <v>10</v>
      </c>
    </row>
    <row r="340" spans="1:15" ht="18" customHeight="1">
      <c r="A340" s="85"/>
      <c r="B340" s="86"/>
      <c r="C340" s="87"/>
      <c r="D340" s="88">
        <v>228</v>
      </c>
      <c r="E340" s="88">
        <v>910</v>
      </c>
      <c r="F340" s="89">
        <f t="shared" si="258"/>
        <v>10</v>
      </c>
      <c r="G340" s="90">
        <f t="shared" si="256"/>
        <v>22.59909159232755</v>
      </c>
      <c r="H340" s="90">
        <f t="shared" si="257"/>
        <v>45.519999999999996</v>
      </c>
      <c r="I340" s="91" t="str">
        <f t="shared" si="260"/>
        <v>9동4라인</v>
      </c>
      <c r="J340" s="92" t="s">
        <v>209</v>
      </c>
      <c r="L340" s="89">
        <v>2</v>
      </c>
      <c r="M340" s="78">
        <f t="shared" si="261"/>
        <v>5</v>
      </c>
      <c r="N340" s="78"/>
      <c r="O340" s="78">
        <f t="shared" si="259"/>
        <v>10</v>
      </c>
    </row>
    <row r="341" spans="1:15" ht="18" customHeight="1">
      <c r="A341" s="85"/>
      <c r="B341" s="86"/>
      <c r="C341" s="87"/>
      <c r="D341" s="88">
        <v>438</v>
      </c>
      <c r="E341" s="88">
        <v>270</v>
      </c>
      <c r="F341" s="89">
        <f t="shared" si="258"/>
        <v>10</v>
      </c>
      <c r="G341" s="90">
        <f t="shared" si="256"/>
        <v>12.881090089206941</v>
      </c>
      <c r="H341" s="90">
        <f t="shared" si="257"/>
        <v>28.32</v>
      </c>
      <c r="I341" s="91" t="str">
        <f t="shared" si="260"/>
        <v>9동4라인</v>
      </c>
      <c r="J341" s="92" t="s">
        <v>210</v>
      </c>
      <c r="L341" s="89">
        <v>2</v>
      </c>
      <c r="M341" s="78">
        <f t="shared" si="261"/>
        <v>5</v>
      </c>
      <c r="N341" s="78"/>
      <c r="O341" s="78">
        <f t="shared" si="259"/>
        <v>10</v>
      </c>
    </row>
    <row r="342" spans="1:15" ht="18" customHeight="1">
      <c r="A342" s="85"/>
      <c r="B342" s="86"/>
      <c r="C342" s="87"/>
      <c r="D342" s="88">
        <v>208</v>
      </c>
      <c r="E342" s="88">
        <v>910</v>
      </c>
      <c r="F342" s="89">
        <f t="shared" si="258"/>
        <v>10</v>
      </c>
      <c r="G342" s="90">
        <f t="shared" si="256"/>
        <v>20.616715136860222</v>
      </c>
      <c r="H342" s="90">
        <f t="shared" si="257"/>
        <v>44.72</v>
      </c>
      <c r="I342" s="91" t="str">
        <f t="shared" si="260"/>
        <v>9동4라인</v>
      </c>
      <c r="J342" s="92" t="s">
        <v>211</v>
      </c>
      <c r="L342" s="89">
        <v>2</v>
      </c>
      <c r="M342" s="78">
        <f>M341</f>
        <v>5</v>
      </c>
      <c r="N342" s="78"/>
      <c r="O342" s="78">
        <f t="shared" si="259"/>
        <v>10</v>
      </c>
    </row>
    <row r="343" spans="1:15" ht="18" customHeight="1">
      <c r="A343" s="85"/>
      <c r="B343" s="93"/>
      <c r="C343" s="87"/>
      <c r="D343" s="325" t="s">
        <v>0</v>
      </c>
      <c r="E343" s="325"/>
      <c r="F343" s="94">
        <f>SUM(F336:F342)</f>
        <v>75</v>
      </c>
      <c r="G343" s="95">
        <f>SUM(G336:G342)</f>
        <v>611.67314751277115</v>
      </c>
      <c r="H343" s="96">
        <f>SUM(H336:H342)</f>
        <v>503.12</v>
      </c>
      <c r="I343" s="97"/>
      <c r="J343" s="162"/>
    </row>
    <row r="344" spans="1:15" ht="18" customHeight="1">
      <c r="A344" s="85"/>
      <c r="B344" s="93"/>
      <c r="C344" s="87"/>
      <c r="D344" s="161"/>
      <c r="E344" s="161"/>
      <c r="F344" s="89"/>
      <c r="G344" s="100"/>
      <c r="H344" s="101"/>
      <c r="I344" s="102"/>
      <c r="J344" s="121"/>
      <c r="L344" s="78" t="s">
        <v>48</v>
      </c>
      <c r="M344" s="78" t="s">
        <v>54</v>
      </c>
      <c r="N344" s="78" t="s">
        <v>50</v>
      </c>
      <c r="O344" s="78" t="s">
        <v>55</v>
      </c>
    </row>
    <row r="345" spans="1:15" ht="18" customHeight="1">
      <c r="A345" s="85"/>
      <c r="B345" s="23" t="s">
        <v>197</v>
      </c>
      <c r="C345" s="24">
        <v>22</v>
      </c>
      <c r="D345" s="88">
        <v>761</v>
      </c>
      <c r="E345" s="88">
        <v>1810</v>
      </c>
      <c r="F345" s="89">
        <f t="shared" ref="F345:F351" si="262">O345</f>
        <v>10</v>
      </c>
      <c r="G345" s="90">
        <f t="shared" ref="G345:G351" si="263">D345*E345/91809*F345</f>
        <v>150.02995349039855</v>
      </c>
      <c r="H345" s="90">
        <f t="shared" ref="H345:H351" si="264">(D345/1000)*4*F345+(E345/1000)*4*F345</f>
        <v>102.84</v>
      </c>
      <c r="I345" s="91" t="str">
        <f t="shared" ref="I345:I351" si="265">I336</f>
        <v>9동4라인</v>
      </c>
      <c r="J345" s="92" t="s">
        <v>212</v>
      </c>
      <c r="L345" s="89">
        <v>2</v>
      </c>
      <c r="M345" s="78">
        <f>M336</f>
        <v>5</v>
      </c>
      <c r="N345" s="84"/>
      <c r="O345" s="78">
        <f>L345*M345-N345*L345</f>
        <v>10</v>
      </c>
    </row>
    <row r="346" spans="1:15" ht="18" customHeight="1">
      <c r="A346" s="85"/>
      <c r="B346" s="86"/>
      <c r="C346" s="87"/>
      <c r="D346" s="88">
        <v>1688</v>
      </c>
      <c r="E346" s="88">
        <v>1810</v>
      </c>
      <c r="F346" s="89">
        <f t="shared" si="262"/>
        <v>5</v>
      </c>
      <c r="G346" s="90">
        <f t="shared" si="263"/>
        <v>166.39327299066539</v>
      </c>
      <c r="H346" s="90">
        <f t="shared" si="264"/>
        <v>69.960000000000008</v>
      </c>
      <c r="I346" s="91" t="str">
        <f t="shared" si="265"/>
        <v>9동4라인</v>
      </c>
      <c r="J346" s="92" t="s">
        <v>213</v>
      </c>
      <c r="L346" s="89">
        <v>1</v>
      </c>
      <c r="M346" s="78">
        <f>M345</f>
        <v>5</v>
      </c>
      <c r="N346" s="84"/>
      <c r="O346" s="78">
        <f>L346*M346-N346*L346</f>
        <v>5</v>
      </c>
    </row>
    <row r="347" spans="1:15" ht="18" customHeight="1">
      <c r="A347" s="104"/>
      <c r="B347" s="93"/>
      <c r="C347" s="87"/>
      <c r="D347" s="88">
        <v>738</v>
      </c>
      <c r="E347" s="88">
        <v>1310</v>
      </c>
      <c r="F347" s="89">
        <f t="shared" si="262"/>
        <v>20</v>
      </c>
      <c r="G347" s="90">
        <f t="shared" si="263"/>
        <v>210.6068032545829</v>
      </c>
      <c r="H347" s="90">
        <f t="shared" si="264"/>
        <v>163.84</v>
      </c>
      <c r="I347" s="91" t="str">
        <f t="shared" si="265"/>
        <v>9동4라인</v>
      </c>
      <c r="J347" s="92" t="s">
        <v>214</v>
      </c>
      <c r="L347" s="89">
        <v>4</v>
      </c>
      <c r="M347" s="78">
        <f t="shared" ref="M347:M351" si="266">M346</f>
        <v>5</v>
      </c>
      <c r="N347" s="84"/>
      <c r="O347" s="78">
        <f t="shared" ref="O347:O351" si="267">L347*M347-N347*L347</f>
        <v>20</v>
      </c>
    </row>
    <row r="348" spans="1:15" ht="18" customHeight="1">
      <c r="A348" s="104"/>
      <c r="B348" s="93"/>
      <c r="C348" s="87"/>
      <c r="D348" s="88">
        <v>288</v>
      </c>
      <c r="E348" s="88">
        <v>910</v>
      </c>
      <c r="F348" s="89">
        <f t="shared" si="262"/>
        <v>10</v>
      </c>
      <c r="G348" s="90">
        <f t="shared" si="263"/>
        <v>28.546220958729535</v>
      </c>
      <c r="H348" s="90">
        <f t="shared" si="264"/>
        <v>47.92</v>
      </c>
      <c r="I348" s="91" t="str">
        <f t="shared" si="265"/>
        <v>9동4라인</v>
      </c>
      <c r="J348" s="92" t="s">
        <v>215</v>
      </c>
      <c r="L348" s="89">
        <v>2</v>
      </c>
      <c r="M348" s="78">
        <f t="shared" si="266"/>
        <v>5</v>
      </c>
      <c r="N348" s="78"/>
      <c r="O348" s="78">
        <f t="shared" si="267"/>
        <v>10</v>
      </c>
    </row>
    <row r="349" spans="1:15" ht="18" customHeight="1">
      <c r="A349" s="104"/>
      <c r="B349" s="93"/>
      <c r="C349" s="87"/>
      <c r="D349" s="88">
        <v>228</v>
      </c>
      <c r="E349" s="88">
        <v>910</v>
      </c>
      <c r="F349" s="89">
        <f t="shared" si="262"/>
        <v>10</v>
      </c>
      <c r="G349" s="90">
        <f t="shared" si="263"/>
        <v>22.59909159232755</v>
      </c>
      <c r="H349" s="90">
        <f t="shared" si="264"/>
        <v>45.519999999999996</v>
      </c>
      <c r="I349" s="91" t="str">
        <f t="shared" si="265"/>
        <v>9동4라인</v>
      </c>
      <c r="J349" s="92" t="s">
        <v>216</v>
      </c>
      <c r="L349" s="89">
        <v>2</v>
      </c>
      <c r="M349" s="78">
        <f t="shared" si="266"/>
        <v>5</v>
      </c>
      <c r="N349" s="78"/>
      <c r="O349" s="78">
        <f t="shared" si="267"/>
        <v>10</v>
      </c>
    </row>
    <row r="350" spans="1:15" ht="18" customHeight="1">
      <c r="A350" s="104"/>
      <c r="B350" s="93"/>
      <c r="C350" s="87"/>
      <c r="D350" s="88">
        <v>438</v>
      </c>
      <c r="E350" s="88">
        <v>270</v>
      </c>
      <c r="F350" s="89">
        <f t="shared" si="262"/>
        <v>10</v>
      </c>
      <c r="G350" s="90">
        <f t="shared" si="263"/>
        <v>12.881090089206941</v>
      </c>
      <c r="H350" s="90">
        <f t="shared" si="264"/>
        <v>28.32</v>
      </c>
      <c r="I350" s="91" t="str">
        <f t="shared" si="265"/>
        <v>9동4라인</v>
      </c>
      <c r="J350" s="92" t="s">
        <v>217</v>
      </c>
      <c r="L350" s="89">
        <v>2</v>
      </c>
      <c r="M350" s="78">
        <f t="shared" si="266"/>
        <v>5</v>
      </c>
      <c r="N350" s="78"/>
      <c r="O350" s="78">
        <f t="shared" si="267"/>
        <v>10</v>
      </c>
    </row>
    <row r="351" spans="1:15" ht="18" customHeight="1">
      <c r="A351" s="104"/>
      <c r="B351" s="93"/>
      <c r="C351" s="87"/>
      <c r="D351" s="88">
        <v>208</v>
      </c>
      <c r="E351" s="88">
        <v>910</v>
      </c>
      <c r="F351" s="89">
        <f t="shared" si="262"/>
        <v>10</v>
      </c>
      <c r="G351" s="90">
        <f t="shared" si="263"/>
        <v>20.616715136860222</v>
      </c>
      <c r="H351" s="90">
        <f t="shared" si="264"/>
        <v>44.72</v>
      </c>
      <c r="I351" s="91" t="str">
        <f t="shared" si="265"/>
        <v>9동4라인</v>
      </c>
      <c r="J351" s="92" t="s">
        <v>218</v>
      </c>
      <c r="L351" s="89">
        <v>2</v>
      </c>
      <c r="M351" s="78">
        <f t="shared" si="266"/>
        <v>5</v>
      </c>
      <c r="N351" s="78"/>
      <c r="O351" s="78">
        <f t="shared" si="267"/>
        <v>10</v>
      </c>
    </row>
    <row r="352" spans="1:15" ht="18" customHeight="1">
      <c r="A352" s="104"/>
      <c r="B352" s="87"/>
      <c r="C352" s="87"/>
      <c r="D352" s="325" t="s">
        <v>0</v>
      </c>
      <c r="E352" s="325"/>
      <c r="F352" s="171">
        <f>SUM(F345:F351)</f>
        <v>75</v>
      </c>
      <c r="G352" s="95">
        <f>SUM(G345:G351)</f>
        <v>611.67314751277115</v>
      </c>
      <c r="H352" s="95">
        <f>SUM(H345:H351)</f>
        <v>503.12</v>
      </c>
      <c r="I352" s="97"/>
      <c r="J352" s="98"/>
    </row>
    <row r="353" spans="1:16">
      <c r="A353" s="105"/>
      <c r="B353" s="9"/>
      <c r="C353" s="9"/>
      <c r="D353" s="51"/>
      <c r="E353" s="51"/>
      <c r="F353" s="51"/>
      <c r="G353" s="106"/>
      <c r="H353" s="106"/>
      <c r="I353" s="9"/>
      <c r="J353" s="107"/>
    </row>
    <row r="354" spans="1:16" ht="18" customHeight="1">
      <c r="A354" s="85"/>
      <c r="B354" s="163" t="s">
        <v>199</v>
      </c>
      <c r="C354" s="163">
        <v>22</v>
      </c>
      <c r="D354" s="88">
        <v>738</v>
      </c>
      <c r="E354" s="88">
        <v>1810</v>
      </c>
      <c r="F354" s="89">
        <f t="shared" ref="F354:F355" si="268">O354</f>
        <v>10</v>
      </c>
      <c r="G354" s="90">
        <f t="shared" ref="G354:G355" si="269">D354*E354/91809*F354</f>
        <v>145.4955396529752</v>
      </c>
      <c r="H354" s="90">
        <f t="shared" ref="H354:H355" si="270">(D354/1000)*4*F354+(E354/1000)*4*F354</f>
        <v>101.92</v>
      </c>
      <c r="I354" s="91" t="str">
        <f>I345</f>
        <v>9동4라인</v>
      </c>
      <c r="J354" s="92" t="s">
        <v>219</v>
      </c>
      <c r="L354" s="89">
        <v>2</v>
      </c>
      <c r="M354" s="78">
        <f>M336</f>
        <v>5</v>
      </c>
      <c r="N354" s="84"/>
      <c r="O354" s="78">
        <f>L354*M354-N354*L354</f>
        <v>10</v>
      </c>
      <c r="P354" s="64"/>
    </row>
    <row r="355" spans="1:16" ht="18" customHeight="1">
      <c r="A355" s="85"/>
      <c r="B355" s="86"/>
      <c r="C355" s="87"/>
      <c r="D355" s="88">
        <v>250</v>
      </c>
      <c r="E355" s="88">
        <v>930</v>
      </c>
      <c r="F355" s="89">
        <f t="shared" si="268"/>
        <v>10</v>
      </c>
      <c r="G355" s="90">
        <f t="shared" si="269"/>
        <v>25.324314609678787</v>
      </c>
      <c r="H355" s="90">
        <f t="shared" si="270"/>
        <v>47.2</v>
      </c>
      <c r="I355" s="91" t="str">
        <f>I354</f>
        <v>9동4라인</v>
      </c>
      <c r="J355" s="92" t="s">
        <v>220</v>
      </c>
      <c r="L355" s="89">
        <v>2</v>
      </c>
      <c r="M355" s="78">
        <f>M354</f>
        <v>5</v>
      </c>
      <c r="N355" s="84"/>
      <c r="O355" s="78">
        <f t="shared" ref="O355" si="271">L355*M355-N355*L355</f>
        <v>10</v>
      </c>
    </row>
    <row r="356" spans="1:16" ht="18" customHeight="1">
      <c r="A356" s="85"/>
      <c r="B356" s="93"/>
      <c r="C356" s="87"/>
      <c r="D356" s="325" t="s">
        <v>0</v>
      </c>
      <c r="E356" s="325"/>
      <c r="F356" s="94">
        <f>SUM(F354:F355)</f>
        <v>20</v>
      </c>
      <c r="G356" s="95">
        <f>SUM(G354:G355)</f>
        <v>170.81985426265399</v>
      </c>
      <c r="H356" s="95">
        <f>SUM(H354:H355)</f>
        <v>149.12</v>
      </c>
      <c r="I356" s="97"/>
      <c r="J356" s="98"/>
    </row>
    <row r="357" spans="1:16" ht="18" customHeight="1">
      <c r="A357" s="236"/>
      <c r="B357" s="237"/>
      <c r="C357" s="238"/>
      <c r="D357" s="362"/>
      <c r="E357" s="362"/>
      <c r="F357" s="239"/>
      <c r="G357" s="240"/>
      <c r="H357" s="241"/>
      <c r="I357" s="242"/>
      <c r="J357" s="243"/>
    </row>
    <row r="358" spans="1:16" ht="18" customHeight="1">
      <c r="A358" s="244" t="s">
        <v>234</v>
      </c>
      <c r="B358" s="23" t="s">
        <v>195</v>
      </c>
      <c r="C358" s="24">
        <v>22</v>
      </c>
      <c r="D358" s="88">
        <v>761</v>
      </c>
      <c r="E358" s="88">
        <v>1810</v>
      </c>
      <c r="F358" s="89">
        <f>O358</f>
        <v>10</v>
      </c>
      <c r="G358" s="90">
        <f t="shared" ref="G358:G364" si="272">D358*E358/91809*F358</f>
        <v>150.02995349039855</v>
      </c>
      <c r="H358" s="90">
        <f t="shared" ref="H358:H364" si="273">(D358/1000)*4*F358+(E358/1000)*4*F358</f>
        <v>102.84</v>
      </c>
      <c r="I358" s="91" t="s">
        <v>258</v>
      </c>
      <c r="J358" s="163" t="s">
        <v>205</v>
      </c>
      <c r="L358" s="89">
        <v>2</v>
      </c>
      <c r="M358" s="78">
        <v>5</v>
      </c>
      <c r="N358" s="84"/>
      <c r="O358" s="78">
        <f>L358*M358-N358*L358</f>
        <v>10</v>
      </c>
      <c r="P358" s="64"/>
    </row>
    <row r="359" spans="1:16" ht="18" customHeight="1">
      <c r="A359" s="85"/>
      <c r="B359" s="86"/>
      <c r="C359" s="87"/>
      <c r="D359" s="88">
        <v>1688</v>
      </c>
      <c r="E359" s="88">
        <v>1810</v>
      </c>
      <c r="F359" s="89">
        <f t="shared" ref="F359:F364" si="274">O359</f>
        <v>5</v>
      </c>
      <c r="G359" s="90">
        <f t="shared" si="272"/>
        <v>166.39327299066539</v>
      </c>
      <c r="H359" s="90">
        <f t="shared" si="273"/>
        <v>69.960000000000008</v>
      </c>
      <c r="I359" s="91" t="str">
        <f>I358</f>
        <v>9동5라인</v>
      </c>
      <c r="J359" s="92" t="s">
        <v>206</v>
      </c>
      <c r="L359" s="89">
        <v>1</v>
      </c>
      <c r="M359" s="78">
        <f>M358</f>
        <v>5</v>
      </c>
      <c r="N359" s="84"/>
      <c r="O359" s="78">
        <f t="shared" ref="O359:O364" si="275">L359*M359-N359*L359</f>
        <v>5</v>
      </c>
    </row>
    <row r="360" spans="1:16" ht="18" customHeight="1">
      <c r="A360" s="85"/>
      <c r="B360" s="86"/>
      <c r="C360" s="87"/>
      <c r="D360" s="88">
        <v>738</v>
      </c>
      <c r="E360" s="88">
        <v>1310</v>
      </c>
      <c r="F360" s="89">
        <f t="shared" si="274"/>
        <v>20</v>
      </c>
      <c r="G360" s="90">
        <f t="shared" si="272"/>
        <v>210.6068032545829</v>
      </c>
      <c r="H360" s="90">
        <f t="shared" si="273"/>
        <v>163.84</v>
      </c>
      <c r="I360" s="91" t="str">
        <f t="shared" ref="I360:I364" si="276">I359</f>
        <v>9동5라인</v>
      </c>
      <c r="J360" s="92" t="s">
        <v>207</v>
      </c>
      <c r="L360" s="89">
        <v>4</v>
      </c>
      <c r="M360" s="78">
        <f t="shared" ref="M360:M363" si="277">M359</f>
        <v>5</v>
      </c>
      <c r="N360" s="78"/>
      <c r="O360" s="78">
        <f t="shared" si="275"/>
        <v>20</v>
      </c>
    </row>
    <row r="361" spans="1:16" ht="18" customHeight="1">
      <c r="A361" s="85"/>
      <c r="B361" s="86"/>
      <c r="C361" s="87"/>
      <c r="D361" s="88">
        <v>288</v>
      </c>
      <c r="E361" s="88">
        <v>910</v>
      </c>
      <c r="F361" s="89">
        <f t="shared" si="274"/>
        <v>10</v>
      </c>
      <c r="G361" s="90">
        <f t="shared" si="272"/>
        <v>28.546220958729535</v>
      </c>
      <c r="H361" s="90">
        <f t="shared" si="273"/>
        <v>47.92</v>
      </c>
      <c r="I361" s="91" t="str">
        <f t="shared" si="276"/>
        <v>9동5라인</v>
      </c>
      <c r="J361" s="92" t="s">
        <v>208</v>
      </c>
      <c r="L361" s="89">
        <v>2</v>
      </c>
      <c r="M361" s="78">
        <f t="shared" si="277"/>
        <v>5</v>
      </c>
      <c r="N361" s="78"/>
      <c r="O361" s="78">
        <f t="shared" si="275"/>
        <v>10</v>
      </c>
    </row>
    <row r="362" spans="1:16" ht="18" customHeight="1">
      <c r="A362" s="85"/>
      <c r="B362" s="86"/>
      <c r="C362" s="87"/>
      <c r="D362" s="88">
        <v>228</v>
      </c>
      <c r="E362" s="88">
        <v>910</v>
      </c>
      <c r="F362" s="89">
        <f t="shared" si="274"/>
        <v>10</v>
      </c>
      <c r="G362" s="90">
        <f t="shared" si="272"/>
        <v>22.59909159232755</v>
      </c>
      <c r="H362" s="90">
        <f t="shared" si="273"/>
        <v>45.519999999999996</v>
      </c>
      <c r="I362" s="91" t="str">
        <f t="shared" si="276"/>
        <v>9동5라인</v>
      </c>
      <c r="J362" s="92" t="s">
        <v>209</v>
      </c>
      <c r="L362" s="89">
        <v>2</v>
      </c>
      <c r="M362" s="78">
        <f t="shared" si="277"/>
        <v>5</v>
      </c>
      <c r="N362" s="78"/>
      <c r="O362" s="78">
        <f t="shared" si="275"/>
        <v>10</v>
      </c>
    </row>
    <row r="363" spans="1:16" ht="18" customHeight="1">
      <c r="A363" s="85"/>
      <c r="B363" s="86"/>
      <c r="C363" s="87"/>
      <c r="D363" s="88">
        <v>438</v>
      </c>
      <c r="E363" s="88">
        <v>270</v>
      </c>
      <c r="F363" s="89">
        <f t="shared" si="274"/>
        <v>10</v>
      </c>
      <c r="G363" s="90">
        <f t="shared" si="272"/>
        <v>12.881090089206941</v>
      </c>
      <c r="H363" s="90">
        <f t="shared" si="273"/>
        <v>28.32</v>
      </c>
      <c r="I363" s="91" t="str">
        <f t="shared" si="276"/>
        <v>9동5라인</v>
      </c>
      <c r="J363" s="92" t="s">
        <v>210</v>
      </c>
      <c r="L363" s="89">
        <v>2</v>
      </c>
      <c r="M363" s="78">
        <f t="shared" si="277"/>
        <v>5</v>
      </c>
      <c r="N363" s="78"/>
      <c r="O363" s="78">
        <f t="shared" si="275"/>
        <v>10</v>
      </c>
    </row>
    <row r="364" spans="1:16" ht="18" customHeight="1">
      <c r="A364" s="85"/>
      <c r="B364" s="86"/>
      <c r="C364" s="87"/>
      <c r="D364" s="88">
        <v>208</v>
      </c>
      <c r="E364" s="88">
        <v>910</v>
      </c>
      <c r="F364" s="89">
        <f t="shared" si="274"/>
        <v>10</v>
      </c>
      <c r="G364" s="90">
        <f t="shared" si="272"/>
        <v>20.616715136860222</v>
      </c>
      <c r="H364" s="90">
        <f t="shared" si="273"/>
        <v>44.72</v>
      </c>
      <c r="I364" s="91" t="str">
        <f t="shared" si="276"/>
        <v>9동5라인</v>
      </c>
      <c r="J364" s="92" t="s">
        <v>211</v>
      </c>
      <c r="L364" s="89">
        <v>2</v>
      </c>
      <c r="M364" s="78">
        <f>M363</f>
        <v>5</v>
      </c>
      <c r="N364" s="78"/>
      <c r="O364" s="78">
        <f t="shared" si="275"/>
        <v>10</v>
      </c>
    </row>
    <row r="365" spans="1:16" ht="18" customHeight="1">
      <c r="A365" s="85"/>
      <c r="B365" s="93"/>
      <c r="C365" s="87"/>
      <c r="D365" s="325" t="s">
        <v>0</v>
      </c>
      <c r="E365" s="325"/>
      <c r="F365" s="94">
        <f>SUM(F358:F364)</f>
        <v>75</v>
      </c>
      <c r="G365" s="95">
        <f>SUM(G358:G364)</f>
        <v>611.67314751277115</v>
      </c>
      <c r="H365" s="96">
        <f>SUM(H358:H364)</f>
        <v>503.12</v>
      </c>
      <c r="I365" s="97"/>
      <c r="J365" s="162"/>
    </row>
    <row r="366" spans="1:16" ht="18" customHeight="1">
      <c r="A366" s="85"/>
      <c r="B366" s="93"/>
      <c r="C366" s="87"/>
      <c r="D366" s="161"/>
      <c r="E366" s="161"/>
      <c r="F366" s="89"/>
      <c r="G366" s="100"/>
      <c r="H366" s="101"/>
      <c r="I366" s="102"/>
      <c r="J366" s="121"/>
      <c r="L366" s="78" t="s">
        <v>48</v>
      </c>
      <c r="M366" s="78" t="s">
        <v>54</v>
      </c>
      <c r="N366" s="78" t="s">
        <v>50</v>
      </c>
      <c r="O366" s="78" t="s">
        <v>55</v>
      </c>
    </row>
    <row r="367" spans="1:16" ht="18" customHeight="1">
      <c r="A367" s="85"/>
      <c r="B367" s="23" t="s">
        <v>197</v>
      </c>
      <c r="C367" s="24">
        <v>22</v>
      </c>
      <c r="D367" s="88">
        <v>761</v>
      </c>
      <c r="E367" s="88">
        <v>1810</v>
      </c>
      <c r="F367" s="89">
        <f t="shared" ref="F367:F373" si="278">O367</f>
        <v>10</v>
      </c>
      <c r="G367" s="90">
        <f t="shared" ref="G367:G373" si="279">D367*E367/91809*F367</f>
        <v>150.02995349039855</v>
      </c>
      <c r="H367" s="90">
        <f t="shared" ref="H367:H373" si="280">(D367/1000)*4*F367+(E367/1000)*4*F367</f>
        <v>102.84</v>
      </c>
      <c r="I367" s="91" t="str">
        <f t="shared" ref="I367:I373" si="281">I358</f>
        <v>9동5라인</v>
      </c>
      <c r="J367" s="92" t="s">
        <v>212</v>
      </c>
      <c r="L367" s="89">
        <v>2</v>
      </c>
      <c r="M367" s="78">
        <f>M358</f>
        <v>5</v>
      </c>
      <c r="N367" s="84"/>
      <c r="O367" s="78">
        <f>L367*M367-N367*L367</f>
        <v>10</v>
      </c>
    </row>
    <row r="368" spans="1:16" ht="18" customHeight="1">
      <c r="A368" s="85"/>
      <c r="B368" s="86"/>
      <c r="C368" s="87"/>
      <c r="D368" s="88">
        <v>1688</v>
      </c>
      <c r="E368" s="88">
        <v>1810</v>
      </c>
      <c r="F368" s="89">
        <f t="shared" si="278"/>
        <v>5</v>
      </c>
      <c r="G368" s="90">
        <f t="shared" si="279"/>
        <v>166.39327299066539</v>
      </c>
      <c r="H368" s="90">
        <f t="shared" si="280"/>
        <v>69.960000000000008</v>
      </c>
      <c r="I368" s="91" t="str">
        <f t="shared" si="281"/>
        <v>9동5라인</v>
      </c>
      <c r="J368" s="92" t="s">
        <v>213</v>
      </c>
      <c r="L368" s="89">
        <v>1</v>
      </c>
      <c r="M368" s="78">
        <f>M367</f>
        <v>5</v>
      </c>
      <c r="N368" s="84"/>
      <c r="O368" s="78">
        <f>L368*M368-N368*L368</f>
        <v>5</v>
      </c>
    </row>
    <row r="369" spans="1:16" ht="18" customHeight="1">
      <c r="A369" s="104"/>
      <c r="B369" s="93"/>
      <c r="C369" s="87"/>
      <c r="D369" s="88">
        <v>738</v>
      </c>
      <c r="E369" s="88">
        <v>1310</v>
      </c>
      <c r="F369" s="89">
        <f t="shared" si="278"/>
        <v>20</v>
      </c>
      <c r="G369" s="90">
        <f t="shared" si="279"/>
        <v>210.6068032545829</v>
      </c>
      <c r="H369" s="90">
        <f t="shared" si="280"/>
        <v>163.84</v>
      </c>
      <c r="I369" s="91" t="str">
        <f t="shared" si="281"/>
        <v>9동5라인</v>
      </c>
      <c r="J369" s="92" t="s">
        <v>214</v>
      </c>
      <c r="L369" s="89">
        <v>4</v>
      </c>
      <c r="M369" s="78">
        <f t="shared" ref="M369:M373" si="282">M368</f>
        <v>5</v>
      </c>
      <c r="N369" s="84"/>
      <c r="O369" s="78">
        <f t="shared" ref="O369:O373" si="283">L369*M369-N369*L369</f>
        <v>20</v>
      </c>
    </row>
    <row r="370" spans="1:16" ht="18" customHeight="1">
      <c r="A370" s="104"/>
      <c r="B370" s="93"/>
      <c r="C370" s="87"/>
      <c r="D370" s="88">
        <v>288</v>
      </c>
      <c r="E370" s="88">
        <v>910</v>
      </c>
      <c r="F370" s="89">
        <f t="shared" si="278"/>
        <v>10</v>
      </c>
      <c r="G370" s="90">
        <f t="shared" si="279"/>
        <v>28.546220958729535</v>
      </c>
      <c r="H370" s="90">
        <f t="shared" si="280"/>
        <v>47.92</v>
      </c>
      <c r="I370" s="91" t="str">
        <f t="shared" si="281"/>
        <v>9동5라인</v>
      </c>
      <c r="J370" s="92" t="s">
        <v>215</v>
      </c>
      <c r="L370" s="89">
        <v>2</v>
      </c>
      <c r="M370" s="78">
        <f t="shared" si="282"/>
        <v>5</v>
      </c>
      <c r="N370" s="78"/>
      <c r="O370" s="78">
        <f t="shared" si="283"/>
        <v>10</v>
      </c>
    </row>
    <row r="371" spans="1:16" ht="18" customHeight="1">
      <c r="A371" s="104"/>
      <c r="B371" s="93"/>
      <c r="C371" s="87"/>
      <c r="D371" s="88">
        <v>228</v>
      </c>
      <c r="E371" s="88">
        <v>910</v>
      </c>
      <c r="F371" s="89">
        <f t="shared" si="278"/>
        <v>10</v>
      </c>
      <c r="G371" s="90">
        <f t="shared" si="279"/>
        <v>22.59909159232755</v>
      </c>
      <c r="H371" s="90">
        <f t="shared" si="280"/>
        <v>45.519999999999996</v>
      </c>
      <c r="I371" s="91" t="str">
        <f t="shared" si="281"/>
        <v>9동5라인</v>
      </c>
      <c r="J371" s="92" t="s">
        <v>216</v>
      </c>
      <c r="L371" s="89">
        <v>2</v>
      </c>
      <c r="M371" s="78">
        <f t="shared" si="282"/>
        <v>5</v>
      </c>
      <c r="N371" s="78"/>
      <c r="O371" s="78">
        <f t="shared" si="283"/>
        <v>10</v>
      </c>
    </row>
    <row r="372" spans="1:16" ht="18" customHeight="1">
      <c r="A372" s="104"/>
      <c r="B372" s="93"/>
      <c r="C372" s="87"/>
      <c r="D372" s="88">
        <v>438</v>
      </c>
      <c r="E372" s="88">
        <v>270</v>
      </c>
      <c r="F372" s="89">
        <f t="shared" si="278"/>
        <v>10</v>
      </c>
      <c r="G372" s="90">
        <f t="shared" si="279"/>
        <v>12.881090089206941</v>
      </c>
      <c r="H372" s="90">
        <f t="shared" si="280"/>
        <v>28.32</v>
      </c>
      <c r="I372" s="91" t="str">
        <f t="shared" si="281"/>
        <v>9동5라인</v>
      </c>
      <c r="J372" s="92" t="s">
        <v>217</v>
      </c>
      <c r="L372" s="89">
        <v>2</v>
      </c>
      <c r="M372" s="78">
        <f t="shared" si="282"/>
        <v>5</v>
      </c>
      <c r="N372" s="78"/>
      <c r="O372" s="78">
        <f t="shared" si="283"/>
        <v>10</v>
      </c>
    </row>
    <row r="373" spans="1:16" ht="18" customHeight="1">
      <c r="A373" s="104"/>
      <c r="B373" s="93"/>
      <c r="C373" s="87"/>
      <c r="D373" s="88">
        <v>208</v>
      </c>
      <c r="E373" s="88">
        <v>910</v>
      </c>
      <c r="F373" s="89">
        <f t="shared" si="278"/>
        <v>10</v>
      </c>
      <c r="G373" s="90">
        <f t="shared" si="279"/>
        <v>20.616715136860222</v>
      </c>
      <c r="H373" s="90">
        <f t="shared" si="280"/>
        <v>44.72</v>
      </c>
      <c r="I373" s="91" t="str">
        <f t="shared" si="281"/>
        <v>9동5라인</v>
      </c>
      <c r="J373" s="92" t="s">
        <v>218</v>
      </c>
      <c r="L373" s="89">
        <v>2</v>
      </c>
      <c r="M373" s="78">
        <f t="shared" si="282"/>
        <v>5</v>
      </c>
      <c r="N373" s="78"/>
      <c r="O373" s="78">
        <f t="shared" si="283"/>
        <v>10</v>
      </c>
    </row>
    <row r="374" spans="1:16" ht="18" customHeight="1">
      <c r="A374" s="104"/>
      <c r="B374" s="87"/>
      <c r="C374" s="87"/>
      <c r="D374" s="325" t="s">
        <v>0</v>
      </c>
      <c r="E374" s="325"/>
      <c r="F374" s="171">
        <f>SUM(F367:F373)</f>
        <v>75</v>
      </c>
      <c r="G374" s="95">
        <f>SUM(G367:G373)</f>
        <v>611.67314751277115</v>
      </c>
      <c r="H374" s="95">
        <f>SUM(H367:H373)</f>
        <v>503.12</v>
      </c>
      <c r="I374" s="97"/>
      <c r="J374" s="98"/>
    </row>
    <row r="375" spans="1:16">
      <c r="A375" s="105"/>
      <c r="B375" s="9"/>
      <c r="C375" s="9"/>
      <c r="D375" s="51"/>
      <c r="E375" s="51"/>
      <c r="F375" s="51"/>
      <c r="G375" s="106"/>
      <c r="H375" s="106"/>
      <c r="I375" s="9"/>
      <c r="J375" s="107"/>
    </row>
    <row r="376" spans="1:16" ht="18" customHeight="1">
      <c r="A376" s="85"/>
      <c r="B376" s="163" t="s">
        <v>199</v>
      </c>
      <c r="C376" s="163">
        <v>22</v>
      </c>
      <c r="D376" s="88">
        <v>738</v>
      </c>
      <c r="E376" s="88">
        <v>1810</v>
      </c>
      <c r="F376" s="89">
        <f t="shared" ref="F376:F377" si="284">O376</f>
        <v>10</v>
      </c>
      <c r="G376" s="90">
        <f t="shared" ref="G376:G377" si="285">D376*E376/91809*F376</f>
        <v>145.4955396529752</v>
      </c>
      <c r="H376" s="90">
        <f t="shared" ref="H376:H377" si="286">(D376/1000)*4*F376+(E376/1000)*4*F376</f>
        <v>101.92</v>
      </c>
      <c r="I376" s="91" t="str">
        <f>I367</f>
        <v>9동5라인</v>
      </c>
      <c r="J376" s="92" t="s">
        <v>219</v>
      </c>
      <c r="L376" s="89">
        <v>2</v>
      </c>
      <c r="M376" s="78">
        <f>M358</f>
        <v>5</v>
      </c>
      <c r="N376" s="84"/>
      <c r="O376" s="78">
        <f>L376*M376-N376*L376</f>
        <v>10</v>
      </c>
      <c r="P376" s="64"/>
    </row>
    <row r="377" spans="1:16" ht="18" customHeight="1">
      <c r="A377" s="85"/>
      <c r="B377" s="86"/>
      <c r="C377" s="87"/>
      <c r="D377" s="88">
        <v>250</v>
      </c>
      <c r="E377" s="88">
        <v>930</v>
      </c>
      <c r="F377" s="89">
        <f t="shared" si="284"/>
        <v>10</v>
      </c>
      <c r="G377" s="90">
        <f t="shared" si="285"/>
        <v>25.324314609678787</v>
      </c>
      <c r="H377" s="90">
        <f t="shared" si="286"/>
        <v>47.2</v>
      </c>
      <c r="I377" s="91" t="str">
        <f>I376</f>
        <v>9동5라인</v>
      </c>
      <c r="J377" s="92" t="s">
        <v>220</v>
      </c>
      <c r="L377" s="89">
        <v>2</v>
      </c>
      <c r="M377" s="78">
        <f>M376</f>
        <v>5</v>
      </c>
      <c r="N377" s="84"/>
      <c r="O377" s="78">
        <f t="shared" ref="O377" si="287">L377*M377-N377*L377</f>
        <v>10</v>
      </c>
    </row>
    <row r="378" spans="1:16" ht="18" customHeight="1">
      <c r="A378" s="85"/>
      <c r="B378" s="93"/>
      <c r="C378" s="87"/>
      <c r="D378" s="325" t="s">
        <v>0</v>
      </c>
      <c r="E378" s="325"/>
      <c r="F378" s="94">
        <f>SUM(F376:F377)</f>
        <v>20</v>
      </c>
      <c r="G378" s="95">
        <f>SUM(G376:G377)</f>
        <v>170.81985426265399</v>
      </c>
      <c r="H378" s="95">
        <f>SUM(H376:H377)</f>
        <v>149.12</v>
      </c>
      <c r="I378" s="97"/>
      <c r="J378" s="98"/>
    </row>
    <row r="379" spans="1:16" ht="18" customHeight="1" thickBot="1">
      <c r="A379" s="222"/>
      <c r="B379" s="245"/>
      <c r="C379" s="224"/>
      <c r="D379" s="246"/>
      <c r="E379" s="246"/>
      <c r="F379" s="226"/>
      <c r="G379" s="247"/>
      <c r="H379" s="247"/>
      <c r="I379" s="248"/>
      <c r="J379" s="249"/>
      <c r="L379" s="250"/>
      <c r="M379" s="250"/>
      <c r="N379" s="250"/>
      <c r="O379" s="250"/>
    </row>
    <row r="380" spans="1:16" ht="18" customHeight="1">
      <c r="A380" s="79" t="s">
        <v>242</v>
      </c>
      <c r="B380" s="231" t="s">
        <v>195</v>
      </c>
      <c r="C380" s="232">
        <v>22</v>
      </c>
      <c r="D380" s="80">
        <v>761</v>
      </c>
      <c r="E380" s="80">
        <v>1810</v>
      </c>
      <c r="F380" s="233">
        <f t="shared" ref="F380:F385" si="288">O380</f>
        <v>10</v>
      </c>
      <c r="G380" s="81">
        <f t="shared" ref="G380:G385" si="289">D380*E380/91809*F380</f>
        <v>150.02995349039855</v>
      </c>
      <c r="H380" s="81">
        <f t="shared" ref="H380:H385" si="290">(D380/1000)*4*F380+(E380/1000)*4*F380</f>
        <v>102.84</v>
      </c>
      <c r="I380" s="82" t="s">
        <v>259</v>
      </c>
      <c r="J380" s="83" t="s">
        <v>205</v>
      </c>
      <c r="L380" s="89">
        <v>2</v>
      </c>
      <c r="M380" s="78">
        <v>5</v>
      </c>
      <c r="N380" s="78"/>
      <c r="O380" s="78">
        <f t="shared" ref="O380:O385" si="291">L380*M380-N380*L380</f>
        <v>10</v>
      </c>
    </row>
    <row r="381" spans="1:16" ht="18" customHeight="1">
      <c r="A381" s="85"/>
      <c r="B381" s="86"/>
      <c r="C381" s="87"/>
      <c r="D381" s="88">
        <v>1688</v>
      </c>
      <c r="E381" s="88">
        <v>1810</v>
      </c>
      <c r="F381" s="89">
        <f t="shared" si="288"/>
        <v>5</v>
      </c>
      <c r="G381" s="90">
        <f t="shared" si="289"/>
        <v>166.39327299066539</v>
      </c>
      <c r="H381" s="90">
        <f t="shared" si="290"/>
        <v>69.960000000000008</v>
      </c>
      <c r="I381" s="91" t="str">
        <f>I380</f>
        <v>9동6라인</v>
      </c>
      <c r="J381" s="92" t="s">
        <v>206</v>
      </c>
      <c r="L381" s="89">
        <v>1</v>
      </c>
      <c r="M381" s="78">
        <f t="shared" ref="M381:M397" si="292">M380</f>
        <v>5</v>
      </c>
      <c r="N381" s="78"/>
      <c r="O381" s="78">
        <f t="shared" si="291"/>
        <v>5</v>
      </c>
    </row>
    <row r="382" spans="1:16" ht="18" customHeight="1">
      <c r="A382" s="85"/>
      <c r="B382" s="86"/>
      <c r="C382" s="87"/>
      <c r="D382" s="88">
        <v>738</v>
      </c>
      <c r="E382" s="88">
        <v>1310</v>
      </c>
      <c r="F382" s="89">
        <f t="shared" si="288"/>
        <v>20</v>
      </c>
      <c r="G382" s="90">
        <f t="shared" si="289"/>
        <v>210.6068032545829</v>
      </c>
      <c r="H382" s="90">
        <f t="shared" si="290"/>
        <v>163.84</v>
      </c>
      <c r="I382" s="91" t="str">
        <f t="shared" ref="I382:I385" si="293">I381</f>
        <v>9동6라인</v>
      </c>
      <c r="J382" s="92" t="s">
        <v>207</v>
      </c>
      <c r="L382" s="89">
        <v>4</v>
      </c>
      <c r="M382" s="78">
        <f t="shared" si="292"/>
        <v>5</v>
      </c>
      <c r="N382" s="78"/>
      <c r="O382" s="78">
        <f t="shared" si="291"/>
        <v>20</v>
      </c>
    </row>
    <row r="383" spans="1:16" ht="18" customHeight="1">
      <c r="A383" s="85"/>
      <c r="B383" s="86"/>
      <c r="C383" s="87"/>
      <c r="D383" s="88">
        <v>438</v>
      </c>
      <c r="E383" s="88">
        <v>910</v>
      </c>
      <c r="F383" s="89">
        <f t="shared" si="288"/>
        <v>10</v>
      </c>
      <c r="G383" s="90">
        <f t="shared" si="289"/>
        <v>43.414044374734502</v>
      </c>
      <c r="H383" s="90">
        <f t="shared" si="290"/>
        <v>53.92</v>
      </c>
      <c r="I383" s="91" t="str">
        <f t="shared" si="293"/>
        <v>9동6라인</v>
      </c>
      <c r="J383" s="92" t="s">
        <v>223</v>
      </c>
      <c r="L383" s="89">
        <v>2</v>
      </c>
      <c r="M383" s="78">
        <f t="shared" si="292"/>
        <v>5</v>
      </c>
      <c r="N383" s="78"/>
      <c r="O383" s="78">
        <f t="shared" si="291"/>
        <v>10</v>
      </c>
    </row>
    <row r="384" spans="1:16" ht="18" customHeight="1">
      <c r="A384" s="85"/>
      <c r="B384" s="86"/>
      <c r="C384" s="87"/>
      <c r="D384" s="88">
        <v>228</v>
      </c>
      <c r="E384" s="88">
        <v>910</v>
      </c>
      <c r="F384" s="89">
        <f t="shared" si="288"/>
        <v>10</v>
      </c>
      <c r="G384" s="90">
        <f t="shared" si="289"/>
        <v>22.59909159232755</v>
      </c>
      <c r="H384" s="90">
        <f t="shared" si="290"/>
        <v>45.519999999999996</v>
      </c>
      <c r="I384" s="91" t="str">
        <f t="shared" si="293"/>
        <v>9동6라인</v>
      </c>
      <c r="J384" s="92" t="s">
        <v>209</v>
      </c>
      <c r="L384" s="89">
        <v>2</v>
      </c>
      <c r="M384" s="78">
        <f t="shared" si="292"/>
        <v>5</v>
      </c>
      <c r="N384" s="78"/>
      <c r="O384" s="78">
        <f t="shared" si="291"/>
        <v>10</v>
      </c>
    </row>
    <row r="385" spans="1:16" ht="18" customHeight="1">
      <c r="A385" s="85"/>
      <c r="B385" s="86"/>
      <c r="C385" s="87"/>
      <c r="D385" s="88">
        <v>438</v>
      </c>
      <c r="E385" s="88">
        <v>270</v>
      </c>
      <c r="F385" s="89">
        <f t="shared" si="288"/>
        <v>10</v>
      </c>
      <c r="G385" s="90">
        <f t="shared" si="289"/>
        <v>12.881090089206941</v>
      </c>
      <c r="H385" s="90">
        <f t="shared" si="290"/>
        <v>28.32</v>
      </c>
      <c r="I385" s="91" t="str">
        <f t="shared" si="293"/>
        <v>9동6라인</v>
      </c>
      <c r="J385" s="92" t="s">
        <v>210</v>
      </c>
      <c r="L385" s="89">
        <v>2</v>
      </c>
      <c r="M385" s="78">
        <f t="shared" si="292"/>
        <v>5</v>
      </c>
      <c r="N385" s="78"/>
      <c r="O385" s="78">
        <f t="shared" si="291"/>
        <v>10</v>
      </c>
    </row>
    <row r="386" spans="1:16" ht="18" customHeight="1">
      <c r="A386" s="85"/>
      <c r="B386" s="93"/>
      <c r="C386" s="87"/>
      <c r="D386" s="325" t="s">
        <v>0</v>
      </c>
      <c r="E386" s="325"/>
      <c r="F386" s="94">
        <f>SUM(F380:F385)</f>
        <v>65</v>
      </c>
      <c r="G386" s="95">
        <f>SUM(G380:G385)</f>
        <v>605.92425579191593</v>
      </c>
      <c r="H386" s="96">
        <f>SUM(H380:H385)</f>
        <v>464.4</v>
      </c>
      <c r="I386" s="97"/>
      <c r="J386" s="162"/>
      <c r="L386" s="250"/>
      <c r="M386" s="250"/>
      <c r="N386" s="250"/>
      <c r="O386" s="250"/>
    </row>
    <row r="387" spans="1:16" ht="18" customHeight="1">
      <c r="A387" s="85"/>
      <c r="B387" s="93"/>
      <c r="C387" s="87"/>
      <c r="D387" s="161"/>
      <c r="E387" s="161"/>
      <c r="F387" s="89"/>
      <c r="G387" s="100"/>
      <c r="H387" s="101"/>
      <c r="I387" s="102"/>
      <c r="J387" s="121"/>
      <c r="L387" s="250"/>
      <c r="M387" s="250"/>
      <c r="N387" s="250"/>
      <c r="O387" s="250"/>
    </row>
    <row r="388" spans="1:16" ht="18" customHeight="1">
      <c r="A388" s="85"/>
      <c r="B388" s="23" t="s">
        <v>197</v>
      </c>
      <c r="C388" s="24">
        <v>22</v>
      </c>
      <c r="D388" s="88">
        <v>761</v>
      </c>
      <c r="E388" s="88">
        <v>1810</v>
      </c>
      <c r="F388" s="89">
        <f t="shared" ref="F388:F393" si="294">O388</f>
        <v>10</v>
      </c>
      <c r="G388" s="90">
        <f t="shared" ref="G388:G393" si="295">D388*E388/91809*F388</f>
        <v>150.02995349039855</v>
      </c>
      <c r="H388" s="90">
        <f t="shared" ref="H388:H393" si="296">(D388/1000)*4*F388+(E388/1000)*4*F388</f>
        <v>102.84</v>
      </c>
      <c r="I388" s="91" t="str">
        <f>I380</f>
        <v>9동6라인</v>
      </c>
      <c r="J388" s="92" t="s">
        <v>212</v>
      </c>
      <c r="L388" s="89">
        <v>2</v>
      </c>
      <c r="M388" s="78">
        <f>M385</f>
        <v>5</v>
      </c>
      <c r="N388" s="78"/>
      <c r="O388" s="78">
        <f t="shared" ref="O388:O393" si="297">L388*M388-N388*L388</f>
        <v>10</v>
      </c>
    </row>
    <row r="389" spans="1:16" ht="18" customHeight="1">
      <c r="A389" s="85"/>
      <c r="B389" s="86"/>
      <c r="C389" s="87"/>
      <c r="D389" s="88">
        <v>1688</v>
      </c>
      <c r="E389" s="88">
        <v>1810</v>
      </c>
      <c r="F389" s="89">
        <f t="shared" si="294"/>
        <v>5</v>
      </c>
      <c r="G389" s="90">
        <f t="shared" si="295"/>
        <v>166.39327299066539</v>
      </c>
      <c r="H389" s="90">
        <f t="shared" si="296"/>
        <v>69.960000000000008</v>
      </c>
      <c r="I389" s="91" t="str">
        <f>I380</f>
        <v>9동6라인</v>
      </c>
      <c r="J389" s="92" t="s">
        <v>213</v>
      </c>
      <c r="L389" s="89">
        <v>1</v>
      </c>
      <c r="M389" s="78">
        <f t="shared" si="292"/>
        <v>5</v>
      </c>
      <c r="N389" s="78"/>
      <c r="O389" s="78">
        <f t="shared" si="297"/>
        <v>5</v>
      </c>
    </row>
    <row r="390" spans="1:16">
      <c r="A390" s="104"/>
      <c r="B390" s="93"/>
      <c r="C390" s="87"/>
      <c r="D390" s="88">
        <v>738</v>
      </c>
      <c r="E390" s="88">
        <v>1310</v>
      </c>
      <c r="F390" s="89">
        <f t="shared" si="294"/>
        <v>20</v>
      </c>
      <c r="G390" s="90">
        <f t="shared" si="295"/>
        <v>210.6068032545829</v>
      </c>
      <c r="H390" s="90">
        <f t="shared" si="296"/>
        <v>163.84</v>
      </c>
      <c r="I390" s="91" t="str">
        <f>I389</f>
        <v>9동6라인</v>
      </c>
      <c r="J390" s="92" t="s">
        <v>214</v>
      </c>
      <c r="L390" s="89">
        <v>4</v>
      </c>
      <c r="M390" s="78">
        <f t="shared" si="292"/>
        <v>5</v>
      </c>
      <c r="N390" s="78"/>
      <c r="O390" s="78">
        <f t="shared" si="297"/>
        <v>20</v>
      </c>
    </row>
    <row r="391" spans="1:16" ht="18" customHeight="1">
      <c r="A391" s="104"/>
      <c r="B391" s="93"/>
      <c r="C391" s="87"/>
      <c r="D391" s="88">
        <v>438</v>
      </c>
      <c r="E391" s="88">
        <v>910</v>
      </c>
      <c r="F391" s="89">
        <f t="shared" si="294"/>
        <v>10</v>
      </c>
      <c r="G391" s="90">
        <f t="shared" si="295"/>
        <v>43.414044374734502</v>
      </c>
      <c r="H391" s="90">
        <f t="shared" si="296"/>
        <v>53.92</v>
      </c>
      <c r="I391" s="91" t="str">
        <f t="shared" ref="I391:I393" si="298">I390</f>
        <v>9동6라인</v>
      </c>
      <c r="J391" s="92" t="s">
        <v>225</v>
      </c>
      <c r="L391" s="89">
        <v>2</v>
      </c>
      <c r="M391" s="78">
        <f t="shared" si="292"/>
        <v>5</v>
      </c>
      <c r="N391" s="78"/>
      <c r="O391" s="78">
        <f t="shared" si="297"/>
        <v>10</v>
      </c>
      <c r="P391" s="64"/>
    </row>
    <row r="392" spans="1:16" ht="18" customHeight="1">
      <c r="A392" s="104"/>
      <c r="B392" s="93"/>
      <c r="C392" s="87"/>
      <c r="D392" s="88">
        <v>228</v>
      </c>
      <c r="E392" s="88">
        <v>910</v>
      </c>
      <c r="F392" s="89">
        <f t="shared" si="294"/>
        <v>10</v>
      </c>
      <c r="G392" s="90">
        <f t="shared" si="295"/>
        <v>22.59909159232755</v>
      </c>
      <c r="H392" s="90">
        <f t="shared" si="296"/>
        <v>45.519999999999996</v>
      </c>
      <c r="I392" s="91" t="str">
        <f t="shared" si="298"/>
        <v>9동6라인</v>
      </c>
      <c r="J392" s="92" t="s">
        <v>216</v>
      </c>
      <c r="L392" s="89">
        <v>2</v>
      </c>
      <c r="M392" s="78">
        <f t="shared" si="292"/>
        <v>5</v>
      </c>
      <c r="N392" s="78"/>
      <c r="O392" s="78">
        <f t="shared" si="297"/>
        <v>10</v>
      </c>
    </row>
    <row r="393" spans="1:16" ht="18" customHeight="1">
      <c r="A393" s="104"/>
      <c r="B393" s="93"/>
      <c r="C393" s="87"/>
      <c r="D393" s="88">
        <v>438</v>
      </c>
      <c r="E393" s="88">
        <v>270</v>
      </c>
      <c r="F393" s="89">
        <f t="shared" si="294"/>
        <v>10</v>
      </c>
      <c r="G393" s="90">
        <f t="shared" si="295"/>
        <v>12.881090089206941</v>
      </c>
      <c r="H393" s="90">
        <f t="shared" si="296"/>
        <v>28.32</v>
      </c>
      <c r="I393" s="91" t="str">
        <f t="shared" si="298"/>
        <v>9동6라인</v>
      </c>
      <c r="J393" s="92" t="s">
        <v>217</v>
      </c>
      <c r="L393" s="89">
        <v>2</v>
      </c>
      <c r="M393" s="78">
        <f t="shared" si="292"/>
        <v>5</v>
      </c>
      <c r="N393" s="78"/>
      <c r="O393" s="78">
        <f t="shared" si="297"/>
        <v>10</v>
      </c>
    </row>
    <row r="394" spans="1:16">
      <c r="A394" s="104"/>
      <c r="B394" s="87"/>
      <c r="C394" s="87"/>
      <c r="D394" s="325" t="s">
        <v>0</v>
      </c>
      <c r="E394" s="325"/>
      <c r="F394" s="171">
        <f>SUM(F388:F393)</f>
        <v>65</v>
      </c>
      <c r="G394" s="95">
        <f>SUM(G388:G393)</f>
        <v>605.92425579191593</v>
      </c>
      <c r="H394" s="95">
        <f>SUM(H388:H393)</f>
        <v>464.4</v>
      </c>
      <c r="I394" s="97"/>
      <c r="J394" s="98"/>
      <c r="L394" s="250"/>
      <c r="M394" s="250"/>
      <c r="N394" s="250"/>
      <c r="O394" s="250"/>
    </row>
    <row r="395" spans="1:16">
      <c r="A395" s="105"/>
      <c r="B395" s="9"/>
      <c r="C395" s="9"/>
      <c r="D395" s="51"/>
      <c r="E395" s="51"/>
      <c r="F395" s="51"/>
      <c r="G395" s="106"/>
      <c r="H395" s="106"/>
      <c r="I395" s="9"/>
      <c r="J395" s="107"/>
      <c r="L395" s="250"/>
      <c r="M395" s="250"/>
      <c r="N395" s="250"/>
      <c r="O395" s="250"/>
    </row>
    <row r="396" spans="1:16" ht="18" customHeight="1">
      <c r="A396" s="85"/>
      <c r="B396" s="163" t="s">
        <v>199</v>
      </c>
      <c r="C396" s="163">
        <v>22</v>
      </c>
      <c r="D396" s="88">
        <v>738</v>
      </c>
      <c r="E396" s="88">
        <v>1810</v>
      </c>
      <c r="F396" s="89">
        <f t="shared" ref="F396:F397" si="299">O396</f>
        <v>10</v>
      </c>
      <c r="G396" s="90">
        <f t="shared" ref="G396:G398" si="300">D396*E396/91809*F396</f>
        <v>145.4955396529752</v>
      </c>
      <c r="H396" s="90">
        <f t="shared" ref="H396:H398" si="301">(D396/1000)*4*F396+(E396/1000)*4*F396</f>
        <v>101.92</v>
      </c>
      <c r="I396" s="91" t="str">
        <f>I388</f>
        <v>9동6라인</v>
      </c>
      <c r="J396" s="92" t="s">
        <v>219</v>
      </c>
      <c r="L396" s="89">
        <v>2</v>
      </c>
      <c r="M396" s="78">
        <f>M393</f>
        <v>5</v>
      </c>
      <c r="N396" s="78"/>
      <c r="O396" s="78">
        <f t="shared" ref="O396:O397" si="302">L396*M396-N396*L396</f>
        <v>10</v>
      </c>
      <c r="P396" s="64"/>
    </row>
    <row r="397" spans="1:16" ht="18" customHeight="1">
      <c r="A397" s="85"/>
      <c r="B397" s="86"/>
      <c r="C397" s="87"/>
      <c r="D397" s="88">
        <v>250</v>
      </c>
      <c r="E397" s="88">
        <v>930</v>
      </c>
      <c r="F397" s="89">
        <f t="shared" si="299"/>
        <v>10</v>
      </c>
      <c r="G397" s="90">
        <f t="shared" si="300"/>
        <v>25.324314609678787</v>
      </c>
      <c r="H397" s="90">
        <f t="shared" si="301"/>
        <v>47.2</v>
      </c>
      <c r="I397" s="91" t="str">
        <f>I396</f>
        <v>9동6라인</v>
      </c>
      <c r="J397" s="92" t="s">
        <v>220</v>
      </c>
      <c r="L397" s="89">
        <v>2</v>
      </c>
      <c r="M397" s="78">
        <f t="shared" si="292"/>
        <v>5</v>
      </c>
      <c r="N397" s="78"/>
      <c r="O397" s="78">
        <f t="shared" si="302"/>
        <v>10</v>
      </c>
    </row>
    <row r="398" spans="1:16" ht="18" customHeight="1">
      <c r="A398" s="85"/>
      <c r="B398" s="86"/>
      <c r="C398" s="87"/>
      <c r="D398" s="88"/>
      <c r="E398" s="88"/>
      <c r="F398" s="89"/>
      <c r="G398" s="90">
        <f t="shared" si="300"/>
        <v>0</v>
      </c>
      <c r="H398" s="90">
        <f t="shared" si="301"/>
        <v>0</v>
      </c>
      <c r="I398" s="91"/>
      <c r="J398" s="92"/>
      <c r="L398" s="250"/>
      <c r="M398" s="250"/>
      <c r="N398" s="250"/>
      <c r="O398" s="250"/>
    </row>
    <row r="399" spans="1:16" ht="18" customHeight="1">
      <c r="A399" s="85"/>
      <c r="B399" s="93"/>
      <c r="C399" s="87"/>
      <c r="D399" s="325" t="s">
        <v>0</v>
      </c>
      <c r="E399" s="325"/>
      <c r="F399" s="94">
        <f>SUM(F396:F398)</f>
        <v>20</v>
      </c>
      <c r="G399" s="95">
        <f>SUM(G396:G398)</f>
        <v>170.81985426265399</v>
      </c>
      <c r="H399" s="95">
        <f>SUM(H396:H398)</f>
        <v>149.12</v>
      </c>
      <c r="I399" s="97"/>
      <c r="J399" s="98"/>
      <c r="L399" s="250"/>
      <c r="M399" s="250"/>
      <c r="N399" s="250"/>
      <c r="O399" s="250"/>
    </row>
    <row r="400" spans="1:16" ht="18" customHeight="1" thickBot="1">
      <c r="A400" s="253"/>
      <c r="B400" s="254"/>
      <c r="C400" s="255"/>
      <c r="D400" s="361"/>
      <c r="E400" s="361"/>
      <c r="F400" s="256"/>
      <c r="G400" s="257"/>
      <c r="H400" s="258"/>
      <c r="I400" s="259"/>
      <c r="J400" s="260"/>
      <c r="L400" s="250"/>
      <c r="M400" s="250"/>
      <c r="N400" s="250"/>
      <c r="O400" s="250"/>
    </row>
    <row r="401" spans="1:16" ht="18" customHeight="1">
      <c r="A401" s="79" t="s">
        <v>242</v>
      </c>
      <c r="B401" s="231" t="s">
        <v>195</v>
      </c>
      <c r="C401" s="232">
        <v>22</v>
      </c>
      <c r="D401" s="80">
        <v>761</v>
      </c>
      <c r="E401" s="80">
        <v>1810</v>
      </c>
      <c r="F401" s="233">
        <f t="shared" ref="F401:F406" si="303">O401</f>
        <v>10</v>
      </c>
      <c r="G401" s="81">
        <f t="shared" ref="G401:G406" si="304">D401*E401/91809*F401</f>
        <v>150.02995349039855</v>
      </c>
      <c r="H401" s="81">
        <f t="shared" ref="H401:H406" si="305">(D401/1000)*4*F401+(E401/1000)*4*F401</f>
        <v>102.84</v>
      </c>
      <c r="I401" s="82" t="s">
        <v>260</v>
      </c>
      <c r="J401" s="83" t="s">
        <v>205</v>
      </c>
      <c r="L401" s="89">
        <v>2</v>
      </c>
      <c r="M401" s="78">
        <v>5</v>
      </c>
      <c r="N401" s="78"/>
      <c r="O401" s="78">
        <f t="shared" ref="O401:O406" si="306">L401*M401-N401*L401</f>
        <v>10</v>
      </c>
    </row>
    <row r="402" spans="1:16" ht="18" customHeight="1">
      <c r="A402" s="85"/>
      <c r="B402" s="86"/>
      <c r="C402" s="87"/>
      <c r="D402" s="88">
        <v>1688</v>
      </c>
      <c r="E402" s="88">
        <v>1810</v>
      </c>
      <c r="F402" s="89">
        <f t="shared" si="303"/>
        <v>5</v>
      </c>
      <c r="G402" s="90">
        <f t="shared" si="304"/>
        <v>166.39327299066539</v>
      </c>
      <c r="H402" s="90">
        <f t="shared" si="305"/>
        <v>69.960000000000008</v>
      </c>
      <c r="I402" s="91" t="str">
        <f>I401</f>
        <v>10동1라인</v>
      </c>
      <c r="J402" s="92" t="s">
        <v>206</v>
      </c>
      <c r="L402" s="89">
        <v>1</v>
      </c>
      <c r="M402" s="78">
        <f t="shared" ref="M402:M418" si="307">M401</f>
        <v>5</v>
      </c>
      <c r="N402" s="78"/>
      <c r="O402" s="78">
        <f t="shared" si="306"/>
        <v>5</v>
      </c>
    </row>
    <row r="403" spans="1:16" ht="18" customHeight="1">
      <c r="A403" s="85"/>
      <c r="B403" s="86"/>
      <c r="C403" s="87"/>
      <c r="D403" s="88">
        <v>738</v>
      </c>
      <c r="E403" s="88">
        <v>1310</v>
      </c>
      <c r="F403" s="89">
        <f t="shared" si="303"/>
        <v>20</v>
      </c>
      <c r="G403" s="90">
        <f t="shared" si="304"/>
        <v>210.6068032545829</v>
      </c>
      <c r="H403" s="90">
        <f t="shared" si="305"/>
        <v>163.84</v>
      </c>
      <c r="I403" s="91" t="str">
        <f t="shared" ref="I403:I406" si="308">I402</f>
        <v>10동1라인</v>
      </c>
      <c r="J403" s="92" t="s">
        <v>207</v>
      </c>
      <c r="L403" s="89">
        <v>4</v>
      </c>
      <c r="M403" s="78">
        <f t="shared" si="307"/>
        <v>5</v>
      </c>
      <c r="N403" s="78"/>
      <c r="O403" s="78">
        <f t="shared" si="306"/>
        <v>20</v>
      </c>
    </row>
    <row r="404" spans="1:16" ht="18" customHeight="1">
      <c r="A404" s="85"/>
      <c r="B404" s="86"/>
      <c r="C404" s="87"/>
      <c r="D404" s="88">
        <v>438</v>
      </c>
      <c r="E404" s="88">
        <v>910</v>
      </c>
      <c r="F404" s="89">
        <f t="shared" si="303"/>
        <v>10</v>
      </c>
      <c r="G404" s="90">
        <f t="shared" si="304"/>
        <v>43.414044374734502</v>
      </c>
      <c r="H404" s="90">
        <f t="shared" si="305"/>
        <v>53.92</v>
      </c>
      <c r="I404" s="91" t="str">
        <f t="shared" si="308"/>
        <v>10동1라인</v>
      </c>
      <c r="J404" s="92" t="s">
        <v>223</v>
      </c>
      <c r="L404" s="89">
        <v>2</v>
      </c>
      <c r="M404" s="78">
        <f t="shared" si="307"/>
        <v>5</v>
      </c>
      <c r="N404" s="78"/>
      <c r="O404" s="78">
        <f t="shared" si="306"/>
        <v>10</v>
      </c>
    </row>
    <row r="405" spans="1:16" ht="18" customHeight="1">
      <c r="A405" s="85"/>
      <c r="B405" s="86"/>
      <c r="C405" s="87"/>
      <c r="D405" s="88">
        <v>228</v>
      </c>
      <c r="E405" s="88">
        <v>910</v>
      </c>
      <c r="F405" s="89">
        <f t="shared" si="303"/>
        <v>10</v>
      </c>
      <c r="G405" s="90">
        <f t="shared" si="304"/>
        <v>22.59909159232755</v>
      </c>
      <c r="H405" s="90">
        <f t="shared" si="305"/>
        <v>45.519999999999996</v>
      </c>
      <c r="I405" s="91" t="str">
        <f t="shared" si="308"/>
        <v>10동1라인</v>
      </c>
      <c r="J405" s="92" t="s">
        <v>209</v>
      </c>
      <c r="L405" s="89">
        <v>2</v>
      </c>
      <c r="M405" s="78">
        <f t="shared" si="307"/>
        <v>5</v>
      </c>
      <c r="N405" s="78"/>
      <c r="O405" s="78">
        <f t="shared" si="306"/>
        <v>10</v>
      </c>
    </row>
    <row r="406" spans="1:16" ht="18" customHeight="1">
      <c r="A406" s="85"/>
      <c r="B406" s="86"/>
      <c r="C406" s="87"/>
      <c r="D406" s="88">
        <v>438</v>
      </c>
      <c r="E406" s="88">
        <v>270</v>
      </c>
      <c r="F406" s="89">
        <f t="shared" si="303"/>
        <v>10</v>
      </c>
      <c r="G406" s="90">
        <f t="shared" si="304"/>
        <v>12.881090089206941</v>
      </c>
      <c r="H406" s="90">
        <f t="shared" si="305"/>
        <v>28.32</v>
      </c>
      <c r="I406" s="91" t="str">
        <f t="shared" si="308"/>
        <v>10동1라인</v>
      </c>
      <c r="J406" s="92" t="s">
        <v>210</v>
      </c>
      <c r="L406" s="89">
        <v>2</v>
      </c>
      <c r="M406" s="78">
        <f t="shared" si="307"/>
        <v>5</v>
      </c>
      <c r="N406" s="78"/>
      <c r="O406" s="78">
        <f t="shared" si="306"/>
        <v>10</v>
      </c>
    </row>
    <row r="407" spans="1:16" ht="18" customHeight="1">
      <c r="A407" s="85"/>
      <c r="B407" s="93"/>
      <c r="C407" s="87"/>
      <c r="D407" s="325" t="s">
        <v>0</v>
      </c>
      <c r="E407" s="325"/>
      <c r="F407" s="94">
        <f>SUM(F401:F406)</f>
        <v>65</v>
      </c>
      <c r="G407" s="95">
        <f>SUM(G401:G406)</f>
        <v>605.92425579191593</v>
      </c>
      <c r="H407" s="96">
        <f>SUM(H401:H406)</f>
        <v>464.4</v>
      </c>
      <c r="I407" s="97"/>
      <c r="J407" s="162"/>
      <c r="L407" s="250"/>
      <c r="M407" s="250"/>
      <c r="N407" s="250"/>
      <c r="O407" s="250"/>
    </row>
    <row r="408" spans="1:16" ht="18" customHeight="1">
      <c r="A408" s="85"/>
      <c r="B408" s="93"/>
      <c r="C408" s="87"/>
      <c r="D408" s="161"/>
      <c r="E408" s="161"/>
      <c r="F408" s="89"/>
      <c r="G408" s="100"/>
      <c r="H408" s="101"/>
      <c r="I408" s="102"/>
      <c r="J408" s="121"/>
      <c r="L408" s="250"/>
      <c r="M408" s="250"/>
      <c r="N408" s="250"/>
      <c r="O408" s="250"/>
    </row>
    <row r="409" spans="1:16" ht="18" customHeight="1">
      <c r="A409" s="85"/>
      <c r="B409" s="23" t="s">
        <v>197</v>
      </c>
      <c r="C409" s="24">
        <v>22</v>
      </c>
      <c r="D409" s="88">
        <v>761</v>
      </c>
      <c r="E409" s="88">
        <v>1810</v>
      </c>
      <c r="F409" s="89">
        <f t="shared" ref="F409:F414" si="309">O409</f>
        <v>10</v>
      </c>
      <c r="G409" s="90">
        <f t="shared" ref="G409:G414" si="310">D409*E409/91809*F409</f>
        <v>150.02995349039855</v>
      </c>
      <c r="H409" s="90">
        <f t="shared" ref="H409:H414" si="311">(D409/1000)*4*F409+(E409/1000)*4*F409</f>
        <v>102.84</v>
      </c>
      <c r="I409" s="91" t="str">
        <f>I401</f>
        <v>10동1라인</v>
      </c>
      <c r="J409" s="92" t="s">
        <v>212</v>
      </c>
      <c r="L409" s="89">
        <v>2</v>
      </c>
      <c r="M409" s="78">
        <f>M406</f>
        <v>5</v>
      </c>
      <c r="N409" s="78"/>
      <c r="O409" s="78">
        <f t="shared" ref="O409:O414" si="312">L409*M409-N409*L409</f>
        <v>10</v>
      </c>
    </row>
    <row r="410" spans="1:16" ht="18" customHeight="1">
      <c r="A410" s="85"/>
      <c r="B410" s="86"/>
      <c r="C410" s="87"/>
      <c r="D410" s="88">
        <v>1688</v>
      </c>
      <c r="E410" s="88">
        <v>1810</v>
      </c>
      <c r="F410" s="89">
        <f t="shared" si="309"/>
        <v>5</v>
      </c>
      <c r="G410" s="90">
        <f t="shared" si="310"/>
        <v>166.39327299066539</v>
      </c>
      <c r="H410" s="90">
        <f t="shared" si="311"/>
        <v>69.960000000000008</v>
      </c>
      <c r="I410" s="91" t="str">
        <f>I401</f>
        <v>10동1라인</v>
      </c>
      <c r="J410" s="92" t="s">
        <v>213</v>
      </c>
      <c r="L410" s="89">
        <v>1</v>
      </c>
      <c r="M410" s="78">
        <f t="shared" si="307"/>
        <v>5</v>
      </c>
      <c r="N410" s="78"/>
      <c r="O410" s="78">
        <f t="shared" si="312"/>
        <v>5</v>
      </c>
    </row>
    <row r="411" spans="1:16">
      <c r="A411" s="104"/>
      <c r="B411" s="93"/>
      <c r="C411" s="87"/>
      <c r="D411" s="88">
        <v>738</v>
      </c>
      <c r="E411" s="88">
        <v>1310</v>
      </c>
      <c r="F411" s="89">
        <f t="shared" si="309"/>
        <v>20</v>
      </c>
      <c r="G411" s="90">
        <f t="shared" si="310"/>
        <v>210.6068032545829</v>
      </c>
      <c r="H411" s="90">
        <f t="shared" si="311"/>
        <v>163.84</v>
      </c>
      <c r="I411" s="91" t="str">
        <f>I410</f>
        <v>10동1라인</v>
      </c>
      <c r="J411" s="92" t="s">
        <v>214</v>
      </c>
      <c r="L411" s="89">
        <v>4</v>
      </c>
      <c r="M411" s="78">
        <f t="shared" si="307"/>
        <v>5</v>
      </c>
      <c r="N411" s="78"/>
      <c r="O411" s="78">
        <f t="shared" si="312"/>
        <v>20</v>
      </c>
    </row>
    <row r="412" spans="1:16" ht="18" customHeight="1">
      <c r="A412" s="104"/>
      <c r="B412" s="93"/>
      <c r="C412" s="87"/>
      <c r="D412" s="88">
        <v>438</v>
      </c>
      <c r="E412" s="88">
        <v>910</v>
      </c>
      <c r="F412" s="89">
        <f t="shared" si="309"/>
        <v>10</v>
      </c>
      <c r="G412" s="90">
        <f t="shared" si="310"/>
        <v>43.414044374734502</v>
      </c>
      <c r="H412" s="90">
        <f t="shared" si="311"/>
        <v>53.92</v>
      </c>
      <c r="I412" s="91" t="str">
        <f t="shared" ref="I412:I414" si="313">I411</f>
        <v>10동1라인</v>
      </c>
      <c r="J412" s="92" t="s">
        <v>225</v>
      </c>
      <c r="L412" s="89">
        <v>2</v>
      </c>
      <c r="M412" s="78">
        <f t="shared" si="307"/>
        <v>5</v>
      </c>
      <c r="N412" s="78"/>
      <c r="O412" s="78">
        <f t="shared" si="312"/>
        <v>10</v>
      </c>
      <c r="P412" s="64"/>
    </row>
    <row r="413" spans="1:16" ht="18" customHeight="1">
      <c r="A413" s="104"/>
      <c r="B413" s="93"/>
      <c r="C413" s="87"/>
      <c r="D413" s="88">
        <v>228</v>
      </c>
      <c r="E413" s="88">
        <v>910</v>
      </c>
      <c r="F413" s="89">
        <f t="shared" si="309"/>
        <v>10</v>
      </c>
      <c r="G413" s="90">
        <f t="shared" si="310"/>
        <v>22.59909159232755</v>
      </c>
      <c r="H413" s="90">
        <f t="shared" si="311"/>
        <v>45.519999999999996</v>
      </c>
      <c r="I413" s="91" t="str">
        <f t="shared" si="313"/>
        <v>10동1라인</v>
      </c>
      <c r="J413" s="92" t="s">
        <v>216</v>
      </c>
      <c r="L413" s="89">
        <v>2</v>
      </c>
      <c r="M413" s="78">
        <f t="shared" si="307"/>
        <v>5</v>
      </c>
      <c r="N413" s="78"/>
      <c r="O413" s="78">
        <f t="shared" si="312"/>
        <v>10</v>
      </c>
    </row>
    <row r="414" spans="1:16" ht="18" customHeight="1">
      <c r="A414" s="104"/>
      <c r="B414" s="93"/>
      <c r="C414" s="87"/>
      <c r="D414" s="88">
        <v>438</v>
      </c>
      <c r="E414" s="88">
        <v>270</v>
      </c>
      <c r="F414" s="89">
        <f t="shared" si="309"/>
        <v>10</v>
      </c>
      <c r="G414" s="90">
        <f t="shared" si="310"/>
        <v>12.881090089206941</v>
      </c>
      <c r="H414" s="90">
        <f t="shared" si="311"/>
        <v>28.32</v>
      </c>
      <c r="I414" s="91" t="str">
        <f t="shared" si="313"/>
        <v>10동1라인</v>
      </c>
      <c r="J414" s="92" t="s">
        <v>217</v>
      </c>
      <c r="L414" s="89">
        <v>2</v>
      </c>
      <c r="M414" s="78">
        <f t="shared" si="307"/>
        <v>5</v>
      </c>
      <c r="N414" s="78"/>
      <c r="O414" s="78">
        <f t="shared" si="312"/>
        <v>10</v>
      </c>
    </row>
    <row r="415" spans="1:16">
      <c r="A415" s="104"/>
      <c r="B415" s="87"/>
      <c r="C415" s="87"/>
      <c r="D415" s="325" t="s">
        <v>0</v>
      </c>
      <c r="E415" s="325"/>
      <c r="F415" s="171">
        <f>SUM(F409:F414)</f>
        <v>65</v>
      </c>
      <c r="G415" s="95">
        <f>SUM(G409:G414)</f>
        <v>605.92425579191593</v>
      </c>
      <c r="H415" s="95">
        <f>SUM(H409:H414)</f>
        <v>464.4</v>
      </c>
      <c r="I415" s="97"/>
      <c r="J415" s="98"/>
      <c r="L415" s="250"/>
      <c r="M415" s="250"/>
      <c r="N415" s="250"/>
      <c r="O415" s="250"/>
    </row>
    <row r="416" spans="1:16">
      <c r="A416" s="105"/>
      <c r="B416" s="9"/>
      <c r="C416" s="9"/>
      <c r="D416" s="51"/>
      <c r="E416" s="51"/>
      <c r="F416" s="51"/>
      <c r="G416" s="106"/>
      <c r="H416" s="106"/>
      <c r="I416" s="9"/>
      <c r="J416" s="107"/>
      <c r="L416" s="250"/>
      <c r="M416" s="250"/>
      <c r="N416" s="250"/>
      <c r="O416" s="250"/>
    </row>
    <row r="417" spans="1:16" ht="18" customHeight="1">
      <c r="A417" s="85"/>
      <c r="B417" s="163" t="s">
        <v>199</v>
      </c>
      <c r="C417" s="163">
        <v>22</v>
      </c>
      <c r="D417" s="88">
        <v>738</v>
      </c>
      <c r="E417" s="88">
        <v>1810</v>
      </c>
      <c r="F417" s="89">
        <f t="shared" ref="F417:F418" si="314">O417</f>
        <v>10</v>
      </c>
      <c r="G417" s="90">
        <f t="shared" ref="G417:G419" si="315">D417*E417/91809*F417</f>
        <v>145.4955396529752</v>
      </c>
      <c r="H417" s="90">
        <f t="shared" ref="H417:H419" si="316">(D417/1000)*4*F417+(E417/1000)*4*F417</f>
        <v>101.92</v>
      </c>
      <c r="I417" s="91" t="str">
        <f>I409</f>
        <v>10동1라인</v>
      </c>
      <c r="J417" s="92" t="s">
        <v>219</v>
      </c>
      <c r="L417" s="89">
        <v>2</v>
      </c>
      <c r="M417" s="78">
        <f>M414</f>
        <v>5</v>
      </c>
      <c r="N417" s="78"/>
      <c r="O417" s="78">
        <f t="shared" ref="O417:O418" si="317">L417*M417-N417*L417</f>
        <v>10</v>
      </c>
      <c r="P417" s="64"/>
    </row>
    <row r="418" spans="1:16" ht="18" customHeight="1">
      <c r="A418" s="85"/>
      <c r="B418" s="86"/>
      <c r="C418" s="87"/>
      <c r="D418" s="88">
        <v>250</v>
      </c>
      <c r="E418" s="88">
        <v>930</v>
      </c>
      <c r="F418" s="89">
        <f t="shared" si="314"/>
        <v>10</v>
      </c>
      <c r="G418" s="90">
        <f t="shared" si="315"/>
        <v>25.324314609678787</v>
      </c>
      <c r="H418" s="90">
        <f t="shared" si="316"/>
        <v>47.2</v>
      </c>
      <c r="I418" s="91" t="str">
        <f>I417</f>
        <v>10동1라인</v>
      </c>
      <c r="J418" s="92" t="s">
        <v>220</v>
      </c>
      <c r="L418" s="89">
        <v>2</v>
      </c>
      <c r="M418" s="78">
        <f t="shared" si="307"/>
        <v>5</v>
      </c>
      <c r="N418" s="78"/>
      <c r="O418" s="78">
        <f t="shared" si="317"/>
        <v>10</v>
      </c>
    </row>
    <row r="419" spans="1:16" ht="18" customHeight="1">
      <c r="A419" s="85"/>
      <c r="B419" s="86"/>
      <c r="C419" s="87"/>
      <c r="D419" s="88"/>
      <c r="E419" s="88"/>
      <c r="F419" s="89"/>
      <c r="G419" s="90">
        <f t="shared" si="315"/>
        <v>0</v>
      </c>
      <c r="H419" s="90">
        <f t="shared" si="316"/>
        <v>0</v>
      </c>
      <c r="I419" s="91"/>
      <c r="J419" s="92"/>
      <c r="L419" s="250"/>
      <c r="M419" s="250"/>
      <c r="N419" s="250"/>
      <c r="O419" s="250"/>
    </row>
    <row r="420" spans="1:16" ht="18" customHeight="1" thickBot="1">
      <c r="A420" s="222"/>
      <c r="B420" s="223"/>
      <c r="C420" s="224"/>
      <c r="D420" s="364" t="s">
        <v>0</v>
      </c>
      <c r="E420" s="364"/>
      <c r="F420" s="269">
        <f>SUM(F417:F419)</f>
        <v>20</v>
      </c>
      <c r="G420" s="270">
        <f>SUM(G417:G419)</f>
        <v>170.81985426265399</v>
      </c>
      <c r="H420" s="270">
        <f>SUM(H417:H419)</f>
        <v>149.12</v>
      </c>
      <c r="I420" s="271"/>
      <c r="J420" s="272"/>
      <c r="L420" s="250"/>
      <c r="M420" s="250"/>
      <c r="N420" s="250"/>
      <c r="O420" s="250"/>
    </row>
    <row r="421" spans="1:16" ht="18" customHeight="1">
      <c r="A421" s="273" t="s">
        <v>234</v>
      </c>
      <c r="B421" s="231" t="s">
        <v>195</v>
      </c>
      <c r="C421" s="232">
        <v>22</v>
      </c>
      <c r="D421" s="80">
        <v>761</v>
      </c>
      <c r="E421" s="80">
        <v>1810</v>
      </c>
      <c r="F421" s="233">
        <f>O421</f>
        <v>10</v>
      </c>
      <c r="G421" s="81">
        <f t="shared" ref="G421:G427" si="318">D421*E421/91809*F421</f>
        <v>150.02995349039855</v>
      </c>
      <c r="H421" s="81">
        <f t="shared" ref="H421:H427" si="319">(D421/1000)*4*F421+(E421/1000)*4*F421</f>
        <v>102.84</v>
      </c>
      <c r="I421" s="82" t="s">
        <v>261</v>
      </c>
      <c r="J421" s="83" t="s">
        <v>205</v>
      </c>
      <c r="L421" s="89">
        <v>2</v>
      </c>
      <c r="M421" s="78">
        <v>5</v>
      </c>
      <c r="N421" s="84"/>
      <c r="O421" s="78">
        <f>L421*M421-N421*L421</f>
        <v>10</v>
      </c>
      <c r="P421" s="64"/>
    </row>
    <row r="422" spans="1:16" ht="18" customHeight="1">
      <c r="A422" s="85"/>
      <c r="B422" s="86"/>
      <c r="C422" s="87"/>
      <c r="D422" s="88">
        <v>1688</v>
      </c>
      <c r="E422" s="88">
        <v>1810</v>
      </c>
      <c r="F422" s="89">
        <f t="shared" ref="F422:F427" si="320">O422</f>
        <v>5</v>
      </c>
      <c r="G422" s="90">
        <f t="shared" si="318"/>
        <v>166.39327299066539</v>
      </c>
      <c r="H422" s="90">
        <f t="shared" si="319"/>
        <v>69.960000000000008</v>
      </c>
      <c r="I422" s="91" t="str">
        <f>I421</f>
        <v>10동2라인</v>
      </c>
      <c r="J422" s="92" t="s">
        <v>206</v>
      </c>
      <c r="L422" s="89">
        <v>1</v>
      </c>
      <c r="M422" s="78">
        <f>M421</f>
        <v>5</v>
      </c>
      <c r="N422" s="84"/>
      <c r="O422" s="78">
        <f t="shared" ref="O422:O427" si="321">L422*M422-N422*L422</f>
        <v>5</v>
      </c>
    </row>
    <row r="423" spans="1:16" ht="18" customHeight="1">
      <c r="A423" s="85"/>
      <c r="B423" s="86"/>
      <c r="C423" s="87"/>
      <c r="D423" s="88">
        <v>738</v>
      </c>
      <c r="E423" s="88">
        <v>1310</v>
      </c>
      <c r="F423" s="89">
        <f t="shared" si="320"/>
        <v>20</v>
      </c>
      <c r="G423" s="90">
        <f t="shared" si="318"/>
        <v>210.6068032545829</v>
      </c>
      <c r="H423" s="90">
        <f t="shared" si="319"/>
        <v>163.84</v>
      </c>
      <c r="I423" s="91" t="str">
        <f t="shared" ref="I423:I427" si="322">I422</f>
        <v>10동2라인</v>
      </c>
      <c r="J423" s="92" t="s">
        <v>207</v>
      </c>
      <c r="L423" s="89">
        <v>4</v>
      </c>
      <c r="M423" s="78">
        <f t="shared" ref="M423:M426" si="323">M422</f>
        <v>5</v>
      </c>
      <c r="N423" s="78"/>
      <c r="O423" s="78">
        <f t="shared" si="321"/>
        <v>20</v>
      </c>
    </row>
    <row r="424" spans="1:16" ht="18" customHeight="1">
      <c r="A424" s="85"/>
      <c r="B424" s="86"/>
      <c r="C424" s="87"/>
      <c r="D424" s="88">
        <v>288</v>
      </c>
      <c r="E424" s="88">
        <v>910</v>
      </c>
      <c r="F424" s="89">
        <f t="shared" si="320"/>
        <v>10</v>
      </c>
      <c r="G424" s="90">
        <f t="shared" si="318"/>
        <v>28.546220958729535</v>
      </c>
      <c r="H424" s="90">
        <f t="shared" si="319"/>
        <v>47.92</v>
      </c>
      <c r="I424" s="91" t="str">
        <f t="shared" si="322"/>
        <v>10동2라인</v>
      </c>
      <c r="J424" s="92" t="s">
        <v>208</v>
      </c>
      <c r="L424" s="89">
        <v>2</v>
      </c>
      <c r="M424" s="78">
        <f t="shared" si="323"/>
        <v>5</v>
      </c>
      <c r="N424" s="78"/>
      <c r="O424" s="78">
        <f t="shared" si="321"/>
        <v>10</v>
      </c>
    </row>
    <row r="425" spans="1:16" ht="18" customHeight="1">
      <c r="A425" s="85"/>
      <c r="B425" s="86"/>
      <c r="C425" s="87"/>
      <c r="D425" s="88">
        <v>228</v>
      </c>
      <c r="E425" s="88">
        <v>910</v>
      </c>
      <c r="F425" s="89">
        <f t="shared" si="320"/>
        <v>10</v>
      </c>
      <c r="G425" s="90">
        <f t="shared" si="318"/>
        <v>22.59909159232755</v>
      </c>
      <c r="H425" s="90">
        <f t="shared" si="319"/>
        <v>45.519999999999996</v>
      </c>
      <c r="I425" s="91" t="str">
        <f t="shared" si="322"/>
        <v>10동2라인</v>
      </c>
      <c r="J425" s="92" t="s">
        <v>209</v>
      </c>
      <c r="L425" s="89">
        <v>2</v>
      </c>
      <c r="M425" s="78">
        <f t="shared" si="323"/>
        <v>5</v>
      </c>
      <c r="N425" s="78"/>
      <c r="O425" s="78">
        <f t="shared" si="321"/>
        <v>10</v>
      </c>
    </row>
    <row r="426" spans="1:16" ht="18" customHeight="1">
      <c r="A426" s="85"/>
      <c r="B426" s="86"/>
      <c r="C426" s="87"/>
      <c r="D426" s="88">
        <v>438</v>
      </c>
      <c r="E426" s="88">
        <v>270</v>
      </c>
      <c r="F426" s="89">
        <f t="shared" si="320"/>
        <v>10</v>
      </c>
      <c r="G426" s="90">
        <f t="shared" si="318"/>
        <v>12.881090089206941</v>
      </c>
      <c r="H426" s="90">
        <f t="shared" si="319"/>
        <v>28.32</v>
      </c>
      <c r="I426" s="91" t="str">
        <f t="shared" si="322"/>
        <v>10동2라인</v>
      </c>
      <c r="J426" s="92" t="s">
        <v>210</v>
      </c>
      <c r="L426" s="89">
        <v>2</v>
      </c>
      <c r="M426" s="78">
        <f t="shared" si="323"/>
        <v>5</v>
      </c>
      <c r="N426" s="78"/>
      <c r="O426" s="78">
        <f t="shared" si="321"/>
        <v>10</v>
      </c>
    </row>
    <row r="427" spans="1:16" ht="18" customHeight="1">
      <c r="A427" s="85"/>
      <c r="B427" s="86"/>
      <c r="C427" s="87"/>
      <c r="D427" s="88">
        <v>208</v>
      </c>
      <c r="E427" s="88">
        <v>910</v>
      </c>
      <c r="F427" s="89">
        <f t="shared" si="320"/>
        <v>10</v>
      </c>
      <c r="G427" s="90">
        <f t="shared" si="318"/>
        <v>20.616715136860222</v>
      </c>
      <c r="H427" s="90">
        <f t="shared" si="319"/>
        <v>44.72</v>
      </c>
      <c r="I427" s="91" t="str">
        <f t="shared" si="322"/>
        <v>10동2라인</v>
      </c>
      <c r="J427" s="92" t="s">
        <v>211</v>
      </c>
      <c r="L427" s="89">
        <v>2</v>
      </c>
      <c r="M427" s="78">
        <f>M426</f>
        <v>5</v>
      </c>
      <c r="N427" s="78"/>
      <c r="O427" s="78">
        <f t="shared" si="321"/>
        <v>10</v>
      </c>
    </row>
    <row r="428" spans="1:16" ht="18" customHeight="1">
      <c r="A428" s="85"/>
      <c r="B428" s="93"/>
      <c r="C428" s="87"/>
      <c r="D428" s="325" t="s">
        <v>0</v>
      </c>
      <c r="E428" s="325"/>
      <c r="F428" s="94">
        <f>SUM(F421:F427)</f>
        <v>75</v>
      </c>
      <c r="G428" s="95">
        <f>SUM(G421:G427)</f>
        <v>611.67314751277115</v>
      </c>
      <c r="H428" s="96">
        <f>SUM(H421:H427)</f>
        <v>503.12</v>
      </c>
      <c r="I428" s="97"/>
      <c r="J428" s="162"/>
    </row>
    <row r="429" spans="1:16" ht="18" customHeight="1">
      <c r="A429" s="85"/>
      <c r="B429" s="93"/>
      <c r="C429" s="87"/>
      <c r="D429" s="161"/>
      <c r="E429" s="161"/>
      <c r="F429" s="89"/>
      <c r="G429" s="100"/>
      <c r="H429" s="101"/>
      <c r="I429" s="102"/>
      <c r="J429" s="121"/>
      <c r="L429" s="78" t="s">
        <v>48</v>
      </c>
      <c r="M429" s="78" t="s">
        <v>54</v>
      </c>
      <c r="N429" s="78" t="s">
        <v>50</v>
      </c>
      <c r="O429" s="78" t="s">
        <v>55</v>
      </c>
    </row>
    <row r="430" spans="1:16" ht="18" customHeight="1">
      <c r="A430" s="85"/>
      <c r="B430" s="23" t="s">
        <v>197</v>
      </c>
      <c r="C430" s="24">
        <v>22</v>
      </c>
      <c r="D430" s="88">
        <v>761</v>
      </c>
      <c r="E430" s="88">
        <v>1810</v>
      </c>
      <c r="F430" s="89">
        <f t="shared" ref="F430:F436" si="324">O430</f>
        <v>10</v>
      </c>
      <c r="G430" s="90">
        <f t="shared" ref="G430:G436" si="325">D430*E430/91809*F430</f>
        <v>150.02995349039855</v>
      </c>
      <c r="H430" s="90">
        <f t="shared" ref="H430:H436" si="326">(D430/1000)*4*F430+(E430/1000)*4*F430</f>
        <v>102.84</v>
      </c>
      <c r="I430" s="91" t="str">
        <f t="shared" ref="I430:I436" si="327">I421</f>
        <v>10동2라인</v>
      </c>
      <c r="J430" s="92" t="s">
        <v>212</v>
      </c>
      <c r="L430" s="89">
        <v>2</v>
      </c>
      <c r="M430" s="78">
        <f>M421</f>
        <v>5</v>
      </c>
      <c r="N430" s="84"/>
      <c r="O430" s="78">
        <f>L430*M430-N430*L430</f>
        <v>10</v>
      </c>
    </row>
    <row r="431" spans="1:16" ht="18" customHeight="1">
      <c r="A431" s="85"/>
      <c r="B431" s="86"/>
      <c r="C431" s="87"/>
      <c r="D431" s="88">
        <v>1688</v>
      </c>
      <c r="E431" s="88">
        <v>1810</v>
      </c>
      <c r="F431" s="89">
        <f t="shared" si="324"/>
        <v>5</v>
      </c>
      <c r="G431" s="90">
        <f t="shared" si="325"/>
        <v>166.39327299066539</v>
      </c>
      <c r="H431" s="90">
        <f t="shared" si="326"/>
        <v>69.960000000000008</v>
      </c>
      <c r="I431" s="91" t="str">
        <f t="shared" si="327"/>
        <v>10동2라인</v>
      </c>
      <c r="J431" s="92" t="s">
        <v>213</v>
      </c>
      <c r="L431" s="89">
        <v>1</v>
      </c>
      <c r="M431" s="78">
        <f>M430</f>
        <v>5</v>
      </c>
      <c r="N431" s="84"/>
      <c r="O431" s="78">
        <f>L431*M431-N431*L431</f>
        <v>5</v>
      </c>
    </row>
    <row r="432" spans="1:16" ht="18" customHeight="1">
      <c r="A432" s="104"/>
      <c r="B432" s="93"/>
      <c r="C432" s="87"/>
      <c r="D432" s="88">
        <v>738</v>
      </c>
      <c r="E432" s="88">
        <v>1310</v>
      </c>
      <c r="F432" s="89">
        <f t="shared" si="324"/>
        <v>20</v>
      </c>
      <c r="G432" s="90">
        <f t="shared" si="325"/>
        <v>210.6068032545829</v>
      </c>
      <c r="H432" s="90">
        <f t="shared" si="326"/>
        <v>163.84</v>
      </c>
      <c r="I432" s="91" t="str">
        <f t="shared" si="327"/>
        <v>10동2라인</v>
      </c>
      <c r="J432" s="92" t="s">
        <v>214</v>
      </c>
      <c r="L432" s="89">
        <v>4</v>
      </c>
      <c r="M432" s="78">
        <f t="shared" ref="M432:M436" si="328">M431</f>
        <v>5</v>
      </c>
      <c r="N432" s="84"/>
      <c r="O432" s="78">
        <f t="shared" ref="O432:O436" si="329">L432*M432-N432*L432</f>
        <v>20</v>
      </c>
    </row>
    <row r="433" spans="1:16" ht="18" customHeight="1">
      <c r="A433" s="104"/>
      <c r="B433" s="93"/>
      <c r="C433" s="87"/>
      <c r="D433" s="88">
        <v>288</v>
      </c>
      <c r="E433" s="88">
        <v>910</v>
      </c>
      <c r="F433" s="89">
        <f t="shared" si="324"/>
        <v>10</v>
      </c>
      <c r="G433" s="90">
        <f t="shared" si="325"/>
        <v>28.546220958729535</v>
      </c>
      <c r="H433" s="90">
        <f t="shared" si="326"/>
        <v>47.92</v>
      </c>
      <c r="I433" s="91" t="str">
        <f t="shared" si="327"/>
        <v>10동2라인</v>
      </c>
      <c r="J433" s="92" t="s">
        <v>215</v>
      </c>
      <c r="L433" s="89">
        <v>2</v>
      </c>
      <c r="M433" s="78">
        <f t="shared" si="328"/>
        <v>5</v>
      </c>
      <c r="N433" s="78"/>
      <c r="O433" s="78">
        <f t="shared" si="329"/>
        <v>10</v>
      </c>
    </row>
    <row r="434" spans="1:16" ht="18" customHeight="1">
      <c r="A434" s="104"/>
      <c r="B434" s="93"/>
      <c r="C434" s="87"/>
      <c r="D434" s="88">
        <v>228</v>
      </c>
      <c r="E434" s="88">
        <v>910</v>
      </c>
      <c r="F434" s="89">
        <f t="shared" si="324"/>
        <v>10</v>
      </c>
      <c r="G434" s="90">
        <f t="shared" si="325"/>
        <v>22.59909159232755</v>
      </c>
      <c r="H434" s="90">
        <f t="shared" si="326"/>
        <v>45.519999999999996</v>
      </c>
      <c r="I434" s="91" t="str">
        <f t="shared" si="327"/>
        <v>10동2라인</v>
      </c>
      <c r="J434" s="92" t="s">
        <v>216</v>
      </c>
      <c r="L434" s="89">
        <v>2</v>
      </c>
      <c r="M434" s="78">
        <f t="shared" si="328"/>
        <v>5</v>
      </c>
      <c r="N434" s="78"/>
      <c r="O434" s="78">
        <f t="shared" si="329"/>
        <v>10</v>
      </c>
    </row>
    <row r="435" spans="1:16" ht="18" customHeight="1">
      <c r="A435" s="104"/>
      <c r="B435" s="93"/>
      <c r="C435" s="87"/>
      <c r="D435" s="88">
        <v>438</v>
      </c>
      <c r="E435" s="88">
        <v>270</v>
      </c>
      <c r="F435" s="89">
        <f t="shared" si="324"/>
        <v>10</v>
      </c>
      <c r="G435" s="90">
        <f t="shared" si="325"/>
        <v>12.881090089206941</v>
      </c>
      <c r="H435" s="90">
        <f t="shared" si="326"/>
        <v>28.32</v>
      </c>
      <c r="I435" s="91" t="str">
        <f t="shared" si="327"/>
        <v>10동2라인</v>
      </c>
      <c r="J435" s="92" t="s">
        <v>217</v>
      </c>
      <c r="L435" s="89">
        <v>2</v>
      </c>
      <c r="M435" s="78">
        <f t="shared" si="328"/>
        <v>5</v>
      </c>
      <c r="N435" s="78"/>
      <c r="O435" s="78">
        <f t="shared" si="329"/>
        <v>10</v>
      </c>
    </row>
    <row r="436" spans="1:16" ht="18" customHeight="1">
      <c r="A436" s="104"/>
      <c r="B436" s="93"/>
      <c r="C436" s="87"/>
      <c r="D436" s="88">
        <v>208</v>
      </c>
      <c r="E436" s="88">
        <v>910</v>
      </c>
      <c r="F436" s="89">
        <f t="shared" si="324"/>
        <v>10</v>
      </c>
      <c r="G436" s="90">
        <f t="shared" si="325"/>
        <v>20.616715136860222</v>
      </c>
      <c r="H436" s="90">
        <f t="shared" si="326"/>
        <v>44.72</v>
      </c>
      <c r="I436" s="91" t="str">
        <f t="shared" si="327"/>
        <v>10동2라인</v>
      </c>
      <c r="J436" s="92" t="s">
        <v>218</v>
      </c>
      <c r="L436" s="89">
        <v>2</v>
      </c>
      <c r="M436" s="78">
        <f t="shared" si="328"/>
        <v>5</v>
      </c>
      <c r="N436" s="78"/>
      <c r="O436" s="78">
        <f t="shared" si="329"/>
        <v>10</v>
      </c>
    </row>
    <row r="437" spans="1:16" ht="18" customHeight="1">
      <c r="A437" s="104"/>
      <c r="B437" s="87"/>
      <c r="C437" s="87"/>
      <c r="D437" s="325" t="s">
        <v>0</v>
      </c>
      <c r="E437" s="325"/>
      <c r="F437" s="171">
        <f>SUM(F430:F436)</f>
        <v>75</v>
      </c>
      <c r="G437" s="95">
        <f>SUM(G430:G436)</f>
        <v>611.67314751277115</v>
      </c>
      <c r="H437" s="95">
        <f>SUM(H430:H436)</f>
        <v>503.12</v>
      </c>
      <c r="I437" s="97"/>
      <c r="J437" s="98"/>
    </row>
    <row r="438" spans="1:16">
      <c r="A438" s="105"/>
      <c r="B438" s="9"/>
      <c r="C438" s="9"/>
      <c r="D438" s="51"/>
      <c r="E438" s="51"/>
      <c r="F438" s="51"/>
      <c r="G438" s="106"/>
      <c r="H438" s="106"/>
      <c r="I438" s="9"/>
      <c r="J438" s="107"/>
    </row>
    <row r="439" spans="1:16" ht="18" customHeight="1">
      <c r="A439" s="85"/>
      <c r="B439" s="163" t="s">
        <v>199</v>
      </c>
      <c r="C439" s="163">
        <v>22</v>
      </c>
      <c r="D439" s="88">
        <v>738</v>
      </c>
      <c r="E439" s="88">
        <v>1810</v>
      </c>
      <c r="F439" s="89">
        <f t="shared" ref="F439:F440" si="330">O439</f>
        <v>0</v>
      </c>
      <c r="G439" s="90">
        <f t="shared" ref="G439:G440" si="331">D439*E439/91809*F439</f>
        <v>0</v>
      </c>
      <c r="H439" s="90">
        <f t="shared" ref="H439:H440" si="332">(D439/1000)*4*F439+(E439/1000)*4*F439</f>
        <v>0</v>
      </c>
      <c r="I439" s="91" t="str">
        <f>I430</f>
        <v>10동2라인</v>
      </c>
      <c r="J439" s="92" t="s">
        <v>219</v>
      </c>
      <c r="L439" s="89">
        <v>2</v>
      </c>
      <c r="M439" s="78">
        <f>M421</f>
        <v>5</v>
      </c>
      <c r="N439" s="84">
        <v>5</v>
      </c>
      <c r="O439" s="78">
        <f>L439*M439-N439*L439</f>
        <v>0</v>
      </c>
      <c r="P439" s="64" t="s">
        <v>287</v>
      </c>
    </row>
    <row r="440" spans="1:16" ht="18" customHeight="1">
      <c r="A440" s="85"/>
      <c r="B440" s="86"/>
      <c r="C440" s="87"/>
      <c r="D440" s="88">
        <v>250</v>
      </c>
      <c r="E440" s="88">
        <v>930</v>
      </c>
      <c r="F440" s="89">
        <f t="shared" si="330"/>
        <v>10</v>
      </c>
      <c r="G440" s="90">
        <f t="shared" si="331"/>
        <v>25.324314609678787</v>
      </c>
      <c r="H440" s="90">
        <f t="shared" si="332"/>
        <v>47.2</v>
      </c>
      <c r="I440" s="91" t="str">
        <f>I439</f>
        <v>10동2라인</v>
      </c>
      <c r="J440" s="92" t="s">
        <v>220</v>
      </c>
      <c r="L440" s="89">
        <v>2</v>
      </c>
      <c r="M440" s="78">
        <f>M439</f>
        <v>5</v>
      </c>
      <c r="N440" s="84"/>
      <c r="O440" s="78">
        <f t="shared" ref="O440" si="333">L440*M440-N440*L440</f>
        <v>10</v>
      </c>
    </row>
    <row r="441" spans="1:16" ht="18" customHeight="1">
      <c r="A441" s="85"/>
      <c r="B441" s="93"/>
      <c r="C441" s="87"/>
      <c r="D441" s="325" t="s">
        <v>0</v>
      </c>
      <c r="E441" s="325"/>
      <c r="F441" s="94">
        <f>SUM(F439:F440)</f>
        <v>10</v>
      </c>
      <c r="G441" s="95">
        <f>SUM(G439:G440)</f>
        <v>25.324314609678787</v>
      </c>
      <c r="H441" s="95">
        <f>SUM(H439:H440)</f>
        <v>47.2</v>
      </c>
      <c r="I441" s="97"/>
      <c r="J441" s="98"/>
    </row>
    <row r="442" spans="1:16">
      <c r="A442" s="236"/>
      <c r="B442" s="237"/>
      <c r="C442" s="238"/>
      <c r="D442" s="362"/>
      <c r="E442" s="362"/>
      <c r="F442" s="239"/>
      <c r="G442" s="240"/>
      <c r="H442" s="241"/>
      <c r="I442" s="242"/>
      <c r="J442" s="243"/>
    </row>
    <row r="443" spans="1:16" ht="18" customHeight="1">
      <c r="A443" s="244" t="s">
        <v>234</v>
      </c>
      <c r="B443" s="23" t="s">
        <v>195</v>
      </c>
      <c r="C443" s="24">
        <v>22</v>
      </c>
      <c r="D443" s="88">
        <v>761</v>
      </c>
      <c r="E443" s="88">
        <v>1810</v>
      </c>
      <c r="F443" s="89">
        <f>O443</f>
        <v>10</v>
      </c>
      <c r="G443" s="90">
        <f t="shared" ref="G443:G449" si="334">D443*E443/91809*F443</f>
        <v>150.02995349039855</v>
      </c>
      <c r="H443" s="90">
        <f t="shared" ref="H443:H449" si="335">(D443/1000)*4*F443+(E443/1000)*4*F443</f>
        <v>102.84</v>
      </c>
      <c r="I443" s="91" t="s">
        <v>262</v>
      </c>
      <c r="J443" s="92" t="s">
        <v>205</v>
      </c>
      <c r="L443" s="89">
        <v>2</v>
      </c>
      <c r="M443" s="78">
        <v>5</v>
      </c>
      <c r="N443" s="84"/>
      <c r="O443" s="78">
        <f>L443*M443-N443*L443</f>
        <v>10</v>
      </c>
      <c r="P443" s="64"/>
    </row>
    <row r="444" spans="1:16" ht="18" customHeight="1">
      <c r="A444" s="85"/>
      <c r="B444" s="86"/>
      <c r="C444" s="87"/>
      <c r="D444" s="88">
        <v>1688</v>
      </c>
      <c r="E444" s="88">
        <v>1810</v>
      </c>
      <c r="F444" s="89">
        <f t="shared" ref="F444:F449" si="336">O444</f>
        <v>5</v>
      </c>
      <c r="G444" s="90">
        <f t="shared" si="334"/>
        <v>166.39327299066539</v>
      </c>
      <c r="H444" s="90">
        <f t="shared" si="335"/>
        <v>69.960000000000008</v>
      </c>
      <c r="I444" s="91" t="str">
        <f>I443</f>
        <v>10동3라인</v>
      </c>
      <c r="J444" s="92" t="s">
        <v>206</v>
      </c>
      <c r="L444" s="89">
        <v>1</v>
      </c>
      <c r="M444" s="78">
        <f>M443</f>
        <v>5</v>
      </c>
      <c r="N444" s="84"/>
      <c r="O444" s="78">
        <f t="shared" ref="O444:O449" si="337">L444*M444-N444*L444</f>
        <v>5</v>
      </c>
    </row>
    <row r="445" spans="1:16" ht="18" customHeight="1">
      <c r="A445" s="85"/>
      <c r="B445" s="86"/>
      <c r="C445" s="87"/>
      <c r="D445" s="88">
        <v>738</v>
      </c>
      <c r="E445" s="88">
        <v>1310</v>
      </c>
      <c r="F445" s="89">
        <f t="shared" si="336"/>
        <v>20</v>
      </c>
      <c r="G445" s="90">
        <f t="shared" si="334"/>
        <v>210.6068032545829</v>
      </c>
      <c r="H445" s="90">
        <f t="shared" si="335"/>
        <v>163.84</v>
      </c>
      <c r="I445" s="91" t="str">
        <f t="shared" ref="I445:I449" si="338">I444</f>
        <v>10동3라인</v>
      </c>
      <c r="J445" s="92" t="s">
        <v>207</v>
      </c>
      <c r="L445" s="89">
        <v>4</v>
      </c>
      <c r="M445" s="78">
        <f t="shared" ref="M445:M448" si="339">M444</f>
        <v>5</v>
      </c>
      <c r="N445" s="78"/>
      <c r="O445" s="78">
        <f t="shared" si="337"/>
        <v>20</v>
      </c>
    </row>
    <row r="446" spans="1:16" ht="18" customHeight="1">
      <c r="A446" s="85"/>
      <c r="B446" s="86"/>
      <c r="C446" s="87"/>
      <c r="D446" s="88">
        <v>288</v>
      </c>
      <c r="E446" s="88">
        <v>910</v>
      </c>
      <c r="F446" s="89">
        <f t="shared" si="336"/>
        <v>10</v>
      </c>
      <c r="G446" s="90">
        <f t="shared" si="334"/>
        <v>28.546220958729535</v>
      </c>
      <c r="H446" s="90">
        <f t="shared" si="335"/>
        <v>47.92</v>
      </c>
      <c r="I446" s="91" t="str">
        <f t="shared" si="338"/>
        <v>10동3라인</v>
      </c>
      <c r="J446" s="92" t="s">
        <v>208</v>
      </c>
      <c r="L446" s="89">
        <v>2</v>
      </c>
      <c r="M446" s="78">
        <f t="shared" si="339"/>
        <v>5</v>
      </c>
      <c r="N446" s="78"/>
      <c r="O446" s="78">
        <f t="shared" si="337"/>
        <v>10</v>
      </c>
    </row>
    <row r="447" spans="1:16" ht="18" customHeight="1">
      <c r="A447" s="85"/>
      <c r="B447" s="86"/>
      <c r="C447" s="87"/>
      <c r="D447" s="88">
        <v>228</v>
      </c>
      <c r="E447" s="88">
        <v>910</v>
      </c>
      <c r="F447" s="89">
        <f t="shared" si="336"/>
        <v>10</v>
      </c>
      <c r="G447" s="90">
        <f t="shared" si="334"/>
        <v>22.59909159232755</v>
      </c>
      <c r="H447" s="90">
        <f t="shared" si="335"/>
        <v>45.519999999999996</v>
      </c>
      <c r="I447" s="91" t="str">
        <f t="shared" si="338"/>
        <v>10동3라인</v>
      </c>
      <c r="J447" s="92" t="s">
        <v>209</v>
      </c>
      <c r="L447" s="89">
        <v>2</v>
      </c>
      <c r="M447" s="78">
        <f t="shared" si="339"/>
        <v>5</v>
      </c>
      <c r="N447" s="78"/>
      <c r="O447" s="78">
        <f t="shared" si="337"/>
        <v>10</v>
      </c>
    </row>
    <row r="448" spans="1:16" ht="18" customHeight="1">
      <c r="A448" s="85"/>
      <c r="B448" s="86"/>
      <c r="C448" s="87"/>
      <c r="D448" s="88">
        <v>438</v>
      </c>
      <c r="E448" s="88">
        <v>270</v>
      </c>
      <c r="F448" s="89">
        <f t="shared" si="336"/>
        <v>10</v>
      </c>
      <c r="G448" s="90">
        <f t="shared" si="334"/>
        <v>12.881090089206941</v>
      </c>
      <c r="H448" s="90">
        <f t="shared" si="335"/>
        <v>28.32</v>
      </c>
      <c r="I448" s="91" t="str">
        <f t="shared" si="338"/>
        <v>10동3라인</v>
      </c>
      <c r="J448" s="92" t="s">
        <v>210</v>
      </c>
      <c r="L448" s="89">
        <v>2</v>
      </c>
      <c r="M448" s="78">
        <f t="shared" si="339"/>
        <v>5</v>
      </c>
      <c r="N448" s="78"/>
      <c r="O448" s="78">
        <f t="shared" si="337"/>
        <v>10</v>
      </c>
    </row>
    <row r="449" spans="1:16" ht="18" customHeight="1">
      <c r="A449" s="85"/>
      <c r="B449" s="86"/>
      <c r="C449" s="87"/>
      <c r="D449" s="88">
        <v>208</v>
      </c>
      <c r="E449" s="88">
        <v>910</v>
      </c>
      <c r="F449" s="89">
        <f t="shared" si="336"/>
        <v>10</v>
      </c>
      <c r="G449" s="90">
        <f t="shared" si="334"/>
        <v>20.616715136860222</v>
      </c>
      <c r="H449" s="90">
        <f t="shared" si="335"/>
        <v>44.72</v>
      </c>
      <c r="I449" s="91" t="str">
        <f t="shared" si="338"/>
        <v>10동3라인</v>
      </c>
      <c r="J449" s="92" t="s">
        <v>211</v>
      </c>
      <c r="L449" s="89">
        <v>2</v>
      </c>
      <c r="M449" s="78">
        <f>M448</f>
        <v>5</v>
      </c>
      <c r="N449" s="78"/>
      <c r="O449" s="78">
        <f t="shared" si="337"/>
        <v>10</v>
      </c>
    </row>
    <row r="450" spans="1:16" ht="18" customHeight="1">
      <c r="A450" s="85"/>
      <c r="B450" s="93"/>
      <c r="C450" s="87"/>
      <c r="D450" s="325" t="s">
        <v>0</v>
      </c>
      <c r="E450" s="325"/>
      <c r="F450" s="94">
        <f>SUM(F443:F449)</f>
        <v>75</v>
      </c>
      <c r="G450" s="95">
        <f>SUM(G443:G449)</f>
        <v>611.67314751277115</v>
      </c>
      <c r="H450" s="96">
        <f>SUM(H443:H449)</f>
        <v>503.12</v>
      </c>
      <c r="I450" s="97"/>
      <c r="J450" s="162"/>
    </row>
    <row r="451" spans="1:16" ht="18" customHeight="1">
      <c r="A451" s="85"/>
      <c r="B451" s="93"/>
      <c r="C451" s="87"/>
      <c r="D451" s="161"/>
      <c r="E451" s="161"/>
      <c r="F451" s="89"/>
      <c r="G451" s="100"/>
      <c r="H451" s="101"/>
      <c r="I451" s="102"/>
      <c r="J451" s="121"/>
      <c r="L451" s="78" t="s">
        <v>48</v>
      </c>
      <c r="M451" s="78" t="s">
        <v>54</v>
      </c>
      <c r="N451" s="78" t="s">
        <v>50</v>
      </c>
      <c r="O451" s="78" t="s">
        <v>55</v>
      </c>
    </row>
    <row r="452" spans="1:16" ht="18" customHeight="1">
      <c r="A452" s="85"/>
      <c r="B452" s="23" t="s">
        <v>197</v>
      </c>
      <c r="C452" s="24">
        <v>22</v>
      </c>
      <c r="D452" s="88">
        <v>761</v>
      </c>
      <c r="E452" s="88">
        <v>1810</v>
      </c>
      <c r="F452" s="89">
        <f t="shared" ref="F452:F458" si="340">O452</f>
        <v>10</v>
      </c>
      <c r="G452" s="90">
        <f t="shared" ref="G452:G458" si="341">D452*E452/91809*F452</f>
        <v>150.02995349039855</v>
      </c>
      <c r="H452" s="90">
        <f t="shared" ref="H452:H458" si="342">(D452/1000)*4*F452+(E452/1000)*4*F452</f>
        <v>102.84</v>
      </c>
      <c r="I452" s="91" t="str">
        <f t="shared" ref="I452:I458" si="343">I443</f>
        <v>10동3라인</v>
      </c>
      <c r="J452" s="92" t="s">
        <v>212</v>
      </c>
      <c r="L452" s="89">
        <v>2</v>
      </c>
      <c r="M452" s="78">
        <f>M443</f>
        <v>5</v>
      </c>
      <c r="N452" s="84"/>
      <c r="O452" s="78">
        <f>L452*M452-N452*L452</f>
        <v>10</v>
      </c>
    </row>
    <row r="453" spans="1:16" ht="18" customHeight="1">
      <c r="A453" s="85"/>
      <c r="B453" s="86"/>
      <c r="C453" s="87"/>
      <c r="D453" s="88">
        <v>1688</v>
      </c>
      <c r="E453" s="88">
        <v>1810</v>
      </c>
      <c r="F453" s="89">
        <f t="shared" si="340"/>
        <v>5</v>
      </c>
      <c r="G453" s="90">
        <f t="shared" si="341"/>
        <v>166.39327299066539</v>
      </c>
      <c r="H453" s="90">
        <f t="shared" si="342"/>
        <v>69.960000000000008</v>
      </c>
      <c r="I453" s="91" t="str">
        <f t="shared" si="343"/>
        <v>10동3라인</v>
      </c>
      <c r="J453" s="92" t="s">
        <v>213</v>
      </c>
      <c r="L453" s="89">
        <v>1</v>
      </c>
      <c r="M453" s="78">
        <f>M452</f>
        <v>5</v>
      </c>
      <c r="N453" s="84"/>
      <c r="O453" s="78">
        <f>L453*M453-N453*L453</f>
        <v>5</v>
      </c>
    </row>
    <row r="454" spans="1:16" ht="18" customHeight="1">
      <c r="A454" s="104"/>
      <c r="B454" s="93"/>
      <c r="C454" s="87"/>
      <c r="D454" s="88">
        <v>738</v>
      </c>
      <c r="E454" s="88">
        <v>1310</v>
      </c>
      <c r="F454" s="89">
        <f t="shared" si="340"/>
        <v>20</v>
      </c>
      <c r="G454" s="90">
        <f t="shared" si="341"/>
        <v>210.6068032545829</v>
      </c>
      <c r="H454" s="90">
        <f t="shared" si="342"/>
        <v>163.84</v>
      </c>
      <c r="I454" s="91" t="str">
        <f t="shared" si="343"/>
        <v>10동3라인</v>
      </c>
      <c r="J454" s="92" t="s">
        <v>214</v>
      </c>
      <c r="L454" s="89">
        <v>4</v>
      </c>
      <c r="M454" s="78">
        <f t="shared" ref="M454:M458" si="344">M453</f>
        <v>5</v>
      </c>
      <c r="N454" s="84"/>
      <c r="O454" s="78">
        <f t="shared" ref="O454:O458" si="345">L454*M454-N454*L454</f>
        <v>20</v>
      </c>
    </row>
    <row r="455" spans="1:16" ht="18" customHeight="1">
      <c r="A455" s="104"/>
      <c r="B455" s="93"/>
      <c r="C455" s="87"/>
      <c r="D455" s="88">
        <v>288</v>
      </c>
      <c r="E455" s="88">
        <v>910</v>
      </c>
      <c r="F455" s="89">
        <f t="shared" si="340"/>
        <v>10</v>
      </c>
      <c r="G455" s="90">
        <f t="shared" si="341"/>
        <v>28.546220958729535</v>
      </c>
      <c r="H455" s="90">
        <f t="shared" si="342"/>
        <v>47.92</v>
      </c>
      <c r="I455" s="91" t="str">
        <f t="shared" si="343"/>
        <v>10동3라인</v>
      </c>
      <c r="J455" s="92" t="s">
        <v>215</v>
      </c>
      <c r="L455" s="89">
        <v>2</v>
      </c>
      <c r="M455" s="78">
        <f t="shared" si="344"/>
        <v>5</v>
      </c>
      <c r="N455" s="78"/>
      <c r="O455" s="78">
        <f t="shared" si="345"/>
        <v>10</v>
      </c>
    </row>
    <row r="456" spans="1:16" ht="18" customHeight="1">
      <c r="A456" s="104"/>
      <c r="B456" s="93"/>
      <c r="C456" s="87"/>
      <c r="D456" s="88">
        <v>228</v>
      </c>
      <c r="E456" s="88">
        <v>910</v>
      </c>
      <c r="F456" s="89">
        <f t="shared" si="340"/>
        <v>10</v>
      </c>
      <c r="G456" s="90">
        <f t="shared" si="341"/>
        <v>22.59909159232755</v>
      </c>
      <c r="H456" s="90">
        <f t="shared" si="342"/>
        <v>45.519999999999996</v>
      </c>
      <c r="I456" s="91" t="str">
        <f t="shared" si="343"/>
        <v>10동3라인</v>
      </c>
      <c r="J456" s="92" t="s">
        <v>216</v>
      </c>
      <c r="L456" s="89">
        <v>2</v>
      </c>
      <c r="M456" s="78">
        <f t="shared" si="344"/>
        <v>5</v>
      </c>
      <c r="N456" s="78"/>
      <c r="O456" s="78">
        <f t="shared" si="345"/>
        <v>10</v>
      </c>
    </row>
    <row r="457" spans="1:16" ht="18" customHeight="1">
      <c r="A457" s="104"/>
      <c r="B457" s="93"/>
      <c r="C457" s="87"/>
      <c r="D457" s="88">
        <v>438</v>
      </c>
      <c r="E457" s="88">
        <v>270</v>
      </c>
      <c r="F457" s="89">
        <f t="shared" si="340"/>
        <v>10</v>
      </c>
      <c r="G457" s="90">
        <f t="shared" si="341"/>
        <v>12.881090089206941</v>
      </c>
      <c r="H457" s="90">
        <f t="shared" si="342"/>
        <v>28.32</v>
      </c>
      <c r="I457" s="91" t="str">
        <f t="shared" si="343"/>
        <v>10동3라인</v>
      </c>
      <c r="J457" s="92" t="s">
        <v>217</v>
      </c>
      <c r="L457" s="89">
        <v>2</v>
      </c>
      <c r="M457" s="78">
        <f t="shared" si="344"/>
        <v>5</v>
      </c>
      <c r="N457" s="78"/>
      <c r="O457" s="78">
        <f t="shared" si="345"/>
        <v>10</v>
      </c>
    </row>
    <row r="458" spans="1:16" ht="18" customHeight="1">
      <c r="A458" s="104"/>
      <c r="B458" s="93"/>
      <c r="C458" s="87"/>
      <c r="D458" s="88">
        <v>208</v>
      </c>
      <c r="E458" s="88">
        <v>910</v>
      </c>
      <c r="F458" s="89">
        <f t="shared" si="340"/>
        <v>10</v>
      </c>
      <c r="G458" s="90">
        <f t="shared" si="341"/>
        <v>20.616715136860222</v>
      </c>
      <c r="H458" s="90">
        <f t="shared" si="342"/>
        <v>44.72</v>
      </c>
      <c r="I458" s="91" t="str">
        <f t="shared" si="343"/>
        <v>10동3라인</v>
      </c>
      <c r="J458" s="92" t="s">
        <v>218</v>
      </c>
      <c r="L458" s="89">
        <v>2</v>
      </c>
      <c r="M458" s="78">
        <f t="shared" si="344"/>
        <v>5</v>
      </c>
      <c r="N458" s="78"/>
      <c r="O458" s="78">
        <f t="shared" si="345"/>
        <v>10</v>
      </c>
    </row>
    <row r="459" spans="1:16" ht="18" customHeight="1">
      <c r="A459" s="104"/>
      <c r="B459" s="87"/>
      <c r="C459" s="87"/>
      <c r="D459" s="325" t="s">
        <v>0</v>
      </c>
      <c r="E459" s="325"/>
      <c r="F459" s="171">
        <f>SUM(F452:F458)</f>
        <v>75</v>
      </c>
      <c r="G459" s="95">
        <f>SUM(G452:G458)</f>
        <v>611.67314751277115</v>
      </c>
      <c r="H459" s="95">
        <f>SUM(H452:H458)</f>
        <v>503.12</v>
      </c>
      <c r="I459" s="97"/>
      <c r="J459" s="98"/>
    </row>
    <row r="460" spans="1:16">
      <c r="A460" s="105"/>
      <c r="B460" s="9"/>
      <c r="C460" s="9"/>
      <c r="D460" s="51"/>
      <c r="E460" s="51"/>
      <c r="F460" s="51"/>
      <c r="G460" s="106"/>
      <c r="H460" s="106"/>
      <c r="I460" s="9"/>
      <c r="J460" s="107"/>
    </row>
    <row r="461" spans="1:16" ht="18" customHeight="1">
      <c r="A461" s="85"/>
      <c r="B461" s="163" t="s">
        <v>199</v>
      </c>
      <c r="C461" s="163">
        <v>22</v>
      </c>
      <c r="D461" s="88">
        <v>738</v>
      </c>
      <c r="E461" s="88">
        <v>1810</v>
      </c>
      <c r="F461" s="89">
        <f t="shared" ref="F461:F462" si="346">O461</f>
        <v>10</v>
      </c>
      <c r="G461" s="90">
        <f t="shared" ref="G461:G462" si="347">D461*E461/91809*F461</f>
        <v>145.4955396529752</v>
      </c>
      <c r="H461" s="90">
        <f t="shared" ref="H461:H462" si="348">(D461/1000)*4*F461+(E461/1000)*4*F461</f>
        <v>101.92</v>
      </c>
      <c r="I461" s="91" t="str">
        <f>I452</f>
        <v>10동3라인</v>
      </c>
      <c r="J461" s="92" t="s">
        <v>219</v>
      </c>
      <c r="L461" s="89">
        <v>2</v>
      </c>
      <c r="M461" s="78">
        <f>M443</f>
        <v>5</v>
      </c>
      <c r="N461" s="84"/>
      <c r="O461" s="78">
        <f>L461*M461-N461*L461</f>
        <v>10</v>
      </c>
      <c r="P461" s="64"/>
    </row>
    <row r="462" spans="1:16" ht="18" customHeight="1">
      <c r="A462" s="85"/>
      <c r="B462" s="86"/>
      <c r="C462" s="87"/>
      <c r="D462" s="88">
        <v>250</v>
      </c>
      <c r="E462" s="88">
        <v>930</v>
      </c>
      <c r="F462" s="89">
        <f t="shared" si="346"/>
        <v>10</v>
      </c>
      <c r="G462" s="90">
        <f t="shared" si="347"/>
        <v>25.324314609678787</v>
      </c>
      <c r="H462" s="90">
        <f t="shared" si="348"/>
        <v>47.2</v>
      </c>
      <c r="I462" s="91" t="str">
        <f>I461</f>
        <v>10동3라인</v>
      </c>
      <c r="J462" s="92" t="s">
        <v>220</v>
      </c>
      <c r="L462" s="89">
        <v>2</v>
      </c>
      <c r="M462" s="78">
        <f>M461</f>
        <v>5</v>
      </c>
      <c r="N462" s="84"/>
      <c r="O462" s="78">
        <f t="shared" ref="O462" si="349">L462*M462-N462*L462</f>
        <v>10</v>
      </c>
    </row>
    <row r="463" spans="1:16" ht="18" customHeight="1" thickBot="1">
      <c r="A463" s="222"/>
      <c r="B463" s="223"/>
      <c r="C463" s="224"/>
      <c r="D463" s="364" t="s">
        <v>0</v>
      </c>
      <c r="E463" s="364"/>
      <c r="F463" s="269">
        <f>SUM(F461:F462)</f>
        <v>20</v>
      </c>
      <c r="G463" s="270">
        <f>SUM(G461:G462)</f>
        <v>170.81985426265399</v>
      </c>
      <c r="H463" s="270">
        <f>SUM(H461:H462)</f>
        <v>149.12</v>
      </c>
      <c r="I463" s="271"/>
      <c r="J463" s="272"/>
    </row>
    <row r="464" spans="1:16" ht="18" customHeight="1">
      <c r="A464" s="79" t="s">
        <v>235</v>
      </c>
      <c r="B464" s="231" t="s">
        <v>201</v>
      </c>
      <c r="C464" s="232">
        <v>22</v>
      </c>
      <c r="D464" s="80">
        <v>861</v>
      </c>
      <c r="E464" s="80">
        <v>1810</v>
      </c>
      <c r="F464" s="233">
        <f t="shared" ref="F464:F467" si="350">O464</f>
        <v>5</v>
      </c>
      <c r="G464" s="81">
        <f t="shared" ref="G464:G467" si="351">D464*E464/91809*F464</f>
        <v>84.872398130902198</v>
      </c>
      <c r="H464" s="81">
        <f t="shared" ref="H464:H467" si="352">(D464/1000)*4*F464+(E464/1000)*4*F464</f>
        <v>53.42</v>
      </c>
      <c r="I464" s="82" t="s">
        <v>263</v>
      </c>
      <c r="J464" s="83" t="s">
        <v>205</v>
      </c>
      <c r="L464" s="89">
        <v>1</v>
      </c>
      <c r="M464" s="78">
        <v>5</v>
      </c>
      <c r="N464" s="84"/>
      <c r="O464" s="78">
        <f>L464*M464-N464*L464</f>
        <v>5</v>
      </c>
      <c r="P464" s="64"/>
    </row>
    <row r="465" spans="1:16" ht="18" customHeight="1">
      <c r="A465" s="85"/>
      <c r="B465" s="86"/>
      <c r="C465" s="87"/>
      <c r="D465" s="88">
        <v>738</v>
      </c>
      <c r="E465" s="88">
        <v>1310</v>
      </c>
      <c r="F465" s="89">
        <f t="shared" si="350"/>
        <v>20</v>
      </c>
      <c r="G465" s="90">
        <f t="shared" si="351"/>
        <v>210.6068032545829</v>
      </c>
      <c r="H465" s="90">
        <f t="shared" si="352"/>
        <v>163.84</v>
      </c>
      <c r="I465" s="91" t="str">
        <f>I464</f>
        <v>10동4라인</v>
      </c>
      <c r="J465" s="92" t="s">
        <v>207</v>
      </c>
      <c r="L465" s="89">
        <v>4</v>
      </c>
      <c r="M465" s="78">
        <f>M464</f>
        <v>5</v>
      </c>
      <c r="N465" s="84"/>
      <c r="O465" s="78">
        <f t="shared" ref="O465:O467" si="353">L465*M465-N465*L465</f>
        <v>20</v>
      </c>
    </row>
    <row r="466" spans="1:16" ht="18" customHeight="1">
      <c r="A466" s="85"/>
      <c r="B466" s="86"/>
      <c r="C466" s="87"/>
      <c r="D466" s="88">
        <v>228</v>
      </c>
      <c r="E466" s="88">
        <v>910</v>
      </c>
      <c r="F466" s="89">
        <f t="shared" si="350"/>
        <v>10</v>
      </c>
      <c r="G466" s="90">
        <f t="shared" si="351"/>
        <v>22.59909159232755</v>
      </c>
      <c r="H466" s="90">
        <f t="shared" si="352"/>
        <v>45.519999999999996</v>
      </c>
      <c r="I466" s="91" t="str">
        <f t="shared" ref="I466:I467" si="354">I465</f>
        <v>10동4라인</v>
      </c>
      <c r="J466" s="92" t="s">
        <v>209</v>
      </c>
      <c r="L466" s="89">
        <v>2</v>
      </c>
      <c r="M466" s="78">
        <f t="shared" ref="M466:M467" si="355">M465</f>
        <v>5</v>
      </c>
      <c r="N466" s="78"/>
      <c r="O466" s="78">
        <f t="shared" si="353"/>
        <v>10</v>
      </c>
    </row>
    <row r="467" spans="1:16" ht="18" customHeight="1">
      <c r="A467" s="85"/>
      <c r="B467" s="86"/>
      <c r="C467" s="87"/>
      <c r="D467" s="88">
        <v>438</v>
      </c>
      <c r="E467" s="88">
        <v>270</v>
      </c>
      <c r="F467" s="89">
        <f t="shared" si="350"/>
        <v>10</v>
      </c>
      <c r="G467" s="90">
        <f t="shared" si="351"/>
        <v>12.881090089206941</v>
      </c>
      <c r="H467" s="90">
        <f t="shared" si="352"/>
        <v>28.32</v>
      </c>
      <c r="I467" s="91" t="str">
        <f t="shared" si="354"/>
        <v>10동4라인</v>
      </c>
      <c r="J467" s="92" t="s">
        <v>210</v>
      </c>
      <c r="L467" s="89">
        <v>2</v>
      </c>
      <c r="M467" s="78">
        <f t="shared" si="355"/>
        <v>5</v>
      </c>
      <c r="N467" s="78"/>
      <c r="O467" s="78">
        <f t="shared" si="353"/>
        <v>10</v>
      </c>
    </row>
    <row r="468" spans="1:16" ht="18" customHeight="1">
      <c r="A468" s="85"/>
      <c r="B468" s="93"/>
      <c r="C468" s="87"/>
      <c r="D468" s="325" t="s">
        <v>0</v>
      </c>
      <c r="E468" s="325"/>
      <c r="F468" s="94">
        <f>SUM(F464:F467)</f>
        <v>45</v>
      </c>
      <c r="G468" s="95">
        <f>SUM(G464:G467)</f>
        <v>330.95938306701964</v>
      </c>
      <c r="H468" s="96">
        <f>SUM(H464:H467)</f>
        <v>291.09999999999997</v>
      </c>
      <c r="I468" s="97"/>
      <c r="J468" s="162"/>
    </row>
    <row r="469" spans="1:16" ht="18" customHeight="1">
      <c r="A469" s="85"/>
      <c r="B469" s="93"/>
      <c r="C469" s="87"/>
      <c r="D469" s="161"/>
      <c r="E469" s="161"/>
      <c r="F469" s="89"/>
      <c r="G469" s="100"/>
      <c r="H469" s="101"/>
      <c r="I469" s="102"/>
      <c r="J469" s="121"/>
      <c r="L469" s="252"/>
      <c r="M469" s="252"/>
      <c r="N469" s="252"/>
      <c r="O469" s="252"/>
    </row>
    <row r="470" spans="1:16" ht="18" customHeight="1">
      <c r="A470" s="85"/>
      <c r="B470" s="23" t="s">
        <v>198</v>
      </c>
      <c r="C470" s="24">
        <v>22</v>
      </c>
      <c r="D470" s="88">
        <v>861</v>
      </c>
      <c r="E470" s="88">
        <v>1810</v>
      </c>
      <c r="F470" s="89">
        <f t="shared" ref="F470:F474" si="356">O470</f>
        <v>5</v>
      </c>
      <c r="G470" s="90">
        <f t="shared" ref="G470:G474" si="357">D470*E470/91809*F470</f>
        <v>84.872398130902198</v>
      </c>
      <c r="H470" s="90">
        <f t="shared" ref="H470:H474" si="358">(D470/1000)*4*F470+(E470/1000)*4*F470</f>
        <v>53.42</v>
      </c>
      <c r="I470" s="103" t="str">
        <f>I464</f>
        <v>10동4라인</v>
      </c>
      <c r="J470" s="92" t="s">
        <v>212</v>
      </c>
      <c r="L470" s="89">
        <v>1</v>
      </c>
      <c r="M470" s="78">
        <f>M464</f>
        <v>5</v>
      </c>
      <c r="N470" s="84"/>
      <c r="O470" s="78">
        <f>L470*M470-N470*L470</f>
        <v>5</v>
      </c>
    </row>
    <row r="471" spans="1:16" ht="18" customHeight="1">
      <c r="A471" s="85"/>
      <c r="B471" s="86"/>
      <c r="C471" s="87"/>
      <c r="D471" s="88">
        <v>2114</v>
      </c>
      <c r="E471" s="88">
        <v>1810</v>
      </c>
      <c r="F471" s="89">
        <f t="shared" si="356"/>
        <v>5</v>
      </c>
      <c r="G471" s="90">
        <f t="shared" si="357"/>
        <v>208.38588809375989</v>
      </c>
      <c r="H471" s="90">
        <f t="shared" si="358"/>
        <v>78.48</v>
      </c>
      <c r="I471" s="91" t="str">
        <f>I464</f>
        <v>10동4라인</v>
      </c>
      <c r="J471" s="92" t="s">
        <v>213</v>
      </c>
      <c r="L471" s="89">
        <v>1</v>
      </c>
      <c r="M471" s="78">
        <f>M470</f>
        <v>5</v>
      </c>
      <c r="N471" s="84"/>
      <c r="O471" s="78">
        <f>L471*M471-N471*L471</f>
        <v>5</v>
      </c>
    </row>
    <row r="472" spans="1:16" ht="18" customHeight="1">
      <c r="A472" s="104"/>
      <c r="B472" s="93"/>
      <c r="C472" s="87"/>
      <c r="D472" s="88">
        <v>738</v>
      </c>
      <c r="E472" s="88">
        <v>1310</v>
      </c>
      <c r="F472" s="89">
        <f t="shared" si="356"/>
        <v>20</v>
      </c>
      <c r="G472" s="90">
        <f t="shared" si="357"/>
        <v>210.6068032545829</v>
      </c>
      <c r="H472" s="90">
        <f t="shared" si="358"/>
        <v>163.84</v>
      </c>
      <c r="I472" s="91" t="str">
        <f>I471</f>
        <v>10동4라인</v>
      </c>
      <c r="J472" s="92" t="s">
        <v>214</v>
      </c>
      <c r="L472" s="89">
        <v>4</v>
      </c>
      <c r="M472" s="78">
        <f t="shared" ref="M472:M474" si="359">M471</f>
        <v>5</v>
      </c>
      <c r="N472" s="84"/>
      <c r="O472" s="78">
        <f t="shared" ref="O472:O474" si="360">L472*M472-N472*L472</f>
        <v>20</v>
      </c>
    </row>
    <row r="473" spans="1:16" ht="18" customHeight="1">
      <c r="A473" s="104"/>
      <c r="B473" s="93"/>
      <c r="C473" s="87"/>
      <c r="D473" s="88">
        <v>228</v>
      </c>
      <c r="E473" s="88">
        <v>910</v>
      </c>
      <c r="F473" s="89">
        <f t="shared" si="356"/>
        <v>10</v>
      </c>
      <c r="G473" s="90">
        <f t="shared" si="357"/>
        <v>22.59909159232755</v>
      </c>
      <c r="H473" s="90">
        <f t="shared" si="358"/>
        <v>45.519999999999996</v>
      </c>
      <c r="I473" s="91" t="str">
        <f t="shared" ref="I473:I474" si="361">I472</f>
        <v>10동4라인</v>
      </c>
      <c r="J473" s="92" t="s">
        <v>216</v>
      </c>
      <c r="L473" s="89">
        <v>2</v>
      </c>
      <c r="M473" s="78">
        <f t="shared" si="359"/>
        <v>5</v>
      </c>
      <c r="N473" s="78"/>
      <c r="O473" s="78">
        <f t="shared" si="360"/>
        <v>10</v>
      </c>
    </row>
    <row r="474" spans="1:16" ht="18" customHeight="1">
      <c r="A474" s="104"/>
      <c r="B474" s="93"/>
      <c r="C474" s="87"/>
      <c r="D474" s="88">
        <v>438</v>
      </c>
      <c r="E474" s="88">
        <v>270</v>
      </c>
      <c r="F474" s="89">
        <f t="shared" si="356"/>
        <v>10</v>
      </c>
      <c r="G474" s="90">
        <f t="shared" si="357"/>
        <v>12.881090089206941</v>
      </c>
      <c r="H474" s="90">
        <f t="shared" si="358"/>
        <v>28.32</v>
      </c>
      <c r="I474" s="91" t="str">
        <f t="shared" si="361"/>
        <v>10동4라인</v>
      </c>
      <c r="J474" s="92" t="s">
        <v>217</v>
      </c>
      <c r="L474" s="89">
        <v>2</v>
      </c>
      <c r="M474" s="78">
        <f t="shared" si="359"/>
        <v>5</v>
      </c>
      <c r="N474" s="78"/>
      <c r="O474" s="78">
        <f t="shared" si="360"/>
        <v>10</v>
      </c>
    </row>
    <row r="475" spans="1:16" ht="18" customHeight="1">
      <c r="A475" s="104"/>
      <c r="B475" s="87"/>
      <c r="C475" s="87"/>
      <c r="D475" s="325" t="s">
        <v>0</v>
      </c>
      <c r="E475" s="325"/>
      <c r="F475" s="171">
        <f>SUM(F470:F474)</f>
        <v>50</v>
      </c>
      <c r="G475" s="95">
        <f>SUM(G470:G474)</f>
        <v>539.34527116077948</v>
      </c>
      <c r="H475" s="95">
        <f>SUM(H470:H474)</f>
        <v>369.58</v>
      </c>
      <c r="I475" s="97"/>
      <c r="J475" s="98"/>
    </row>
    <row r="476" spans="1:16">
      <c r="A476" s="105"/>
      <c r="B476" s="9"/>
      <c r="C476" s="9"/>
      <c r="D476" s="51"/>
      <c r="E476" s="51"/>
      <c r="F476" s="51"/>
      <c r="G476" s="106"/>
      <c r="H476" s="106"/>
      <c r="I476" s="9"/>
      <c r="J476" s="107"/>
    </row>
    <row r="477" spans="1:16" ht="18" customHeight="1">
      <c r="A477" s="85"/>
      <c r="B477" s="23" t="s">
        <v>237</v>
      </c>
      <c r="C477" s="24">
        <v>22</v>
      </c>
      <c r="D477" s="88">
        <v>2114</v>
      </c>
      <c r="E477" s="88">
        <v>1810</v>
      </c>
      <c r="F477" s="89">
        <f t="shared" ref="F477" si="362">O477</f>
        <v>5</v>
      </c>
      <c r="G477" s="90">
        <f t="shared" ref="G477" si="363">D477*E477/91809*F477</f>
        <v>208.38588809375989</v>
      </c>
      <c r="H477" s="90">
        <f t="shared" ref="H477" si="364">(D477/1000)*4*F477+(E477/1000)*4*F477</f>
        <v>78.48</v>
      </c>
      <c r="I477" s="91" t="str">
        <f>I470</f>
        <v>10동4라인</v>
      </c>
      <c r="J477" s="92" t="s">
        <v>206</v>
      </c>
      <c r="L477" s="89">
        <v>1</v>
      </c>
      <c r="M477" s="78">
        <f>M464</f>
        <v>5</v>
      </c>
      <c r="N477" s="84"/>
      <c r="O477" s="78">
        <f>L477*M477-N477*L477</f>
        <v>5</v>
      </c>
    </row>
    <row r="478" spans="1:16" ht="18" customHeight="1">
      <c r="A478" s="85"/>
      <c r="B478" s="93"/>
      <c r="C478" s="87"/>
      <c r="D478" s="325" t="s">
        <v>0</v>
      </c>
      <c r="E478" s="325"/>
      <c r="F478" s="94">
        <f>SUM(F477:F477)</f>
        <v>5</v>
      </c>
      <c r="G478" s="95">
        <f>SUM(G477:G477)</f>
        <v>208.38588809375989</v>
      </c>
      <c r="H478" s="95">
        <f>SUM(H477:H477)</f>
        <v>78.48</v>
      </c>
      <c r="I478" s="97"/>
      <c r="J478" s="98"/>
    </row>
    <row r="479" spans="1:16" ht="18" customHeight="1">
      <c r="A479" s="218"/>
      <c r="B479" s="219"/>
      <c r="C479" s="220"/>
      <c r="D479" s="161"/>
      <c r="E479" s="161"/>
      <c r="F479" s="89"/>
      <c r="G479" s="100"/>
      <c r="H479" s="100"/>
      <c r="I479" s="102"/>
      <c r="J479" s="221"/>
    </row>
    <row r="480" spans="1:16" ht="18" customHeight="1">
      <c r="A480" s="85"/>
      <c r="B480" s="23" t="s">
        <v>203</v>
      </c>
      <c r="C480" s="24">
        <v>22</v>
      </c>
      <c r="D480" s="88">
        <v>738</v>
      </c>
      <c r="E480" s="88">
        <v>1810</v>
      </c>
      <c r="F480" s="89">
        <f t="shared" ref="F480:F481" si="365">O480</f>
        <v>0</v>
      </c>
      <c r="G480" s="90">
        <f t="shared" ref="G480:G481" si="366">D480*E480/91809*F480</f>
        <v>0</v>
      </c>
      <c r="H480" s="90">
        <f t="shared" ref="H480:H481" si="367">(D480/1000)*4*F480+(E480/1000)*4*F480</f>
        <v>0</v>
      </c>
      <c r="I480" s="91" t="str">
        <f>I477</f>
        <v>10동4라인</v>
      </c>
      <c r="J480" s="92" t="s">
        <v>219</v>
      </c>
      <c r="L480" s="89">
        <v>2</v>
      </c>
      <c r="M480" s="78">
        <f>M477</f>
        <v>5</v>
      </c>
      <c r="N480" s="84">
        <v>5</v>
      </c>
      <c r="O480" s="78">
        <f>L480*M480-N480*L480</f>
        <v>0</v>
      </c>
      <c r="P480" s="64" t="s">
        <v>288</v>
      </c>
    </row>
    <row r="481" spans="1:16" ht="18" customHeight="1">
      <c r="A481" s="85"/>
      <c r="B481" s="86"/>
      <c r="C481" s="87"/>
      <c r="D481" s="88">
        <v>250</v>
      </c>
      <c r="E481" s="88">
        <v>930</v>
      </c>
      <c r="F481" s="89">
        <f t="shared" si="365"/>
        <v>10</v>
      </c>
      <c r="G481" s="90">
        <f t="shared" si="366"/>
        <v>25.324314609678787</v>
      </c>
      <c r="H481" s="90">
        <f t="shared" si="367"/>
        <v>47.2</v>
      </c>
      <c r="I481" s="91" t="str">
        <f>I480</f>
        <v>10동4라인</v>
      </c>
      <c r="J481" s="92" t="s">
        <v>220</v>
      </c>
      <c r="L481" s="89">
        <v>2</v>
      </c>
      <c r="M481" s="78">
        <f>M480</f>
        <v>5</v>
      </c>
      <c r="N481" s="84"/>
      <c r="O481" s="78">
        <f t="shared" ref="O481" si="368">L481*M481-N481*L481</f>
        <v>10</v>
      </c>
    </row>
    <row r="482" spans="1:16" ht="18" customHeight="1">
      <c r="A482" s="85"/>
      <c r="B482" s="93"/>
      <c r="C482" s="87"/>
      <c r="D482" s="325" t="s">
        <v>0</v>
      </c>
      <c r="E482" s="325"/>
      <c r="F482" s="94">
        <f>SUM(F480:F481)</f>
        <v>10</v>
      </c>
      <c r="G482" s="95">
        <f>SUM(G480:G481)</f>
        <v>25.324314609678787</v>
      </c>
      <c r="H482" s="96">
        <f>SUM(H480:H481)</f>
        <v>47.2</v>
      </c>
      <c r="I482" s="97"/>
      <c r="J482" s="162"/>
    </row>
    <row r="483" spans="1:16">
      <c r="A483" s="236"/>
      <c r="B483" s="237"/>
      <c r="C483" s="238"/>
      <c r="D483" s="362"/>
      <c r="E483" s="362"/>
      <c r="F483" s="239"/>
      <c r="G483" s="240"/>
      <c r="H483" s="241"/>
      <c r="I483" s="242"/>
      <c r="J483" s="243"/>
    </row>
    <row r="484" spans="1:16" ht="18" customHeight="1">
      <c r="A484" s="262" t="s">
        <v>234</v>
      </c>
      <c r="B484" s="263" t="s">
        <v>195</v>
      </c>
      <c r="C484" s="264">
        <v>22</v>
      </c>
      <c r="D484" s="265">
        <v>761</v>
      </c>
      <c r="E484" s="265">
        <v>1810</v>
      </c>
      <c r="F484" s="251">
        <f>O484</f>
        <v>20</v>
      </c>
      <c r="G484" s="266">
        <f t="shared" ref="G484:G490" si="369">D484*E484/91809*F484</f>
        <v>300.05990698079711</v>
      </c>
      <c r="H484" s="266">
        <f t="shared" ref="H484:H490" si="370">(D484/1000)*4*F484+(E484/1000)*4*F484</f>
        <v>205.68</v>
      </c>
      <c r="I484" s="267" t="s">
        <v>265</v>
      </c>
      <c r="J484" s="268" t="s">
        <v>205</v>
      </c>
      <c r="L484" s="89">
        <v>2</v>
      </c>
      <c r="M484" s="78">
        <v>10</v>
      </c>
      <c r="N484" s="84"/>
      <c r="O484" s="78">
        <f>L484*M484-N484*L484</f>
        <v>20</v>
      </c>
      <c r="P484" s="64"/>
    </row>
    <row r="485" spans="1:16" ht="18" customHeight="1">
      <c r="A485" s="85"/>
      <c r="B485" s="86"/>
      <c r="C485" s="87"/>
      <c r="D485" s="88">
        <v>1688</v>
      </c>
      <c r="E485" s="88">
        <v>1810</v>
      </c>
      <c r="F485" s="89">
        <f t="shared" ref="F485:F490" si="371">O485</f>
        <v>10</v>
      </c>
      <c r="G485" s="90">
        <f t="shared" si="369"/>
        <v>332.78654598133079</v>
      </c>
      <c r="H485" s="90">
        <f t="shared" si="370"/>
        <v>139.92000000000002</v>
      </c>
      <c r="I485" s="91" t="str">
        <f>I484</f>
        <v>10동5,6라인</v>
      </c>
      <c r="J485" s="92" t="s">
        <v>206</v>
      </c>
      <c r="L485" s="89">
        <v>1</v>
      </c>
      <c r="M485" s="78">
        <f>M484</f>
        <v>10</v>
      </c>
      <c r="N485" s="84"/>
      <c r="O485" s="78">
        <f t="shared" ref="O485:O490" si="372">L485*M485-N485*L485</f>
        <v>10</v>
      </c>
    </row>
    <row r="486" spans="1:16" ht="18" customHeight="1">
      <c r="A486" s="85"/>
      <c r="B486" s="86"/>
      <c r="C486" s="87"/>
      <c r="D486" s="88">
        <v>738</v>
      </c>
      <c r="E486" s="88">
        <v>1310</v>
      </c>
      <c r="F486" s="89">
        <f t="shared" si="371"/>
        <v>40</v>
      </c>
      <c r="G486" s="90">
        <f t="shared" si="369"/>
        <v>421.2136065091658</v>
      </c>
      <c r="H486" s="90">
        <f t="shared" si="370"/>
        <v>327.68</v>
      </c>
      <c r="I486" s="91" t="str">
        <f t="shared" ref="I486:I490" si="373">I485</f>
        <v>10동5,6라인</v>
      </c>
      <c r="J486" s="92" t="s">
        <v>207</v>
      </c>
      <c r="L486" s="89">
        <v>4</v>
      </c>
      <c r="M486" s="78">
        <f t="shared" ref="M486:M489" si="374">M485</f>
        <v>10</v>
      </c>
      <c r="N486" s="78"/>
      <c r="O486" s="78">
        <f t="shared" si="372"/>
        <v>40</v>
      </c>
    </row>
    <row r="487" spans="1:16" ht="18" customHeight="1">
      <c r="A487" s="85"/>
      <c r="B487" s="86"/>
      <c r="C487" s="87"/>
      <c r="D487" s="88">
        <v>288</v>
      </c>
      <c r="E487" s="88">
        <v>910</v>
      </c>
      <c r="F487" s="89">
        <f t="shared" si="371"/>
        <v>20</v>
      </c>
      <c r="G487" s="90">
        <f t="shared" si="369"/>
        <v>57.09244191745907</v>
      </c>
      <c r="H487" s="90">
        <f t="shared" si="370"/>
        <v>95.84</v>
      </c>
      <c r="I487" s="91" t="str">
        <f t="shared" si="373"/>
        <v>10동5,6라인</v>
      </c>
      <c r="J487" s="92" t="s">
        <v>208</v>
      </c>
      <c r="L487" s="89">
        <v>2</v>
      </c>
      <c r="M487" s="78">
        <f t="shared" si="374"/>
        <v>10</v>
      </c>
      <c r="N487" s="78"/>
      <c r="O487" s="78">
        <f t="shared" si="372"/>
        <v>20</v>
      </c>
    </row>
    <row r="488" spans="1:16" ht="18" customHeight="1">
      <c r="A488" s="85"/>
      <c r="B488" s="86"/>
      <c r="C488" s="87"/>
      <c r="D488" s="88">
        <v>228</v>
      </c>
      <c r="E488" s="88">
        <v>910</v>
      </c>
      <c r="F488" s="89">
        <f t="shared" si="371"/>
        <v>20</v>
      </c>
      <c r="G488" s="90">
        <f t="shared" si="369"/>
        <v>45.1981831846551</v>
      </c>
      <c r="H488" s="90">
        <f t="shared" si="370"/>
        <v>91.039999999999992</v>
      </c>
      <c r="I488" s="91" t="str">
        <f t="shared" si="373"/>
        <v>10동5,6라인</v>
      </c>
      <c r="J488" s="92" t="s">
        <v>209</v>
      </c>
      <c r="L488" s="89">
        <v>2</v>
      </c>
      <c r="M488" s="78">
        <f t="shared" si="374"/>
        <v>10</v>
      </c>
      <c r="N488" s="78"/>
      <c r="O488" s="78">
        <f t="shared" si="372"/>
        <v>20</v>
      </c>
    </row>
    <row r="489" spans="1:16" ht="18" customHeight="1">
      <c r="A489" s="85"/>
      <c r="B489" s="86"/>
      <c r="C489" s="87"/>
      <c r="D489" s="88">
        <v>438</v>
      </c>
      <c r="E489" s="88">
        <v>270</v>
      </c>
      <c r="F489" s="89">
        <f t="shared" si="371"/>
        <v>20</v>
      </c>
      <c r="G489" s="90">
        <f t="shared" si="369"/>
        <v>25.762180178413882</v>
      </c>
      <c r="H489" s="90">
        <f t="shared" si="370"/>
        <v>56.64</v>
      </c>
      <c r="I489" s="91" t="str">
        <f t="shared" si="373"/>
        <v>10동5,6라인</v>
      </c>
      <c r="J489" s="92" t="s">
        <v>210</v>
      </c>
      <c r="L489" s="89">
        <v>2</v>
      </c>
      <c r="M489" s="78">
        <f t="shared" si="374"/>
        <v>10</v>
      </c>
      <c r="N489" s="78"/>
      <c r="O489" s="78">
        <f t="shared" si="372"/>
        <v>20</v>
      </c>
    </row>
    <row r="490" spans="1:16" ht="18" customHeight="1">
      <c r="A490" s="85"/>
      <c r="B490" s="86"/>
      <c r="C490" s="87"/>
      <c r="D490" s="88">
        <v>208</v>
      </c>
      <c r="E490" s="88">
        <v>910</v>
      </c>
      <c r="F490" s="89">
        <f t="shared" si="371"/>
        <v>20</v>
      </c>
      <c r="G490" s="90">
        <f t="shared" si="369"/>
        <v>41.233430273720444</v>
      </c>
      <c r="H490" s="90">
        <f t="shared" si="370"/>
        <v>89.44</v>
      </c>
      <c r="I490" s="91" t="str">
        <f t="shared" si="373"/>
        <v>10동5,6라인</v>
      </c>
      <c r="J490" s="92" t="s">
        <v>211</v>
      </c>
      <c r="L490" s="89">
        <v>2</v>
      </c>
      <c r="M490" s="78">
        <f>M489</f>
        <v>10</v>
      </c>
      <c r="N490" s="78"/>
      <c r="O490" s="78">
        <f t="shared" si="372"/>
        <v>20</v>
      </c>
    </row>
    <row r="491" spans="1:16" ht="18" customHeight="1">
      <c r="A491" s="85"/>
      <c r="B491" s="93"/>
      <c r="C491" s="87"/>
      <c r="D491" s="325" t="s">
        <v>0</v>
      </c>
      <c r="E491" s="325"/>
      <c r="F491" s="94">
        <f>SUM(F484:F490)</f>
        <v>150</v>
      </c>
      <c r="G491" s="95">
        <f>SUM(G484:G490)</f>
        <v>1223.3462950255423</v>
      </c>
      <c r="H491" s="96">
        <f>SUM(H484:H490)</f>
        <v>1006.24</v>
      </c>
      <c r="I491" s="97"/>
      <c r="J491" s="162"/>
    </row>
    <row r="492" spans="1:16" ht="18" customHeight="1">
      <c r="A492" s="85"/>
      <c r="B492" s="93"/>
      <c r="C492" s="87"/>
      <c r="D492" s="161"/>
      <c r="E492" s="161"/>
      <c r="F492" s="89"/>
      <c r="G492" s="100"/>
      <c r="H492" s="101"/>
      <c r="I492" s="102"/>
      <c r="J492" s="121"/>
      <c r="L492" s="78" t="s">
        <v>48</v>
      </c>
      <c r="M492" s="78" t="s">
        <v>54</v>
      </c>
      <c r="N492" s="78" t="s">
        <v>50</v>
      </c>
      <c r="O492" s="78" t="s">
        <v>55</v>
      </c>
    </row>
    <row r="493" spans="1:16" ht="18" customHeight="1">
      <c r="A493" s="85"/>
      <c r="B493" s="23" t="s">
        <v>197</v>
      </c>
      <c r="C493" s="24">
        <v>22</v>
      </c>
      <c r="D493" s="88">
        <v>761</v>
      </c>
      <c r="E493" s="88">
        <v>1810</v>
      </c>
      <c r="F493" s="89">
        <f t="shared" ref="F493:F499" si="375">O493</f>
        <v>20</v>
      </c>
      <c r="G493" s="90">
        <f t="shared" ref="G493:G499" si="376">D493*E493/91809*F493</f>
        <v>300.05990698079711</v>
      </c>
      <c r="H493" s="90">
        <f t="shared" ref="H493:H499" si="377">(D493/1000)*4*F493+(E493/1000)*4*F493</f>
        <v>205.68</v>
      </c>
      <c r="I493" s="91" t="str">
        <f t="shared" ref="I493:I499" si="378">I484</f>
        <v>10동5,6라인</v>
      </c>
      <c r="J493" s="92" t="s">
        <v>212</v>
      </c>
      <c r="L493" s="89">
        <v>2</v>
      </c>
      <c r="M493" s="78">
        <f>M484</f>
        <v>10</v>
      </c>
      <c r="N493" s="84"/>
      <c r="O493" s="78">
        <f>L493*M493-N493*L493</f>
        <v>20</v>
      </c>
    </row>
    <row r="494" spans="1:16" ht="18" customHeight="1">
      <c r="A494" s="85"/>
      <c r="B494" s="86"/>
      <c r="C494" s="87"/>
      <c r="D494" s="88">
        <v>1688</v>
      </c>
      <c r="E494" s="88">
        <v>1810</v>
      </c>
      <c r="F494" s="89">
        <f t="shared" si="375"/>
        <v>10</v>
      </c>
      <c r="G494" s="90">
        <f t="shared" si="376"/>
        <v>332.78654598133079</v>
      </c>
      <c r="H494" s="90">
        <f t="shared" si="377"/>
        <v>139.92000000000002</v>
      </c>
      <c r="I494" s="91" t="str">
        <f t="shared" si="378"/>
        <v>10동5,6라인</v>
      </c>
      <c r="J494" s="92" t="s">
        <v>213</v>
      </c>
      <c r="L494" s="89">
        <v>1</v>
      </c>
      <c r="M494" s="78">
        <f>M493</f>
        <v>10</v>
      </c>
      <c r="N494" s="84"/>
      <c r="O494" s="78">
        <f>L494*M494-N494*L494</f>
        <v>10</v>
      </c>
    </row>
    <row r="495" spans="1:16" ht="18" customHeight="1">
      <c r="A495" s="104"/>
      <c r="B495" s="93"/>
      <c r="C495" s="87"/>
      <c r="D495" s="88">
        <v>738</v>
      </c>
      <c r="E495" s="88">
        <v>1310</v>
      </c>
      <c r="F495" s="89">
        <f t="shared" si="375"/>
        <v>40</v>
      </c>
      <c r="G495" s="90">
        <f t="shared" si="376"/>
        <v>421.2136065091658</v>
      </c>
      <c r="H495" s="90">
        <f t="shared" si="377"/>
        <v>327.68</v>
      </c>
      <c r="I495" s="91" t="str">
        <f t="shared" si="378"/>
        <v>10동5,6라인</v>
      </c>
      <c r="J495" s="92" t="s">
        <v>214</v>
      </c>
      <c r="L495" s="89">
        <v>4</v>
      </c>
      <c r="M495" s="78">
        <f t="shared" ref="M495:M499" si="379">M494</f>
        <v>10</v>
      </c>
      <c r="N495" s="84"/>
      <c r="O495" s="78">
        <f t="shared" ref="O495:O499" si="380">L495*M495-N495*L495</f>
        <v>40</v>
      </c>
    </row>
    <row r="496" spans="1:16" ht="18" customHeight="1">
      <c r="A496" s="104"/>
      <c r="B496" s="93"/>
      <c r="C496" s="87"/>
      <c r="D496" s="88">
        <v>288</v>
      </c>
      <c r="E496" s="88">
        <v>910</v>
      </c>
      <c r="F496" s="89">
        <f t="shared" si="375"/>
        <v>20</v>
      </c>
      <c r="G496" s="90">
        <f t="shared" si="376"/>
        <v>57.09244191745907</v>
      </c>
      <c r="H496" s="90">
        <f t="shared" si="377"/>
        <v>95.84</v>
      </c>
      <c r="I496" s="91" t="str">
        <f t="shared" si="378"/>
        <v>10동5,6라인</v>
      </c>
      <c r="J496" s="92" t="s">
        <v>215</v>
      </c>
      <c r="L496" s="89">
        <v>2</v>
      </c>
      <c r="M496" s="78">
        <f t="shared" si="379"/>
        <v>10</v>
      </c>
      <c r="N496" s="78"/>
      <c r="O496" s="78">
        <f t="shared" si="380"/>
        <v>20</v>
      </c>
    </row>
    <row r="497" spans="1:16" ht="18" customHeight="1">
      <c r="A497" s="104"/>
      <c r="B497" s="93"/>
      <c r="C497" s="87"/>
      <c r="D497" s="88">
        <v>228</v>
      </c>
      <c r="E497" s="88">
        <v>910</v>
      </c>
      <c r="F497" s="89">
        <f t="shared" si="375"/>
        <v>20</v>
      </c>
      <c r="G497" s="90">
        <f t="shared" si="376"/>
        <v>45.1981831846551</v>
      </c>
      <c r="H497" s="90">
        <f t="shared" si="377"/>
        <v>91.039999999999992</v>
      </c>
      <c r="I497" s="91" t="str">
        <f t="shared" si="378"/>
        <v>10동5,6라인</v>
      </c>
      <c r="J497" s="92" t="s">
        <v>216</v>
      </c>
      <c r="L497" s="89">
        <v>2</v>
      </c>
      <c r="M497" s="78">
        <f t="shared" si="379"/>
        <v>10</v>
      </c>
      <c r="N497" s="78"/>
      <c r="O497" s="78">
        <f t="shared" si="380"/>
        <v>20</v>
      </c>
    </row>
    <row r="498" spans="1:16" ht="18" customHeight="1">
      <c r="A498" s="104"/>
      <c r="B498" s="93"/>
      <c r="C498" s="87"/>
      <c r="D498" s="88">
        <v>438</v>
      </c>
      <c r="E498" s="88">
        <v>270</v>
      </c>
      <c r="F498" s="89">
        <f t="shared" si="375"/>
        <v>20</v>
      </c>
      <c r="G498" s="90">
        <f t="shared" si="376"/>
        <v>25.762180178413882</v>
      </c>
      <c r="H498" s="90">
        <f t="shared" si="377"/>
        <v>56.64</v>
      </c>
      <c r="I498" s="91" t="str">
        <f t="shared" si="378"/>
        <v>10동5,6라인</v>
      </c>
      <c r="J498" s="92" t="s">
        <v>217</v>
      </c>
      <c r="L498" s="89">
        <v>2</v>
      </c>
      <c r="M498" s="78">
        <f t="shared" si="379"/>
        <v>10</v>
      </c>
      <c r="N498" s="78"/>
      <c r="O498" s="78">
        <f t="shared" si="380"/>
        <v>20</v>
      </c>
    </row>
    <row r="499" spans="1:16" ht="18" customHeight="1">
      <c r="A499" s="104"/>
      <c r="B499" s="93"/>
      <c r="C499" s="87"/>
      <c r="D499" s="88">
        <v>208</v>
      </c>
      <c r="E499" s="88">
        <v>910</v>
      </c>
      <c r="F499" s="89">
        <f t="shared" si="375"/>
        <v>20</v>
      </c>
      <c r="G499" s="90">
        <f t="shared" si="376"/>
        <v>41.233430273720444</v>
      </c>
      <c r="H499" s="90">
        <f t="shared" si="377"/>
        <v>89.44</v>
      </c>
      <c r="I499" s="91" t="str">
        <f t="shared" si="378"/>
        <v>10동5,6라인</v>
      </c>
      <c r="J499" s="92" t="s">
        <v>218</v>
      </c>
      <c r="L499" s="89">
        <v>2</v>
      </c>
      <c r="M499" s="78">
        <f t="shared" si="379"/>
        <v>10</v>
      </c>
      <c r="N499" s="78"/>
      <c r="O499" s="78">
        <f t="shared" si="380"/>
        <v>20</v>
      </c>
    </row>
    <row r="500" spans="1:16" ht="18" customHeight="1">
      <c r="A500" s="104"/>
      <c r="B500" s="87"/>
      <c r="C500" s="87"/>
      <c r="D500" s="325" t="s">
        <v>0</v>
      </c>
      <c r="E500" s="325"/>
      <c r="F500" s="171">
        <f>SUM(F493:F499)</f>
        <v>150</v>
      </c>
      <c r="G500" s="95">
        <f>SUM(G493:G499)</f>
        <v>1223.3462950255423</v>
      </c>
      <c r="H500" s="95">
        <f>SUM(H493:H499)</f>
        <v>1006.24</v>
      </c>
      <c r="I500" s="97"/>
      <c r="J500" s="98"/>
    </row>
    <row r="501" spans="1:16">
      <c r="A501" s="105"/>
      <c r="B501" s="9"/>
      <c r="C501" s="9"/>
      <c r="D501" s="51"/>
      <c r="E501" s="51"/>
      <c r="F501" s="51"/>
      <c r="G501" s="106"/>
      <c r="H501" s="106"/>
      <c r="I501" s="9"/>
      <c r="J501" s="107"/>
    </row>
    <row r="502" spans="1:16" ht="18" customHeight="1">
      <c r="A502" s="85"/>
      <c r="B502" s="163" t="s">
        <v>199</v>
      </c>
      <c r="C502" s="163">
        <v>22</v>
      </c>
      <c r="D502" s="88">
        <v>738</v>
      </c>
      <c r="E502" s="88">
        <v>1810</v>
      </c>
      <c r="F502" s="89">
        <f t="shared" ref="F502:F503" si="381">O502</f>
        <v>20</v>
      </c>
      <c r="G502" s="90">
        <f t="shared" ref="G502:G503" si="382">D502*E502/91809*F502</f>
        <v>290.99107930595039</v>
      </c>
      <c r="H502" s="90">
        <f t="shared" ref="H502:H503" si="383">(D502/1000)*4*F502+(E502/1000)*4*F502</f>
        <v>203.84</v>
      </c>
      <c r="I502" s="91" t="str">
        <f>I493</f>
        <v>10동5,6라인</v>
      </c>
      <c r="J502" s="92" t="s">
        <v>219</v>
      </c>
      <c r="L502" s="89">
        <v>2</v>
      </c>
      <c r="M502" s="78">
        <f>M484</f>
        <v>10</v>
      </c>
      <c r="N502" s="84"/>
      <c r="O502" s="78">
        <f>L502*M502-N502*L502</f>
        <v>20</v>
      </c>
      <c r="P502" s="64"/>
    </row>
    <row r="503" spans="1:16" ht="18" customHeight="1">
      <c r="A503" s="85"/>
      <c r="B503" s="86"/>
      <c r="C503" s="87"/>
      <c r="D503" s="88">
        <v>250</v>
      </c>
      <c r="E503" s="88">
        <v>930</v>
      </c>
      <c r="F503" s="89">
        <f t="shared" si="381"/>
        <v>20</v>
      </c>
      <c r="G503" s="90">
        <f t="shared" si="382"/>
        <v>50.648629219357574</v>
      </c>
      <c r="H503" s="90">
        <f t="shared" si="383"/>
        <v>94.4</v>
      </c>
      <c r="I503" s="91" t="str">
        <f>I502</f>
        <v>10동5,6라인</v>
      </c>
      <c r="J503" s="92" t="s">
        <v>220</v>
      </c>
      <c r="L503" s="89">
        <v>2</v>
      </c>
      <c r="M503" s="78">
        <f>M502</f>
        <v>10</v>
      </c>
      <c r="N503" s="84"/>
      <c r="O503" s="78">
        <f t="shared" ref="O503" si="384">L503*M503-N503*L503</f>
        <v>20</v>
      </c>
    </row>
    <row r="504" spans="1:16" ht="18" customHeight="1">
      <c r="A504" s="85"/>
      <c r="B504" s="93"/>
      <c r="C504" s="87"/>
      <c r="D504" s="325" t="s">
        <v>0</v>
      </c>
      <c r="E504" s="325"/>
      <c r="F504" s="94">
        <f>SUM(F502:F503)</f>
        <v>40</v>
      </c>
      <c r="G504" s="95">
        <f>SUM(G502:G503)</f>
        <v>341.63970852530798</v>
      </c>
      <c r="H504" s="95">
        <f>SUM(H502:H503)</f>
        <v>298.24</v>
      </c>
      <c r="I504" s="97"/>
      <c r="J504" s="98"/>
    </row>
    <row r="505" spans="1:16">
      <c r="A505" s="166"/>
      <c r="B505" s="166"/>
      <c r="C505" s="166"/>
      <c r="D505" s="167"/>
      <c r="E505" s="167"/>
      <c r="F505" s="167"/>
      <c r="G505" s="168"/>
      <c r="H505" s="168"/>
      <c r="I505" s="166"/>
      <c r="J505" s="166"/>
    </row>
    <row r="506" spans="1:16" ht="18" customHeight="1">
      <c r="A506" s="85" t="s">
        <v>235</v>
      </c>
      <c r="B506" s="23" t="s">
        <v>201</v>
      </c>
      <c r="C506" s="24">
        <v>22</v>
      </c>
      <c r="D506" s="88">
        <v>861</v>
      </c>
      <c r="E506" s="88">
        <v>1810</v>
      </c>
      <c r="F506" s="89">
        <f t="shared" ref="F506:F509" si="385">O506</f>
        <v>5</v>
      </c>
      <c r="G506" s="90">
        <f t="shared" ref="G506:G509" si="386">D506*E506/91809*F506</f>
        <v>84.872398130902198</v>
      </c>
      <c r="H506" s="90">
        <f t="shared" ref="H506:H509" si="387">(D506/1000)*4*F506+(E506/1000)*4*F506</f>
        <v>53.42</v>
      </c>
      <c r="I506" s="91" t="s">
        <v>266</v>
      </c>
      <c r="J506" s="92" t="s">
        <v>205</v>
      </c>
      <c r="L506" s="89">
        <v>1</v>
      </c>
      <c r="M506" s="78">
        <v>5</v>
      </c>
      <c r="N506" s="84"/>
      <c r="O506" s="78">
        <f>L506*M506-N506*L506</f>
        <v>5</v>
      </c>
      <c r="P506" s="64"/>
    </row>
    <row r="507" spans="1:16" ht="18" customHeight="1">
      <c r="A507" s="85"/>
      <c r="B507" s="86"/>
      <c r="C507" s="87"/>
      <c r="D507" s="88">
        <v>738</v>
      </c>
      <c r="E507" s="88">
        <v>1310</v>
      </c>
      <c r="F507" s="89">
        <f t="shared" si="385"/>
        <v>20</v>
      </c>
      <c r="G507" s="90">
        <f t="shared" si="386"/>
        <v>210.6068032545829</v>
      </c>
      <c r="H507" s="90">
        <f t="shared" si="387"/>
        <v>163.84</v>
      </c>
      <c r="I507" s="91" t="str">
        <f>I506</f>
        <v>11동1라인</v>
      </c>
      <c r="J507" s="92" t="s">
        <v>207</v>
      </c>
      <c r="L507" s="89">
        <v>4</v>
      </c>
      <c r="M507" s="78">
        <f>M506</f>
        <v>5</v>
      </c>
      <c r="N507" s="84"/>
      <c r="O507" s="78">
        <f t="shared" ref="O507:O509" si="388">L507*M507-N507*L507</f>
        <v>20</v>
      </c>
    </row>
    <row r="508" spans="1:16" ht="18" customHeight="1">
      <c r="A508" s="85"/>
      <c r="B508" s="86"/>
      <c r="C508" s="87"/>
      <c r="D508" s="88">
        <v>228</v>
      </c>
      <c r="E508" s="88">
        <v>910</v>
      </c>
      <c r="F508" s="89">
        <f t="shared" si="385"/>
        <v>10</v>
      </c>
      <c r="G508" s="90">
        <f t="shared" si="386"/>
        <v>22.59909159232755</v>
      </c>
      <c r="H508" s="90">
        <f t="shared" si="387"/>
        <v>45.519999999999996</v>
      </c>
      <c r="I508" s="91" t="str">
        <f t="shared" ref="I508:I509" si="389">I507</f>
        <v>11동1라인</v>
      </c>
      <c r="J508" s="92" t="s">
        <v>209</v>
      </c>
      <c r="L508" s="89">
        <v>2</v>
      </c>
      <c r="M508" s="78">
        <f t="shared" ref="M508:M509" si="390">M507</f>
        <v>5</v>
      </c>
      <c r="N508" s="78"/>
      <c r="O508" s="78">
        <f t="shared" si="388"/>
        <v>10</v>
      </c>
    </row>
    <row r="509" spans="1:16" ht="18" customHeight="1">
      <c r="A509" s="85"/>
      <c r="B509" s="86"/>
      <c r="C509" s="87"/>
      <c r="D509" s="88">
        <v>438</v>
      </c>
      <c r="E509" s="88">
        <v>270</v>
      </c>
      <c r="F509" s="89">
        <f t="shared" si="385"/>
        <v>10</v>
      </c>
      <c r="G509" s="90">
        <f t="shared" si="386"/>
        <v>12.881090089206941</v>
      </c>
      <c r="H509" s="90">
        <f t="shared" si="387"/>
        <v>28.32</v>
      </c>
      <c r="I509" s="91" t="str">
        <f t="shared" si="389"/>
        <v>11동1라인</v>
      </c>
      <c r="J509" s="92" t="s">
        <v>210</v>
      </c>
      <c r="L509" s="89">
        <v>2</v>
      </c>
      <c r="M509" s="78">
        <f t="shared" si="390"/>
        <v>5</v>
      </c>
      <c r="N509" s="78"/>
      <c r="O509" s="78">
        <f t="shared" si="388"/>
        <v>10</v>
      </c>
    </row>
    <row r="510" spans="1:16" ht="18" customHeight="1">
      <c r="A510" s="85"/>
      <c r="B510" s="93"/>
      <c r="C510" s="87"/>
      <c r="D510" s="325" t="s">
        <v>0</v>
      </c>
      <c r="E510" s="325"/>
      <c r="F510" s="94">
        <f>SUM(F506:F509)</f>
        <v>45</v>
      </c>
      <c r="G510" s="95">
        <f>SUM(G506:G509)</f>
        <v>330.95938306701964</v>
      </c>
      <c r="H510" s="96">
        <f>SUM(H506:H509)</f>
        <v>291.09999999999997</v>
      </c>
      <c r="I510" s="97"/>
      <c r="J510" s="162"/>
    </row>
    <row r="511" spans="1:16" ht="18" customHeight="1">
      <c r="A511" s="85"/>
      <c r="B511" s="93"/>
      <c r="C511" s="87"/>
      <c r="D511" s="161"/>
      <c r="E511" s="161"/>
      <c r="F511" s="89"/>
      <c r="G511" s="100"/>
      <c r="H511" s="101"/>
      <c r="I511" s="102"/>
      <c r="J511" s="121"/>
      <c r="L511" s="252"/>
      <c r="M511" s="252"/>
      <c r="N511" s="252"/>
      <c r="O511" s="252"/>
    </row>
    <row r="512" spans="1:16" ht="18" customHeight="1">
      <c r="A512" s="85"/>
      <c r="B512" s="23" t="s">
        <v>198</v>
      </c>
      <c r="C512" s="24">
        <v>22</v>
      </c>
      <c r="D512" s="88">
        <v>861</v>
      </c>
      <c r="E512" s="88">
        <v>1810</v>
      </c>
      <c r="F512" s="89">
        <f t="shared" ref="F512:F516" si="391">O512</f>
        <v>5</v>
      </c>
      <c r="G512" s="90">
        <f t="shared" ref="G512:G516" si="392">D512*E512/91809*F512</f>
        <v>84.872398130902198</v>
      </c>
      <c r="H512" s="90">
        <f t="shared" ref="H512:H516" si="393">(D512/1000)*4*F512+(E512/1000)*4*F512</f>
        <v>53.42</v>
      </c>
      <c r="I512" s="103" t="str">
        <f>I506</f>
        <v>11동1라인</v>
      </c>
      <c r="J512" s="92" t="s">
        <v>212</v>
      </c>
      <c r="L512" s="89">
        <v>1</v>
      </c>
      <c r="M512" s="78">
        <f>M506</f>
        <v>5</v>
      </c>
      <c r="N512" s="84"/>
      <c r="O512" s="78">
        <f>L512*M512-N512*L512</f>
        <v>5</v>
      </c>
    </row>
    <row r="513" spans="1:16" ht="18" customHeight="1">
      <c r="A513" s="85"/>
      <c r="B513" s="86"/>
      <c r="C513" s="87"/>
      <c r="D513" s="88">
        <v>2114</v>
      </c>
      <c r="E513" s="88">
        <v>1810</v>
      </c>
      <c r="F513" s="89">
        <f t="shared" si="391"/>
        <v>5</v>
      </c>
      <c r="G513" s="90">
        <f t="shared" si="392"/>
        <v>208.38588809375989</v>
      </c>
      <c r="H513" s="90">
        <f t="shared" si="393"/>
        <v>78.48</v>
      </c>
      <c r="I513" s="91" t="str">
        <f>I506</f>
        <v>11동1라인</v>
      </c>
      <c r="J513" s="92" t="s">
        <v>213</v>
      </c>
      <c r="L513" s="89">
        <v>1</v>
      </c>
      <c r="M513" s="78">
        <f>M512</f>
        <v>5</v>
      </c>
      <c r="N513" s="84"/>
      <c r="O513" s="78">
        <f>L513*M513-N513*L513</f>
        <v>5</v>
      </c>
    </row>
    <row r="514" spans="1:16" ht="18" customHeight="1">
      <c r="A514" s="104"/>
      <c r="B514" s="93"/>
      <c r="C514" s="87"/>
      <c r="D514" s="88">
        <v>738</v>
      </c>
      <c r="E514" s="88">
        <v>1310</v>
      </c>
      <c r="F514" s="89">
        <f t="shared" si="391"/>
        <v>20</v>
      </c>
      <c r="G514" s="90">
        <f t="shared" si="392"/>
        <v>210.6068032545829</v>
      </c>
      <c r="H514" s="90">
        <f t="shared" si="393"/>
        <v>163.84</v>
      </c>
      <c r="I514" s="91" t="str">
        <f>I513</f>
        <v>11동1라인</v>
      </c>
      <c r="J514" s="92" t="s">
        <v>214</v>
      </c>
      <c r="L514" s="89">
        <v>4</v>
      </c>
      <c r="M514" s="78">
        <f t="shared" ref="M514:M516" si="394">M513</f>
        <v>5</v>
      </c>
      <c r="N514" s="84"/>
      <c r="O514" s="78">
        <f t="shared" ref="O514:O516" si="395">L514*M514-N514*L514</f>
        <v>20</v>
      </c>
    </row>
    <row r="515" spans="1:16" ht="18" customHeight="1">
      <c r="A515" s="104"/>
      <c r="B515" s="93"/>
      <c r="C515" s="87"/>
      <c r="D515" s="88">
        <v>228</v>
      </c>
      <c r="E515" s="88">
        <v>910</v>
      </c>
      <c r="F515" s="89">
        <f t="shared" si="391"/>
        <v>10</v>
      </c>
      <c r="G515" s="90">
        <f t="shared" si="392"/>
        <v>22.59909159232755</v>
      </c>
      <c r="H515" s="90">
        <f t="shared" si="393"/>
        <v>45.519999999999996</v>
      </c>
      <c r="I515" s="91" t="str">
        <f t="shared" ref="I515:I516" si="396">I514</f>
        <v>11동1라인</v>
      </c>
      <c r="J515" s="92" t="s">
        <v>216</v>
      </c>
      <c r="L515" s="89">
        <v>2</v>
      </c>
      <c r="M515" s="78">
        <f t="shared" si="394"/>
        <v>5</v>
      </c>
      <c r="N515" s="78"/>
      <c r="O515" s="78">
        <f t="shared" si="395"/>
        <v>10</v>
      </c>
    </row>
    <row r="516" spans="1:16" ht="18" customHeight="1">
      <c r="A516" s="104"/>
      <c r="B516" s="93"/>
      <c r="C516" s="87"/>
      <c r="D516" s="88">
        <v>438</v>
      </c>
      <c r="E516" s="88">
        <v>270</v>
      </c>
      <c r="F516" s="89">
        <f t="shared" si="391"/>
        <v>10</v>
      </c>
      <c r="G516" s="90">
        <f t="shared" si="392"/>
        <v>12.881090089206941</v>
      </c>
      <c r="H516" s="90">
        <f t="shared" si="393"/>
        <v>28.32</v>
      </c>
      <c r="I516" s="91" t="str">
        <f t="shared" si="396"/>
        <v>11동1라인</v>
      </c>
      <c r="J516" s="92" t="s">
        <v>217</v>
      </c>
      <c r="L516" s="89">
        <v>2</v>
      </c>
      <c r="M516" s="78">
        <f t="shared" si="394"/>
        <v>5</v>
      </c>
      <c r="N516" s="78"/>
      <c r="O516" s="78">
        <f t="shared" si="395"/>
        <v>10</v>
      </c>
    </row>
    <row r="517" spans="1:16" ht="18" customHeight="1">
      <c r="A517" s="104"/>
      <c r="B517" s="87"/>
      <c r="C517" s="87"/>
      <c r="D517" s="325" t="s">
        <v>0</v>
      </c>
      <c r="E517" s="325"/>
      <c r="F517" s="171">
        <f>SUM(F512:F516)</f>
        <v>50</v>
      </c>
      <c r="G517" s="95">
        <f>SUM(G512:G516)</f>
        <v>539.34527116077948</v>
      </c>
      <c r="H517" s="95">
        <f>SUM(H512:H516)</f>
        <v>369.58</v>
      </c>
      <c r="I517" s="97"/>
      <c r="J517" s="98"/>
    </row>
    <row r="518" spans="1:16">
      <c r="A518" s="105"/>
      <c r="B518" s="9"/>
      <c r="C518" s="9"/>
      <c r="D518" s="51"/>
      <c r="E518" s="51"/>
      <c r="F518" s="51"/>
      <c r="G518" s="106"/>
      <c r="H518" s="106"/>
      <c r="I518" s="9"/>
      <c r="J518" s="107"/>
    </row>
    <row r="519" spans="1:16" ht="18" customHeight="1">
      <c r="A519" s="85"/>
      <c r="B519" s="23" t="s">
        <v>237</v>
      </c>
      <c r="C519" s="24">
        <v>22</v>
      </c>
      <c r="D519" s="88">
        <v>2114</v>
      </c>
      <c r="E519" s="88">
        <v>1810</v>
      </c>
      <c r="F519" s="89">
        <f t="shared" ref="F519" si="397">O519</f>
        <v>5</v>
      </c>
      <c r="G519" s="90">
        <f t="shared" ref="G519" si="398">D519*E519/91809*F519</f>
        <v>208.38588809375989</v>
      </c>
      <c r="H519" s="90">
        <f t="shared" ref="H519" si="399">(D519/1000)*4*F519+(E519/1000)*4*F519</f>
        <v>78.48</v>
      </c>
      <c r="I519" s="91" t="str">
        <f>I512</f>
        <v>11동1라인</v>
      </c>
      <c r="J519" s="92" t="s">
        <v>206</v>
      </c>
      <c r="L519" s="89">
        <v>1</v>
      </c>
      <c r="M519" s="78">
        <f>M506</f>
        <v>5</v>
      </c>
      <c r="N519" s="84"/>
      <c r="O519" s="78">
        <f>L519*M519-N519*L519</f>
        <v>5</v>
      </c>
    </row>
    <row r="520" spans="1:16" ht="18" customHeight="1">
      <c r="A520" s="85"/>
      <c r="B520" s="93"/>
      <c r="C520" s="87"/>
      <c r="D520" s="325" t="s">
        <v>0</v>
      </c>
      <c r="E520" s="325"/>
      <c r="F520" s="94">
        <f>SUM(F519:F519)</f>
        <v>5</v>
      </c>
      <c r="G520" s="95">
        <f>SUM(G519:G519)</f>
        <v>208.38588809375989</v>
      </c>
      <c r="H520" s="95">
        <f>SUM(H519:H519)</f>
        <v>78.48</v>
      </c>
      <c r="I520" s="97"/>
      <c r="J520" s="98"/>
    </row>
    <row r="521" spans="1:16" ht="18" customHeight="1">
      <c r="A521" s="218"/>
      <c r="B521" s="219"/>
      <c r="C521" s="220"/>
      <c r="D521" s="161"/>
      <c r="E521" s="161"/>
      <c r="F521" s="89"/>
      <c r="G521" s="100"/>
      <c r="H521" s="100"/>
      <c r="I521" s="102"/>
      <c r="J521" s="221"/>
    </row>
    <row r="522" spans="1:16" ht="18" customHeight="1">
      <c r="A522" s="85"/>
      <c r="B522" s="23" t="s">
        <v>203</v>
      </c>
      <c r="C522" s="24">
        <v>22</v>
      </c>
      <c r="D522" s="88">
        <v>738</v>
      </c>
      <c r="E522" s="88">
        <v>1810</v>
      </c>
      <c r="F522" s="89">
        <f t="shared" ref="F522:F523" si="400">O522</f>
        <v>0</v>
      </c>
      <c r="G522" s="90">
        <f t="shared" ref="G522:G523" si="401">D522*E522/91809*F522</f>
        <v>0</v>
      </c>
      <c r="H522" s="90">
        <f t="shared" ref="H522:H523" si="402">(D522/1000)*4*F522+(E522/1000)*4*F522</f>
        <v>0</v>
      </c>
      <c r="I522" s="91" t="str">
        <f>I519</f>
        <v>11동1라인</v>
      </c>
      <c r="J522" s="92" t="s">
        <v>219</v>
      </c>
      <c r="L522" s="89">
        <v>2</v>
      </c>
      <c r="M522" s="78">
        <f>M519</f>
        <v>5</v>
      </c>
      <c r="N522" s="84">
        <v>5</v>
      </c>
      <c r="O522" s="78">
        <f>L522*M522-N522*L522</f>
        <v>0</v>
      </c>
      <c r="P522" s="64" t="s">
        <v>244</v>
      </c>
    </row>
    <row r="523" spans="1:16" ht="18" customHeight="1">
      <c r="A523" s="85"/>
      <c r="B523" s="86"/>
      <c r="C523" s="87"/>
      <c r="D523" s="88">
        <v>250</v>
      </c>
      <c r="E523" s="88">
        <v>930</v>
      </c>
      <c r="F523" s="89">
        <f t="shared" si="400"/>
        <v>10</v>
      </c>
      <c r="G523" s="90">
        <f t="shared" si="401"/>
        <v>25.324314609678787</v>
      </c>
      <c r="H523" s="90">
        <f t="shared" si="402"/>
        <v>47.2</v>
      </c>
      <c r="I523" s="91" t="str">
        <f>I522</f>
        <v>11동1라인</v>
      </c>
      <c r="J523" s="92" t="s">
        <v>220</v>
      </c>
      <c r="L523" s="89">
        <v>2</v>
      </c>
      <c r="M523" s="78">
        <f>M522</f>
        <v>5</v>
      </c>
      <c r="N523" s="84"/>
      <c r="O523" s="78">
        <f t="shared" ref="O523" si="403">L523*M523-N523*L523</f>
        <v>10</v>
      </c>
    </row>
    <row r="524" spans="1:16" ht="18" customHeight="1">
      <c r="A524" s="85"/>
      <c r="B524" s="93"/>
      <c r="C524" s="87"/>
      <c r="D524" s="325" t="s">
        <v>0</v>
      </c>
      <c r="E524" s="325"/>
      <c r="F524" s="94">
        <f>SUM(F522:F523)</f>
        <v>10</v>
      </c>
      <c r="G524" s="95">
        <f>SUM(G522:G523)</f>
        <v>25.324314609678787</v>
      </c>
      <c r="H524" s="96">
        <f>SUM(H522:H523)</f>
        <v>47.2</v>
      </c>
      <c r="I524" s="97"/>
      <c r="J524" s="162"/>
    </row>
    <row r="525" spans="1:16" ht="18" customHeight="1" thickBot="1">
      <c r="A525" s="222"/>
      <c r="B525" s="223"/>
      <c r="C525" s="224"/>
      <c r="D525" s="225"/>
      <c r="E525" s="225"/>
      <c r="F525" s="226"/>
      <c r="G525" s="227"/>
      <c r="H525" s="228"/>
      <c r="I525" s="229"/>
      <c r="J525" s="230"/>
      <c r="L525" s="78" t="s">
        <v>48</v>
      </c>
      <c r="M525" s="78" t="s">
        <v>49</v>
      </c>
      <c r="N525" s="78" t="s">
        <v>50</v>
      </c>
      <c r="O525" s="78" t="s">
        <v>55</v>
      </c>
    </row>
    <row r="526" spans="1:16" ht="18" customHeight="1">
      <c r="A526" s="79" t="s">
        <v>234</v>
      </c>
      <c r="B526" s="231" t="s">
        <v>195</v>
      </c>
      <c r="C526" s="232">
        <v>22</v>
      </c>
      <c r="D526" s="80">
        <v>761</v>
      </c>
      <c r="E526" s="80">
        <v>1810</v>
      </c>
      <c r="F526" s="233">
        <f>O526</f>
        <v>10</v>
      </c>
      <c r="G526" s="81">
        <f t="shared" ref="G526:G532" si="404">D526*E526/91809*F526</f>
        <v>150.02995349039855</v>
      </c>
      <c r="H526" s="81">
        <f t="shared" ref="H526:H532" si="405">(D526/1000)*4*F526+(E526/1000)*4*F526</f>
        <v>102.84</v>
      </c>
      <c r="I526" s="82" t="s">
        <v>267</v>
      </c>
      <c r="J526" s="83" t="s">
        <v>205</v>
      </c>
      <c r="L526" s="89">
        <v>2</v>
      </c>
      <c r="M526" s="78">
        <v>5</v>
      </c>
      <c r="N526" s="84"/>
      <c r="O526" s="78">
        <f>L526*M526-N526*L526</f>
        <v>10</v>
      </c>
      <c r="P526" s="64"/>
    </row>
    <row r="527" spans="1:16" ht="18" customHeight="1">
      <c r="A527" s="85"/>
      <c r="B527" s="86"/>
      <c r="C527" s="87"/>
      <c r="D527" s="88">
        <v>1688</v>
      </c>
      <c r="E527" s="88">
        <v>1810</v>
      </c>
      <c r="F527" s="89">
        <f t="shared" ref="F527:F532" si="406">O527</f>
        <v>5</v>
      </c>
      <c r="G527" s="90">
        <f t="shared" si="404"/>
        <v>166.39327299066539</v>
      </c>
      <c r="H527" s="90">
        <f t="shared" si="405"/>
        <v>69.960000000000008</v>
      </c>
      <c r="I527" s="91" t="str">
        <f>I526</f>
        <v>11동2라인</v>
      </c>
      <c r="J527" s="92" t="s">
        <v>206</v>
      </c>
      <c r="L527" s="89">
        <v>1</v>
      </c>
      <c r="M527" s="78">
        <f>M526</f>
        <v>5</v>
      </c>
      <c r="N527" s="84"/>
      <c r="O527" s="78">
        <f t="shared" ref="O527:O532" si="407">L527*M527-N527*L527</f>
        <v>5</v>
      </c>
    </row>
    <row r="528" spans="1:16" ht="18" customHeight="1">
      <c r="A528" s="85"/>
      <c r="B528" s="86"/>
      <c r="C528" s="87"/>
      <c r="D528" s="88">
        <v>738</v>
      </c>
      <c r="E528" s="88">
        <v>1310</v>
      </c>
      <c r="F528" s="89">
        <f t="shared" si="406"/>
        <v>20</v>
      </c>
      <c r="G528" s="90">
        <f t="shared" si="404"/>
        <v>210.6068032545829</v>
      </c>
      <c r="H528" s="90">
        <f t="shared" si="405"/>
        <v>163.84</v>
      </c>
      <c r="I528" s="91" t="str">
        <f t="shared" ref="I528:I532" si="408">I527</f>
        <v>11동2라인</v>
      </c>
      <c r="J528" s="92" t="s">
        <v>207</v>
      </c>
      <c r="L528" s="89">
        <v>4</v>
      </c>
      <c r="M528" s="78">
        <f t="shared" ref="M528:M531" si="409">M527</f>
        <v>5</v>
      </c>
      <c r="N528" s="78"/>
      <c r="O528" s="78">
        <f t="shared" si="407"/>
        <v>20</v>
      </c>
    </row>
    <row r="529" spans="1:16" ht="18" customHeight="1">
      <c r="A529" s="85"/>
      <c r="B529" s="86"/>
      <c r="C529" s="87"/>
      <c r="D529" s="88">
        <v>288</v>
      </c>
      <c r="E529" s="88">
        <v>910</v>
      </c>
      <c r="F529" s="89">
        <f t="shared" si="406"/>
        <v>10</v>
      </c>
      <c r="G529" s="90">
        <f t="shared" si="404"/>
        <v>28.546220958729535</v>
      </c>
      <c r="H529" s="90">
        <f t="shared" si="405"/>
        <v>47.92</v>
      </c>
      <c r="I529" s="91" t="str">
        <f t="shared" si="408"/>
        <v>11동2라인</v>
      </c>
      <c r="J529" s="92" t="s">
        <v>208</v>
      </c>
      <c r="L529" s="89">
        <v>2</v>
      </c>
      <c r="M529" s="78">
        <f t="shared" si="409"/>
        <v>5</v>
      </c>
      <c r="N529" s="78"/>
      <c r="O529" s="78">
        <f t="shared" si="407"/>
        <v>10</v>
      </c>
    </row>
    <row r="530" spans="1:16" ht="18" customHeight="1">
      <c r="A530" s="85"/>
      <c r="B530" s="86"/>
      <c r="C530" s="87"/>
      <c r="D530" s="88">
        <v>228</v>
      </c>
      <c r="E530" s="88">
        <v>910</v>
      </c>
      <c r="F530" s="89">
        <f t="shared" si="406"/>
        <v>10</v>
      </c>
      <c r="G530" s="90">
        <f t="shared" si="404"/>
        <v>22.59909159232755</v>
      </c>
      <c r="H530" s="90">
        <f t="shared" si="405"/>
        <v>45.519999999999996</v>
      </c>
      <c r="I530" s="91" t="str">
        <f t="shared" si="408"/>
        <v>11동2라인</v>
      </c>
      <c r="J530" s="92" t="s">
        <v>209</v>
      </c>
      <c r="L530" s="89">
        <v>2</v>
      </c>
      <c r="M530" s="78">
        <f t="shared" si="409"/>
        <v>5</v>
      </c>
      <c r="N530" s="78"/>
      <c r="O530" s="78">
        <f t="shared" si="407"/>
        <v>10</v>
      </c>
    </row>
    <row r="531" spans="1:16" ht="18" customHeight="1">
      <c r="A531" s="85"/>
      <c r="B531" s="86"/>
      <c r="C531" s="87"/>
      <c r="D531" s="88">
        <v>438</v>
      </c>
      <c r="E531" s="88">
        <v>270</v>
      </c>
      <c r="F531" s="89">
        <f t="shared" si="406"/>
        <v>10</v>
      </c>
      <c r="G531" s="90">
        <f t="shared" si="404"/>
        <v>12.881090089206941</v>
      </c>
      <c r="H531" s="90">
        <f t="shared" si="405"/>
        <v>28.32</v>
      </c>
      <c r="I531" s="91" t="str">
        <f t="shared" si="408"/>
        <v>11동2라인</v>
      </c>
      <c r="J531" s="92" t="s">
        <v>210</v>
      </c>
      <c r="L531" s="89">
        <v>2</v>
      </c>
      <c r="M531" s="78">
        <f t="shared" si="409"/>
        <v>5</v>
      </c>
      <c r="N531" s="78"/>
      <c r="O531" s="78">
        <f t="shared" si="407"/>
        <v>10</v>
      </c>
    </row>
    <row r="532" spans="1:16" ht="18" customHeight="1">
      <c r="A532" s="85"/>
      <c r="B532" s="86"/>
      <c r="C532" s="87"/>
      <c r="D532" s="88">
        <v>208</v>
      </c>
      <c r="E532" s="88">
        <v>910</v>
      </c>
      <c r="F532" s="89">
        <f t="shared" si="406"/>
        <v>10</v>
      </c>
      <c r="G532" s="90">
        <f t="shared" si="404"/>
        <v>20.616715136860222</v>
      </c>
      <c r="H532" s="90">
        <f t="shared" si="405"/>
        <v>44.72</v>
      </c>
      <c r="I532" s="91" t="str">
        <f t="shared" si="408"/>
        <v>11동2라인</v>
      </c>
      <c r="J532" s="92" t="s">
        <v>211</v>
      </c>
      <c r="L532" s="89">
        <v>2</v>
      </c>
      <c r="M532" s="78">
        <f>M531</f>
        <v>5</v>
      </c>
      <c r="N532" s="78"/>
      <c r="O532" s="78">
        <f t="shared" si="407"/>
        <v>10</v>
      </c>
    </row>
    <row r="533" spans="1:16" ht="18" customHeight="1">
      <c r="A533" s="85"/>
      <c r="B533" s="93"/>
      <c r="C533" s="87"/>
      <c r="D533" s="325" t="s">
        <v>0</v>
      </c>
      <c r="E533" s="325"/>
      <c r="F533" s="94">
        <f>SUM(F526:F532)</f>
        <v>75</v>
      </c>
      <c r="G533" s="95">
        <f>SUM(G526:G532)</f>
        <v>611.67314751277115</v>
      </c>
      <c r="H533" s="96">
        <f>SUM(H526:H532)</f>
        <v>503.12</v>
      </c>
      <c r="I533" s="97"/>
      <c r="J533" s="162"/>
    </row>
    <row r="534" spans="1:16" ht="18" customHeight="1">
      <c r="A534" s="85"/>
      <c r="B534" s="93"/>
      <c r="C534" s="87"/>
      <c r="D534" s="161"/>
      <c r="E534" s="161"/>
      <c r="F534" s="89"/>
      <c r="G534" s="100"/>
      <c r="H534" s="101"/>
      <c r="I534" s="102"/>
      <c r="J534" s="121"/>
      <c r="L534" s="78" t="s">
        <v>48</v>
      </c>
      <c r="M534" s="78" t="s">
        <v>54</v>
      </c>
      <c r="N534" s="78" t="s">
        <v>50</v>
      </c>
      <c r="O534" s="78" t="s">
        <v>55</v>
      </c>
    </row>
    <row r="535" spans="1:16" ht="18" customHeight="1">
      <c r="A535" s="85"/>
      <c r="B535" s="23" t="s">
        <v>197</v>
      </c>
      <c r="C535" s="24">
        <v>22</v>
      </c>
      <c r="D535" s="88">
        <v>761</v>
      </c>
      <c r="E535" s="88">
        <v>1810</v>
      </c>
      <c r="F535" s="89">
        <f t="shared" ref="F535:F541" si="410">O535</f>
        <v>10</v>
      </c>
      <c r="G535" s="90">
        <f t="shared" ref="G535:G541" si="411">D535*E535/91809*F535</f>
        <v>150.02995349039855</v>
      </c>
      <c r="H535" s="90">
        <f t="shared" ref="H535:H541" si="412">(D535/1000)*4*F535+(E535/1000)*4*F535</f>
        <v>102.84</v>
      </c>
      <c r="I535" s="91" t="str">
        <f t="shared" ref="I535:I541" si="413">I526</f>
        <v>11동2라인</v>
      </c>
      <c r="J535" s="92" t="s">
        <v>212</v>
      </c>
      <c r="L535" s="89">
        <v>2</v>
      </c>
      <c r="M535" s="78">
        <f>M526</f>
        <v>5</v>
      </c>
      <c r="N535" s="84"/>
      <c r="O535" s="78">
        <f>L535*M535-N535*L535</f>
        <v>10</v>
      </c>
    </row>
    <row r="536" spans="1:16" ht="18" customHeight="1">
      <c r="A536" s="85"/>
      <c r="B536" s="86"/>
      <c r="C536" s="87"/>
      <c r="D536" s="88">
        <v>1688</v>
      </c>
      <c r="E536" s="88">
        <v>1810</v>
      </c>
      <c r="F536" s="89">
        <f t="shared" si="410"/>
        <v>5</v>
      </c>
      <c r="G536" s="90">
        <f t="shared" si="411"/>
        <v>166.39327299066539</v>
      </c>
      <c r="H536" s="90">
        <f t="shared" si="412"/>
        <v>69.960000000000008</v>
      </c>
      <c r="I536" s="91" t="str">
        <f t="shared" si="413"/>
        <v>11동2라인</v>
      </c>
      <c r="J536" s="92" t="s">
        <v>213</v>
      </c>
      <c r="L536" s="89">
        <v>1</v>
      </c>
      <c r="M536" s="78">
        <f>M535</f>
        <v>5</v>
      </c>
      <c r="N536" s="84"/>
      <c r="O536" s="78">
        <f>L536*M536-N536*L536</f>
        <v>5</v>
      </c>
    </row>
    <row r="537" spans="1:16" ht="18" customHeight="1">
      <c r="A537" s="104"/>
      <c r="B537" s="93"/>
      <c r="C537" s="87"/>
      <c r="D537" s="88">
        <v>738</v>
      </c>
      <c r="E537" s="88">
        <v>1310</v>
      </c>
      <c r="F537" s="89">
        <f t="shared" si="410"/>
        <v>20</v>
      </c>
      <c r="G537" s="90">
        <f t="shared" si="411"/>
        <v>210.6068032545829</v>
      </c>
      <c r="H537" s="90">
        <f t="shared" si="412"/>
        <v>163.84</v>
      </c>
      <c r="I537" s="91" t="str">
        <f t="shared" si="413"/>
        <v>11동2라인</v>
      </c>
      <c r="J537" s="92" t="s">
        <v>214</v>
      </c>
      <c r="L537" s="89">
        <v>4</v>
      </c>
      <c r="M537" s="78">
        <f t="shared" ref="M537:M541" si="414">M536</f>
        <v>5</v>
      </c>
      <c r="N537" s="84"/>
      <c r="O537" s="78">
        <f t="shared" ref="O537:O541" si="415">L537*M537-N537*L537</f>
        <v>20</v>
      </c>
    </row>
    <row r="538" spans="1:16" ht="18" customHeight="1">
      <c r="A538" s="104"/>
      <c r="B538" s="93"/>
      <c r="C538" s="87"/>
      <c r="D538" s="88">
        <v>288</v>
      </c>
      <c r="E538" s="88">
        <v>910</v>
      </c>
      <c r="F538" s="89">
        <f t="shared" si="410"/>
        <v>10</v>
      </c>
      <c r="G538" s="90">
        <f t="shared" si="411"/>
        <v>28.546220958729535</v>
      </c>
      <c r="H538" s="90">
        <f t="shared" si="412"/>
        <v>47.92</v>
      </c>
      <c r="I538" s="91" t="str">
        <f t="shared" si="413"/>
        <v>11동2라인</v>
      </c>
      <c r="J538" s="92" t="s">
        <v>215</v>
      </c>
      <c r="L538" s="89">
        <v>2</v>
      </c>
      <c r="M538" s="78">
        <f t="shared" si="414"/>
        <v>5</v>
      </c>
      <c r="N538" s="78"/>
      <c r="O538" s="78">
        <f t="shared" si="415"/>
        <v>10</v>
      </c>
    </row>
    <row r="539" spans="1:16" ht="18" customHeight="1">
      <c r="A539" s="104"/>
      <c r="B539" s="93"/>
      <c r="C539" s="87"/>
      <c r="D539" s="88">
        <v>228</v>
      </c>
      <c r="E539" s="88">
        <v>910</v>
      </c>
      <c r="F539" s="89">
        <f t="shared" si="410"/>
        <v>10</v>
      </c>
      <c r="G539" s="90">
        <f t="shared" si="411"/>
        <v>22.59909159232755</v>
      </c>
      <c r="H539" s="90">
        <f t="shared" si="412"/>
        <v>45.519999999999996</v>
      </c>
      <c r="I539" s="91" t="str">
        <f t="shared" si="413"/>
        <v>11동2라인</v>
      </c>
      <c r="J539" s="92" t="s">
        <v>216</v>
      </c>
      <c r="L539" s="89">
        <v>2</v>
      </c>
      <c r="M539" s="78">
        <f t="shared" si="414"/>
        <v>5</v>
      </c>
      <c r="N539" s="78"/>
      <c r="O539" s="78">
        <f t="shared" si="415"/>
        <v>10</v>
      </c>
    </row>
    <row r="540" spans="1:16" ht="18" customHeight="1">
      <c r="A540" s="104"/>
      <c r="B540" s="93"/>
      <c r="C540" s="87"/>
      <c r="D540" s="88">
        <v>438</v>
      </c>
      <c r="E540" s="88">
        <v>270</v>
      </c>
      <c r="F540" s="89">
        <f t="shared" si="410"/>
        <v>10</v>
      </c>
      <c r="G540" s="90">
        <f t="shared" si="411"/>
        <v>12.881090089206941</v>
      </c>
      <c r="H540" s="90">
        <f t="shared" si="412"/>
        <v>28.32</v>
      </c>
      <c r="I540" s="91" t="str">
        <f t="shared" si="413"/>
        <v>11동2라인</v>
      </c>
      <c r="J540" s="92" t="s">
        <v>217</v>
      </c>
      <c r="L540" s="89">
        <v>2</v>
      </c>
      <c r="M540" s="78">
        <f t="shared" si="414"/>
        <v>5</v>
      </c>
      <c r="N540" s="78"/>
      <c r="O540" s="78">
        <f t="shared" si="415"/>
        <v>10</v>
      </c>
    </row>
    <row r="541" spans="1:16" ht="18" customHeight="1">
      <c r="A541" s="104"/>
      <c r="B541" s="93"/>
      <c r="C541" s="87"/>
      <c r="D541" s="88">
        <v>208</v>
      </c>
      <c r="E541" s="88">
        <v>910</v>
      </c>
      <c r="F541" s="89">
        <f t="shared" si="410"/>
        <v>10</v>
      </c>
      <c r="G541" s="90">
        <f t="shared" si="411"/>
        <v>20.616715136860222</v>
      </c>
      <c r="H541" s="90">
        <f t="shared" si="412"/>
        <v>44.72</v>
      </c>
      <c r="I541" s="91" t="str">
        <f t="shared" si="413"/>
        <v>11동2라인</v>
      </c>
      <c r="J541" s="92" t="s">
        <v>218</v>
      </c>
      <c r="L541" s="89">
        <v>2</v>
      </c>
      <c r="M541" s="78">
        <f t="shared" si="414"/>
        <v>5</v>
      </c>
      <c r="N541" s="78"/>
      <c r="O541" s="78">
        <f t="shared" si="415"/>
        <v>10</v>
      </c>
    </row>
    <row r="542" spans="1:16" ht="18" customHeight="1">
      <c r="A542" s="104"/>
      <c r="B542" s="87"/>
      <c r="C542" s="87"/>
      <c r="D542" s="325" t="s">
        <v>0</v>
      </c>
      <c r="E542" s="325"/>
      <c r="F542" s="171">
        <f>SUM(F535:F541)</f>
        <v>75</v>
      </c>
      <c r="G542" s="95">
        <f>SUM(G535:G541)</f>
        <v>611.67314751277115</v>
      </c>
      <c r="H542" s="95">
        <f>SUM(H535:H541)</f>
        <v>503.12</v>
      </c>
      <c r="I542" s="97"/>
      <c r="J542" s="98"/>
    </row>
    <row r="543" spans="1:16">
      <c r="A543" s="105"/>
      <c r="B543" s="9"/>
      <c r="C543" s="9"/>
      <c r="D543" s="51"/>
      <c r="E543" s="51"/>
      <c r="F543" s="51"/>
      <c r="G543" s="106"/>
      <c r="H543" s="106"/>
      <c r="I543" s="9"/>
      <c r="J543" s="107"/>
    </row>
    <row r="544" spans="1:16" ht="18" customHeight="1">
      <c r="A544" s="85"/>
      <c r="B544" s="163" t="s">
        <v>199</v>
      </c>
      <c r="C544" s="163">
        <v>22</v>
      </c>
      <c r="D544" s="88">
        <v>738</v>
      </c>
      <c r="E544" s="88">
        <v>1810</v>
      </c>
      <c r="F544" s="89">
        <f t="shared" ref="F544:F545" si="416">O544</f>
        <v>10</v>
      </c>
      <c r="G544" s="90">
        <f t="shared" ref="G544:G545" si="417">D544*E544/91809*F544</f>
        <v>145.4955396529752</v>
      </c>
      <c r="H544" s="90">
        <f t="shared" ref="H544:H545" si="418">(D544/1000)*4*F544+(E544/1000)*4*F544</f>
        <v>101.92</v>
      </c>
      <c r="I544" s="91" t="str">
        <f>I535</f>
        <v>11동2라인</v>
      </c>
      <c r="J544" s="92" t="s">
        <v>219</v>
      </c>
      <c r="L544" s="89">
        <v>2</v>
      </c>
      <c r="M544" s="78">
        <f>M526</f>
        <v>5</v>
      </c>
      <c r="N544" s="84"/>
      <c r="O544" s="78">
        <f>L544*M544-N544*L544</f>
        <v>10</v>
      </c>
      <c r="P544" s="64"/>
    </row>
    <row r="545" spans="1:16" ht="18" customHeight="1">
      <c r="A545" s="85"/>
      <c r="B545" s="86"/>
      <c r="C545" s="87"/>
      <c r="D545" s="88">
        <v>250</v>
      </c>
      <c r="E545" s="88">
        <v>930</v>
      </c>
      <c r="F545" s="89">
        <f t="shared" si="416"/>
        <v>10</v>
      </c>
      <c r="G545" s="90">
        <f t="shared" si="417"/>
        <v>25.324314609678787</v>
      </c>
      <c r="H545" s="90">
        <f t="shared" si="418"/>
        <v>47.2</v>
      </c>
      <c r="I545" s="91" t="str">
        <f>I544</f>
        <v>11동2라인</v>
      </c>
      <c r="J545" s="92" t="s">
        <v>220</v>
      </c>
      <c r="L545" s="89">
        <v>2</v>
      </c>
      <c r="M545" s="78">
        <f>M544</f>
        <v>5</v>
      </c>
      <c r="N545" s="84"/>
      <c r="O545" s="78">
        <f t="shared" ref="O545" si="419">L545*M545-N545*L545</f>
        <v>10</v>
      </c>
    </row>
    <row r="546" spans="1:16" ht="18" customHeight="1">
      <c r="A546" s="85"/>
      <c r="B546" s="93"/>
      <c r="C546" s="87"/>
      <c r="D546" s="325" t="s">
        <v>0</v>
      </c>
      <c r="E546" s="325"/>
      <c r="F546" s="94">
        <f>SUM(F544:F545)</f>
        <v>20</v>
      </c>
      <c r="G546" s="95">
        <f>SUM(G544:G545)</f>
        <v>170.81985426265399</v>
      </c>
      <c r="H546" s="95">
        <f>SUM(H544:H545)</f>
        <v>149.12</v>
      </c>
      <c r="I546" s="97"/>
      <c r="J546" s="98"/>
    </row>
    <row r="547" spans="1:16">
      <c r="A547" s="236"/>
      <c r="B547" s="237"/>
      <c r="C547" s="238"/>
      <c r="D547" s="362"/>
      <c r="E547" s="362"/>
      <c r="F547" s="239"/>
      <c r="G547" s="240"/>
      <c r="H547" s="241"/>
      <c r="I547" s="242"/>
      <c r="J547" s="243"/>
    </row>
    <row r="548" spans="1:16" ht="18" customHeight="1">
      <c r="A548" s="244" t="s">
        <v>234</v>
      </c>
      <c r="B548" s="23" t="s">
        <v>195</v>
      </c>
      <c r="C548" s="24">
        <v>22</v>
      </c>
      <c r="D548" s="88">
        <v>761</v>
      </c>
      <c r="E548" s="88">
        <v>1810</v>
      </c>
      <c r="F548" s="89">
        <f>O548</f>
        <v>12</v>
      </c>
      <c r="G548" s="90">
        <f t="shared" ref="G548:G554" si="420">D548*E548/91809*F548</f>
        <v>180.03594418847825</v>
      </c>
      <c r="H548" s="90">
        <f t="shared" ref="H548:H554" si="421">(D548/1000)*4*F548+(E548/1000)*4*F548</f>
        <v>123.40799999999999</v>
      </c>
      <c r="I548" s="91" t="s">
        <v>268</v>
      </c>
      <c r="J548" s="92" t="s">
        <v>205</v>
      </c>
      <c r="L548" s="89">
        <v>2</v>
      </c>
      <c r="M548" s="78">
        <v>6</v>
      </c>
      <c r="N548" s="84"/>
      <c r="O548" s="78">
        <f>L548*M548-N548*L548</f>
        <v>12</v>
      </c>
      <c r="P548" s="64"/>
    </row>
    <row r="549" spans="1:16" ht="18" customHeight="1">
      <c r="A549" s="85"/>
      <c r="B549" s="86"/>
      <c r="C549" s="87"/>
      <c r="D549" s="88">
        <v>1688</v>
      </c>
      <c r="E549" s="88">
        <v>1810</v>
      </c>
      <c r="F549" s="89">
        <f t="shared" ref="F549:F554" si="422">O549</f>
        <v>6</v>
      </c>
      <c r="G549" s="90">
        <f t="shared" si="420"/>
        <v>199.6719275887985</v>
      </c>
      <c r="H549" s="90">
        <f t="shared" si="421"/>
        <v>83.951999999999998</v>
      </c>
      <c r="I549" s="91" t="str">
        <f>I548</f>
        <v>11동3,5라인</v>
      </c>
      <c r="J549" s="92" t="s">
        <v>206</v>
      </c>
      <c r="L549" s="89">
        <v>1</v>
      </c>
      <c r="M549" s="78">
        <f>M548</f>
        <v>6</v>
      </c>
      <c r="N549" s="84"/>
      <c r="O549" s="78">
        <f t="shared" ref="O549:O554" si="423">L549*M549-N549*L549</f>
        <v>6</v>
      </c>
    </row>
    <row r="550" spans="1:16" ht="18" customHeight="1">
      <c r="A550" s="85"/>
      <c r="B550" s="86"/>
      <c r="C550" s="87"/>
      <c r="D550" s="88">
        <v>738</v>
      </c>
      <c r="E550" s="88">
        <v>1310</v>
      </c>
      <c r="F550" s="89">
        <f t="shared" si="422"/>
        <v>24</v>
      </c>
      <c r="G550" s="90">
        <f t="shared" si="420"/>
        <v>252.72816390549946</v>
      </c>
      <c r="H550" s="90">
        <f t="shared" si="421"/>
        <v>196.608</v>
      </c>
      <c r="I550" s="91" t="str">
        <f t="shared" ref="I550:I554" si="424">I549</f>
        <v>11동3,5라인</v>
      </c>
      <c r="J550" s="92" t="s">
        <v>207</v>
      </c>
      <c r="L550" s="89">
        <v>4</v>
      </c>
      <c r="M550" s="78">
        <f t="shared" ref="M550:M553" si="425">M549</f>
        <v>6</v>
      </c>
      <c r="N550" s="78"/>
      <c r="O550" s="78">
        <f t="shared" si="423"/>
        <v>24</v>
      </c>
    </row>
    <row r="551" spans="1:16" ht="18" customHeight="1">
      <c r="A551" s="85"/>
      <c r="B551" s="86"/>
      <c r="C551" s="87"/>
      <c r="D551" s="88">
        <v>288</v>
      </c>
      <c r="E551" s="88">
        <v>910</v>
      </c>
      <c r="F551" s="89">
        <f t="shared" si="422"/>
        <v>12</v>
      </c>
      <c r="G551" s="90">
        <f t="shared" si="420"/>
        <v>34.255465150475445</v>
      </c>
      <c r="H551" s="90">
        <f t="shared" si="421"/>
        <v>57.503999999999998</v>
      </c>
      <c r="I551" s="91" t="str">
        <f t="shared" si="424"/>
        <v>11동3,5라인</v>
      </c>
      <c r="J551" s="92" t="s">
        <v>208</v>
      </c>
      <c r="L551" s="89">
        <v>2</v>
      </c>
      <c r="M551" s="78">
        <f t="shared" si="425"/>
        <v>6</v>
      </c>
      <c r="N551" s="78"/>
      <c r="O551" s="78">
        <f t="shared" si="423"/>
        <v>12</v>
      </c>
    </row>
    <row r="552" spans="1:16" ht="18" customHeight="1">
      <c r="A552" s="85"/>
      <c r="B552" s="86"/>
      <c r="C552" s="87"/>
      <c r="D552" s="88">
        <v>228</v>
      </c>
      <c r="E552" s="88">
        <v>910</v>
      </c>
      <c r="F552" s="89">
        <f t="shared" si="422"/>
        <v>12</v>
      </c>
      <c r="G552" s="90">
        <f t="shared" si="420"/>
        <v>27.118909910793057</v>
      </c>
      <c r="H552" s="90">
        <f t="shared" si="421"/>
        <v>54.624000000000002</v>
      </c>
      <c r="I552" s="91" t="str">
        <f t="shared" si="424"/>
        <v>11동3,5라인</v>
      </c>
      <c r="J552" s="92" t="s">
        <v>209</v>
      </c>
      <c r="L552" s="89">
        <v>2</v>
      </c>
      <c r="M552" s="78">
        <f t="shared" si="425"/>
        <v>6</v>
      </c>
      <c r="N552" s="78"/>
      <c r="O552" s="78">
        <f t="shared" si="423"/>
        <v>12</v>
      </c>
    </row>
    <row r="553" spans="1:16" ht="18" customHeight="1">
      <c r="A553" s="85"/>
      <c r="B553" s="86"/>
      <c r="C553" s="87"/>
      <c r="D553" s="88">
        <v>438</v>
      </c>
      <c r="E553" s="88">
        <v>270</v>
      </c>
      <c r="F553" s="89">
        <f t="shared" si="422"/>
        <v>12</v>
      </c>
      <c r="G553" s="90">
        <f t="shared" si="420"/>
        <v>15.45730810704833</v>
      </c>
      <c r="H553" s="90">
        <f t="shared" si="421"/>
        <v>33.984000000000002</v>
      </c>
      <c r="I553" s="91" t="str">
        <f t="shared" si="424"/>
        <v>11동3,5라인</v>
      </c>
      <c r="J553" s="92" t="s">
        <v>210</v>
      </c>
      <c r="L553" s="89">
        <v>2</v>
      </c>
      <c r="M553" s="78">
        <f t="shared" si="425"/>
        <v>6</v>
      </c>
      <c r="N553" s="78"/>
      <c r="O553" s="78">
        <f t="shared" si="423"/>
        <v>12</v>
      </c>
    </row>
    <row r="554" spans="1:16" ht="18" customHeight="1">
      <c r="A554" s="85"/>
      <c r="B554" s="86"/>
      <c r="C554" s="87"/>
      <c r="D554" s="88">
        <v>208</v>
      </c>
      <c r="E554" s="88">
        <v>910</v>
      </c>
      <c r="F554" s="89">
        <f t="shared" si="422"/>
        <v>12</v>
      </c>
      <c r="G554" s="90">
        <f t="shared" si="420"/>
        <v>24.740058164232266</v>
      </c>
      <c r="H554" s="90">
        <f t="shared" si="421"/>
        <v>53.664000000000001</v>
      </c>
      <c r="I554" s="91" t="str">
        <f t="shared" si="424"/>
        <v>11동3,5라인</v>
      </c>
      <c r="J554" s="92" t="s">
        <v>211</v>
      </c>
      <c r="L554" s="89">
        <v>2</v>
      </c>
      <c r="M554" s="78">
        <f>M553</f>
        <v>6</v>
      </c>
      <c r="N554" s="78"/>
      <c r="O554" s="78">
        <f t="shared" si="423"/>
        <v>12</v>
      </c>
    </row>
    <row r="555" spans="1:16" ht="18" customHeight="1">
      <c r="A555" s="85"/>
      <c r="B555" s="93"/>
      <c r="C555" s="87"/>
      <c r="D555" s="325" t="s">
        <v>0</v>
      </c>
      <c r="E555" s="325"/>
      <c r="F555" s="94">
        <f>SUM(F548:F554)</f>
        <v>90</v>
      </c>
      <c r="G555" s="95">
        <f>SUM(G548:G554)</f>
        <v>734.00777701532525</v>
      </c>
      <c r="H555" s="96">
        <f>SUM(H548:H554)</f>
        <v>603.74400000000003</v>
      </c>
      <c r="I555" s="97"/>
      <c r="J555" s="162"/>
    </row>
    <row r="556" spans="1:16" ht="18" customHeight="1">
      <c r="A556" s="85"/>
      <c r="B556" s="93"/>
      <c r="C556" s="87"/>
      <c r="D556" s="161"/>
      <c r="E556" s="161"/>
      <c r="F556" s="89"/>
      <c r="G556" s="100"/>
      <c r="H556" s="101"/>
      <c r="I556" s="102"/>
      <c r="J556" s="121"/>
      <c r="L556" s="78" t="s">
        <v>48</v>
      </c>
      <c r="M556" s="78" t="s">
        <v>54</v>
      </c>
      <c r="N556" s="78" t="s">
        <v>50</v>
      </c>
      <c r="O556" s="78" t="s">
        <v>55</v>
      </c>
    </row>
    <row r="557" spans="1:16" ht="18" customHeight="1">
      <c r="A557" s="85"/>
      <c r="B557" s="23" t="s">
        <v>197</v>
      </c>
      <c r="C557" s="24">
        <v>22</v>
      </c>
      <c r="D557" s="88">
        <v>761</v>
      </c>
      <c r="E557" s="88">
        <v>1810</v>
      </c>
      <c r="F557" s="89">
        <f t="shared" ref="F557:F563" si="426">O557</f>
        <v>12</v>
      </c>
      <c r="G557" s="90">
        <f t="shared" ref="G557:G563" si="427">D557*E557/91809*F557</f>
        <v>180.03594418847825</v>
      </c>
      <c r="H557" s="90">
        <f t="shared" ref="H557:H563" si="428">(D557/1000)*4*F557+(E557/1000)*4*F557</f>
        <v>123.40799999999999</v>
      </c>
      <c r="I557" s="91" t="str">
        <f t="shared" ref="I557:I563" si="429">I548</f>
        <v>11동3,5라인</v>
      </c>
      <c r="J557" s="92" t="s">
        <v>212</v>
      </c>
      <c r="L557" s="89">
        <v>2</v>
      </c>
      <c r="M557" s="78">
        <f>M548</f>
        <v>6</v>
      </c>
      <c r="N557" s="84"/>
      <c r="O557" s="78">
        <f>L557*M557-N557*L557</f>
        <v>12</v>
      </c>
    </row>
    <row r="558" spans="1:16" ht="18" customHeight="1">
      <c r="A558" s="85"/>
      <c r="B558" s="86"/>
      <c r="C558" s="87"/>
      <c r="D558" s="88">
        <v>1688</v>
      </c>
      <c r="E558" s="88">
        <v>1810</v>
      </c>
      <c r="F558" s="89">
        <f t="shared" si="426"/>
        <v>6</v>
      </c>
      <c r="G558" s="90">
        <f t="shared" si="427"/>
        <v>199.6719275887985</v>
      </c>
      <c r="H558" s="90">
        <f t="shared" si="428"/>
        <v>83.951999999999998</v>
      </c>
      <c r="I558" s="91" t="str">
        <f t="shared" si="429"/>
        <v>11동3,5라인</v>
      </c>
      <c r="J558" s="92" t="s">
        <v>213</v>
      </c>
      <c r="L558" s="89">
        <v>1</v>
      </c>
      <c r="M558" s="78">
        <f>M557</f>
        <v>6</v>
      </c>
      <c r="N558" s="84"/>
      <c r="O558" s="78">
        <f>L558*M558-N558*L558</f>
        <v>6</v>
      </c>
    </row>
    <row r="559" spans="1:16" ht="18" customHeight="1">
      <c r="A559" s="104"/>
      <c r="B559" s="93"/>
      <c r="C559" s="87"/>
      <c r="D559" s="88">
        <v>738</v>
      </c>
      <c r="E559" s="88">
        <v>1310</v>
      </c>
      <c r="F559" s="89">
        <f t="shared" si="426"/>
        <v>24</v>
      </c>
      <c r="G559" s="90">
        <f t="shared" si="427"/>
        <v>252.72816390549946</v>
      </c>
      <c r="H559" s="90">
        <f t="shared" si="428"/>
        <v>196.608</v>
      </c>
      <c r="I559" s="91" t="str">
        <f t="shared" si="429"/>
        <v>11동3,5라인</v>
      </c>
      <c r="J559" s="92" t="s">
        <v>214</v>
      </c>
      <c r="L559" s="89">
        <v>4</v>
      </c>
      <c r="M559" s="78">
        <f t="shared" ref="M559:M563" si="430">M558</f>
        <v>6</v>
      </c>
      <c r="N559" s="84"/>
      <c r="O559" s="78">
        <f t="shared" ref="O559:O563" si="431">L559*M559-N559*L559</f>
        <v>24</v>
      </c>
    </row>
    <row r="560" spans="1:16" ht="18" customHeight="1">
      <c r="A560" s="104"/>
      <c r="B560" s="93"/>
      <c r="C560" s="87"/>
      <c r="D560" s="88">
        <v>288</v>
      </c>
      <c r="E560" s="88">
        <v>910</v>
      </c>
      <c r="F560" s="89">
        <f t="shared" si="426"/>
        <v>12</v>
      </c>
      <c r="G560" s="90">
        <f t="shared" si="427"/>
        <v>34.255465150475445</v>
      </c>
      <c r="H560" s="90">
        <f t="shared" si="428"/>
        <v>57.503999999999998</v>
      </c>
      <c r="I560" s="91" t="str">
        <f t="shared" si="429"/>
        <v>11동3,5라인</v>
      </c>
      <c r="J560" s="92" t="s">
        <v>215</v>
      </c>
      <c r="L560" s="89">
        <v>2</v>
      </c>
      <c r="M560" s="78">
        <f t="shared" si="430"/>
        <v>6</v>
      </c>
      <c r="N560" s="78"/>
      <c r="O560" s="78">
        <f t="shared" si="431"/>
        <v>12</v>
      </c>
    </row>
    <row r="561" spans="1:16" ht="18" customHeight="1">
      <c r="A561" s="104"/>
      <c r="B561" s="93"/>
      <c r="C561" s="87"/>
      <c r="D561" s="88">
        <v>228</v>
      </c>
      <c r="E561" s="88">
        <v>910</v>
      </c>
      <c r="F561" s="89">
        <f t="shared" si="426"/>
        <v>12</v>
      </c>
      <c r="G561" s="90">
        <f t="shared" si="427"/>
        <v>27.118909910793057</v>
      </c>
      <c r="H561" s="90">
        <f t="shared" si="428"/>
        <v>54.624000000000002</v>
      </c>
      <c r="I561" s="91" t="str">
        <f t="shared" si="429"/>
        <v>11동3,5라인</v>
      </c>
      <c r="J561" s="92" t="s">
        <v>216</v>
      </c>
      <c r="L561" s="89">
        <v>2</v>
      </c>
      <c r="M561" s="78">
        <f t="shared" si="430"/>
        <v>6</v>
      </c>
      <c r="N561" s="78"/>
      <c r="O561" s="78">
        <f t="shared" si="431"/>
        <v>12</v>
      </c>
    </row>
    <row r="562" spans="1:16" ht="18" customHeight="1">
      <c r="A562" s="104"/>
      <c r="B562" s="93"/>
      <c r="C562" s="87"/>
      <c r="D562" s="88">
        <v>438</v>
      </c>
      <c r="E562" s="88">
        <v>270</v>
      </c>
      <c r="F562" s="89">
        <f t="shared" si="426"/>
        <v>12</v>
      </c>
      <c r="G562" s="90">
        <f t="shared" si="427"/>
        <v>15.45730810704833</v>
      </c>
      <c r="H562" s="90">
        <f t="shared" si="428"/>
        <v>33.984000000000002</v>
      </c>
      <c r="I562" s="91" t="str">
        <f t="shared" si="429"/>
        <v>11동3,5라인</v>
      </c>
      <c r="J562" s="92" t="s">
        <v>217</v>
      </c>
      <c r="L562" s="89">
        <v>2</v>
      </c>
      <c r="M562" s="78">
        <f t="shared" si="430"/>
        <v>6</v>
      </c>
      <c r="N562" s="78"/>
      <c r="O562" s="78">
        <f t="shared" si="431"/>
        <v>12</v>
      </c>
    </row>
    <row r="563" spans="1:16" ht="18" customHeight="1">
      <c r="A563" s="104"/>
      <c r="B563" s="93"/>
      <c r="C563" s="87"/>
      <c r="D563" s="88">
        <v>208</v>
      </c>
      <c r="E563" s="88">
        <v>910</v>
      </c>
      <c r="F563" s="89">
        <f t="shared" si="426"/>
        <v>12</v>
      </c>
      <c r="G563" s="90">
        <f t="shared" si="427"/>
        <v>24.740058164232266</v>
      </c>
      <c r="H563" s="90">
        <f t="shared" si="428"/>
        <v>53.664000000000001</v>
      </c>
      <c r="I563" s="91" t="str">
        <f t="shared" si="429"/>
        <v>11동3,5라인</v>
      </c>
      <c r="J563" s="92" t="s">
        <v>218</v>
      </c>
      <c r="L563" s="89">
        <v>2</v>
      </c>
      <c r="M563" s="78">
        <f t="shared" si="430"/>
        <v>6</v>
      </c>
      <c r="N563" s="78"/>
      <c r="O563" s="78">
        <f t="shared" si="431"/>
        <v>12</v>
      </c>
    </row>
    <row r="564" spans="1:16" ht="18" customHeight="1">
      <c r="A564" s="104"/>
      <c r="B564" s="87"/>
      <c r="C564" s="87"/>
      <c r="D564" s="325" t="s">
        <v>0</v>
      </c>
      <c r="E564" s="325"/>
      <c r="F564" s="171">
        <f>SUM(F557:F563)</f>
        <v>90</v>
      </c>
      <c r="G564" s="95">
        <f>SUM(G557:G563)</f>
        <v>734.00777701532525</v>
      </c>
      <c r="H564" s="95">
        <f>SUM(H557:H563)</f>
        <v>603.74400000000003</v>
      </c>
      <c r="I564" s="97"/>
      <c r="J564" s="98"/>
    </row>
    <row r="565" spans="1:16">
      <c r="A565" s="105"/>
      <c r="B565" s="9"/>
      <c r="C565" s="9"/>
      <c r="D565" s="51"/>
      <c r="E565" s="51"/>
      <c r="F565" s="51"/>
      <c r="G565" s="106"/>
      <c r="H565" s="106"/>
      <c r="I565" s="9"/>
      <c r="J565" s="107"/>
    </row>
    <row r="566" spans="1:16" ht="18" customHeight="1">
      <c r="A566" s="85"/>
      <c r="B566" s="163" t="s">
        <v>199</v>
      </c>
      <c r="C566" s="163">
        <v>22</v>
      </c>
      <c r="D566" s="88">
        <v>738</v>
      </c>
      <c r="E566" s="88">
        <v>1810</v>
      </c>
      <c r="F566" s="89">
        <f t="shared" ref="F566:F567" si="432">O566</f>
        <v>12</v>
      </c>
      <c r="G566" s="90">
        <f t="shared" ref="G566:G567" si="433">D566*E566/91809*F566</f>
        <v>174.59464758357024</v>
      </c>
      <c r="H566" s="90">
        <f t="shared" ref="H566:H567" si="434">(D566/1000)*4*F566+(E566/1000)*4*F566</f>
        <v>122.304</v>
      </c>
      <c r="I566" s="91" t="str">
        <f>I557</f>
        <v>11동3,5라인</v>
      </c>
      <c r="J566" s="92" t="s">
        <v>219</v>
      </c>
      <c r="L566" s="89">
        <v>2</v>
      </c>
      <c r="M566" s="78">
        <f>M548</f>
        <v>6</v>
      </c>
      <c r="N566" s="84"/>
      <c r="O566" s="78">
        <f>L566*M566-N566*L566</f>
        <v>12</v>
      </c>
      <c r="P566" s="64"/>
    </row>
    <row r="567" spans="1:16" ht="18" customHeight="1">
      <c r="A567" s="85"/>
      <c r="B567" s="86"/>
      <c r="C567" s="87"/>
      <c r="D567" s="88">
        <v>250</v>
      </c>
      <c r="E567" s="88">
        <v>930</v>
      </c>
      <c r="F567" s="89">
        <f t="shared" si="432"/>
        <v>12</v>
      </c>
      <c r="G567" s="90">
        <f t="shared" si="433"/>
        <v>30.389177531614546</v>
      </c>
      <c r="H567" s="90">
        <f t="shared" si="434"/>
        <v>56.64</v>
      </c>
      <c r="I567" s="91" t="str">
        <f>I566</f>
        <v>11동3,5라인</v>
      </c>
      <c r="J567" s="92" t="s">
        <v>220</v>
      </c>
      <c r="L567" s="89">
        <v>2</v>
      </c>
      <c r="M567" s="78">
        <f>M566</f>
        <v>6</v>
      </c>
      <c r="N567" s="84"/>
      <c r="O567" s="78">
        <f t="shared" ref="O567" si="435">L567*M567-N567*L567</f>
        <v>12</v>
      </c>
    </row>
    <row r="568" spans="1:16" ht="18" customHeight="1" thickBot="1">
      <c r="A568" s="222"/>
      <c r="B568" s="223"/>
      <c r="C568" s="224"/>
      <c r="D568" s="364" t="s">
        <v>0</v>
      </c>
      <c r="E568" s="364"/>
      <c r="F568" s="269">
        <f>SUM(F566:F567)</f>
        <v>24</v>
      </c>
      <c r="G568" s="270">
        <f>SUM(G566:G567)</f>
        <v>204.98382511518477</v>
      </c>
      <c r="H568" s="270">
        <f>SUM(H566:H567)</f>
        <v>178.94400000000002</v>
      </c>
      <c r="I568" s="271"/>
      <c r="J568" s="272"/>
    </row>
    <row r="569" spans="1:16" ht="18" customHeight="1">
      <c r="A569" s="79" t="s">
        <v>235</v>
      </c>
      <c r="B569" s="231" t="s">
        <v>201</v>
      </c>
      <c r="C569" s="232">
        <v>22</v>
      </c>
      <c r="D569" s="80">
        <v>861</v>
      </c>
      <c r="E569" s="80">
        <v>1810</v>
      </c>
      <c r="F569" s="233">
        <f t="shared" ref="F569:F572" si="436">O569</f>
        <v>3</v>
      </c>
      <c r="G569" s="81">
        <f t="shared" ref="G569:G572" si="437">D569*E569/91809*F569</f>
        <v>50.923438878541319</v>
      </c>
      <c r="H569" s="81">
        <f t="shared" ref="H569:H572" si="438">(D569/1000)*4*F569+(E569/1000)*4*F569</f>
        <v>32.052</v>
      </c>
      <c r="I569" s="82" t="s">
        <v>269</v>
      </c>
      <c r="J569" s="83" t="s">
        <v>205</v>
      </c>
      <c r="L569" s="89">
        <v>1</v>
      </c>
      <c r="M569" s="78">
        <v>3</v>
      </c>
      <c r="N569" s="84"/>
      <c r="O569" s="78">
        <f>L569*M569-N569*L569</f>
        <v>3</v>
      </c>
      <c r="P569" s="64"/>
    </row>
    <row r="570" spans="1:16" ht="18" customHeight="1">
      <c r="A570" s="85"/>
      <c r="B570" s="86"/>
      <c r="C570" s="87"/>
      <c r="D570" s="88">
        <v>738</v>
      </c>
      <c r="E570" s="88">
        <v>1310</v>
      </c>
      <c r="F570" s="89">
        <f t="shared" si="436"/>
        <v>12</v>
      </c>
      <c r="G570" s="90">
        <f t="shared" si="437"/>
        <v>126.36408195274973</v>
      </c>
      <c r="H570" s="90">
        <f t="shared" si="438"/>
        <v>98.304000000000002</v>
      </c>
      <c r="I570" s="91" t="str">
        <f>I569</f>
        <v>11동4라인</v>
      </c>
      <c r="J570" s="92" t="s">
        <v>207</v>
      </c>
      <c r="L570" s="89">
        <v>4</v>
      </c>
      <c r="M570" s="78">
        <f>M569</f>
        <v>3</v>
      </c>
      <c r="N570" s="84"/>
      <c r="O570" s="78">
        <f t="shared" ref="O570:O572" si="439">L570*M570-N570*L570</f>
        <v>12</v>
      </c>
    </row>
    <row r="571" spans="1:16" ht="18" customHeight="1">
      <c r="A571" s="85"/>
      <c r="B571" s="86"/>
      <c r="C571" s="87"/>
      <c r="D571" s="88">
        <v>228</v>
      </c>
      <c r="E571" s="88">
        <v>910</v>
      </c>
      <c r="F571" s="89">
        <f t="shared" si="436"/>
        <v>6</v>
      </c>
      <c r="G571" s="90">
        <f t="shared" si="437"/>
        <v>13.559454955396529</v>
      </c>
      <c r="H571" s="90">
        <f t="shared" si="438"/>
        <v>27.312000000000001</v>
      </c>
      <c r="I571" s="91" t="str">
        <f t="shared" ref="I571:I572" si="440">I570</f>
        <v>11동4라인</v>
      </c>
      <c r="J571" s="92" t="s">
        <v>209</v>
      </c>
      <c r="L571" s="89">
        <v>2</v>
      </c>
      <c r="M571" s="78">
        <f t="shared" ref="M571:M572" si="441">M570</f>
        <v>3</v>
      </c>
      <c r="N571" s="78"/>
      <c r="O571" s="78">
        <f t="shared" si="439"/>
        <v>6</v>
      </c>
    </row>
    <row r="572" spans="1:16" ht="18" customHeight="1">
      <c r="A572" s="85"/>
      <c r="B572" s="86"/>
      <c r="C572" s="87"/>
      <c r="D572" s="88">
        <v>438</v>
      </c>
      <c r="E572" s="88">
        <v>270</v>
      </c>
      <c r="F572" s="89">
        <f t="shared" si="436"/>
        <v>6</v>
      </c>
      <c r="G572" s="90">
        <f t="shared" si="437"/>
        <v>7.7286540535241652</v>
      </c>
      <c r="H572" s="90">
        <f t="shared" si="438"/>
        <v>16.992000000000001</v>
      </c>
      <c r="I572" s="91" t="str">
        <f t="shared" si="440"/>
        <v>11동4라인</v>
      </c>
      <c r="J572" s="92" t="s">
        <v>210</v>
      </c>
      <c r="L572" s="89">
        <v>2</v>
      </c>
      <c r="M572" s="78">
        <f t="shared" si="441"/>
        <v>3</v>
      </c>
      <c r="N572" s="78"/>
      <c r="O572" s="78">
        <f t="shared" si="439"/>
        <v>6</v>
      </c>
    </row>
    <row r="573" spans="1:16" ht="18" customHeight="1">
      <c r="A573" s="85"/>
      <c r="B573" s="93"/>
      <c r="C573" s="87"/>
      <c r="D573" s="325" t="s">
        <v>0</v>
      </c>
      <c r="E573" s="325"/>
      <c r="F573" s="94">
        <f>SUM(F569:F572)</f>
        <v>27</v>
      </c>
      <c r="G573" s="95">
        <f>SUM(G569:G572)</f>
        <v>198.57562984021172</v>
      </c>
      <c r="H573" s="96">
        <f>SUM(H569:H572)</f>
        <v>174.66</v>
      </c>
      <c r="I573" s="97"/>
      <c r="J573" s="162"/>
    </row>
    <row r="574" spans="1:16" ht="18" customHeight="1">
      <c r="A574" s="85"/>
      <c r="B574" s="93"/>
      <c r="C574" s="87"/>
      <c r="D574" s="161"/>
      <c r="E574" s="161"/>
      <c r="F574" s="89"/>
      <c r="G574" s="100"/>
      <c r="H574" s="101"/>
      <c r="I574" s="102"/>
      <c r="J574" s="121"/>
      <c r="L574" s="252"/>
      <c r="M574" s="252"/>
      <c r="N574" s="252"/>
      <c r="O574" s="252"/>
    </row>
    <row r="575" spans="1:16" ht="18" customHeight="1">
      <c r="A575" s="85"/>
      <c r="B575" s="23" t="s">
        <v>198</v>
      </c>
      <c r="C575" s="24">
        <v>22</v>
      </c>
      <c r="D575" s="88">
        <v>861</v>
      </c>
      <c r="E575" s="88">
        <v>1810</v>
      </c>
      <c r="F575" s="89">
        <f t="shared" ref="F575:F579" si="442">O575</f>
        <v>3</v>
      </c>
      <c r="G575" s="90">
        <f t="shared" ref="G575:G579" si="443">D575*E575/91809*F575</f>
        <v>50.923438878541319</v>
      </c>
      <c r="H575" s="90">
        <f t="shared" ref="H575:H579" si="444">(D575/1000)*4*F575+(E575/1000)*4*F575</f>
        <v>32.052</v>
      </c>
      <c r="I575" s="91" t="str">
        <f>I569</f>
        <v>11동4라인</v>
      </c>
      <c r="J575" s="92" t="s">
        <v>212</v>
      </c>
      <c r="L575" s="89">
        <v>1</v>
      </c>
      <c r="M575" s="78">
        <f>M569</f>
        <v>3</v>
      </c>
      <c r="N575" s="84"/>
      <c r="O575" s="78">
        <f>L575*M575-N575*L575</f>
        <v>3</v>
      </c>
    </row>
    <row r="576" spans="1:16" ht="18" customHeight="1">
      <c r="A576" s="85"/>
      <c r="B576" s="86"/>
      <c r="C576" s="87"/>
      <c r="D576" s="88">
        <v>2114</v>
      </c>
      <c r="E576" s="88">
        <v>1810</v>
      </c>
      <c r="F576" s="89">
        <f t="shared" si="442"/>
        <v>3</v>
      </c>
      <c r="G576" s="90">
        <f t="shared" si="443"/>
        <v>125.03153285625592</v>
      </c>
      <c r="H576" s="90">
        <f t="shared" si="444"/>
        <v>47.087999999999994</v>
      </c>
      <c r="I576" s="91" t="str">
        <f>I569</f>
        <v>11동4라인</v>
      </c>
      <c r="J576" s="92" t="s">
        <v>213</v>
      </c>
      <c r="L576" s="89">
        <v>1</v>
      </c>
      <c r="M576" s="78">
        <f>M575</f>
        <v>3</v>
      </c>
      <c r="N576" s="84"/>
      <c r="O576" s="78">
        <f>L576*M576-N576*L576</f>
        <v>3</v>
      </c>
    </row>
    <row r="577" spans="1:16" ht="18" customHeight="1">
      <c r="A577" s="104"/>
      <c r="B577" s="93"/>
      <c r="C577" s="87"/>
      <c r="D577" s="88">
        <v>738</v>
      </c>
      <c r="E577" s="88">
        <v>1310</v>
      </c>
      <c r="F577" s="89">
        <f t="shared" si="442"/>
        <v>12</v>
      </c>
      <c r="G577" s="90">
        <f t="shared" si="443"/>
        <v>126.36408195274973</v>
      </c>
      <c r="H577" s="90">
        <f t="shared" si="444"/>
        <v>98.304000000000002</v>
      </c>
      <c r="I577" s="91" t="str">
        <f>I576</f>
        <v>11동4라인</v>
      </c>
      <c r="J577" s="92" t="s">
        <v>214</v>
      </c>
      <c r="L577" s="89">
        <v>4</v>
      </c>
      <c r="M577" s="78">
        <f t="shared" ref="M577:M579" si="445">M576</f>
        <v>3</v>
      </c>
      <c r="N577" s="84"/>
      <c r="O577" s="78">
        <f t="shared" ref="O577:O579" si="446">L577*M577-N577*L577</f>
        <v>12</v>
      </c>
    </row>
    <row r="578" spans="1:16" ht="18" customHeight="1">
      <c r="A578" s="104"/>
      <c r="B578" s="93"/>
      <c r="C578" s="87"/>
      <c r="D578" s="88">
        <v>228</v>
      </c>
      <c r="E578" s="88">
        <v>910</v>
      </c>
      <c r="F578" s="89">
        <f t="shared" si="442"/>
        <v>6</v>
      </c>
      <c r="G578" s="90">
        <f t="shared" si="443"/>
        <v>13.559454955396529</v>
      </c>
      <c r="H578" s="90">
        <f t="shared" si="444"/>
        <v>27.312000000000001</v>
      </c>
      <c r="I578" s="91" t="str">
        <f t="shared" ref="I578:I579" si="447">I577</f>
        <v>11동4라인</v>
      </c>
      <c r="J578" s="92" t="s">
        <v>216</v>
      </c>
      <c r="L578" s="89">
        <v>2</v>
      </c>
      <c r="M578" s="78">
        <f t="shared" si="445"/>
        <v>3</v>
      </c>
      <c r="N578" s="78"/>
      <c r="O578" s="78">
        <f t="shared" si="446"/>
        <v>6</v>
      </c>
    </row>
    <row r="579" spans="1:16" ht="18" customHeight="1">
      <c r="A579" s="104"/>
      <c r="B579" s="93"/>
      <c r="C579" s="87"/>
      <c r="D579" s="88">
        <v>438</v>
      </c>
      <c r="E579" s="88">
        <v>270</v>
      </c>
      <c r="F579" s="89">
        <f t="shared" si="442"/>
        <v>6</v>
      </c>
      <c r="G579" s="90">
        <f t="shared" si="443"/>
        <v>7.7286540535241652</v>
      </c>
      <c r="H579" s="90">
        <f t="shared" si="444"/>
        <v>16.992000000000001</v>
      </c>
      <c r="I579" s="91" t="str">
        <f t="shared" si="447"/>
        <v>11동4라인</v>
      </c>
      <c r="J579" s="92" t="s">
        <v>217</v>
      </c>
      <c r="L579" s="89">
        <v>2</v>
      </c>
      <c r="M579" s="78">
        <f t="shared" si="445"/>
        <v>3</v>
      </c>
      <c r="N579" s="78"/>
      <c r="O579" s="78">
        <f t="shared" si="446"/>
        <v>6</v>
      </c>
    </row>
    <row r="580" spans="1:16" ht="18" customHeight="1">
      <c r="A580" s="104"/>
      <c r="B580" s="87"/>
      <c r="C580" s="87"/>
      <c r="D580" s="325" t="s">
        <v>0</v>
      </c>
      <c r="E580" s="325"/>
      <c r="F580" s="171">
        <f>SUM(F575:F579)</f>
        <v>30</v>
      </c>
      <c r="G580" s="95">
        <f>SUM(G575:G579)</f>
        <v>323.6071626964677</v>
      </c>
      <c r="H580" s="95">
        <f>SUM(H575:H579)</f>
        <v>221.74799999999999</v>
      </c>
      <c r="I580" s="97"/>
      <c r="J580" s="98"/>
    </row>
    <row r="581" spans="1:16">
      <c r="A581" s="105"/>
      <c r="B581" s="9"/>
      <c r="C581" s="9"/>
      <c r="D581" s="51"/>
      <c r="E581" s="51"/>
      <c r="F581" s="51"/>
      <c r="G581" s="106"/>
      <c r="H581" s="106"/>
      <c r="I581" s="9"/>
      <c r="J581" s="107"/>
    </row>
    <row r="582" spans="1:16" ht="18" customHeight="1">
      <c r="A582" s="85"/>
      <c r="B582" s="23" t="s">
        <v>237</v>
      </c>
      <c r="C582" s="24">
        <v>22</v>
      </c>
      <c r="D582" s="88">
        <v>2114</v>
      </c>
      <c r="E582" s="88">
        <v>1810</v>
      </c>
      <c r="F582" s="89">
        <f t="shared" ref="F582" si="448">O582</f>
        <v>3</v>
      </c>
      <c r="G582" s="90">
        <f t="shared" ref="G582" si="449">D582*E582/91809*F582</f>
        <v>125.03153285625592</v>
      </c>
      <c r="H582" s="90">
        <f t="shared" ref="H582" si="450">(D582/1000)*4*F582+(E582/1000)*4*F582</f>
        <v>47.087999999999994</v>
      </c>
      <c r="I582" s="91" t="str">
        <f>I575</f>
        <v>11동4라인</v>
      </c>
      <c r="J582" s="92" t="s">
        <v>206</v>
      </c>
      <c r="L582" s="89">
        <v>1</v>
      </c>
      <c r="M582" s="78">
        <f>M569</f>
        <v>3</v>
      </c>
      <c r="N582" s="84"/>
      <c r="O582" s="78">
        <f>L582*M582-N582*L582</f>
        <v>3</v>
      </c>
    </row>
    <row r="583" spans="1:16" ht="18" customHeight="1">
      <c r="A583" s="85"/>
      <c r="B583" s="93"/>
      <c r="C583" s="87"/>
      <c r="D583" s="325" t="s">
        <v>0</v>
      </c>
      <c r="E583" s="325"/>
      <c r="F583" s="94">
        <f>SUM(F582:F582)</f>
        <v>3</v>
      </c>
      <c r="G583" s="95">
        <f>SUM(G582:G582)</f>
        <v>125.03153285625592</v>
      </c>
      <c r="H583" s="95">
        <f>SUM(H582:H582)</f>
        <v>47.087999999999994</v>
      </c>
      <c r="I583" s="97"/>
      <c r="J583" s="98"/>
    </row>
    <row r="584" spans="1:16" ht="18" customHeight="1">
      <c r="A584" s="218"/>
      <c r="B584" s="219"/>
      <c r="C584" s="220"/>
      <c r="D584" s="161"/>
      <c r="E584" s="161"/>
      <c r="F584" s="89"/>
      <c r="G584" s="100"/>
      <c r="H584" s="100"/>
      <c r="I584" s="102"/>
      <c r="J584" s="221"/>
    </row>
    <row r="585" spans="1:16" ht="18" customHeight="1">
      <c r="A585" s="85"/>
      <c r="B585" s="23" t="s">
        <v>203</v>
      </c>
      <c r="C585" s="24">
        <v>22</v>
      </c>
      <c r="D585" s="88">
        <v>738</v>
      </c>
      <c r="E585" s="88">
        <v>1810</v>
      </c>
      <c r="F585" s="89">
        <f t="shared" ref="F585:F586" si="451">O585</f>
        <v>0</v>
      </c>
      <c r="G585" s="90">
        <f t="shared" ref="G585:G586" si="452">D585*E585/91809*F585</f>
        <v>0</v>
      </c>
      <c r="H585" s="90">
        <f t="shared" ref="H585:H586" si="453">(D585/1000)*4*F585+(E585/1000)*4*F585</f>
        <v>0</v>
      </c>
      <c r="I585" s="91" t="str">
        <f>I582</f>
        <v>11동4라인</v>
      </c>
      <c r="J585" s="92" t="s">
        <v>219</v>
      </c>
      <c r="L585" s="89">
        <v>2</v>
      </c>
      <c r="M585" s="78">
        <f>M582</f>
        <v>3</v>
      </c>
      <c r="N585" s="84">
        <v>3</v>
      </c>
      <c r="O585" s="78">
        <f>L585*M585-N585*L585</f>
        <v>0</v>
      </c>
      <c r="P585" s="64" t="s">
        <v>286</v>
      </c>
    </row>
    <row r="586" spans="1:16" ht="18" customHeight="1">
      <c r="A586" s="85"/>
      <c r="B586" s="86"/>
      <c r="C586" s="87"/>
      <c r="D586" s="88">
        <v>250</v>
      </c>
      <c r="E586" s="88">
        <v>930</v>
      </c>
      <c r="F586" s="89">
        <f t="shared" si="451"/>
        <v>6</v>
      </c>
      <c r="G586" s="90">
        <f t="shared" si="452"/>
        <v>15.194588765807273</v>
      </c>
      <c r="H586" s="90">
        <f t="shared" si="453"/>
        <v>28.32</v>
      </c>
      <c r="I586" s="91" t="str">
        <f>I585</f>
        <v>11동4라인</v>
      </c>
      <c r="J586" s="92" t="s">
        <v>220</v>
      </c>
      <c r="L586" s="89">
        <v>2</v>
      </c>
      <c r="M586" s="78">
        <f>M585</f>
        <v>3</v>
      </c>
      <c r="N586" s="84"/>
      <c r="O586" s="78">
        <f t="shared" ref="O586" si="454">L586*M586-N586*L586</f>
        <v>6</v>
      </c>
    </row>
    <row r="587" spans="1:16" ht="18" customHeight="1">
      <c r="A587" s="85"/>
      <c r="B587" s="93"/>
      <c r="C587" s="87"/>
      <c r="D587" s="325" t="s">
        <v>0</v>
      </c>
      <c r="E587" s="325"/>
      <c r="F587" s="94">
        <f>SUM(F585:F586)</f>
        <v>6</v>
      </c>
      <c r="G587" s="95">
        <f>SUM(G585:G586)</f>
        <v>15.194588765807273</v>
      </c>
      <c r="H587" s="96">
        <f>SUM(H585:H586)</f>
        <v>28.32</v>
      </c>
      <c r="I587" s="97"/>
      <c r="J587" s="162"/>
    </row>
    <row r="588" spans="1:16">
      <c r="A588" s="253"/>
      <c r="B588" s="254"/>
      <c r="C588" s="255"/>
      <c r="D588" s="361"/>
      <c r="E588" s="361"/>
      <c r="F588" s="256"/>
      <c r="G588" s="257"/>
      <c r="H588" s="258"/>
      <c r="I588" s="259"/>
      <c r="J588" s="260"/>
    </row>
    <row r="589" spans="1:16">
      <c r="A589" s="9"/>
      <c r="B589" s="9"/>
      <c r="C589" s="9"/>
      <c r="D589" s="51"/>
      <c r="E589" s="51"/>
      <c r="F589" s="51"/>
      <c r="G589" s="106"/>
      <c r="H589" s="106"/>
      <c r="I589" s="9"/>
      <c r="J589" s="9"/>
    </row>
    <row r="590" spans="1:16">
      <c r="A590" s="9"/>
      <c r="B590" s="9"/>
      <c r="C590" s="9"/>
      <c r="D590" s="51"/>
      <c r="E590" s="51"/>
      <c r="F590" s="51"/>
      <c r="G590" s="106"/>
      <c r="H590" s="106"/>
      <c r="I590" s="9"/>
      <c r="J590" s="9"/>
    </row>
    <row r="591" spans="1:16">
      <c r="A591" s="9"/>
      <c r="B591" s="9"/>
      <c r="C591" s="9"/>
      <c r="D591" s="51"/>
      <c r="E591" s="51"/>
      <c r="F591" s="51"/>
      <c r="G591" s="106"/>
      <c r="H591" s="106"/>
      <c r="I591" s="9"/>
      <c r="J591" s="9"/>
    </row>
    <row r="592" spans="1:16">
      <c r="A592" s="9"/>
      <c r="B592" s="9"/>
      <c r="C592" s="9"/>
      <c r="D592" s="51"/>
      <c r="E592" s="51"/>
      <c r="F592" s="51"/>
      <c r="G592" s="106"/>
      <c r="H592" s="106"/>
      <c r="I592" s="9"/>
      <c r="J592" s="9"/>
    </row>
    <row r="593" spans="1:10">
      <c r="A593" s="9"/>
      <c r="B593" s="9"/>
      <c r="C593" s="9"/>
      <c r="D593" s="51"/>
      <c r="E593" s="51"/>
      <c r="F593" s="51"/>
      <c r="G593" s="106"/>
      <c r="H593" s="106"/>
      <c r="I593" s="9"/>
      <c r="J593" s="9"/>
    </row>
    <row r="594" spans="1:10">
      <c r="A594" s="44" t="s">
        <v>59</v>
      </c>
      <c r="B594" s="23" t="s">
        <v>201</v>
      </c>
      <c r="C594" s="24">
        <v>22</v>
      </c>
      <c r="D594" s="51"/>
      <c r="E594" s="51"/>
      <c r="F594" s="51">
        <f>F573+F555+F533+F510+F491+F468+F450+F428+F407+F386+F365+F343+F320+F301+F279+F257+F234+F213+F193+F171+F148+F127+F107+F86+F64+F41+F22</f>
        <v>2227</v>
      </c>
      <c r="G594" s="51">
        <f t="shared" ref="G594:H594" si="455">G573+G555+G533+G510+G491+G468+G450+G428+G407+G386+G365+G343+G320+G301+G279+G257+G234+G213+G193+G171+G148+G127+G107+G86+G64+G41+G22</f>
        <v>17795.924691479049</v>
      </c>
      <c r="H594" s="51">
        <f t="shared" si="455"/>
        <v>14833.564</v>
      </c>
      <c r="I594" s="9"/>
      <c r="J594" s="9"/>
    </row>
    <row r="595" spans="1:10">
      <c r="A595" s="44" t="s">
        <v>60</v>
      </c>
      <c r="B595" s="23" t="s">
        <v>198</v>
      </c>
      <c r="C595" s="24">
        <v>22</v>
      </c>
      <c r="D595" s="51"/>
      <c r="E595" s="51"/>
      <c r="F595" s="51">
        <f>F580+F564+F542+F517+F500+F475++F459+F437+F415+F394+F374+F352+F327+F310+F288+F266++F241+F221+F202+F180+F155+F135+F115+F95+F73+F48+F31</f>
        <v>2280</v>
      </c>
      <c r="G595" s="51">
        <f t="shared" ref="G595:H595" si="456">G580+G564+G542+G517+G500+G475++G459+G437+G415+G394+G374+G352+G327+G310+G288+G266++G241+G221+G202+G180+G155+G135+G115+G95+G73+G48+G31</f>
        <v>20004.815105272901</v>
      </c>
      <c r="H595" s="51">
        <f t="shared" si="456"/>
        <v>15665.452000000001</v>
      </c>
      <c r="I595" s="9"/>
      <c r="J595" s="9"/>
    </row>
    <row r="596" spans="1:10">
      <c r="A596" s="44" t="s">
        <v>109</v>
      </c>
      <c r="B596" s="23" t="s">
        <v>238</v>
      </c>
      <c r="C596" s="24">
        <v>22</v>
      </c>
      <c r="D596" s="51"/>
      <c r="E596" s="51"/>
      <c r="F596" s="51">
        <f>F583+F520+F478+F330+F244++F158+F51+F224++F138</f>
        <v>53</v>
      </c>
      <c r="G596" s="51">
        <f t="shared" ref="G596:H596" si="457">G583+G520+G478+G330+G244++G158+G51+G224++G138</f>
        <v>2208.8904137938543</v>
      </c>
      <c r="H596" s="51">
        <f t="shared" si="457"/>
        <v>831.88800000000015</v>
      </c>
      <c r="I596" s="9"/>
      <c r="J596" s="9"/>
    </row>
    <row r="597" spans="1:10">
      <c r="A597" s="44" t="s">
        <v>110</v>
      </c>
      <c r="B597" s="23" t="s">
        <v>203</v>
      </c>
      <c r="C597" s="24">
        <v>22</v>
      </c>
      <c r="D597" s="51"/>
      <c r="E597" s="51"/>
      <c r="F597" s="51">
        <f>F587+F568+F546+F524+F504+F482+F463+F441+F420+F399+F378+F356+F334+F314+F292+F270+F248+F228+F206+F184+F162+F142+F120+F99+F77+F55+F35</f>
        <v>580</v>
      </c>
      <c r="G597" s="51">
        <f t="shared" ref="G597:H597" si="458">G587+G568+G546+G524+G504+G482+G463+G441+G420+G399+G378+G356+G334+G314+G292+G270+G248+G228+G206+G184+G162+G142+G120+G99+G77+G55+G35</f>
        <v>4337.5242078663323</v>
      </c>
      <c r="H597" s="51">
        <f t="shared" si="458"/>
        <v>4053.8239999999996</v>
      </c>
      <c r="I597" s="9"/>
      <c r="J597" s="9"/>
    </row>
    <row r="598" spans="1:10">
      <c r="A598" s="44" t="s">
        <v>111</v>
      </c>
      <c r="B598" s="23" t="s">
        <v>90</v>
      </c>
      <c r="C598" s="24">
        <v>22</v>
      </c>
      <c r="D598" s="51"/>
      <c r="E598" s="51"/>
      <c r="F598" s="51"/>
      <c r="G598" s="106"/>
      <c r="H598" s="106"/>
      <c r="I598" s="9"/>
      <c r="J598" s="9"/>
    </row>
    <row r="599" spans="1:10">
      <c r="A599" s="9"/>
      <c r="B599" s="9"/>
      <c r="C599" s="9"/>
      <c r="D599" s="51"/>
      <c r="E599" s="51"/>
      <c r="F599" s="47">
        <f>SUM(F594:F598)</f>
        <v>5140</v>
      </c>
      <c r="G599" s="106">
        <f t="shared" ref="G599:H599" si="459">SUM(G594:G598)</f>
        <v>44347.15441841213</v>
      </c>
      <c r="H599" s="106">
        <f t="shared" si="459"/>
        <v>35384.728000000003</v>
      </c>
      <c r="I599" s="9"/>
      <c r="J599" s="9"/>
    </row>
    <row r="600" spans="1:10">
      <c r="A600" s="9"/>
      <c r="B600" s="9"/>
      <c r="C600" s="9"/>
      <c r="D600" s="51"/>
      <c r="E600" s="51"/>
      <c r="F600" s="51"/>
      <c r="G600" s="106"/>
      <c r="H600" s="106"/>
      <c r="I600" s="9"/>
      <c r="J600" s="9"/>
    </row>
    <row r="601" spans="1:10">
      <c r="A601" s="9"/>
      <c r="B601" s="9"/>
      <c r="C601" s="9"/>
      <c r="D601" s="51"/>
      <c r="E601" s="51"/>
      <c r="F601" s="51"/>
      <c r="G601" s="106"/>
      <c r="H601" s="106"/>
      <c r="I601" s="9"/>
      <c r="J601" s="9"/>
    </row>
  </sheetData>
  <mergeCells count="118">
    <mergeCell ref="D573:E573"/>
    <mergeCell ref="D580:E580"/>
    <mergeCell ref="D583:E583"/>
    <mergeCell ref="D587:E587"/>
    <mergeCell ref="D588:E588"/>
    <mergeCell ref="D542:E542"/>
    <mergeCell ref="D546:E546"/>
    <mergeCell ref="D547:E547"/>
    <mergeCell ref="D555:E555"/>
    <mergeCell ref="D564:E564"/>
    <mergeCell ref="D568:E568"/>
    <mergeCell ref="D504:E504"/>
    <mergeCell ref="D510:E510"/>
    <mergeCell ref="D517:E517"/>
    <mergeCell ref="D520:E520"/>
    <mergeCell ref="D524:E524"/>
    <mergeCell ref="D533:E533"/>
    <mergeCell ref="D475:E475"/>
    <mergeCell ref="D478:E478"/>
    <mergeCell ref="D482:E482"/>
    <mergeCell ref="D483:E483"/>
    <mergeCell ref="D491:E491"/>
    <mergeCell ref="D500:E500"/>
    <mergeCell ref="D441:E441"/>
    <mergeCell ref="D442:E442"/>
    <mergeCell ref="D450:E450"/>
    <mergeCell ref="D459:E459"/>
    <mergeCell ref="D463:E463"/>
    <mergeCell ref="D468:E468"/>
    <mergeCell ref="D400:E400"/>
    <mergeCell ref="D407:E407"/>
    <mergeCell ref="D415:E415"/>
    <mergeCell ref="D420:E420"/>
    <mergeCell ref="D428:E428"/>
    <mergeCell ref="D437:E437"/>
    <mergeCell ref="D365:E365"/>
    <mergeCell ref="D374:E374"/>
    <mergeCell ref="D378:E378"/>
    <mergeCell ref="D386:E386"/>
    <mergeCell ref="D394:E394"/>
    <mergeCell ref="D399:E399"/>
    <mergeCell ref="D330:E330"/>
    <mergeCell ref="D334:E334"/>
    <mergeCell ref="D343:E343"/>
    <mergeCell ref="D352:E352"/>
    <mergeCell ref="D356:E356"/>
    <mergeCell ref="D357:E357"/>
    <mergeCell ref="D292:E292"/>
    <mergeCell ref="D301:E301"/>
    <mergeCell ref="D310:E310"/>
    <mergeCell ref="D314:E314"/>
    <mergeCell ref="D320:E320"/>
    <mergeCell ref="D327:E327"/>
    <mergeCell ref="D257:E257"/>
    <mergeCell ref="D266:E266"/>
    <mergeCell ref="D270:E270"/>
    <mergeCell ref="D271:E271"/>
    <mergeCell ref="D279:E279"/>
    <mergeCell ref="D288:E288"/>
    <mergeCell ref="D224:E224"/>
    <mergeCell ref="D228:E228"/>
    <mergeCell ref="D234:E234"/>
    <mergeCell ref="D241:E241"/>
    <mergeCell ref="D244:E244"/>
    <mergeCell ref="D248:E248"/>
    <mergeCell ref="D193:E193"/>
    <mergeCell ref="D202:E202"/>
    <mergeCell ref="D206:E206"/>
    <mergeCell ref="D207:E207"/>
    <mergeCell ref="D213:E213"/>
    <mergeCell ref="D221:E221"/>
    <mergeCell ref="D158:E158"/>
    <mergeCell ref="D162:E162"/>
    <mergeCell ref="D171:E171"/>
    <mergeCell ref="D180:E180"/>
    <mergeCell ref="D184:E184"/>
    <mergeCell ref="D185:E185"/>
    <mergeCell ref="D127:E127"/>
    <mergeCell ref="D135:E135"/>
    <mergeCell ref="D138:E138"/>
    <mergeCell ref="D142:E142"/>
    <mergeCell ref="D148:E148"/>
    <mergeCell ref="D155:E155"/>
    <mergeCell ref="D95:E95"/>
    <mergeCell ref="D99:E99"/>
    <mergeCell ref="D107:E107"/>
    <mergeCell ref="D115:E115"/>
    <mergeCell ref="D120:E120"/>
    <mergeCell ref="D121:E121"/>
    <mergeCell ref="D55:E55"/>
    <mergeCell ref="D64:E64"/>
    <mergeCell ref="D73:E73"/>
    <mergeCell ref="D77:E77"/>
    <mergeCell ref="D78:E78"/>
    <mergeCell ref="D86:E86"/>
    <mergeCell ref="D35:E35"/>
    <mergeCell ref="D41:E41"/>
    <mergeCell ref="D48:E48"/>
    <mergeCell ref="D51:E51"/>
    <mergeCell ref="B7:E7"/>
    <mergeCell ref="G7:J7"/>
    <mergeCell ref="A10:J10"/>
    <mergeCell ref="A13:A14"/>
    <mergeCell ref="B13:B14"/>
    <mergeCell ref="C13:E13"/>
    <mergeCell ref="F13:F14"/>
    <mergeCell ref="G13:G14"/>
    <mergeCell ref="H13:H14"/>
    <mergeCell ref="I13:J14"/>
    <mergeCell ref="A1:G3"/>
    <mergeCell ref="B4:F4"/>
    <mergeCell ref="H4:J4"/>
    <mergeCell ref="B5:E5"/>
    <mergeCell ref="G5:J5"/>
    <mergeCell ref="B6:E6"/>
    <mergeCell ref="G6:J6"/>
    <mergeCell ref="D22:E22"/>
    <mergeCell ref="D31:E31"/>
  </mergeCells>
  <phoneticPr fontId="4" type="noConversion"/>
  <pageMargins left="0.17" right="0.17" top="0.75" bottom="0.75" header="0.3" footer="0.3"/>
  <pageSetup paperSize="9" scale="87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P601"/>
  <sheetViews>
    <sheetView topLeftCell="A532" workbookViewId="0">
      <selection activeCell="H599" sqref="H599"/>
    </sheetView>
  </sheetViews>
  <sheetFormatPr defaultRowHeight="16.5"/>
  <cols>
    <col min="1" max="1" width="11" customWidth="1"/>
    <col min="2" max="2" width="18.625" customWidth="1"/>
    <col min="3" max="3" width="8.125" customWidth="1"/>
    <col min="4" max="4" width="11" style="122" customWidth="1"/>
    <col min="5" max="5" width="11.5" style="122" customWidth="1"/>
    <col min="6" max="6" width="6.875" style="122" customWidth="1"/>
    <col min="7" max="8" width="10.375" style="13" customWidth="1"/>
    <col min="9" max="10" width="9.375" customWidth="1"/>
  </cols>
  <sheetData>
    <row r="1" spans="1:16" ht="15" customHeight="1">
      <c r="A1" s="350" t="s">
        <v>28</v>
      </c>
      <c r="B1" s="350"/>
      <c r="C1" s="350"/>
      <c r="D1" s="350"/>
      <c r="E1" s="350"/>
      <c r="F1" s="350"/>
      <c r="G1" s="350"/>
      <c r="H1" s="55" t="s">
        <v>29</v>
      </c>
      <c r="I1" s="56"/>
      <c r="J1" s="57"/>
    </row>
    <row r="2" spans="1:16" ht="15" customHeight="1">
      <c r="A2" s="350"/>
      <c r="B2" s="350"/>
      <c r="C2" s="350"/>
      <c r="D2" s="350"/>
      <c r="E2" s="350"/>
      <c r="F2" s="350"/>
      <c r="G2" s="350"/>
      <c r="H2" s="58" t="s">
        <v>381</v>
      </c>
      <c r="I2" s="59"/>
      <c r="J2" s="57"/>
    </row>
    <row r="3" spans="1:16" ht="15" customHeight="1" thickBot="1">
      <c r="A3" s="351"/>
      <c r="B3" s="351"/>
      <c r="C3" s="351"/>
      <c r="D3" s="351"/>
      <c r="E3" s="351"/>
      <c r="F3" s="351"/>
      <c r="G3" s="351"/>
      <c r="H3" s="60"/>
      <c r="I3" s="61"/>
      <c r="J3" s="61"/>
    </row>
    <row r="4" spans="1:16" ht="23.1" customHeight="1">
      <c r="A4" s="62" t="s">
        <v>30</v>
      </c>
      <c r="B4" s="352" t="s">
        <v>113</v>
      </c>
      <c r="C4" s="353"/>
      <c r="D4" s="353"/>
      <c r="E4" s="353"/>
      <c r="F4" s="354"/>
      <c r="G4" s="63" t="s">
        <v>31</v>
      </c>
      <c r="H4" s="355" t="s">
        <v>230</v>
      </c>
      <c r="I4" s="356"/>
      <c r="J4" s="357"/>
      <c r="K4" s="64"/>
    </row>
    <row r="5" spans="1:16" ht="23.1" customHeight="1">
      <c r="A5" s="65" t="s">
        <v>32</v>
      </c>
      <c r="B5" s="358"/>
      <c r="C5" s="359"/>
      <c r="D5" s="359"/>
      <c r="E5" s="360"/>
      <c r="F5" s="66" t="s">
        <v>33</v>
      </c>
      <c r="G5" s="347"/>
      <c r="H5" s="348"/>
      <c r="I5" s="348"/>
      <c r="J5" s="349"/>
    </row>
    <row r="6" spans="1:16" ht="23.1" customHeight="1">
      <c r="A6" s="65" t="s">
        <v>34</v>
      </c>
      <c r="B6" s="346" t="s">
        <v>382</v>
      </c>
      <c r="C6" s="346"/>
      <c r="D6" s="346"/>
      <c r="E6" s="346"/>
      <c r="F6" s="67" t="s">
        <v>35</v>
      </c>
      <c r="G6" s="347"/>
      <c r="H6" s="348"/>
      <c r="I6" s="348"/>
      <c r="J6" s="349"/>
    </row>
    <row r="7" spans="1:16" ht="23.1" customHeight="1" thickBot="1">
      <c r="A7" s="68" t="s">
        <v>36</v>
      </c>
      <c r="B7" s="326" t="s">
        <v>383</v>
      </c>
      <c r="C7" s="326"/>
      <c r="D7" s="326"/>
      <c r="E7" s="326"/>
      <c r="F7" s="69" t="s">
        <v>37</v>
      </c>
      <c r="G7" s="327" t="s">
        <v>231</v>
      </c>
      <c r="H7" s="328"/>
      <c r="I7" s="328"/>
      <c r="J7" s="329"/>
    </row>
    <row r="8" spans="1:16" ht="3" customHeight="1">
      <c r="A8" s="70"/>
      <c r="B8" s="70"/>
      <c r="C8" s="70"/>
      <c r="D8" s="71"/>
      <c r="E8" s="71"/>
      <c r="F8" s="71"/>
      <c r="G8" s="72"/>
      <c r="H8" s="72"/>
      <c r="I8" s="70"/>
      <c r="J8" s="70"/>
    </row>
    <row r="9" spans="1:16" ht="0.75" customHeight="1" thickBot="1">
      <c r="A9" s="70"/>
      <c r="B9" s="70"/>
      <c r="C9" s="70"/>
      <c r="D9" s="71"/>
      <c r="E9" s="71"/>
      <c r="F9" s="71"/>
      <c r="G9" s="72"/>
      <c r="H9" s="72"/>
      <c r="I9" s="70"/>
      <c r="J9" s="70"/>
    </row>
    <row r="10" spans="1:16" ht="30.75" customHeight="1">
      <c r="A10" s="330" t="s">
        <v>38</v>
      </c>
      <c r="B10" s="331"/>
      <c r="C10" s="331"/>
      <c r="D10" s="331"/>
      <c r="E10" s="331"/>
      <c r="F10" s="331"/>
      <c r="G10" s="331"/>
      <c r="H10" s="331"/>
      <c r="I10" s="331"/>
      <c r="J10" s="332"/>
    </row>
    <row r="11" spans="1:16" ht="30.75" customHeight="1">
      <c r="A11" s="274" t="s">
        <v>308</v>
      </c>
      <c r="B11" s="275"/>
      <c r="C11" s="275"/>
      <c r="D11" s="275"/>
      <c r="E11" s="275"/>
      <c r="F11" s="275"/>
      <c r="G11" s="275"/>
      <c r="H11" s="275"/>
      <c r="I11" s="275"/>
      <c r="J11" s="289" t="s">
        <v>309</v>
      </c>
    </row>
    <row r="12" spans="1:16" ht="30.75" customHeight="1" thickBot="1">
      <c r="A12" s="73" t="s">
        <v>232</v>
      </c>
      <c r="B12" s="74"/>
      <c r="C12" s="74"/>
      <c r="D12" s="74"/>
      <c r="E12" s="74"/>
      <c r="F12" s="74"/>
      <c r="G12" s="75"/>
      <c r="H12" s="75"/>
      <c r="I12" s="74"/>
      <c r="J12" s="179" t="s">
        <v>115</v>
      </c>
    </row>
    <row r="13" spans="1:16" ht="18" customHeight="1">
      <c r="A13" s="333" t="s">
        <v>39</v>
      </c>
      <c r="B13" s="335" t="s">
        <v>40</v>
      </c>
      <c r="C13" s="337" t="s">
        <v>7</v>
      </c>
      <c r="D13" s="337"/>
      <c r="E13" s="337"/>
      <c r="F13" s="338" t="s">
        <v>41</v>
      </c>
      <c r="G13" s="340" t="s">
        <v>42</v>
      </c>
      <c r="H13" s="340" t="s">
        <v>43</v>
      </c>
      <c r="I13" s="342" t="s">
        <v>44</v>
      </c>
      <c r="J13" s="343"/>
    </row>
    <row r="14" spans="1:16" ht="18" customHeight="1" thickBot="1">
      <c r="A14" s="334"/>
      <c r="B14" s="336"/>
      <c r="C14" s="76" t="s">
        <v>45</v>
      </c>
      <c r="D14" s="173" t="s">
        <v>46</v>
      </c>
      <c r="E14" s="173" t="s">
        <v>47</v>
      </c>
      <c r="F14" s="339"/>
      <c r="G14" s="341"/>
      <c r="H14" s="341"/>
      <c r="I14" s="344"/>
      <c r="J14" s="345"/>
      <c r="L14" s="78" t="s">
        <v>48</v>
      </c>
      <c r="M14" s="78" t="s">
        <v>49</v>
      </c>
      <c r="N14" s="78" t="s">
        <v>50</v>
      </c>
      <c r="O14" s="78" t="s">
        <v>51</v>
      </c>
    </row>
    <row r="15" spans="1:16" ht="18" customHeight="1">
      <c r="A15" s="79" t="s">
        <v>234</v>
      </c>
      <c r="B15" s="23" t="s">
        <v>195</v>
      </c>
      <c r="C15" s="24">
        <v>22</v>
      </c>
      <c r="D15" s="80">
        <v>761</v>
      </c>
      <c r="E15" s="80">
        <v>1810</v>
      </c>
      <c r="F15" s="89">
        <f>O15</f>
        <v>20</v>
      </c>
      <c r="G15" s="81">
        <f t="shared" ref="G15:G21" si="0">D15*E15/91809*F15</f>
        <v>300.05990698079711</v>
      </c>
      <c r="H15" s="81">
        <f t="shared" ref="H15:H21" si="1">(D15/1000)*4*F15+(E15/1000)*4*F15</f>
        <v>205.68</v>
      </c>
      <c r="I15" s="91" t="s">
        <v>233</v>
      </c>
      <c r="J15" s="92" t="s">
        <v>205</v>
      </c>
      <c r="L15" s="89">
        <v>2</v>
      </c>
      <c r="M15" s="78">
        <v>10</v>
      </c>
      <c r="N15" s="84"/>
      <c r="O15" s="78">
        <f>L15*M15-N15*L15</f>
        <v>20</v>
      </c>
      <c r="P15" s="64"/>
    </row>
    <row r="16" spans="1:16" ht="18" customHeight="1">
      <c r="A16" s="85"/>
      <c r="B16" s="86"/>
      <c r="C16" s="87"/>
      <c r="D16" s="88">
        <v>1688</v>
      </c>
      <c r="E16" s="88">
        <v>1810</v>
      </c>
      <c r="F16" s="89">
        <f t="shared" ref="F16:F21" si="2">O16</f>
        <v>10</v>
      </c>
      <c r="G16" s="90">
        <f t="shared" si="0"/>
        <v>332.78654598133079</v>
      </c>
      <c r="H16" s="90">
        <f t="shared" si="1"/>
        <v>139.92000000000002</v>
      </c>
      <c r="I16" s="91" t="str">
        <f>I15</f>
        <v>1동1,2라인</v>
      </c>
      <c r="J16" s="92" t="s">
        <v>206</v>
      </c>
      <c r="L16" s="89">
        <v>1</v>
      </c>
      <c r="M16" s="78">
        <f>M15</f>
        <v>10</v>
      </c>
      <c r="N16" s="84"/>
      <c r="O16" s="78">
        <f t="shared" ref="O16:O21" si="3">L16*M16-N16*L16</f>
        <v>10</v>
      </c>
    </row>
    <row r="17" spans="1:15" ht="18" customHeight="1">
      <c r="A17" s="85"/>
      <c r="B17" s="86"/>
      <c r="C17" s="87"/>
      <c r="D17" s="88">
        <v>738</v>
      </c>
      <c r="E17" s="88">
        <v>1310</v>
      </c>
      <c r="F17" s="89">
        <f t="shared" si="2"/>
        <v>40</v>
      </c>
      <c r="G17" s="90">
        <f t="shared" si="0"/>
        <v>421.2136065091658</v>
      </c>
      <c r="H17" s="90">
        <f t="shared" si="1"/>
        <v>327.68</v>
      </c>
      <c r="I17" s="91" t="str">
        <f t="shared" ref="I17:I21" si="4">I16</f>
        <v>1동1,2라인</v>
      </c>
      <c r="J17" s="92" t="s">
        <v>207</v>
      </c>
      <c r="L17" s="89">
        <v>4</v>
      </c>
      <c r="M17" s="78">
        <f t="shared" ref="M17:M20" si="5">M16</f>
        <v>10</v>
      </c>
      <c r="N17" s="78"/>
      <c r="O17" s="78">
        <f t="shared" si="3"/>
        <v>40</v>
      </c>
    </row>
    <row r="18" spans="1:15" ht="18" customHeight="1">
      <c r="A18" s="85"/>
      <c r="B18" s="86"/>
      <c r="C18" s="87"/>
      <c r="D18" s="88">
        <v>288</v>
      </c>
      <c r="E18" s="88">
        <v>910</v>
      </c>
      <c r="F18" s="89">
        <f t="shared" si="2"/>
        <v>20</v>
      </c>
      <c r="G18" s="90">
        <f t="shared" si="0"/>
        <v>57.09244191745907</v>
      </c>
      <c r="H18" s="90">
        <f t="shared" si="1"/>
        <v>95.84</v>
      </c>
      <c r="I18" s="91" t="str">
        <f t="shared" si="4"/>
        <v>1동1,2라인</v>
      </c>
      <c r="J18" s="92" t="s">
        <v>208</v>
      </c>
      <c r="L18" s="89">
        <v>2</v>
      </c>
      <c r="M18" s="78">
        <f t="shared" si="5"/>
        <v>10</v>
      </c>
      <c r="N18" s="78"/>
      <c r="O18" s="78">
        <f t="shared" si="3"/>
        <v>20</v>
      </c>
    </row>
    <row r="19" spans="1:15" ht="18" customHeight="1">
      <c r="A19" s="85"/>
      <c r="B19" s="86"/>
      <c r="C19" s="87"/>
      <c r="D19" s="88">
        <v>228</v>
      </c>
      <c r="E19" s="88">
        <v>910</v>
      </c>
      <c r="F19" s="89">
        <f t="shared" si="2"/>
        <v>20</v>
      </c>
      <c r="G19" s="90">
        <f t="shared" si="0"/>
        <v>45.1981831846551</v>
      </c>
      <c r="H19" s="90">
        <f t="shared" si="1"/>
        <v>91.039999999999992</v>
      </c>
      <c r="I19" s="91" t="str">
        <f t="shared" si="4"/>
        <v>1동1,2라인</v>
      </c>
      <c r="J19" s="92" t="s">
        <v>209</v>
      </c>
      <c r="L19" s="89">
        <v>2</v>
      </c>
      <c r="M19" s="78">
        <f t="shared" si="5"/>
        <v>10</v>
      </c>
      <c r="N19" s="78"/>
      <c r="O19" s="78">
        <f t="shared" si="3"/>
        <v>20</v>
      </c>
    </row>
    <row r="20" spans="1:15" ht="18" customHeight="1">
      <c r="A20" s="85"/>
      <c r="B20" s="86"/>
      <c r="C20" s="87"/>
      <c r="D20" s="88">
        <v>438</v>
      </c>
      <c r="E20" s="88">
        <v>270</v>
      </c>
      <c r="F20" s="89">
        <f t="shared" si="2"/>
        <v>20</v>
      </c>
      <c r="G20" s="90">
        <f t="shared" si="0"/>
        <v>25.762180178413882</v>
      </c>
      <c r="H20" s="90">
        <f t="shared" si="1"/>
        <v>56.64</v>
      </c>
      <c r="I20" s="91" t="str">
        <f t="shared" si="4"/>
        <v>1동1,2라인</v>
      </c>
      <c r="J20" s="92" t="s">
        <v>210</v>
      </c>
      <c r="L20" s="89">
        <v>2</v>
      </c>
      <c r="M20" s="78">
        <f t="shared" si="5"/>
        <v>10</v>
      </c>
      <c r="N20" s="78"/>
      <c r="O20" s="78">
        <f t="shared" si="3"/>
        <v>20</v>
      </c>
    </row>
    <row r="21" spans="1:15" ht="18" customHeight="1">
      <c r="A21" s="85"/>
      <c r="B21" s="86"/>
      <c r="C21" s="87"/>
      <c r="D21" s="88">
        <v>208</v>
      </c>
      <c r="E21" s="88">
        <v>910</v>
      </c>
      <c r="F21" s="89">
        <f t="shared" si="2"/>
        <v>20</v>
      </c>
      <c r="G21" s="90">
        <f t="shared" si="0"/>
        <v>41.233430273720444</v>
      </c>
      <c r="H21" s="90">
        <f t="shared" si="1"/>
        <v>89.44</v>
      </c>
      <c r="I21" s="91" t="str">
        <f t="shared" si="4"/>
        <v>1동1,2라인</v>
      </c>
      <c r="J21" s="92" t="s">
        <v>211</v>
      </c>
      <c r="L21" s="89">
        <v>2</v>
      </c>
      <c r="M21" s="78">
        <f>M20</f>
        <v>10</v>
      </c>
      <c r="N21" s="78"/>
      <c r="O21" s="78">
        <f t="shared" si="3"/>
        <v>20</v>
      </c>
    </row>
    <row r="22" spans="1:15" ht="18" customHeight="1">
      <c r="A22" s="85"/>
      <c r="B22" s="93"/>
      <c r="C22" s="87"/>
      <c r="D22" s="325" t="s">
        <v>0</v>
      </c>
      <c r="E22" s="325"/>
      <c r="F22" s="94">
        <f>SUM(F15:F21)</f>
        <v>150</v>
      </c>
      <c r="G22" s="95">
        <f>SUM(G15:G21)</f>
        <v>1223.3462950255423</v>
      </c>
      <c r="H22" s="96">
        <f>SUM(H15:H21)</f>
        <v>1006.24</v>
      </c>
      <c r="I22" s="97"/>
      <c r="J22" s="162"/>
    </row>
    <row r="23" spans="1:15" ht="18" customHeight="1">
      <c r="A23" s="85"/>
      <c r="B23" s="93"/>
      <c r="C23" s="87"/>
      <c r="D23" s="161"/>
      <c r="E23" s="161"/>
      <c r="F23" s="89"/>
      <c r="G23" s="100"/>
      <c r="H23" s="101"/>
      <c r="I23" s="102"/>
      <c r="J23" s="121"/>
      <c r="L23" s="78" t="s">
        <v>48</v>
      </c>
      <c r="M23" s="78" t="s">
        <v>54</v>
      </c>
      <c r="N23" s="78" t="s">
        <v>50</v>
      </c>
      <c r="O23" s="78" t="s">
        <v>55</v>
      </c>
    </row>
    <row r="24" spans="1:15" ht="18" customHeight="1">
      <c r="A24" s="85"/>
      <c r="B24" s="23" t="s">
        <v>197</v>
      </c>
      <c r="C24" s="24">
        <v>22</v>
      </c>
      <c r="D24" s="88">
        <v>761</v>
      </c>
      <c r="E24" s="88">
        <v>1810</v>
      </c>
      <c r="F24" s="89">
        <f t="shared" ref="F24:F30" si="6">O24</f>
        <v>20</v>
      </c>
      <c r="G24" s="90">
        <f t="shared" ref="G24:G30" si="7">D24*E24/91809*F24</f>
        <v>300.05990698079711</v>
      </c>
      <c r="H24" s="90">
        <f t="shared" ref="H24:H30" si="8">(D24/1000)*4*F24+(E24/1000)*4*F24</f>
        <v>205.68</v>
      </c>
      <c r="I24" s="91" t="str">
        <f t="shared" ref="I24:I30" si="9">I15</f>
        <v>1동1,2라인</v>
      </c>
      <c r="J24" s="92" t="s">
        <v>212</v>
      </c>
      <c r="L24" s="89">
        <v>2</v>
      </c>
      <c r="M24" s="78">
        <f>M15</f>
        <v>10</v>
      </c>
      <c r="N24" s="84"/>
      <c r="O24" s="78">
        <f>L24*M24-N24*L24</f>
        <v>20</v>
      </c>
    </row>
    <row r="25" spans="1:15" ht="18" customHeight="1">
      <c r="A25" s="85"/>
      <c r="B25" s="86"/>
      <c r="C25" s="87"/>
      <c r="D25" s="88">
        <v>1688</v>
      </c>
      <c r="E25" s="88">
        <v>1810</v>
      </c>
      <c r="F25" s="89">
        <f t="shared" si="6"/>
        <v>10</v>
      </c>
      <c r="G25" s="90">
        <f t="shared" si="7"/>
        <v>332.78654598133079</v>
      </c>
      <c r="H25" s="90">
        <f t="shared" si="8"/>
        <v>139.92000000000002</v>
      </c>
      <c r="I25" s="91" t="str">
        <f t="shared" si="9"/>
        <v>1동1,2라인</v>
      </c>
      <c r="J25" s="92" t="s">
        <v>213</v>
      </c>
      <c r="L25" s="89">
        <v>1</v>
      </c>
      <c r="M25" s="78">
        <f>M24</f>
        <v>10</v>
      </c>
      <c r="N25" s="84"/>
      <c r="O25" s="78">
        <f>L25*M25-N25*L25</f>
        <v>10</v>
      </c>
    </row>
    <row r="26" spans="1:15" ht="18" customHeight="1">
      <c r="A26" s="104"/>
      <c r="B26" s="93"/>
      <c r="C26" s="87"/>
      <c r="D26" s="88">
        <v>738</v>
      </c>
      <c r="E26" s="88">
        <v>1310</v>
      </c>
      <c r="F26" s="89">
        <f t="shared" si="6"/>
        <v>40</v>
      </c>
      <c r="G26" s="90">
        <f t="shared" si="7"/>
        <v>421.2136065091658</v>
      </c>
      <c r="H26" s="90">
        <f t="shared" si="8"/>
        <v>327.68</v>
      </c>
      <c r="I26" s="91" t="str">
        <f t="shared" si="9"/>
        <v>1동1,2라인</v>
      </c>
      <c r="J26" s="92" t="s">
        <v>214</v>
      </c>
      <c r="L26" s="89">
        <v>4</v>
      </c>
      <c r="M26" s="78">
        <f t="shared" ref="M26:M30" si="10">M25</f>
        <v>10</v>
      </c>
      <c r="N26" s="84"/>
      <c r="O26" s="78">
        <f t="shared" ref="O26:O30" si="11">L26*M26-N26*L26</f>
        <v>40</v>
      </c>
    </row>
    <row r="27" spans="1:15" ht="18" customHeight="1">
      <c r="A27" s="104"/>
      <c r="B27" s="93"/>
      <c r="C27" s="87"/>
      <c r="D27" s="88">
        <v>288</v>
      </c>
      <c r="E27" s="88">
        <v>910</v>
      </c>
      <c r="F27" s="89">
        <f t="shared" si="6"/>
        <v>20</v>
      </c>
      <c r="G27" s="90">
        <f t="shared" si="7"/>
        <v>57.09244191745907</v>
      </c>
      <c r="H27" s="90">
        <f t="shared" si="8"/>
        <v>95.84</v>
      </c>
      <c r="I27" s="91" t="str">
        <f t="shared" si="9"/>
        <v>1동1,2라인</v>
      </c>
      <c r="J27" s="92" t="s">
        <v>215</v>
      </c>
      <c r="L27" s="89">
        <v>2</v>
      </c>
      <c r="M27" s="78">
        <f t="shared" si="10"/>
        <v>10</v>
      </c>
      <c r="N27" s="78"/>
      <c r="O27" s="78">
        <f t="shared" si="11"/>
        <v>20</v>
      </c>
    </row>
    <row r="28" spans="1:15" ht="18" customHeight="1">
      <c r="A28" s="104"/>
      <c r="B28" s="93"/>
      <c r="C28" s="87"/>
      <c r="D28" s="88">
        <v>228</v>
      </c>
      <c r="E28" s="88">
        <v>910</v>
      </c>
      <c r="F28" s="89">
        <f t="shared" si="6"/>
        <v>20</v>
      </c>
      <c r="G28" s="90">
        <f t="shared" si="7"/>
        <v>45.1981831846551</v>
      </c>
      <c r="H28" s="90">
        <f t="shared" si="8"/>
        <v>91.039999999999992</v>
      </c>
      <c r="I28" s="91" t="str">
        <f t="shared" si="9"/>
        <v>1동1,2라인</v>
      </c>
      <c r="J28" s="92" t="s">
        <v>216</v>
      </c>
      <c r="L28" s="89">
        <v>2</v>
      </c>
      <c r="M28" s="78">
        <f t="shared" si="10"/>
        <v>10</v>
      </c>
      <c r="N28" s="78"/>
      <c r="O28" s="78">
        <f t="shared" si="11"/>
        <v>20</v>
      </c>
    </row>
    <row r="29" spans="1:15" ht="18" customHeight="1">
      <c r="A29" s="104"/>
      <c r="B29" s="93"/>
      <c r="C29" s="87"/>
      <c r="D29" s="88">
        <v>438</v>
      </c>
      <c r="E29" s="88">
        <v>270</v>
      </c>
      <c r="F29" s="89">
        <f t="shared" si="6"/>
        <v>20</v>
      </c>
      <c r="G29" s="90">
        <f t="shared" si="7"/>
        <v>25.762180178413882</v>
      </c>
      <c r="H29" s="90">
        <f t="shared" si="8"/>
        <v>56.64</v>
      </c>
      <c r="I29" s="91" t="str">
        <f t="shared" si="9"/>
        <v>1동1,2라인</v>
      </c>
      <c r="J29" s="92" t="s">
        <v>217</v>
      </c>
      <c r="L29" s="89">
        <v>2</v>
      </c>
      <c r="M29" s="78">
        <f t="shared" si="10"/>
        <v>10</v>
      </c>
      <c r="N29" s="78"/>
      <c r="O29" s="78">
        <f t="shared" si="11"/>
        <v>20</v>
      </c>
    </row>
    <row r="30" spans="1:15" ht="18" customHeight="1">
      <c r="A30" s="104"/>
      <c r="B30" s="93"/>
      <c r="C30" s="87"/>
      <c r="D30" s="88">
        <v>208</v>
      </c>
      <c r="E30" s="88">
        <v>910</v>
      </c>
      <c r="F30" s="89">
        <f t="shared" si="6"/>
        <v>20</v>
      </c>
      <c r="G30" s="90">
        <f t="shared" si="7"/>
        <v>41.233430273720444</v>
      </c>
      <c r="H30" s="90">
        <f t="shared" si="8"/>
        <v>89.44</v>
      </c>
      <c r="I30" s="91" t="str">
        <f t="shared" si="9"/>
        <v>1동1,2라인</v>
      </c>
      <c r="J30" s="92" t="s">
        <v>218</v>
      </c>
      <c r="L30" s="89">
        <v>2</v>
      </c>
      <c r="M30" s="78">
        <f t="shared" si="10"/>
        <v>10</v>
      </c>
      <c r="N30" s="78"/>
      <c r="O30" s="78">
        <f t="shared" si="11"/>
        <v>20</v>
      </c>
    </row>
    <row r="31" spans="1:15" ht="18" customHeight="1">
      <c r="A31" s="104"/>
      <c r="B31" s="87"/>
      <c r="C31" s="87"/>
      <c r="D31" s="325" t="s">
        <v>0</v>
      </c>
      <c r="E31" s="325"/>
      <c r="F31" s="171">
        <f>SUM(F24:F30)</f>
        <v>150</v>
      </c>
      <c r="G31" s="95">
        <f>SUM(G24:G30)</f>
        <v>1223.3462950255423</v>
      </c>
      <c r="H31" s="95">
        <f>SUM(H24:H30)</f>
        <v>1006.24</v>
      </c>
      <c r="I31" s="97"/>
      <c r="J31" s="98"/>
    </row>
    <row r="32" spans="1:15">
      <c r="A32" s="105"/>
      <c r="B32" s="9"/>
      <c r="C32" s="9"/>
      <c r="D32" s="51"/>
      <c r="E32" s="51"/>
      <c r="F32" s="51"/>
      <c r="G32" s="106"/>
      <c r="H32" s="106"/>
      <c r="I32" s="9"/>
      <c r="J32" s="107"/>
    </row>
    <row r="33" spans="1:16" ht="18" customHeight="1">
      <c r="A33" s="85"/>
      <c r="B33" s="163" t="s">
        <v>199</v>
      </c>
      <c r="C33" s="163">
        <v>22</v>
      </c>
      <c r="D33" s="88">
        <v>738</v>
      </c>
      <c r="E33" s="88">
        <v>1810</v>
      </c>
      <c r="F33" s="89">
        <f t="shared" ref="F33:F34" si="12">O33</f>
        <v>10</v>
      </c>
      <c r="G33" s="90">
        <f t="shared" ref="G33:G34" si="13">D33*E33/91809*F33</f>
        <v>145.4955396529752</v>
      </c>
      <c r="H33" s="90">
        <f t="shared" ref="H33:H34" si="14">(D33/1000)*4*F33+(E33/1000)*4*F33</f>
        <v>101.92</v>
      </c>
      <c r="I33" s="91" t="str">
        <f>I24</f>
        <v>1동1,2라인</v>
      </c>
      <c r="J33" s="92" t="s">
        <v>219</v>
      </c>
      <c r="L33" s="89">
        <v>2</v>
      </c>
      <c r="M33" s="78">
        <f>M15</f>
        <v>10</v>
      </c>
      <c r="N33" s="84">
        <v>5</v>
      </c>
      <c r="O33" s="78">
        <f>L33*M33-N33*L33</f>
        <v>10</v>
      </c>
      <c r="P33" s="64" t="s">
        <v>244</v>
      </c>
    </row>
    <row r="34" spans="1:16" ht="18" customHeight="1">
      <c r="A34" s="85"/>
      <c r="B34" s="86"/>
      <c r="C34" s="87"/>
      <c r="D34" s="88">
        <v>250</v>
      </c>
      <c r="E34" s="88">
        <v>930</v>
      </c>
      <c r="F34" s="89">
        <f t="shared" si="12"/>
        <v>20</v>
      </c>
      <c r="G34" s="90">
        <f t="shared" si="13"/>
        <v>50.648629219357574</v>
      </c>
      <c r="H34" s="90">
        <f t="shared" si="14"/>
        <v>94.4</v>
      </c>
      <c r="I34" s="91" t="str">
        <f>I33</f>
        <v>1동1,2라인</v>
      </c>
      <c r="J34" s="92" t="s">
        <v>220</v>
      </c>
      <c r="L34" s="89">
        <v>2</v>
      </c>
      <c r="M34" s="78">
        <f>M33</f>
        <v>10</v>
      </c>
      <c r="N34" s="84"/>
      <c r="O34" s="78">
        <f t="shared" ref="O34" si="15">L34*M34-N34*L34</f>
        <v>20</v>
      </c>
    </row>
    <row r="35" spans="1:16" ht="18" customHeight="1">
      <c r="A35" s="85"/>
      <c r="B35" s="93"/>
      <c r="C35" s="87"/>
      <c r="D35" s="325" t="s">
        <v>0</v>
      </c>
      <c r="E35" s="325"/>
      <c r="F35" s="94">
        <f>SUM(F33:F34)</f>
        <v>30</v>
      </c>
      <c r="G35" s="95">
        <f>SUM(G33:G34)</f>
        <v>196.14416887233278</v>
      </c>
      <c r="H35" s="95">
        <f>SUM(H33:H34)</f>
        <v>196.32</v>
      </c>
      <c r="I35" s="97"/>
      <c r="J35" s="98"/>
    </row>
    <row r="36" spans="1:16" ht="18" customHeight="1">
      <c r="A36" s="108"/>
      <c r="B36" s="164"/>
      <c r="C36" s="109"/>
      <c r="D36" s="165"/>
      <c r="E36" s="165"/>
      <c r="F36" s="110"/>
      <c r="G36" s="111"/>
      <c r="H36" s="111"/>
      <c r="I36" s="112"/>
      <c r="J36" s="113"/>
    </row>
    <row r="37" spans="1:16" ht="18" customHeight="1">
      <c r="A37" s="85" t="s">
        <v>235</v>
      </c>
      <c r="B37" s="23" t="s">
        <v>201</v>
      </c>
      <c r="C37" s="24">
        <v>22</v>
      </c>
      <c r="D37" s="88">
        <v>861</v>
      </c>
      <c r="E37" s="88">
        <v>1810</v>
      </c>
      <c r="F37" s="89">
        <f t="shared" ref="F37:F40" si="16">O37</f>
        <v>6</v>
      </c>
      <c r="G37" s="90">
        <f t="shared" ref="G37:G40" si="17">D37*E37/91809*F37</f>
        <v>101.84687775708264</v>
      </c>
      <c r="H37" s="90">
        <f t="shared" ref="H37:H40" si="18">(D37/1000)*4*F37+(E37/1000)*4*F37</f>
        <v>64.103999999999999</v>
      </c>
      <c r="I37" s="91" t="s">
        <v>239</v>
      </c>
      <c r="J37" s="92" t="s">
        <v>205</v>
      </c>
      <c r="L37" s="89">
        <v>1</v>
      </c>
      <c r="M37" s="78">
        <v>6</v>
      </c>
      <c r="N37" s="84"/>
      <c r="O37" s="78">
        <f>L37*M37-N37*L37</f>
        <v>6</v>
      </c>
      <c r="P37" s="64"/>
    </row>
    <row r="38" spans="1:16" ht="18" customHeight="1">
      <c r="A38" s="85"/>
      <c r="B38" s="86"/>
      <c r="C38" s="87"/>
      <c r="D38" s="88">
        <v>738</v>
      </c>
      <c r="E38" s="88">
        <v>1310</v>
      </c>
      <c r="F38" s="89">
        <f t="shared" si="16"/>
        <v>24</v>
      </c>
      <c r="G38" s="90">
        <f t="shared" si="17"/>
        <v>252.72816390549946</v>
      </c>
      <c r="H38" s="90">
        <f t="shared" si="18"/>
        <v>196.608</v>
      </c>
      <c r="I38" s="91" t="str">
        <f>I37</f>
        <v>1동3라인</v>
      </c>
      <c r="J38" s="92" t="s">
        <v>207</v>
      </c>
      <c r="L38" s="89">
        <v>4</v>
      </c>
      <c r="M38" s="78">
        <v>6</v>
      </c>
      <c r="N38" s="84"/>
      <c r="O38" s="78">
        <f t="shared" ref="O38:O40" si="19">L38*M38-N38*L38</f>
        <v>24</v>
      </c>
    </row>
    <row r="39" spans="1:16" ht="18" customHeight="1">
      <c r="A39" s="85"/>
      <c r="B39" s="86"/>
      <c r="C39" s="87"/>
      <c r="D39" s="88">
        <v>228</v>
      </c>
      <c r="E39" s="88">
        <v>910</v>
      </c>
      <c r="F39" s="89">
        <f t="shared" si="16"/>
        <v>12</v>
      </c>
      <c r="G39" s="90">
        <f t="shared" si="17"/>
        <v>27.118909910793057</v>
      </c>
      <c r="H39" s="90">
        <f t="shared" si="18"/>
        <v>54.624000000000002</v>
      </c>
      <c r="I39" s="91" t="str">
        <f t="shared" ref="I39:I40" si="20">I38</f>
        <v>1동3라인</v>
      </c>
      <c r="J39" s="92" t="s">
        <v>209</v>
      </c>
      <c r="L39" s="89">
        <v>2</v>
      </c>
      <c r="M39" s="78">
        <f t="shared" ref="M39:M40" si="21">M38</f>
        <v>6</v>
      </c>
      <c r="N39" s="78"/>
      <c r="O39" s="78">
        <f t="shared" si="19"/>
        <v>12</v>
      </c>
    </row>
    <row r="40" spans="1:16" ht="18" customHeight="1">
      <c r="A40" s="85"/>
      <c r="B40" s="86"/>
      <c r="C40" s="87"/>
      <c r="D40" s="88">
        <v>438</v>
      </c>
      <c r="E40" s="88">
        <v>270</v>
      </c>
      <c r="F40" s="89">
        <f t="shared" si="16"/>
        <v>12</v>
      </c>
      <c r="G40" s="90">
        <f t="shared" si="17"/>
        <v>15.45730810704833</v>
      </c>
      <c r="H40" s="90">
        <f t="shared" si="18"/>
        <v>33.984000000000002</v>
      </c>
      <c r="I40" s="91" t="str">
        <f t="shared" si="20"/>
        <v>1동3라인</v>
      </c>
      <c r="J40" s="92" t="s">
        <v>210</v>
      </c>
      <c r="L40" s="89">
        <v>2</v>
      </c>
      <c r="M40" s="78">
        <f t="shared" si="21"/>
        <v>6</v>
      </c>
      <c r="N40" s="78"/>
      <c r="O40" s="78">
        <f t="shared" si="19"/>
        <v>12</v>
      </c>
    </row>
    <row r="41" spans="1:16" ht="18" customHeight="1">
      <c r="A41" s="85"/>
      <c r="B41" s="93"/>
      <c r="C41" s="87"/>
      <c r="D41" s="325" t="s">
        <v>0</v>
      </c>
      <c r="E41" s="325"/>
      <c r="F41" s="94">
        <f>SUM(F37:F40)</f>
        <v>54</v>
      </c>
      <c r="G41" s="95">
        <f>SUM(G37:G40)</f>
        <v>397.15125968042344</v>
      </c>
      <c r="H41" s="96">
        <f>SUM(H37:H40)</f>
        <v>349.32</v>
      </c>
      <c r="I41" s="97"/>
      <c r="J41" s="162"/>
    </row>
    <row r="42" spans="1:16" ht="18" customHeight="1">
      <c r="A42" s="85"/>
      <c r="B42" s="93"/>
      <c r="C42" s="87"/>
      <c r="D42" s="161"/>
      <c r="E42" s="161"/>
      <c r="F42" s="89"/>
      <c r="G42" s="100"/>
      <c r="H42" s="101"/>
      <c r="I42" s="102"/>
      <c r="J42" s="121"/>
      <c r="L42" s="252"/>
      <c r="M42" s="252"/>
      <c r="N42" s="252"/>
      <c r="O42" s="252"/>
    </row>
    <row r="43" spans="1:16" ht="18" customHeight="1">
      <c r="A43" s="85"/>
      <c r="B43" s="23" t="s">
        <v>198</v>
      </c>
      <c r="C43" s="24">
        <v>22</v>
      </c>
      <c r="D43" s="88">
        <v>861</v>
      </c>
      <c r="E43" s="88">
        <v>1810</v>
      </c>
      <c r="F43" s="89">
        <f t="shared" ref="F43:F47" si="22">O43</f>
        <v>6</v>
      </c>
      <c r="G43" s="90">
        <f t="shared" ref="G43:G47" si="23">D43*E43/91809*F43</f>
        <v>101.84687775708264</v>
      </c>
      <c r="H43" s="90">
        <f t="shared" ref="H43:H47" si="24">(D43/1000)*4*F43+(E43/1000)*4*F43</f>
        <v>64.103999999999999</v>
      </c>
      <c r="I43" s="103" t="str">
        <f>I37</f>
        <v>1동3라인</v>
      </c>
      <c r="J43" s="92" t="s">
        <v>212</v>
      </c>
      <c r="L43" s="89">
        <v>1</v>
      </c>
      <c r="M43" s="78">
        <f>M37</f>
        <v>6</v>
      </c>
      <c r="N43" s="84"/>
      <c r="O43" s="78">
        <f>L43*M43-N43*L43</f>
        <v>6</v>
      </c>
    </row>
    <row r="44" spans="1:16" ht="18" customHeight="1">
      <c r="A44" s="85"/>
      <c r="B44" s="86"/>
      <c r="C44" s="87"/>
      <c r="D44" s="88">
        <v>2114</v>
      </c>
      <c r="E44" s="88">
        <v>1810</v>
      </c>
      <c r="F44" s="89">
        <f t="shared" si="22"/>
        <v>6</v>
      </c>
      <c r="G44" s="90">
        <f t="shared" si="23"/>
        <v>250.06306571251184</v>
      </c>
      <c r="H44" s="90">
        <f t="shared" si="24"/>
        <v>94.175999999999988</v>
      </c>
      <c r="I44" s="91" t="str">
        <f>I37</f>
        <v>1동3라인</v>
      </c>
      <c r="J44" s="92" t="s">
        <v>213</v>
      </c>
      <c r="L44" s="89">
        <v>1</v>
      </c>
      <c r="M44" s="78">
        <f>M43</f>
        <v>6</v>
      </c>
      <c r="N44" s="84"/>
      <c r="O44" s="78">
        <f>L44*M44-N44*L44</f>
        <v>6</v>
      </c>
    </row>
    <row r="45" spans="1:16" ht="18" customHeight="1">
      <c r="A45" s="104"/>
      <c r="B45" s="93"/>
      <c r="C45" s="87"/>
      <c r="D45" s="88">
        <v>738</v>
      </c>
      <c r="E45" s="88">
        <v>1310</v>
      </c>
      <c r="F45" s="89">
        <f t="shared" si="22"/>
        <v>24</v>
      </c>
      <c r="G45" s="90">
        <f t="shared" si="23"/>
        <v>252.72816390549946</v>
      </c>
      <c r="H45" s="90">
        <f t="shared" si="24"/>
        <v>196.608</v>
      </c>
      <c r="I45" s="91" t="str">
        <f>I44</f>
        <v>1동3라인</v>
      </c>
      <c r="J45" s="92" t="s">
        <v>214</v>
      </c>
      <c r="L45" s="89">
        <v>4</v>
      </c>
      <c r="M45" s="78">
        <f t="shared" ref="M45:M47" si="25">M44</f>
        <v>6</v>
      </c>
      <c r="N45" s="84"/>
      <c r="O45" s="78">
        <f t="shared" ref="O45:O47" si="26">L45*M45-N45*L45</f>
        <v>24</v>
      </c>
    </row>
    <row r="46" spans="1:16" ht="18" customHeight="1">
      <c r="A46" s="104"/>
      <c r="B46" s="93"/>
      <c r="C46" s="87"/>
      <c r="D46" s="88">
        <v>228</v>
      </c>
      <c r="E46" s="88">
        <v>910</v>
      </c>
      <c r="F46" s="89">
        <f t="shared" si="22"/>
        <v>12</v>
      </c>
      <c r="G46" s="90">
        <f t="shared" si="23"/>
        <v>27.118909910793057</v>
      </c>
      <c r="H46" s="90">
        <f t="shared" si="24"/>
        <v>54.624000000000002</v>
      </c>
      <c r="I46" s="91" t="str">
        <f t="shared" ref="I46:I47" si="27">I45</f>
        <v>1동3라인</v>
      </c>
      <c r="J46" s="92" t="s">
        <v>216</v>
      </c>
      <c r="L46" s="89">
        <v>2</v>
      </c>
      <c r="M46" s="78">
        <f t="shared" si="25"/>
        <v>6</v>
      </c>
      <c r="N46" s="78"/>
      <c r="O46" s="78">
        <f t="shared" si="26"/>
        <v>12</v>
      </c>
    </row>
    <row r="47" spans="1:16" ht="18" customHeight="1">
      <c r="A47" s="104"/>
      <c r="B47" s="93"/>
      <c r="C47" s="87"/>
      <c r="D47" s="88">
        <v>438</v>
      </c>
      <c r="E47" s="88">
        <v>270</v>
      </c>
      <c r="F47" s="89">
        <f t="shared" si="22"/>
        <v>12</v>
      </c>
      <c r="G47" s="90">
        <f t="shared" si="23"/>
        <v>15.45730810704833</v>
      </c>
      <c r="H47" s="90">
        <f t="shared" si="24"/>
        <v>33.984000000000002</v>
      </c>
      <c r="I47" s="91" t="str">
        <f t="shared" si="27"/>
        <v>1동3라인</v>
      </c>
      <c r="J47" s="92" t="s">
        <v>217</v>
      </c>
      <c r="L47" s="89">
        <v>2</v>
      </c>
      <c r="M47" s="78">
        <f t="shared" si="25"/>
        <v>6</v>
      </c>
      <c r="N47" s="78"/>
      <c r="O47" s="78">
        <f t="shared" si="26"/>
        <v>12</v>
      </c>
    </row>
    <row r="48" spans="1:16" ht="18" customHeight="1">
      <c r="A48" s="104"/>
      <c r="B48" s="87"/>
      <c r="C48" s="87"/>
      <c r="D48" s="325" t="s">
        <v>0</v>
      </c>
      <c r="E48" s="325"/>
      <c r="F48" s="171">
        <f>SUM(F43:F47)</f>
        <v>60</v>
      </c>
      <c r="G48" s="95">
        <f>SUM(G43:G47)</f>
        <v>647.21432539293539</v>
      </c>
      <c r="H48" s="95">
        <f>SUM(H43:H47)</f>
        <v>443.49599999999998</v>
      </c>
      <c r="I48" s="97"/>
      <c r="J48" s="98"/>
    </row>
    <row r="49" spans="1:16">
      <c r="A49" s="105"/>
      <c r="B49" s="9"/>
      <c r="C49" s="9"/>
      <c r="D49" s="51"/>
      <c r="E49" s="51"/>
      <c r="F49" s="51"/>
      <c r="G49" s="106"/>
      <c r="H49" s="106"/>
      <c r="I49" s="9"/>
      <c r="J49" s="107"/>
    </row>
    <row r="50" spans="1:16" ht="18" customHeight="1">
      <c r="A50" s="85"/>
      <c r="B50" s="23" t="s">
        <v>237</v>
      </c>
      <c r="C50" s="24">
        <v>22</v>
      </c>
      <c r="D50" s="88">
        <v>2114</v>
      </c>
      <c r="E50" s="88">
        <v>1810</v>
      </c>
      <c r="F50" s="89">
        <f t="shared" ref="F50" si="28">O50</f>
        <v>6</v>
      </c>
      <c r="G50" s="90">
        <f t="shared" ref="G50" si="29">D50*E50/91809*F50</f>
        <v>250.06306571251184</v>
      </c>
      <c r="H50" s="90">
        <f t="shared" ref="H50" si="30">(D50/1000)*4*F50+(E50/1000)*4*F50</f>
        <v>94.175999999999988</v>
      </c>
      <c r="I50" s="91" t="str">
        <f>I43</f>
        <v>1동3라인</v>
      </c>
      <c r="J50" s="92" t="s">
        <v>206</v>
      </c>
      <c r="L50" s="89">
        <v>1</v>
      </c>
      <c r="M50" s="78">
        <f>M37</f>
        <v>6</v>
      </c>
      <c r="N50" s="84"/>
      <c r="O50" s="78">
        <f>L50*M50-N50*L50</f>
        <v>6</v>
      </c>
    </row>
    <row r="51" spans="1:16" ht="18" customHeight="1">
      <c r="A51" s="85"/>
      <c r="B51" s="93"/>
      <c r="C51" s="87"/>
      <c r="D51" s="325" t="s">
        <v>0</v>
      </c>
      <c r="E51" s="325"/>
      <c r="F51" s="94">
        <f>SUM(F50:F50)</f>
        <v>6</v>
      </c>
      <c r="G51" s="95">
        <f>SUM(G50:G50)</f>
        <v>250.06306571251184</v>
      </c>
      <c r="H51" s="95">
        <f>SUM(H50:H50)</f>
        <v>94.175999999999988</v>
      </c>
      <c r="I51" s="97"/>
      <c r="J51" s="98"/>
    </row>
    <row r="52" spans="1:16" ht="18" customHeight="1">
      <c r="A52" s="218"/>
      <c r="B52" s="219"/>
      <c r="C52" s="220"/>
      <c r="D52" s="161"/>
      <c r="E52" s="161"/>
      <c r="F52" s="89"/>
      <c r="G52" s="100"/>
      <c r="H52" s="100"/>
      <c r="I52" s="102"/>
      <c r="J52" s="221"/>
    </row>
    <row r="53" spans="1:16" ht="18" customHeight="1">
      <c r="A53" s="85"/>
      <c r="B53" s="23" t="s">
        <v>203</v>
      </c>
      <c r="C53" s="24">
        <v>22</v>
      </c>
      <c r="D53" s="88">
        <v>738</v>
      </c>
      <c r="E53" s="88">
        <v>1810</v>
      </c>
      <c r="F53" s="89">
        <f t="shared" ref="F53:F54" si="31">O53</f>
        <v>12</v>
      </c>
      <c r="G53" s="90">
        <f t="shared" ref="G53:G54" si="32">D53*E53/91809*F53</f>
        <v>174.59464758357024</v>
      </c>
      <c r="H53" s="90">
        <f t="shared" ref="H53:H54" si="33">(D53/1000)*4*F53+(E53/1000)*4*F53</f>
        <v>122.304</v>
      </c>
      <c r="I53" s="91" t="str">
        <f>I50</f>
        <v>1동3라인</v>
      </c>
      <c r="J53" s="92" t="s">
        <v>219</v>
      </c>
      <c r="L53" s="89">
        <v>2</v>
      </c>
      <c r="M53" s="78">
        <f>M50</f>
        <v>6</v>
      </c>
      <c r="N53" s="84"/>
      <c r="O53" s="78">
        <f>L53*M53-N53*L53</f>
        <v>12</v>
      </c>
      <c r="P53" s="64"/>
    </row>
    <row r="54" spans="1:16" ht="18" customHeight="1">
      <c r="A54" s="85"/>
      <c r="B54" s="86"/>
      <c r="C54" s="87"/>
      <c r="D54" s="88">
        <v>250</v>
      </c>
      <c r="E54" s="88">
        <v>930</v>
      </c>
      <c r="F54" s="89">
        <f t="shared" si="31"/>
        <v>12</v>
      </c>
      <c r="G54" s="90">
        <f t="shared" si="32"/>
        <v>30.389177531614546</v>
      </c>
      <c r="H54" s="90">
        <f t="shared" si="33"/>
        <v>56.64</v>
      </c>
      <c r="I54" s="91" t="str">
        <f>I53</f>
        <v>1동3라인</v>
      </c>
      <c r="J54" s="92" t="s">
        <v>220</v>
      </c>
      <c r="L54" s="89">
        <v>2</v>
      </c>
      <c r="M54" s="78">
        <f>M53</f>
        <v>6</v>
      </c>
      <c r="N54" s="84"/>
      <c r="O54" s="78">
        <f t="shared" ref="O54" si="34">L54*M54-N54*L54</f>
        <v>12</v>
      </c>
    </row>
    <row r="55" spans="1:16" ht="18" customHeight="1">
      <c r="A55" s="85"/>
      <c r="B55" s="93"/>
      <c r="C55" s="87"/>
      <c r="D55" s="325" t="s">
        <v>0</v>
      </c>
      <c r="E55" s="325"/>
      <c r="F55" s="94">
        <f>SUM(F53:F54)</f>
        <v>24</v>
      </c>
      <c r="G55" s="95">
        <f>SUM(G53:G54)</f>
        <v>204.98382511518477</v>
      </c>
      <c r="H55" s="96">
        <f>SUM(H53:H54)</f>
        <v>178.94400000000002</v>
      </c>
      <c r="I55" s="97"/>
      <c r="J55" s="162"/>
    </row>
    <row r="56" spans="1:16" ht="18" customHeight="1" thickBot="1">
      <c r="A56" s="222"/>
      <c r="B56" s="223"/>
      <c r="C56" s="224"/>
      <c r="D56" s="225"/>
      <c r="E56" s="225"/>
      <c r="F56" s="226"/>
      <c r="G56" s="227"/>
      <c r="H56" s="228"/>
      <c r="I56" s="229"/>
      <c r="J56" s="230"/>
      <c r="L56" s="78" t="s">
        <v>48</v>
      </c>
      <c r="M56" s="78" t="s">
        <v>49</v>
      </c>
      <c r="N56" s="78" t="s">
        <v>50</v>
      </c>
      <c r="O56" s="78" t="s">
        <v>55</v>
      </c>
    </row>
    <row r="57" spans="1:16" ht="18" customHeight="1">
      <c r="A57" s="79" t="s">
        <v>234</v>
      </c>
      <c r="B57" s="231" t="s">
        <v>195</v>
      </c>
      <c r="C57" s="232">
        <v>22</v>
      </c>
      <c r="D57" s="80">
        <v>761</v>
      </c>
      <c r="E57" s="80">
        <v>1810</v>
      </c>
      <c r="F57" s="233">
        <f>O57</f>
        <v>12</v>
      </c>
      <c r="G57" s="81">
        <f t="shared" ref="G57:G63" si="35">D57*E57/91809*F57</f>
        <v>180.03594418847825</v>
      </c>
      <c r="H57" s="81">
        <f t="shared" ref="H57:H63" si="36">(D57/1000)*4*F57+(E57/1000)*4*F57</f>
        <v>123.40799999999999</v>
      </c>
      <c r="I57" s="82" t="s">
        <v>240</v>
      </c>
      <c r="J57" s="83" t="s">
        <v>205</v>
      </c>
      <c r="L57" s="89">
        <v>2</v>
      </c>
      <c r="M57" s="78">
        <v>6</v>
      </c>
      <c r="N57" s="84"/>
      <c r="O57" s="78">
        <f>L57*M57-N57*L57</f>
        <v>12</v>
      </c>
      <c r="P57" s="64"/>
    </row>
    <row r="58" spans="1:16" ht="18" customHeight="1">
      <c r="A58" s="85"/>
      <c r="B58" s="86"/>
      <c r="C58" s="87"/>
      <c r="D58" s="88">
        <v>1688</v>
      </c>
      <c r="E58" s="88">
        <v>1810</v>
      </c>
      <c r="F58" s="89">
        <f t="shared" ref="F58:F63" si="37">O58</f>
        <v>6</v>
      </c>
      <c r="G58" s="90">
        <f t="shared" si="35"/>
        <v>199.6719275887985</v>
      </c>
      <c r="H58" s="90">
        <f t="shared" si="36"/>
        <v>83.951999999999998</v>
      </c>
      <c r="I58" s="91" t="str">
        <f>I57</f>
        <v>1동4라인</v>
      </c>
      <c r="J58" s="92" t="s">
        <v>206</v>
      </c>
      <c r="L58" s="89">
        <v>1</v>
      </c>
      <c r="M58" s="78">
        <f>M57</f>
        <v>6</v>
      </c>
      <c r="N58" s="84"/>
      <c r="O58" s="78">
        <f t="shared" ref="O58:O63" si="38">L58*M58-N58*L58</f>
        <v>6</v>
      </c>
    </row>
    <row r="59" spans="1:16" ht="18" customHeight="1">
      <c r="A59" s="85"/>
      <c r="B59" s="86"/>
      <c r="C59" s="87"/>
      <c r="D59" s="88">
        <v>738</v>
      </c>
      <c r="E59" s="88">
        <v>1310</v>
      </c>
      <c r="F59" s="89">
        <f t="shared" si="37"/>
        <v>24</v>
      </c>
      <c r="G59" s="90">
        <f t="shared" si="35"/>
        <v>252.72816390549946</v>
      </c>
      <c r="H59" s="90">
        <f t="shared" si="36"/>
        <v>196.608</v>
      </c>
      <c r="I59" s="91" t="str">
        <f t="shared" ref="I59:I63" si="39">I58</f>
        <v>1동4라인</v>
      </c>
      <c r="J59" s="92" t="s">
        <v>207</v>
      </c>
      <c r="L59" s="89">
        <v>4</v>
      </c>
      <c r="M59" s="78">
        <f t="shared" ref="M59:M62" si="40">M58</f>
        <v>6</v>
      </c>
      <c r="N59" s="78"/>
      <c r="O59" s="78">
        <f t="shared" si="38"/>
        <v>24</v>
      </c>
    </row>
    <row r="60" spans="1:16" ht="18" customHeight="1">
      <c r="A60" s="85"/>
      <c r="B60" s="86"/>
      <c r="C60" s="87"/>
      <c r="D60" s="88">
        <v>288</v>
      </c>
      <c r="E60" s="88">
        <v>910</v>
      </c>
      <c r="F60" s="89">
        <f t="shared" si="37"/>
        <v>12</v>
      </c>
      <c r="G60" s="90">
        <f t="shared" si="35"/>
        <v>34.255465150475445</v>
      </c>
      <c r="H60" s="90">
        <f t="shared" si="36"/>
        <v>57.503999999999998</v>
      </c>
      <c r="I60" s="91" t="str">
        <f t="shared" si="39"/>
        <v>1동4라인</v>
      </c>
      <c r="J60" s="92" t="s">
        <v>208</v>
      </c>
      <c r="L60" s="89">
        <v>2</v>
      </c>
      <c r="M60" s="78">
        <f t="shared" si="40"/>
        <v>6</v>
      </c>
      <c r="N60" s="78"/>
      <c r="O60" s="78">
        <f t="shared" si="38"/>
        <v>12</v>
      </c>
    </row>
    <row r="61" spans="1:16" ht="18" customHeight="1">
      <c r="A61" s="85"/>
      <c r="B61" s="86"/>
      <c r="C61" s="87"/>
      <c r="D61" s="88">
        <v>228</v>
      </c>
      <c r="E61" s="88">
        <v>910</v>
      </c>
      <c r="F61" s="89">
        <f t="shared" si="37"/>
        <v>12</v>
      </c>
      <c r="G61" s="90">
        <f t="shared" si="35"/>
        <v>27.118909910793057</v>
      </c>
      <c r="H61" s="90">
        <f t="shared" si="36"/>
        <v>54.624000000000002</v>
      </c>
      <c r="I61" s="91" t="str">
        <f t="shared" si="39"/>
        <v>1동4라인</v>
      </c>
      <c r="J61" s="92" t="s">
        <v>209</v>
      </c>
      <c r="L61" s="89">
        <v>2</v>
      </c>
      <c r="M61" s="78">
        <f t="shared" si="40"/>
        <v>6</v>
      </c>
      <c r="N61" s="78"/>
      <c r="O61" s="78">
        <f t="shared" si="38"/>
        <v>12</v>
      </c>
    </row>
    <row r="62" spans="1:16" ht="18" customHeight="1">
      <c r="A62" s="85"/>
      <c r="B62" s="86"/>
      <c r="C62" s="87"/>
      <c r="D62" s="88">
        <v>438</v>
      </c>
      <c r="E62" s="88">
        <v>270</v>
      </c>
      <c r="F62" s="89">
        <f t="shared" si="37"/>
        <v>12</v>
      </c>
      <c r="G62" s="90">
        <f t="shared" si="35"/>
        <v>15.45730810704833</v>
      </c>
      <c r="H62" s="90">
        <f t="shared" si="36"/>
        <v>33.984000000000002</v>
      </c>
      <c r="I62" s="91" t="str">
        <f t="shared" si="39"/>
        <v>1동4라인</v>
      </c>
      <c r="J62" s="92" t="s">
        <v>210</v>
      </c>
      <c r="L62" s="89">
        <v>2</v>
      </c>
      <c r="M62" s="78">
        <f t="shared" si="40"/>
        <v>6</v>
      </c>
      <c r="N62" s="78"/>
      <c r="O62" s="78">
        <f t="shared" si="38"/>
        <v>12</v>
      </c>
    </row>
    <row r="63" spans="1:16" ht="18" customHeight="1">
      <c r="A63" s="85"/>
      <c r="B63" s="86"/>
      <c r="C63" s="87"/>
      <c r="D63" s="88">
        <v>208</v>
      </c>
      <c r="E63" s="88">
        <v>910</v>
      </c>
      <c r="F63" s="89">
        <f t="shared" si="37"/>
        <v>12</v>
      </c>
      <c r="G63" s="90">
        <f t="shared" si="35"/>
        <v>24.740058164232266</v>
      </c>
      <c r="H63" s="90">
        <f t="shared" si="36"/>
        <v>53.664000000000001</v>
      </c>
      <c r="I63" s="91" t="str">
        <f t="shared" si="39"/>
        <v>1동4라인</v>
      </c>
      <c r="J63" s="92" t="s">
        <v>211</v>
      </c>
      <c r="L63" s="89">
        <v>2</v>
      </c>
      <c r="M63" s="78">
        <f>M62</f>
        <v>6</v>
      </c>
      <c r="N63" s="78"/>
      <c r="O63" s="78">
        <f t="shared" si="38"/>
        <v>12</v>
      </c>
    </row>
    <row r="64" spans="1:16" ht="18" customHeight="1">
      <c r="A64" s="85"/>
      <c r="B64" s="93"/>
      <c r="C64" s="87"/>
      <c r="D64" s="325" t="s">
        <v>0</v>
      </c>
      <c r="E64" s="325"/>
      <c r="F64" s="94">
        <f>SUM(F57:F63)</f>
        <v>90</v>
      </c>
      <c r="G64" s="95">
        <f>SUM(G57:G63)</f>
        <v>734.00777701532525</v>
      </c>
      <c r="H64" s="96">
        <f>SUM(H57:H63)</f>
        <v>603.74400000000003</v>
      </c>
      <c r="I64" s="97"/>
      <c r="J64" s="162"/>
    </row>
    <row r="65" spans="1:16" ht="18" customHeight="1">
      <c r="A65" s="85"/>
      <c r="B65" s="93"/>
      <c r="C65" s="87"/>
      <c r="D65" s="161"/>
      <c r="E65" s="161"/>
      <c r="F65" s="89"/>
      <c r="G65" s="100"/>
      <c r="H65" s="101"/>
      <c r="I65" s="102"/>
      <c r="J65" s="121"/>
      <c r="L65" s="78" t="s">
        <v>48</v>
      </c>
      <c r="M65" s="78" t="s">
        <v>54</v>
      </c>
      <c r="N65" s="78" t="s">
        <v>50</v>
      </c>
      <c r="O65" s="78" t="s">
        <v>55</v>
      </c>
    </row>
    <row r="66" spans="1:16" ht="18" customHeight="1">
      <c r="A66" s="85"/>
      <c r="B66" s="23" t="s">
        <v>197</v>
      </c>
      <c r="C66" s="24">
        <v>22</v>
      </c>
      <c r="D66" s="88">
        <v>761</v>
      </c>
      <c r="E66" s="88">
        <v>1810</v>
      </c>
      <c r="F66" s="89">
        <f t="shared" ref="F66:F72" si="41">O66</f>
        <v>12</v>
      </c>
      <c r="G66" s="90">
        <f t="shared" ref="G66:G72" si="42">D66*E66/91809*F66</f>
        <v>180.03594418847825</v>
      </c>
      <c r="H66" s="90">
        <f t="shared" ref="H66:H72" si="43">(D66/1000)*4*F66+(E66/1000)*4*F66</f>
        <v>123.40799999999999</v>
      </c>
      <c r="I66" s="91" t="str">
        <f t="shared" ref="I66:I72" si="44">I57</f>
        <v>1동4라인</v>
      </c>
      <c r="J66" s="92" t="s">
        <v>212</v>
      </c>
      <c r="L66" s="89">
        <v>2</v>
      </c>
      <c r="M66" s="78">
        <f>M57</f>
        <v>6</v>
      </c>
      <c r="N66" s="84"/>
      <c r="O66" s="78">
        <f>L66*M66-N66*L66</f>
        <v>12</v>
      </c>
    </row>
    <row r="67" spans="1:16" ht="18" customHeight="1">
      <c r="A67" s="85"/>
      <c r="B67" s="86"/>
      <c r="C67" s="87"/>
      <c r="D67" s="88">
        <v>1688</v>
      </c>
      <c r="E67" s="88">
        <v>1810</v>
      </c>
      <c r="F67" s="89">
        <f t="shared" si="41"/>
        <v>6</v>
      </c>
      <c r="G67" s="90">
        <f t="shared" si="42"/>
        <v>199.6719275887985</v>
      </c>
      <c r="H67" s="90">
        <f t="shared" si="43"/>
        <v>83.951999999999998</v>
      </c>
      <c r="I67" s="91" t="str">
        <f t="shared" si="44"/>
        <v>1동4라인</v>
      </c>
      <c r="J67" s="92" t="s">
        <v>213</v>
      </c>
      <c r="L67" s="89">
        <v>1</v>
      </c>
      <c r="M67" s="78">
        <f>M66</f>
        <v>6</v>
      </c>
      <c r="N67" s="84"/>
      <c r="O67" s="78">
        <f>L67*M67-N67*L67</f>
        <v>6</v>
      </c>
    </row>
    <row r="68" spans="1:16" ht="18" customHeight="1">
      <c r="A68" s="104"/>
      <c r="B68" s="93"/>
      <c r="C68" s="87"/>
      <c r="D68" s="88">
        <v>738</v>
      </c>
      <c r="E68" s="88">
        <v>1310</v>
      </c>
      <c r="F68" s="89">
        <f t="shared" si="41"/>
        <v>24</v>
      </c>
      <c r="G68" s="90">
        <f t="shared" si="42"/>
        <v>252.72816390549946</v>
      </c>
      <c r="H68" s="90">
        <f t="shared" si="43"/>
        <v>196.608</v>
      </c>
      <c r="I68" s="91" t="str">
        <f t="shared" si="44"/>
        <v>1동4라인</v>
      </c>
      <c r="J68" s="92" t="s">
        <v>214</v>
      </c>
      <c r="L68" s="89">
        <v>4</v>
      </c>
      <c r="M68" s="78">
        <f t="shared" ref="M68:M72" si="45">M67</f>
        <v>6</v>
      </c>
      <c r="N68" s="84"/>
      <c r="O68" s="78">
        <f t="shared" ref="O68:O72" si="46">L68*M68-N68*L68</f>
        <v>24</v>
      </c>
    </row>
    <row r="69" spans="1:16" ht="18" customHeight="1">
      <c r="A69" s="104"/>
      <c r="B69" s="93"/>
      <c r="C69" s="87"/>
      <c r="D69" s="88">
        <v>288</v>
      </c>
      <c r="E69" s="88">
        <v>910</v>
      </c>
      <c r="F69" s="89">
        <f t="shared" si="41"/>
        <v>12</v>
      </c>
      <c r="G69" s="90">
        <f t="shared" si="42"/>
        <v>34.255465150475445</v>
      </c>
      <c r="H69" s="90">
        <f t="shared" si="43"/>
        <v>57.503999999999998</v>
      </c>
      <c r="I69" s="91" t="str">
        <f t="shared" si="44"/>
        <v>1동4라인</v>
      </c>
      <c r="J69" s="92" t="s">
        <v>215</v>
      </c>
      <c r="L69" s="89">
        <v>2</v>
      </c>
      <c r="M69" s="78">
        <f t="shared" si="45"/>
        <v>6</v>
      </c>
      <c r="N69" s="78"/>
      <c r="O69" s="78">
        <f t="shared" si="46"/>
        <v>12</v>
      </c>
    </row>
    <row r="70" spans="1:16" ht="18" customHeight="1">
      <c r="A70" s="104"/>
      <c r="B70" s="93"/>
      <c r="C70" s="87"/>
      <c r="D70" s="88">
        <v>228</v>
      </c>
      <c r="E70" s="88">
        <v>910</v>
      </c>
      <c r="F70" s="89">
        <f t="shared" si="41"/>
        <v>12</v>
      </c>
      <c r="G70" s="90">
        <f t="shared" si="42"/>
        <v>27.118909910793057</v>
      </c>
      <c r="H70" s="90">
        <f t="shared" si="43"/>
        <v>54.624000000000002</v>
      </c>
      <c r="I70" s="91" t="str">
        <f t="shared" si="44"/>
        <v>1동4라인</v>
      </c>
      <c r="J70" s="92" t="s">
        <v>216</v>
      </c>
      <c r="L70" s="89">
        <v>2</v>
      </c>
      <c r="M70" s="78">
        <f t="shared" si="45"/>
        <v>6</v>
      </c>
      <c r="N70" s="78"/>
      <c r="O70" s="78">
        <f t="shared" si="46"/>
        <v>12</v>
      </c>
    </row>
    <row r="71" spans="1:16" ht="18" customHeight="1">
      <c r="A71" s="104"/>
      <c r="B71" s="93"/>
      <c r="C71" s="87"/>
      <c r="D71" s="88">
        <v>438</v>
      </c>
      <c r="E71" s="88">
        <v>270</v>
      </c>
      <c r="F71" s="89">
        <f t="shared" si="41"/>
        <v>12</v>
      </c>
      <c r="G71" s="90">
        <f t="shared" si="42"/>
        <v>15.45730810704833</v>
      </c>
      <c r="H71" s="90">
        <f t="shared" si="43"/>
        <v>33.984000000000002</v>
      </c>
      <c r="I71" s="91" t="str">
        <f t="shared" si="44"/>
        <v>1동4라인</v>
      </c>
      <c r="J71" s="92" t="s">
        <v>217</v>
      </c>
      <c r="L71" s="89">
        <v>2</v>
      </c>
      <c r="M71" s="78">
        <f t="shared" si="45"/>
        <v>6</v>
      </c>
      <c r="N71" s="78"/>
      <c r="O71" s="78">
        <f t="shared" si="46"/>
        <v>12</v>
      </c>
    </row>
    <row r="72" spans="1:16" ht="18" customHeight="1">
      <c r="A72" s="104"/>
      <c r="B72" s="93"/>
      <c r="C72" s="87"/>
      <c r="D72" s="88">
        <v>208</v>
      </c>
      <c r="E72" s="88">
        <v>910</v>
      </c>
      <c r="F72" s="89">
        <f t="shared" si="41"/>
        <v>12</v>
      </c>
      <c r="G72" s="90">
        <f t="shared" si="42"/>
        <v>24.740058164232266</v>
      </c>
      <c r="H72" s="90">
        <f t="shared" si="43"/>
        <v>53.664000000000001</v>
      </c>
      <c r="I72" s="91" t="str">
        <f t="shared" si="44"/>
        <v>1동4라인</v>
      </c>
      <c r="J72" s="92" t="s">
        <v>218</v>
      </c>
      <c r="L72" s="89">
        <v>2</v>
      </c>
      <c r="M72" s="78">
        <f t="shared" si="45"/>
        <v>6</v>
      </c>
      <c r="N72" s="78"/>
      <c r="O72" s="78">
        <f t="shared" si="46"/>
        <v>12</v>
      </c>
    </row>
    <row r="73" spans="1:16" ht="18" customHeight="1">
      <c r="A73" s="104"/>
      <c r="B73" s="87"/>
      <c r="C73" s="87"/>
      <c r="D73" s="325" t="s">
        <v>0</v>
      </c>
      <c r="E73" s="325"/>
      <c r="F73" s="171">
        <f>SUM(F66:F72)</f>
        <v>90</v>
      </c>
      <c r="G73" s="95">
        <f>SUM(G66:G72)</f>
        <v>734.00777701532525</v>
      </c>
      <c r="H73" s="95">
        <f>SUM(H66:H72)</f>
        <v>603.74400000000003</v>
      </c>
      <c r="I73" s="97"/>
      <c r="J73" s="98"/>
    </row>
    <row r="74" spans="1:16">
      <c r="A74" s="105"/>
      <c r="B74" s="9"/>
      <c r="C74" s="9"/>
      <c r="D74" s="51"/>
      <c r="E74" s="51"/>
      <c r="F74" s="51"/>
      <c r="G74" s="106"/>
      <c r="H74" s="106"/>
      <c r="I74" s="9"/>
      <c r="J74" s="107"/>
    </row>
    <row r="75" spans="1:16" ht="18" customHeight="1">
      <c r="A75" s="85"/>
      <c r="B75" s="163" t="s">
        <v>199</v>
      </c>
      <c r="C75" s="163">
        <v>22</v>
      </c>
      <c r="D75" s="88">
        <v>738</v>
      </c>
      <c r="E75" s="88">
        <v>1810</v>
      </c>
      <c r="F75" s="89">
        <f t="shared" ref="F75:F76" si="47">O75</f>
        <v>12</v>
      </c>
      <c r="G75" s="90">
        <f t="shared" ref="G75:G76" si="48">D75*E75/91809*F75</f>
        <v>174.59464758357024</v>
      </c>
      <c r="H75" s="90">
        <f t="shared" ref="H75:H76" si="49">(D75/1000)*4*F75+(E75/1000)*4*F75</f>
        <v>122.304</v>
      </c>
      <c r="I75" s="91" t="str">
        <f>I66</f>
        <v>1동4라인</v>
      </c>
      <c r="J75" s="92" t="s">
        <v>219</v>
      </c>
      <c r="L75" s="89">
        <v>2</v>
      </c>
      <c r="M75" s="78">
        <f>M57</f>
        <v>6</v>
      </c>
      <c r="N75" s="84"/>
      <c r="O75" s="78">
        <f>L75*M75-N75*L75</f>
        <v>12</v>
      </c>
      <c r="P75" s="64"/>
    </row>
    <row r="76" spans="1:16" ht="18" customHeight="1">
      <c r="A76" s="85"/>
      <c r="B76" s="86"/>
      <c r="C76" s="87"/>
      <c r="D76" s="88">
        <v>250</v>
      </c>
      <c r="E76" s="88">
        <v>930</v>
      </c>
      <c r="F76" s="89">
        <f t="shared" si="47"/>
        <v>12</v>
      </c>
      <c r="G76" s="90">
        <f t="shared" si="48"/>
        <v>30.389177531614546</v>
      </c>
      <c r="H76" s="90">
        <f t="shared" si="49"/>
        <v>56.64</v>
      </c>
      <c r="I76" s="91" t="str">
        <f>I75</f>
        <v>1동4라인</v>
      </c>
      <c r="J76" s="92" t="s">
        <v>220</v>
      </c>
      <c r="L76" s="89">
        <v>2</v>
      </c>
      <c r="M76" s="78">
        <f>M75</f>
        <v>6</v>
      </c>
      <c r="N76" s="84"/>
      <c r="O76" s="78">
        <f t="shared" ref="O76" si="50">L76*M76-N76*L76</f>
        <v>12</v>
      </c>
    </row>
    <row r="77" spans="1:16" ht="18" customHeight="1">
      <c r="A77" s="85"/>
      <c r="B77" s="93"/>
      <c r="C77" s="87"/>
      <c r="D77" s="325" t="s">
        <v>0</v>
      </c>
      <c r="E77" s="325"/>
      <c r="F77" s="94">
        <f>SUM(F75:F76)</f>
        <v>24</v>
      </c>
      <c r="G77" s="95">
        <f>SUM(G75:G76)</f>
        <v>204.98382511518477</v>
      </c>
      <c r="H77" s="95">
        <f>SUM(H75:H76)</f>
        <v>178.94400000000002</v>
      </c>
      <c r="I77" s="97"/>
      <c r="J77" s="98"/>
    </row>
    <row r="78" spans="1:16" ht="18" customHeight="1">
      <c r="A78" s="236"/>
      <c r="B78" s="237"/>
      <c r="C78" s="238"/>
      <c r="D78" s="362"/>
      <c r="E78" s="362"/>
      <c r="F78" s="239"/>
      <c r="G78" s="240"/>
      <c r="H78" s="241"/>
      <c r="I78" s="242"/>
      <c r="J78" s="243"/>
    </row>
    <row r="79" spans="1:16" ht="18" customHeight="1">
      <c r="A79" s="244" t="s">
        <v>234</v>
      </c>
      <c r="B79" s="23" t="s">
        <v>195</v>
      </c>
      <c r="C79" s="24">
        <v>22</v>
      </c>
      <c r="D79" s="88">
        <v>761</v>
      </c>
      <c r="E79" s="88">
        <v>1810</v>
      </c>
      <c r="F79" s="89">
        <f>O79</f>
        <v>12</v>
      </c>
      <c r="G79" s="90">
        <f t="shared" ref="G79:G85" si="51">D79*E79/91809*F79</f>
        <v>180.03594418847825</v>
      </c>
      <c r="H79" s="90">
        <f t="shared" ref="H79:H85" si="52">(D79/1000)*4*F79+(E79/1000)*4*F79</f>
        <v>123.40799999999999</v>
      </c>
      <c r="I79" s="91" t="s">
        <v>241</v>
      </c>
      <c r="J79" s="163" t="s">
        <v>205</v>
      </c>
      <c r="L79" s="89">
        <v>2</v>
      </c>
      <c r="M79" s="78">
        <v>6</v>
      </c>
      <c r="N79" s="84"/>
      <c r="O79" s="78">
        <f>L79*M79-N79*L79</f>
        <v>12</v>
      </c>
      <c r="P79" s="64"/>
    </row>
    <row r="80" spans="1:16" ht="18" customHeight="1">
      <c r="A80" s="85"/>
      <c r="B80" s="86"/>
      <c r="C80" s="87"/>
      <c r="D80" s="88">
        <v>1688</v>
      </c>
      <c r="E80" s="88">
        <v>1810</v>
      </c>
      <c r="F80" s="89">
        <f t="shared" ref="F80:F85" si="53">O80</f>
        <v>6</v>
      </c>
      <c r="G80" s="90">
        <f t="shared" si="51"/>
        <v>199.6719275887985</v>
      </c>
      <c r="H80" s="90">
        <f t="shared" si="52"/>
        <v>83.951999999999998</v>
      </c>
      <c r="I80" s="91" t="str">
        <f>I79</f>
        <v>1동5라인</v>
      </c>
      <c r="J80" s="92" t="s">
        <v>206</v>
      </c>
      <c r="L80" s="89">
        <v>1</v>
      </c>
      <c r="M80" s="78">
        <f>M79</f>
        <v>6</v>
      </c>
      <c r="N80" s="84"/>
      <c r="O80" s="78">
        <f t="shared" ref="O80:O85" si="54">L80*M80-N80*L80</f>
        <v>6</v>
      </c>
    </row>
    <row r="81" spans="1:15" ht="18" customHeight="1">
      <c r="A81" s="85"/>
      <c r="B81" s="86"/>
      <c r="C81" s="87"/>
      <c r="D81" s="88">
        <v>738</v>
      </c>
      <c r="E81" s="88">
        <v>1310</v>
      </c>
      <c r="F81" s="89">
        <f t="shared" si="53"/>
        <v>24</v>
      </c>
      <c r="G81" s="90">
        <f t="shared" si="51"/>
        <v>252.72816390549946</v>
      </c>
      <c r="H81" s="90">
        <f t="shared" si="52"/>
        <v>196.608</v>
      </c>
      <c r="I81" s="91" t="str">
        <f t="shared" ref="I81:I85" si="55">I80</f>
        <v>1동5라인</v>
      </c>
      <c r="J81" s="92" t="s">
        <v>207</v>
      </c>
      <c r="L81" s="89">
        <v>4</v>
      </c>
      <c r="M81" s="78">
        <f t="shared" ref="M81:M84" si="56">M80</f>
        <v>6</v>
      </c>
      <c r="N81" s="78"/>
      <c r="O81" s="78">
        <f t="shared" si="54"/>
        <v>24</v>
      </c>
    </row>
    <row r="82" spans="1:15" ht="18" customHeight="1">
      <c r="A82" s="85"/>
      <c r="B82" s="86"/>
      <c r="C82" s="87"/>
      <c r="D82" s="88">
        <v>288</v>
      </c>
      <c r="E82" s="88">
        <v>910</v>
      </c>
      <c r="F82" s="89">
        <f t="shared" si="53"/>
        <v>12</v>
      </c>
      <c r="G82" s="90">
        <f t="shared" si="51"/>
        <v>34.255465150475445</v>
      </c>
      <c r="H82" s="90">
        <f t="shared" si="52"/>
        <v>57.503999999999998</v>
      </c>
      <c r="I82" s="91" t="str">
        <f t="shared" si="55"/>
        <v>1동5라인</v>
      </c>
      <c r="J82" s="92" t="s">
        <v>208</v>
      </c>
      <c r="L82" s="89">
        <v>2</v>
      </c>
      <c r="M82" s="78">
        <f t="shared" si="56"/>
        <v>6</v>
      </c>
      <c r="N82" s="78"/>
      <c r="O82" s="78">
        <f t="shared" si="54"/>
        <v>12</v>
      </c>
    </row>
    <row r="83" spans="1:15" ht="18" customHeight="1">
      <c r="A83" s="85"/>
      <c r="B83" s="86"/>
      <c r="C83" s="87"/>
      <c r="D83" s="88">
        <v>228</v>
      </c>
      <c r="E83" s="88">
        <v>910</v>
      </c>
      <c r="F83" s="89">
        <f t="shared" si="53"/>
        <v>12</v>
      </c>
      <c r="G83" s="90">
        <f t="shared" si="51"/>
        <v>27.118909910793057</v>
      </c>
      <c r="H83" s="90">
        <f t="shared" si="52"/>
        <v>54.624000000000002</v>
      </c>
      <c r="I83" s="91" t="str">
        <f t="shared" si="55"/>
        <v>1동5라인</v>
      </c>
      <c r="J83" s="92" t="s">
        <v>209</v>
      </c>
      <c r="L83" s="89">
        <v>2</v>
      </c>
      <c r="M83" s="78">
        <f t="shared" si="56"/>
        <v>6</v>
      </c>
      <c r="N83" s="78"/>
      <c r="O83" s="78">
        <f t="shared" si="54"/>
        <v>12</v>
      </c>
    </row>
    <row r="84" spans="1:15" ht="18" customHeight="1">
      <c r="A84" s="85"/>
      <c r="B84" s="86"/>
      <c r="C84" s="87"/>
      <c r="D84" s="88">
        <v>438</v>
      </c>
      <c r="E84" s="88">
        <v>270</v>
      </c>
      <c r="F84" s="89">
        <f t="shared" si="53"/>
        <v>12</v>
      </c>
      <c r="G84" s="90">
        <f t="shared" si="51"/>
        <v>15.45730810704833</v>
      </c>
      <c r="H84" s="90">
        <f t="shared" si="52"/>
        <v>33.984000000000002</v>
      </c>
      <c r="I84" s="91" t="str">
        <f t="shared" si="55"/>
        <v>1동5라인</v>
      </c>
      <c r="J84" s="92" t="s">
        <v>210</v>
      </c>
      <c r="L84" s="89">
        <v>2</v>
      </c>
      <c r="M84" s="78">
        <f t="shared" si="56"/>
        <v>6</v>
      </c>
      <c r="N84" s="78"/>
      <c r="O84" s="78">
        <f t="shared" si="54"/>
        <v>12</v>
      </c>
    </row>
    <row r="85" spans="1:15" ht="18" customHeight="1">
      <c r="A85" s="85"/>
      <c r="B85" s="86"/>
      <c r="C85" s="87"/>
      <c r="D85" s="88">
        <v>208</v>
      </c>
      <c r="E85" s="88">
        <v>910</v>
      </c>
      <c r="F85" s="89">
        <f t="shared" si="53"/>
        <v>12</v>
      </c>
      <c r="G85" s="90">
        <f t="shared" si="51"/>
        <v>24.740058164232266</v>
      </c>
      <c r="H85" s="90">
        <f t="shared" si="52"/>
        <v>53.664000000000001</v>
      </c>
      <c r="I85" s="91" t="str">
        <f t="shared" si="55"/>
        <v>1동5라인</v>
      </c>
      <c r="J85" s="92" t="s">
        <v>211</v>
      </c>
      <c r="L85" s="89">
        <v>2</v>
      </c>
      <c r="M85" s="78">
        <f>M84</f>
        <v>6</v>
      </c>
      <c r="N85" s="78"/>
      <c r="O85" s="78">
        <f t="shared" si="54"/>
        <v>12</v>
      </c>
    </row>
    <row r="86" spans="1:15" ht="18" customHeight="1">
      <c r="A86" s="85"/>
      <c r="B86" s="93"/>
      <c r="C86" s="87"/>
      <c r="D86" s="325" t="s">
        <v>0</v>
      </c>
      <c r="E86" s="325"/>
      <c r="F86" s="94">
        <f>SUM(F79:F85)</f>
        <v>90</v>
      </c>
      <c r="G86" s="95">
        <f>SUM(G79:G85)</f>
        <v>734.00777701532525</v>
      </c>
      <c r="H86" s="96">
        <f>SUM(H79:H85)</f>
        <v>603.74400000000003</v>
      </c>
      <c r="I86" s="97"/>
      <c r="J86" s="162"/>
    </row>
    <row r="87" spans="1:15" ht="18" customHeight="1">
      <c r="A87" s="85"/>
      <c r="B87" s="93"/>
      <c r="C87" s="87"/>
      <c r="D87" s="161"/>
      <c r="E87" s="161"/>
      <c r="F87" s="89"/>
      <c r="G87" s="100"/>
      <c r="H87" s="101"/>
      <c r="I87" s="102"/>
      <c r="J87" s="121"/>
      <c r="L87" s="78" t="s">
        <v>48</v>
      </c>
      <c r="M87" s="78" t="s">
        <v>54</v>
      </c>
      <c r="N87" s="78" t="s">
        <v>50</v>
      </c>
      <c r="O87" s="78" t="s">
        <v>55</v>
      </c>
    </row>
    <row r="88" spans="1:15" ht="18" customHeight="1">
      <c r="A88" s="85"/>
      <c r="B88" s="23" t="s">
        <v>197</v>
      </c>
      <c r="C88" s="24">
        <v>22</v>
      </c>
      <c r="D88" s="88">
        <v>761</v>
      </c>
      <c r="E88" s="88">
        <v>1810</v>
      </c>
      <c r="F88" s="89">
        <f t="shared" ref="F88:F94" si="57">O88</f>
        <v>12</v>
      </c>
      <c r="G88" s="90">
        <f t="shared" ref="G88:G94" si="58">D88*E88/91809*F88</f>
        <v>180.03594418847825</v>
      </c>
      <c r="H88" s="90">
        <f t="shared" ref="H88:H94" si="59">(D88/1000)*4*F88+(E88/1000)*4*F88</f>
        <v>123.40799999999999</v>
      </c>
      <c r="I88" s="91" t="str">
        <f t="shared" ref="I88:I94" si="60">I79</f>
        <v>1동5라인</v>
      </c>
      <c r="J88" s="92" t="s">
        <v>212</v>
      </c>
      <c r="L88" s="89">
        <v>2</v>
      </c>
      <c r="M88" s="78">
        <f>M79</f>
        <v>6</v>
      </c>
      <c r="N88" s="84"/>
      <c r="O88" s="78">
        <f>L88*M88-N88*L88</f>
        <v>12</v>
      </c>
    </row>
    <row r="89" spans="1:15" ht="18" customHeight="1">
      <c r="A89" s="85"/>
      <c r="B89" s="86"/>
      <c r="C89" s="87"/>
      <c r="D89" s="88">
        <v>1688</v>
      </c>
      <c r="E89" s="88">
        <v>1810</v>
      </c>
      <c r="F89" s="89">
        <f t="shared" si="57"/>
        <v>6</v>
      </c>
      <c r="G89" s="90">
        <f t="shared" si="58"/>
        <v>199.6719275887985</v>
      </c>
      <c r="H89" s="90">
        <f t="shared" si="59"/>
        <v>83.951999999999998</v>
      </c>
      <c r="I89" s="91" t="str">
        <f t="shared" si="60"/>
        <v>1동5라인</v>
      </c>
      <c r="J89" s="92" t="s">
        <v>213</v>
      </c>
      <c r="L89" s="89">
        <v>1</v>
      </c>
      <c r="M89" s="78">
        <f>M88</f>
        <v>6</v>
      </c>
      <c r="N89" s="84"/>
      <c r="O89" s="78">
        <f>L89*M89-N89*L89</f>
        <v>6</v>
      </c>
    </row>
    <row r="90" spans="1:15" ht="18" customHeight="1">
      <c r="A90" s="104"/>
      <c r="B90" s="93"/>
      <c r="C90" s="87"/>
      <c r="D90" s="88">
        <v>738</v>
      </c>
      <c r="E90" s="88">
        <v>1310</v>
      </c>
      <c r="F90" s="89">
        <f t="shared" si="57"/>
        <v>24</v>
      </c>
      <c r="G90" s="90">
        <f t="shared" si="58"/>
        <v>252.72816390549946</v>
      </c>
      <c r="H90" s="90">
        <f t="shared" si="59"/>
        <v>196.608</v>
      </c>
      <c r="I90" s="91" t="str">
        <f t="shared" si="60"/>
        <v>1동5라인</v>
      </c>
      <c r="J90" s="92" t="s">
        <v>214</v>
      </c>
      <c r="L90" s="89">
        <v>4</v>
      </c>
      <c r="M90" s="78">
        <f t="shared" ref="M90:M94" si="61">M89</f>
        <v>6</v>
      </c>
      <c r="N90" s="84"/>
      <c r="O90" s="78">
        <f t="shared" ref="O90:O94" si="62">L90*M90-N90*L90</f>
        <v>24</v>
      </c>
    </row>
    <row r="91" spans="1:15" ht="18" customHeight="1">
      <c r="A91" s="104"/>
      <c r="B91" s="93"/>
      <c r="C91" s="87"/>
      <c r="D91" s="88">
        <v>288</v>
      </c>
      <c r="E91" s="88">
        <v>910</v>
      </c>
      <c r="F91" s="89">
        <f t="shared" si="57"/>
        <v>12</v>
      </c>
      <c r="G91" s="90">
        <f t="shared" si="58"/>
        <v>34.255465150475445</v>
      </c>
      <c r="H91" s="90">
        <f t="shared" si="59"/>
        <v>57.503999999999998</v>
      </c>
      <c r="I91" s="91" t="str">
        <f t="shared" si="60"/>
        <v>1동5라인</v>
      </c>
      <c r="J91" s="92" t="s">
        <v>215</v>
      </c>
      <c r="L91" s="89">
        <v>2</v>
      </c>
      <c r="M91" s="78">
        <f t="shared" si="61"/>
        <v>6</v>
      </c>
      <c r="N91" s="78"/>
      <c r="O91" s="78">
        <f t="shared" si="62"/>
        <v>12</v>
      </c>
    </row>
    <row r="92" spans="1:15" ht="18" customHeight="1">
      <c r="A92" s="104"/>
      <c r="B92" s="93"/>
      <c r="C92" s="87"/>
      <c r="D92" s="88">
        <v>228</v>
      </c>
      <c r="E92" s="88">
        <v>910</v>
      </c>
      <c r="F92" s="89">
        <f t="shared" si="57"/>
        <v>12</v>
      </c>
      <c r="G92" s="90">
        <f t="shared" si="58"/>
        <v>27.118909910793057</v>
      </c>
      <c r="H92" s="90">
        <f t="shared" si="59"/>
        <v>54.624000000000002</v>
      </c>
      <c r="I92" s="91" t="str">
        <f t="shared" si="60"/>
        <v>1동5라인</v>
      </c>
      <c r="J92" s="92" t="s">
        <v>216</v>
      </c>
      <c r="L92" s="89">
        <v>2</v>
      </c>
      <c r="M92" s="78">
        <f t="shared" si="61"/>
        <v>6</v>
      </c>
      <c r="N92" s="78"/>
      <c r="O92" s="78">
        <f t="shared" si="62"/>
        <v>12</v>
      </c>
    </row>
    <row r="93" spans="1:15" ht="18" customHeight="1">
      <c r="A93" s="104"/>
      <c r="B93" s="93"/>
      <c r="C93" s="87"/>
      <c r="D93" s="88">
        <v>438</v>
      </c>
      <c r="E93" s="88">
        <v>270</v>
      </c>
      <c r="F93" s="89">
        <f t="shared" si="57"/>
        <v>12</v>
      </c>
      <c r="G93" s="90">
        <f t="shared" si="58"/>
        <v>15.45730810704833</v>
      </c>
      <c r="H93" s="90">
        <f t="shared" si="59"/>
        <v>33.984000000000002</v>
      </c>
      <c r="I93" s="91" t="str">
        <f t="shared" si="60"/>
        <v>1동5라인</v>
      </c>
      <c r="J93" s="92" t="s">
        <v>217</v>
      </c>
      <c r="L93" s="89">
        <v>2</v>
      </c>
      <c r="M93" s="78">
        <f t="shared" si="61"/>
        <v>6</v>
      </c>
      <c r="N93" s="78"/>
      <c r="O93" s="78">
        <f t="shared" si="62"/>
        <v>12</v>
      </c>
    </row>
    <row r="94" spans="1:15" ht="18" customHeight="1">
      <c r="A94" s="104"/>
      <c r="B94" s="93"/>
      <c r="C94" s="87"/>
      <c r="D94" s="88">
        <v>208</v>
      </c>
      <c r="E94" s="88">
        <v>910</v>
      </c>
      <c r="F94" s="89">
        <f t="shared" si="57"/>
        <v>12</v>
      </c>
      <c r="G94" s="90">
        <f t="shared" si="58"/>
        <v>24.740058164232266</v>
      </c>
      <c r="H94" s="90">
        <f t="shared" si="59"/>
        <v>53.664000000000001</v>
      </c>
      <c r="I94" s="91" t="str">
        <f t="shared" si="60"/>
        <v>1동5라인</v>
      </c>
      <c r="J94" s="92" t="s">
        <v>218</v>
      </c>
      <c r="L94" s="89">
        <v>2</v>
      </c>
      <c r="M94" s="78">
        <f t="shared" si="61"/>
        <v>6</v>
      </c>
      <c r="N94" s="78"/>
      <c r="O94" s="78">
        <f t="shared" si="62"/>
        <v>12</v>
      </c>
    </row>
    <row r="95" spans="1:15" ht="18" customHeight="1">
      <c r="A95" s="104"/>
      <c r="B95" s="87"/>
      <c r="C95" s="87"/>
      <c r="D95" s="325" t="s">
        <v>0</v>
      </c>
      <c r="E95" s="325"/>
      <c r="F95" s="171">
        <f>SUM(F88:F94)</f>
        <v>90</v>
      </c>
      <c r="G95" s="95">
        <f>SUM(G88:G94)</f>
        <v>734.00777701532525</v>
      </c>
      <c r="H95" s="95">
        <f>SUM(H88:H94)</f>
        <v>603.74400000000003</v>
      </c>
      <c r="I95" s="97"/>
      <c r="J95" s="98"/>
    </row>
    <row r="96" spans="1:15">
      <c r="A96" s="105"/>
      <c r="B96" s="9"/>
      <c r="C96" s="9"/>
      <c r="D96" s="51"/>
      <c r="E96" s="51"/>
      <c r="F96" s="51"/>
      <c r="G96" s="106"/>
      <c r="H96" s="106"/>
      <c r="I96" s="9"/>
      <c r="J96" s="107"/>
    </row>
    <row r="97" spans="1:16" ht="18" customHeight="1">
      <c r="A97" s="85"/>
      <c r="B97" s="163" t="s">
        <v>199</v>
      </c>
      <c r="C97" s="163">
        <v>22</v>
      </c>
      <c r="D97" s="88">
        <v>738</v>
      </c>
      <c r="E97" s="88">
        <v>1810</v>
      </c>
      <c r="F97" s="89">
        <f t="shared" ref="F97:F98" si="63">O97</f>
        <v>12</v>
      </c>
      <c r="G97" s="90">
        <f t="shared" ref="G97:G98" si="64">D97*E97/91809*F97</f>
        <v>174.59464758357024</v>
      </c>
      <c r="H97" s="90">
        <f t="shared" ref="H97:H98" si="65">(D97/1000)*4*F97+(E97/1000)*4*F97</f>
        <v>122.304</v>
      </c>
      <c r="I97" s="91" t="str">
        <f>I88</f>
        <v>1동5라인</v>
      </c>
      <c r="J97" s="92" t="s">
        <v>219</v>
      </c>
      <c r="L97" s="89">
        <v>2</v>
      </c>
      <c r="M97" s="78">
        <f>M79</f>
        <v>6</v>
      </c>
      <c r="N97" s="84"/>
      <c r="O97" s="78">
        <f>L97*M97-N97*L97</f>
        <v>12</v>
      </c>
      <c r="P97" s="64"/>
    </row>
    <row r="98" spans="1:16" ht="18" customHeight="1">
      <c r="A98" s="85"/>
      <c r="B98" s="86"/>
      <c r="C98" s="87"/>
      <c r="D98" s="88">
        <v>250</v>
      </c>
      <c r="E98" s="88">
        <v>930</v>
      </c>
      <c r="F98" s="89">
        <f t="shared" si="63"/>
        <v>12</v>
      </c>
      <c r="G98" s="90">
        <f t="shared" si="64"/>
        <v>30.389177531614546</v>
      </c>
      <c r="H98" s="90">
        <f t="shared" si="65"/>
        <v>56.64</v>
      </c>
      <c r="I98" s="91" t="str">
        <f>I97</f>
        <v>1동5라인</v>
      </c>
      <c r="J98" s="92" t="s">
        <v>220</v>
      </c>
      <c r="L98" s="89">
        <v>2</v>
      </c>
      <c r="M98" s="78">
        <f>M97</f>
        <v>6</v>
      </c>
      <c r="N98" s="84"/>
      <c r="O98" s="78">
        <f t="shared" ref="O98" si="66">L98*M98-N98*L98</f>
        <v>12</v>
      </c>
    </row>
    <row r="99" spans="1:16" ht="18" customHeight="1">
      <c r="A99" s="85"/>
      <c r="B99" s="93"/>
      <c r="C99" s="87"/>
      <c r="D99" s="325" t="s">
        <v>0</v>
      </c>
      <c r="E99" s="325"/>
      <c r="F99" s="94">
        <f>SUM(F97:F98)</f>
        <v>24</v>
      </c>
      <c r="G99" s="95">
        <f>SUM(G97:G98)</f>
        <v>204.98382511518477</v>
      </c>
      <c r="H99" s="95">
        <f>SUM(H97:H98)</f>
        <v>178.94400000000002</v>
      </c>
      <c r="I99" s="97"/>
      <c r="J99" s="98"/>
    </row>
    <row r="100" spans="1:16" ht="18" customHeight="1" thickBot="1">
      <c r="A100" s="222"/>
      <c r="B100" s="245"/>
      <c r="C100" s="224"/>
      <c r="D100" s="246"/>
      <c r="E100" s="246"/>
      <c r="F100" s="226"/>
      <c r="G100" s="247"/>
      <c r="H100" s="247"/>
      <c r="I100" s="248"/>
      <c r="J100" s="249"/>
      <c r="L100" s="250"/>
      <c r="M100" s="250"/>
      <c r="N100" s="250"/>
      <c r="O100" s="250"/>
    </row>
    <row r="101" spans="1:16" ht="18" customHeight="1">
      <c r="A101" s="79" t="s">
        <v>242</v>
      </c>
      <c r="B101" s="231" t="s">
        <v>195</v>
      </c>
      <c r="C101" s="232">
        <v>22</v>
      </c>
      <c r="D101" s="80">
        <v>761</v>
      </c>
      <c r="E101" s="80">
        <v>1810</v>
      </c>
      <c r="F101" s="233">
        <f t="shared" ref="F101:F106" si="67">O101</f>
        <v>12</v>
      </c>
      <c r="G101" s="81">
        <f t="shared" ref="G101:G106" si="68">D101*E101/91809*F101</f>
        <v>180.03594418847825</v>
      </c>
      <c r="H101" s="81">
        <f t="shared" ref="H101:H106" si="69">(D101/1000)*4*F101+(E101/1000)*4*F101</f>
        <v>123.40799999999999</v>
      </c>
      <c r="I101" s="82" t="s">
        <v>243</v>
      </c>
      <c r="J101" s="83" t="s">
        <v>205</v>
      </c>
      <c r="L101" s="89">
        <v>2</v>
      </c>
      <c r="M101" s="78">
        <v>6</v>
      </c>
      <c r="N101" s="78"/>
      <c r="O101" s="78">
        <f t="shared" ref="O101:O106" si="70">L101*M101-N101*L101</f>
        <v>12</v>
      </c>
    </row>
    <row r="102" spans="1:16" ht="18" customHeight="1">
      <c r="A102" s="85"/>
      <c r="B102" s="86"/>
      <c r="C102" s="87"/>
      <c r="D102" s="88">
        <v>1688</v>
      </c>
      <c r="E102" s="88">
        <v>1810</v>
      </c>
      <c r="F102" s="89">
        <f t="shared" si="67"/>
        <v>6</v>
      </c>
      <c r="G102" s="90">
        <f t="shared" si="68"/>
        <v>199.6719275887985</v>
      </c>
      <c r="H102" s="90">
        <f t="shared" si="69"/>
        <v>83.951999999999998</v>
      </c>
      <c r="I102" s="91" t="str">
        <f>I101</f>
        <v>1동6라인</v>
      </c>
      <c r="J102" s="92" t="s">
        <v>206</v>
      </c>
      <c r="L102" s="89">
        <v>1</v>
      </c>
      <c r="M102" s="78">
        <f t="shared" ref="M102:M118" si="71">M101</f>
        <v>6</v>
      </c>
      <c r="N102" s="78"/>
      <c r="O102" s="78">
        <f t="shared" si="70"/>
        <v>6</v>
      </c>
    </row>
    <row r="103" spans="1:16" ht="18" customHeight="1">
      <c r="A103" s="85"/>
      <c r="B103" s="86"/>
      <c r="C103" s="87"/>
      <c r="D103" s="88">
        <v>738</v>
      </c>
      <c r="E103" s="88">
        <v>1310</v>
      </c>
      <c r="F103" s="89">
        <f t="shared" si="67"/>
        <v>24</v>
      </c>
      <c r="G103" s="90">
        <f t="shared" si="68"/>
        <v>252.72816390549946</v>
      </c>
      <c r="H103" s="90">
        <f t="shared" si="69"/>
        <v>196.608</v>
      </c>
      <c r="I103" s="91" t="str">
        <f t="shared" ref="I103:I106" si="72">I102</f>
        <v>1동6라인</v>
      </c>
      <c r="J103" s="92" t="s">
        <v>207</v>
      </c>
      <c r="L103" s="89">
        <v>4</v>
      </c>
      <c r="M103" s="78">
        <f t="shared" si="71"/>
        <v>6</v>
      </c>
      <c r="N103" s="78"/>
      <c r="O103" s="78">
        <f t="shared" si="70"/>
        <v>24</v>
      </c>
    </row>
    <row r="104" spans="1:16" ht="18" customHeight="1">
      <c r="A104" s="85"/>
      <c r="B104" s="86"/>
      <c r="C104" s="87"/>
      <c r="D104" s="88">
        <v>438</v>
      </c>
      <c r="E104" s="88">
        <v>910</v>
      </c>
      <c r="F104" s="89">
        <f t="shared" si="67"/>
        <v>12</v>
      </c>
      <c r="G104" s="90">
        <f t="shared" si="68"/>
        <v>52.096853249681402</v>
      </c>
      <c r="H104" s="90">
        <f t="shared" si="69"/>
        <v>64.704000000000008</v>
      </c>
      <c r="I104" s="91" t="str">
        <f t="shared" si="72"/>
        <v>1동6라인</v>
      </c>
      <c r="J104" s="92" t="s">
        <v>223</v>
      </c>
      <c r="L104" s="89">
        <v>2</v>
      </c>
      <c r="M104" s="78">
        <f t="shared" si="71"/>
        <v>6</v>
      </c>
      <c r="N104" s="78"/>
      <c r="O104" s="78">
        <f t="shared" si="70"/>
        <v>12</v>
      </c>
    </row>
    <row r="105" spans="1:16" ht="18" customHeight="1">
      <c r="A105" s="85"/>
      <c r="B105" s="86"/>
      <c r="C105" s="87"/>
      <c r="D105" s="88">
        <v>228</v>
      </c>
      <c r="E105" s="88">
        <v>910</v>
      </c>
      <c r="F105" s="89">
        <f t="shared" si="67"/>
        <v>12</v>
      </c>
      <c r="G105" s="90">
        <f t="shared" si="68"/>
        <v>27.118909910793057</v>
      </c>
      <c r="H105" s="90">
        <f t="shared" si="69"/>
        <v>54.624000000000002</v>
      </c>
      <c r="I105" s="91" t="str">
        <f t="shared" si="72"/>
        <v>1동6라인</v>
      </c>
      <c r="J105" s="92" t="s">
        <v>209</v>
      </c>
      <c r="L105" s="89">
        <v>2</v>
      </c>
      <c r="M105" s="78">
        <f t="shared" si="71"/>
        <v>6</v>
      </c>
      <c r="N105" s="78"/>
      <c r="O105" s="78">
        <f t="shared" si="70"/>
        <v>12</v>
      </c>
    </row>
    <row r="106" spans="1:16" ht="18" customHeight="1">
      <c r="A106" s="85"/>
      <c r="B106" s="86"/>
      <c r="C106" s="87"/>
      <c r="D106" s="88">
        <v>438</v>
      </c>
      <c r="E106" s="88">
        <v>270</v>
      </c>
      <c r="F106" s="89">
        <f t="shared" si="67"/>
        <v>12</v>
      </c>
      <c r="G106" s="90">
        <f t="shared" si="68"/>
        <v>15.45730810704833</v>
      </c>
      <c r="H106" s="90">
        <f t="shared" si="69"/>
        <v>33.984000000000002</v>
      </c>
      <c r="I106" s="91" t="str">
        <f t="shared" si="72"/>
        <v>1동6라인</v>
      </c>
      <c r="J106" s="92" t="s">
        <v>210</v>
      </c>
      <c r="L106" s="89">
        <v>2</v>
      </c>
      <c r="M106" s="78">
        <f t="shared" si="71"/>
        <v>6</v>
      </c>
      <c r="N106" s="78"/>
      <c r="O106" s="78">
        <f t="shared" si="70"/>
        <v>12</v>
      </c>
    </row>
    <row r="107" spans="1:16" ht="18" customHeight="1">
      <c r="A107" s="85"/>
      <c r="B107" s="93"/>
      <c r="C107" s="87"/>
      <c r="D107" s="325" t="s">
        <v>0</v>
      </c>
      <c r="E107" s="325"/>
      <c r="F107" s="94">
        <f>SUM(F101:F106)</f>
        <v>78</v>
      </c>
      <c r="G107" s="95">
        <f>SUM(G101:G106)</f>
        <v>727.10910695029906</v>
      </c>
      <c r="H107" s="96">
        <f>SUM(H101:H106)</f>
        <v>557.28</v>
      </c>
      <c r="I107" s="97"/>
      <c r="J107" s="162"/>
      <c r="L107" s="250"/>
      <c r="M107" s="250"/>
      <c r="N107" s="250"/>
      <c r="O107" s="250"/>
    </row>
    <row r="108" spans="1:16" ht="18" customHeight="1">
      <c r="A108" s="85"/>
      <c r="B108" s="93"/>
      <c r="C108" s="87"/>
      <c r="D108" s="161"/>
      <c r="E108" s="161"/>
      <c r="F108" s="89"/>
      <c r="G108" s="100"/>
      <c r="H108" s="101"/>
      <c r="I108" s="102"/>
      <c r="J108" s="121"/>
      <c r="L108" s="250"/>
      <c r="M108" s="250"/>
      <c r="N108" s="250"/>
      <c r="O108" s="250"/>
    </row>
    <row r="109" spans="1:16" ht="18" customHeight="1">
      <c r="A109" s="85"/>
      <c r="B109" s="23" t="s">
        <v>197</v>
      </c>
      <c r="C109" s="24">
        <v>22</v>
      </c>
      <c r="D109" s="88">
        <v>761</v>
      </c>
      <c r="E109" s="88">
        <v>1810</v>
      </c>
      <c r="F109" s="89">
        <f t="shared" ref="F109:F114" si="73">O109</f>
        <v>12</v>
      </c>
      <c r="G109" s="90">
        <f t="shared" ref="G109:G114" si="74">D109*E109/91809*F109</f>
        <v>180.03594418847825</v>
      </c>
      <c r="H109" s="90">
        <f t="shared" ref="H109:H114" si="75">(D109/1000)*4*F109+(E109/1000)*4*F109</f>
        <v>123.40799999999999</v>
      </c>
      <c r="I109" s="91" t="str">
        <f>I101</f>
        <v>1동6라인</v>
      </c>
      <c r="J109" s="92" t="s">
        <v>212</v>
      </c>
      <c r="L109" s="89">
        <v>2</v>
      </c>
      <c r="M109" s="78">
        <f>M106</f>
        <v>6</v>
      </c>
      <c r="N109" s="78"/>
      <c r="O109" s="78">
        <f t="shared" ref="O109:O118" si="76">L109*M109-N109*L109</f>
        <v>12</v>
      </c>
    </row>
    <row r="110" spans="1:16" ht="18" customHeight="1">
      <c r="A110" s="85"/>
      <c r="B110" s="86"/>
      <c r="C110" s="87"/>
      <c r="D110" s="88">
        <v>1688</v>
      </c>
      <c r="E110" s="88">
        <v>1810</v>
      </c>
      <c r="F110" s="89">
        <f t="shared" si="73"/>
        <v>6</v>
      </c>
      <c r="G110" s="90">
        <f t="shared" si="74"/>
        <v>199.6719275887985</v>
      </c>
      <c r="H110" s="90">
        <f t="shared" si="75"/>
        <v>83.951999999999998</v>
      </c>
      <c r="I110" s="91" t="str">
        <f>I101</f>
        <v>1동6라인</v>
      </c>
      <c r="J110" s="92" t="s">
        <v>213</v>
      </c>
      <c r="L110" s="89">
        <v>1</v>
      </c>
      <c r="M110" s="78">
        <f t="shared" si="71"/>
        <v>6</v>
      </c>
      <c r="N110" s="78"/>
      <c r="O110" s="78">
        <f t="shared" si="76"/>
        <v>6</v>
      </c>
    </row>
    <row r="111" spans="1:16">
      <c r="A111" s="104"/>
      <c r="B111" s="93"/>
      <c r="C111" s="87"/>
      <c r="D111" s="88">
        <v>738</v>
      </c>
      <c r="E111" s="88">
        <v>1310</v>
      </c>
      <c r="F111" s="89">
        <f t="shared" si="73"/>
        <v>24</v>
      </c>
      <c r="G111" s="90">
        <f t="shared" si="74"/>
        <v>252.72816390549946</v>
      </c>
      <c r="H111" s="90">
        <f t="shared" si="75"/>
        <v>196.608</v>
      </c>
      <c r="I111" s="91" t="str">
        <f>I110</f>
        <v>1동6라인</v>
      </c>
      <c r="J111" s="92" t="s">
        <v>214</v>
      </c>
      <c r="L111" s="89">
        <v>4</v>
      </c>
      <c r="M111" s="78">
        <f t="shared" si="71"/>
        <v>6</v>
      </c>
      <c r="N111" s="78"/>
      <c r="O111" s="78">
        <f t="shared" si="76"/>
        <v>24</v>
      </c>
    </row>
    <row r="112" spans="1:16" ht="18" customHeight="1">
      <c r="A112" s="104"/>
      <c r="B112" s="93"/>
      <c r="C112" s="87"/>
      <c r="D112" s="88">
        <v>438</v>
      </c>
      <c r="E112" s="88">
        <v>910</v>
      </c>
      <c r="F112" s="89">
        <f t="shared" si="73"/>
        <v>12</v>
      </c>
      <c r="G112" s="90">
        <f t="shared" si="74"/>
        <v>52.096853249681402</v>
      </c>
      <c r="H112" s="90">
        <f t="shared" si="75"/>
        <v>64.704000000000008</v>
      </c>
      <c r="I112" s="91" t="str">
        <f t="shared" ref="I112:I114" si="77">I111</f>
        <v>1동6라인</v>
      </c>
      <c r="J112" s="92" t="s">
        <v>225</v>
      </c>
      <c r="L112" s="89">
        <v>2</v>
      </c>
      <c r="M112" s="78">
        <f t="shared" si="71"/>
        <v>6</v>
      </c>
      <c r="N112" s="78"/>
      <c r="O112" s="78">
        <f t="shared" si="76"/>
        <v>12</v>
      </c>
      <c r="P112" s="64"/>
    </row>
    <row r="113" spans="1:16" ht="18" customHeight="1">
      <c r="A113" s="104"/>
      <c r="B113" s="93"/>
      <c r="C113" s="87"/>
      <c r="D113" s="88">
        <v>228</v>
      </c>
      <c r="E113" s="88">
        <v>910</v>
      </c>
      <c r="F113" s="89">
        <f t="shared" si="73"/>
        <v>12</v>
      </c>
      <c r="G113" s="90">
        <f t="shared" si="74"/>
        <v>27.118909910793057</v>
      </c>
      <c r="H113" s="90">
        <f t="shared" si="75"/>
        <v>54.624000000000002</v>
      </c>
      <c r="I113" s="91" t="str">
        <f t="shared" si="77"/>
        <v>1동6라인</v>
      </c>
      <c r="J113" s="92" t="s">
        <v>216</v>
      </c>
      <c r="L113" s="89">
        <v>2</v>
      </c>
      <c r="M113" s="78">
        <f t="shared" si="71"/>
        <v>6</v>
      </c>
      <c r="N113" s="78"/>
      <c r="O113" s="78">
        <f t="shared" si="76"/>
        <v>12</v>
      </c>
    </row>
    <row r="114" spans="1:16" ht="18" customHeight="1">
      <c r="A114" s="104"/>
      <c r="B114" s="93"/>
      <c r="C114" s="87"/>
      <c r="D114" s="88">
        <v>438</v>
      </c>
      <c r="E114" s="88">
        <v>270</v>
      </c>
      <c r="F114" s="89">
        <f t="shared" si="73"/>
        <v>12</v>
      </c>
      <c r="G114" s="90">
        <f t="shared" si="74"/>
        <v>15.45730810704833</v>
      </c>
      <c r="H114" s="90">
        <f t="shared" si="75"/>
        <v>33.984000000000002</v>
      </c>
      <c r="I114" s="91" t="str">
        <f t="shared" si="77"/>
        <v>1동6라인</v>
      </c>
      <c r="J114" s="92" t="s">
        <v>217</v>
      </c>
      <c r="L114" s="89">
        <v>2</v>
      </c>
      <c r="M114" s="78">
        <f t="shared" si="71"/>
        <v>6</v>
      </c>
      <c r="N114" s="78"/>
      <c r="O114" s="78">
        <f t="shared" si="76"/>
        <v>12</v>
      </c>
    </row>
    <row r="115" spans="1:16">
      <c r="A115" s="104"/>
      <c r="B115" s="87"/>
      <c r="C115" s="87"/>
      <c r="D115" s="325" t="s">
        <v>0</v>
      </c>
      <c r="E115" s="325"/>
      <c r="F115" s="171">
        <f>SUM(F109:F114)</f>
        <v>78</v>
      </c>
      <c r="G115" s="95">
        <f>SUM(G109:G114)</f>
        <v>727.10910695029906</v>
      </c>
      <c r="H115" s="95">
        <f>SUM(H109:H114)</f>
        <v>557.28</v>
      </c>
      <c r="I115" s="97"/>
      <c r="J115" s="98"/>
      <c r="L115" s="250"/>
      <c r="M115" s="250"/>
      <c r="N115" s="250"/>
      <c r="O115" s="250"/>
    </row>
    <row r="116" spans="1:16">
      <c r="A116" s="105"/>
      <c r="B116" s="9"/>
      <c r="C116" s="9"/>
      <c r="D116" s="51"/>
      <c r="E116" s="51"/>
      <c r="F116" s="51"/>
      <c r="G116" s="106"/>
      <c r="H116" s="106"/>
      <c r="I116" s="9"/>
      <c r="J116" s="107"/>
      <c r="L116" s="250"/>
      <c r="M116" s="250"/>
      <c r="N116" s="250"/>
      <c r="O116" s="250"/>
    </row>
    <row r="117" spans="1:16" ht="18" customHeight="1">
      <c r="A117" s="85"/>
      <c r="B117" s="163" t="s">
        <v>199</v>
      </c>
      <c r="C117" s="163">
        <v>22</v>
      </c>
      <c r="D117" s="88">
        <v>738</v>
      </c>
      <c r="E117" s="88">
        <v>1810</v>
      </c>
      <c r="F117" s="89">
        <f t="shared" ref="F117:F118" si="78">O117</f>
        <v>0</v>
      </c>
      <c r="G117" s="90">
        <f t="shared" ref="G117:G119" si="79">D117*E117/91809*F117</f>
        <v>0</v>
      </c>
      <c r="H117" s="90">
        <f t="shared" ref="H117:H119" si="80">(D117/1000)*4*F117+(E117/1000)*4*F117</f>
        <v>0</v>
      </c>
      <c r="I117" s="91" t="str">
        <f>I109</f>
        <v>1동6라인</v>
      </c>
      <c r="J117" s="92" t="s">
        <v>219</v>
      </c>
      <c r="L117" s="89">
        <v>2</v>
      </c>
      <c r="M117" s="78">
        <f>M114</f>
        <v>6</v>
      </c>
      <c r="N117" s="84">
        <v>6</v>
      </c>
      <c r="O117" s="78">
        <f t="shared" si="76"/>
        <v>0</v>
      </c>
      <c r="P117" s="64" t="s">
        <v>245</v>
      </c>
    </row>
    <row r="118" spans="1:16" ht="18" customHeight="1">
      <c r="A118" s="85"/>
      <c r="B118" s="86"/>
      <c r="C118" s="87"/>
      <c r="D118" s="88">
        <v>250</v>
      </c>
      <c r="E118" s="88">
        <v>930</v>
      </c>
      <c r="F118" s="89">
        <f t="shared" si="78"/>
        <v>12</v>
      </c>
      <c r="G118" s="90">
        <f t="shared" si="79"/>
        <v>30.389177531614546</v>
      </c>
      <c r="H118" s="90">
        <f t="shared" si="80"/>
        <v>56.64</v>
      </c>
      <c r="I118" s="91" t="str">
        <f>I117</f>
        <v>1동6라인</v>
      </c>
      <c r="J118" s="92" t="s">
        <v>220</v>
      </c>
      <c r="L118" s="89">
        <v>2</v>
      </c>
      <c r="M118" s="78">
        <f t="shared" si="71"/>
        <v>6</v>
      </c>
      <c r="N118" s="78"/>
      <c r="O118" s="78">
        <f t="shared" si="76"/>
        <v>12</v>
      </c>
    </row>
    <row r="119" spans="1:16" ht="18" customHeight="1">
      <c r="A119" s="85"/>
      <c r="B119" s="86"/>
      <c r="C119" s="87"/>
      <c r="D119" s="88"/>
      <c r="E119" s="88"/>
      <c r="F119" s="89"/>
      <c r="G119" s="90">
        <f t="shared" si="79"/>
        <v>0</v>
      </c>
      <c r="H119" s="90">
        <f t="shared" si="80"/>
        <v>0</v>
      </c>
      <c r="I119" s="91"/>
      <c r="J119" s="92"/>
      <c r="L119" s="250"/>
      <c r="M119" s="250"/>
      <c r="N119" s="250"/>
      <c r="O119" s="250"/>
    </row>
    <row r="120" spans="1:16" ht="18" customHeight="1">
      <c r="A120" s="85"/>
      <c r="B120" s="93"/>
      <c r="C120" s="87"/>
      <c r="D120" s="325" t="s">
        <v>0</v>
      </c>
      <c r="E120" s="325"/>
      <c r="F120" s="94">
        <f>SUM(F117:F119)</f>
        <v>12</v>
      </c>
      <c r="G120" s="95">
        <f>SUM(G117:G119)</f>
        <v>30.389177531614546</v>
      </c>
      <c r="H120" s="95">
        <f>SUM(H117:H119)</f>
        <v>56.64</v>
      </c>
      <c r="I120" s="97"/>
      <c r="J120" s="98"/>
      <c r="L120" s="250"/>
      <c r="M120" s="250"/>
      <c r="N120" s="250"/>
      <c r="O120" s="250"/>
    </row>
    <row r="121" spans="1:16" ht="18" customHeight="1">
      <c r="A121" s="253"/>
      <c r="B121" s="254"/>
      <c r="C121" s="255"/>
      <c r="D121" s="361"/>
      <c r="E121" s="361"/>
      <c r="F121" s="256"/>
      <c r="G121" s="257"/>
      <c r="H121" s="258"/>
      <c r="I121" s="259"/>
      <c r="J121" s="260"/>
      <c r="L121" s="250"/>
      <c r="M121" s="250"/>
      <c r="N121" s="250"/>
      <c r="O121" s="250"/>
    </row>
    <row r="122" spans="1:16" ht="18" customHeight="1">
      <c r="A122" s="85">
        <v>74</v>
      </c>
      <c r="B122" s="23" t="s">
        <v>201</v>
      </c>
      <c r="C122" s="24">
        <v>22</v>
      </c>
      <c r="D122" s="88">
        <v>861</v>
      </c>
      <c r="E122" s="88">
        <v>1810</v>
      </c>
      <c r="F122" s="89">
        <f t="shared" ref="F122:F126" si="81">O122</f>
        <v>14</v>
      </c>
      <c r="G122" s="90">
        <f t="shared" ref="G122:G126" si="82">D122*E122/91809*F122</f>
        <v>237.64271476652615</v>
      </c>
      <c r="H122" s="90">
        <f t="shared" ref="H122:H126" si="83">(D122/1000)*4*F122+(E122/1000)*4*F122</f>
        <v>149.57599999999999</v>
      </c>
      <c r="I122" s="91" t="s">
        <v>246</v>
      </c>
      <c r="J122" s="92" t="s">
        <v>205</v>
      </c>
      <c r="L122" s="89">
        <v>1</v>
      </c>
      <c r="M122" s="78">
        <f>2*7</f>
        <v>14</v>
      </c>
      <c r="N122" s="84"/>
      <c r="O122" s="78">
        <f>L122*M122-N122*L122</f>
        <v>14</v>
      </c>
      <c r="P122" s="64"/>
    </row>
    <row r="123" spans="1:16" ht="18" customHeight="1">
      <c r="A123" s="85"/>
      <c r="B123" s="86"/>
      <c r="C123" s="87"/>
      <c r="D123" s="88">
        <v>738</v>
      </c>
      <c r="E123" s="88">
        <v>1310</v>
      </c>
      <c r="F123" s="89">
        <f t="shared" si="81"/>
        <v>56</v>
      </c>
      <c r="G123" s="90">
        <f t="shared" si="82"/>
        <v>589.69904911283209</v>
      </c>
      <c r="H123" s="90">
        <f t="shared" si="83"/>
        <v>458.75200000000001</v>
      </c>
      <c r="I123" s="91" t="str">
        <f>I122</f>
        <v>2동1,2라인</v>
      </c>
      <c r="J123" s="92" t="s">
        <v>207</v>
      </c>
      <c r="L123" s="89">
        <v>4</v>
      </c>
      <c r="M123" s="78">
        <f>M122</f>
        <v>14</v>
      </c>
      <c r="N123" s="84"/>
      <c r="O123" s="78">
        <f t="shared" ref="O123:O126" si="84">L123*M123-N123*L123</f>
        <v>56</v>
      </c>
    </row>
    <row r="124" spans="1:16" ht="18" customHeight="1">
      <c r="A124" s="85"/>
      <c r="B124" s="86"/>
      <c r="C124" s="87"/>
      <c r="D124" s="88">
        <v>288</v>
      </c>
      <c r="E124" s="88">
        <v>910</v>
      </c>
      <c r="F124" s="89">
        <f t="shared" si="81"/>
        <v>28</v>
      </c>
      <c r="G124" s="90">
        <f t="shared" si="82"/>
        <v>79.929418684442695</v>
      </c>
      <c r="H124" s="90">
        <f t="shared" si="83"/>
        <v>134.17599999999999</v>
      </c>
      <c r="I124" s="91" t="str">
        <f t="shared" ref="I124:I125" si="85">I123</f>
        <v>2동1,2라인</v>
      </c>
      <c r="J124" s="92" t="s">
        <v>208</v>
      </c>
      <c r="L124" s="89">
        <v>2</v>
      </c>
      <c r="M124" s="78">
        <f t="shared" ref="M124" si="86">M123</f>
        <v>14</v>
      </c>
      <c r="N124" s="78"/>
      <c r="O124" s="78">
        <f t="shared" si="84"/>
        <v>28</v>
      </c>
    </row>
    <row r="125" spans="1:16" ht="18" customHeight="1">
      <c r="A125" s="85"/>
      <c r="B125" s="86"/>
      <c r="C125" s="87"/>
      <c r="D125" s="88">
        <v>228</v>
      </c>
      <c r="E125" s="88">
        <v>910</v>
      </c>
      <c r="F125" s="89">
        <f t="shared" si="81"/>
        <v>28</v>
      </c>
      <c r="G125" s="90">
        <f t="shared" si="82"/>
        <v>63.277456458517136</v>
      </c>
      <c r="H125" s="90">
        <f t="shared" si="83"/>
        <v>127.456</v>
      </c>
      <c r="I125" s="91" t="str">
        <f t="shared" si="85"/>
        <v>2동1,2라인</v>
      </c>
      <c r="J125" s="92" t="s">
        <v>209</v>
      </c>
      <c r="L125" s="89">
        <v>2</v>
      </c>
      <c r="M125" s="78">
        <f>M124</f>
        <v>14</v>
      </c>
      <c r="N125" s="78"/>
      <c r="O125" s="78">
        <f t="shared" si="84"/>
        <v>28</v>
      </c>
    </row>
    <row r="126" spans="1:16" ht="18" customHeight="1">
      <c r="A126" s="85"/>
      <c r="B126" s="86"/>
      <c r="C126" s="87"/>
      <c r="D126" s="88">
        <v>438</v>
      </c>
      <c r="E126" s="88">
        <v>270</v>
      </c>
      <c r="F126" s="89">
        <f t="shared" si="81"/>
        <v>28</v>
      </c>
      <c r="G126" s="90">
        <f t="shared" si="82"/>
        <v>36.067052249779437</v>
      </c>
      <c r="H126" s="90">
        <f t="shared" si="83"/>
        <v>79.295999999999992</v>
      </c>
      <c r="I126" s="91" t="str">
        <f>I124</f>
        <v>2동1,2라인</v>
      </c>
      <c r="J126" s="92" t="s">
        <v>210</v>
      </c>
      <c r="L126" s="89">
        <v>2</v>
      </c>
      <c r="M126" s="78">
        <f>M124</f>
        <v>14</v>
      </c>
      <c r="N126" s="78"/>
      <c r="O126" s="78">
        <f t="shared" si="84"/>
        <v>28</v>
      </c>
    </row>
    <row r="127" spans="1:16" ht="18" customHeight="1">
      <c r="A127" s="85"/>
      <c r="B127" s="93"/>
      <c r="C127" s="87"/>
      <c r="D127" s="325" t="s">
        <v>0</v>
      </c>
      <c r="E127" s="325"/>
      <c r="F127" s="94">
        <f>SUM(F122:F126)</f>
        <v>154</v>
      </c>
      <c r="G127" s="95">
        <f>SUM(G122:G126)</f>
        <v>1006.6156912720975</v>
      </c>
      <c r="H127" s="96">
        <f>SUM(H122:H126)</f>
        <v>949.25599999999986</v>
      </c>
      <c r="I127" s="97"/>
      <c r="J127" s="162"/>
    </row>
    <row r="128" spans="1:16" ht="18" customHeight="1">
      <c r="A128" s="85"/>
      <c r="B128" s="93"/>
      <c r="C128" s="87"/>
      <c r="D128" s="161"/>
      <c r="E128" s="161"/>
      <c r="F128" s="89"/>
      <c r="G128" s="100"/>
      <c r="H128" s="101"/>
      <c r="I128" s="102"/>
      <c r="J128" s="121"/>
      <c r="L128" s="252"/>
      <c r="M128" s="252"/>
      <c r="N128" s="252"/>
      <c r="O128" s="252"/>
    </row>
    <row r="129" spans="1:16" ht="18" customHeight="1">
      <c r="A129" s="85"/>
      <c r="B129" s="23" t="s">
        <v>198</v>
      </c>
      <c r="C129" s="24">
        <v>22</v>
      </c>
      <c r="D129" s="88">
        <v>861</v>
      </c>
      <c r="E129" s="88">
        <v>1810</v>
      </c>
      <c r="F129" s="89">
        <f t="shared" ref="F129:F134" si="87">O129</f>
        <v>14</v>
      </c>
      <c r="G129" s="90">
        <f t="shared" ref="G129:G134" si="88">D129*E129/91809*F129</f>
        <v>237.64271476652615</v>
      </c>
      <c r="H129" s="90">
        <f t="shared" ref="H129:H134" si="89">(D129/1000)*4*F129+(E129/1000)*4*F129</f>
        <v>149.57599999999999</v>
      </c>
      <c r="I129" s="91" t="str">
        <f>I122</f>
        <v>2동1,2라인</v>
      </c>
      <c r="J129" s="92" t="s">
        <v>212</v>
      </c>
      <c r="L129" s="89">
        <v>1</v>
      </c>
      <c r="M129" s="78">
        <f>M122</f>
        <v>14</v>
      </c>
      <c r="N129" s="84"/>
      <c r="O129" s="78">
        <f>L129*M129-N129*L129</f>
        <v>14</v>
      </c>
    </row>
    <row r="130" spans="1:16" ht="18" customHeight="1">
      <c r="A130" s="85"/>
      <c r="B130" s="86"/>
      <c r="C130" s="87"/>
      <c r="D130" s="88">
        <v>2114</v>
      </c>
      <c r="E130" s="88">
        <v>1810</v>
      </c>
      <c r="F130" s="89">
        <f t="shared" si="87"/>
        <v>14</v>
      </c>
      <c r="G130" s="90">
        <f t="shared" si="88"/>
        <v>583.48048666252771</v>
      </c>
      <c r="H130" s="90">
        <f t="shared" si="89"/>
        <v>219.74399999999997</v>
      </c>
      <c r="I130" s="91" t="str">
        <f>I122</f>
        <v>2동1,2라인</v>
      </c>
      <c r="J130" s="92" t="s">
        <v>213</v>
      </c>
      <c r="L130" s="89">
        <v>1</v>
      </c>
      <c r="M130" s="78">
        <f>M129</f>
        <v>14</v>
      </c>
      <c r="N130" s="84"/>
      <c r="O130" s="78">
        <f>L130*M130-N130*L130</f>
        <v>14</v>
      </c>
    </row>
    <row r="131" spans="1:16" ht="18" customHeight="1">
      <c r="A131" s="104"/>
      <c r="B131" s="93"/>
      <c r="C131" s="87"/>
      <c r="D131" s="88">
        <v>738</v>
      </c>
      <c r="E131" s="88">
        <v>1310</v>
      </c>
      <c r="F131" s="89">
        <f t="shared" si="87"/>
        <v>56</v>
      </c>
      <c r="G131" s="90">
        <f t="shared" si="88"/>
        <v>589.69904911283209</v>
      </c>
      <c r="H131" s="90">
        <f t="shared" si="89"/>
        <v>458.75200000000001</v>
      </c>
      <c r="I131" s="91" t="str">
        <f>I130</f>
        <v>2동1,2라인</v>
      </c>
      <c r="J131" s="92" t="s">
        <v>214</v>
      </c>
      <c r="L131" s="89">
        <v>4</v>
      </c>
      <c r="M131" s="78">
        <f t="shared" ref="M131:M134" si="90">M130</f>
        <v>14</v>
      </c>
      <c r="N131" s="84"/>
      <c r="O131" s="78">
        <f t="shared" ref="O131:O134" si="91">L131*M131-N131*L131</f>
        <v>56</v>
      </c>
    </row>
    <row r="132" spans="1:16" ht="18" customHeight="1">
      <c r="A132" s="104"/>
      <c r="B132" s="93"/>
      <c r="C132" s="87"/>
      <c r="D132" s="88">
        <v>288</v>
      </c>
      <c r="E132" s="88">
        <v>910</v>
      </c>
      <c r="F132" s="89">
        <f t="shared" si="87"/>
        <v>28</v>
      </c>
      <c r="G132" s="90">
        <f t="shared" si="88"/>
        <v>79.929418684442695</v>
      </c>
      <c r="H132" s="90">
        <f t="shared" si="89"/>
        <v>134.17599999999999</v>
      </c>
      <c r="I132" s="91" t="str">
        <f>I131</f>
        <v>2동1,2라인</v>
      </c>
      <c r="J132" s="92" t="s">
        <v>215</v>
      </c>
      <c r="L132" s="89">
        <v>2</v>
      </c>
      <c r="M132" s="78">
        <f>M131</f>
        <v>14</v>
      </c>
      <c r="N132" s="84"/>
      <c r="O132" s="78">
        <f t="shared" si="91"/>
        <v>28</v>
      </c>
    </row>
    <row r="133" spans="1:16" ht="18" customHeight="1">
      <c r="A133" s="104"/>
      <c r="B133" s="93"/>
      <c r="C133" s="87"/>
      <c r="D133" s="88">
        <v>228</v>
      </c>
      <c r="E133" s="88">
        <v>910</v>
      </c>
      <c r="F133" s="89">
        <f t="shared" si="87"/>
        <v>28</v>
      </c>
      <c r="G133" s="90">
        <f t="shared" si="88"/>
        <v>63.277456458517136</v>
      </c>
      <c r="H133" s="90">
        <f t="shared" si="89"/>
        <v>127.456</v>
      </c>
      <c r="I133" s="91" t="str">
        <f>I131</f>
        <v>2동1,2라인</v>
      </c>
      <c r="J133" s="92" t="s">
        <v>216</v>
      </c>
      <c r="L133" s="89">
        <v>2</v>
      </c>
      <c r="M133" s="78">
        <f>M131</f>
        <v>14</v>
      </c>
      <c r="N133" s="78"/>
      <c r="O133" s="78">
        <f t="shared" si="91"/>
        <v>28</v>
      </c>
    </row>
    <row r="134" spans="1:16" ht="18" customHeight="1">
      <c r="A134" s="104"/>
      <c r="B134" s="93"/>
      <c r="C134" s="87"/>
      <c r="D134" s="88">
        <v>438</v>
      </c>
      <c r="E134" s="88">
        <v>270</v>
      </c>
      <c r="F134" s="89">
        <f t="shared" si="87"/>
        <v>28</v>
      </c>
      <c r="G134" s="90">
        <f t="shared" si="88"/>
        <v>36.067052249779437</v>
      </c>
      <c r="H134" s="90">
        <f t="shared" si="89"/>
        <v>79.295999999999992</v>
      </c>
      <c r="I134" s="91" t="str">
        <f t="shared" ref="I134" si="92">I133</f>
        <v>2동1,2라인</v>
      </c>
      <c r="J134" s="92" t="s">
        <v>217</v>
      </c>
      <c r="L134" s="89">
        <v>2</v>
      </c>
      <c r="M134" s="78">
        <f t="shared" si="90"/>
        <v>14</v>
      </c>
      <c r="N134" s="78"/>
      <c r="O134" s="78">
        <f t="shared" si="91"/>
        <v>28</v>
      </c>
    </row>
    <row r="135" spans="1:16" ht="18" customHeight="1">
      <c r="A135" s="104"/>
      <c r="B135" s="87"/>
      <c r="C135" s="87"/>
      <c r="D135" s="325" t="s">
        <v>0</v>
      </c>
      <c r="E135" s="325"/>
      <c r="F135" s="171">
        <f>SUM(F129:F134)</f>
        <v>168</v>
      </c>
      <c r="G135" s="95">
        <f>SUM(G129:G134)</f>
        <v>1590.0961779346253</v>
      </c>
      <c r="H135" s="95">
        <f>SUM(H129:H134)</f>
        <v>1168.9999999999998</v>
      </c>
      <c r="I135" s="97"/>
      <c r="J135" s="98"/>
    </row>
    <row r="136" spans="1:16">
      <c r="A136" s="105"/>
      <c r="B136" s="9"/>
      <c r="C136" s="9"/>
      <c r="D136" s="51"/>
      <c r="E136" s="51"/>
      <c r="F136" s="51"/>
      <c r="G136" s="106"/>
      <c r="H136" s="106"/>
      <c r="I136" s="9"/>
      <c r="J136" s="107"/>
    </row>
    <row r="137" spans="1:16" ht="18" customHeight="1">
      <c r="A137" s="85"/>
      <c r="B137" s="23" t="s">
        <v>237</v>
      </c>
      <c r="C137" s="24">
        <v>22</v>
      </c>
      <c r="D137" s="88">
        <v>2114</v>
      </c>
      <c r="E137" s="88">
        <v>1810</v>
      </c>
      <c r="F137" s="89">
        <f t="shared" ref="F137" si="93">O137</f>
        <v>14</v>
      </c>
      <c r="G137" s="90">
        <f t="shared" ref="G137" si="94">D137*E137/91809*F137</f>
        <v>583.48048666252771</v>
      </c>
      <c r="H137" s="90">
        <f t="shared" ref="H137" si="95">(D137/1000)*4*F137+(E137/1000)*4*F137</f>
        <v>219.74399999999997</v>
      </c>
      <c r="I137" s="91" t="str">
        <f>I129</f>
        <v>2동1,2라인</v>
      </c>
      <c r="J137" s="92" t="s">
        <v>206</v>
      </c>
      <c r="L137" s="89">
        <v>1</v>
      </c>
      <c r="M137" s="78">
        <f>M122</f>
        <v>14</v>
      </c>
      <c r="N137" s="84"/>
      <c r="O137" s="78">
        <f>L137*M137-N137*L137</f>
        <v>14</v>
      </c>
    </row>
    <row r="138" spans="1:16" ht="18" customHeight="1">
      <c r="A138" s="85"/>
      <c r="B138" s="93"/>
      <c r="C138" s="87"/>
      <c r="D138" s="325" t="s">
        <v>0</v>
      </c>
      <c r="E138" s="325"/>
      <c r="F138" s="94">
        <f>SUM(F137:F137)</f>
        <v>14</v>
      </c>
      <c r="G138" s="95">
        <f>SUM(G137:G137)</f>
        <v>583.48048666252771</v>
      </c>
      <c r="H138" s="95">
        <f>SUM(H137:H137)</f>
        <v>219.74399999999997</v>
      </c>
      <c r="I138" s="97"/>
      <c r="J138" s="98"/>
    </row>
    <row r="139" spans="1:16" ht="18" customHeight="1">
      <c r="A139" s="218"/>
      <c r="B139" s="219"/>
      <c r="C139" s="220"/>
      <c r="D139" s="161"/>
      <c r="E139" s="161"/>
      <c r="F139" s="89"/>
      <c r="G139" s="100"/>
      <c r="H139" s="100"/>
      <c r="I139" s="102"/>
      <c r="J139" s="221"/>
    </row>
    <row r="140" spans="1:16" ht="18" customHeight="1">
      <c r="A140" s="85"/>
      <c r="B140" s="23" t="s">
        <v>203</v>
      </c>
      <c r="C140" s="24">
        <v>22</v>
      </c>
      <c r="D140" s="88">
        <v>638</v>
      </c>
      <c r="E140" s="88">
        <v>1810</v>
      </c>
      <c r="F140" s="89">
        <f t="shared" ref="F140:F141" si="96">O140</f>
        <v>14</v>
      </c>
      <c r="G140" s="90">
        <f t="shared" ref="G140:G141" si="97">D140*E140/91809*F140</f>
        <v>176.0929756341971</v>
      </c>
      <c r="H140" s="90">
        <f t="shared" ref="H140:H141" si="98">(D140/1000)*4*F140+(E140/1000)*4*F140</f>
        <v>137.08799999999999</v>
      </c>
      <c r="I140" s="91" t="str">
        <f>I137</f>
        <v>2동1,2라인</v>
      </c>
      <c r="J140" s="92" t="s">
        <v>219</v>
      </c>
      <c r="L140" s="89">
        <v>2</v>
      </c>
      <c r="M140" s="78">
        <f>M137</f>
        <v>14</v>
      </c>
      <c r="N140" s="84">
        <v>7</v>
      </c>
      <c r="O140" s="78">
        <f>L140*M140-N140*L140</f>
        <v>14</v>
      </c>
      <c r="P140" s="64" t="s">
        <v>247</v>
      </c>
    </row>
    <row r="141" spans="1:16" ht="18" customHeight="1">
      <c r="A141" s="85"/>
      <c r="B141" s="86"/>
      <c r="C141" s="87"/>
      <c r="D141" s="88">
        <v>250</v>
      </c>
      <c r="E141" s="88">
        <v>930</v>
      </c>
      <c r="F141" s="89">
        <f t="shared" si="96"/>
        <v>28</v>
      </c>
      <c r="G141" s="90">
        <f t="shared" si="97"/>
        <v>70.908080907100612</v>
      </c>
      <c r="H141" s="90">
        <f t="shared" si="98"/>
        <v>132.16000000000003</v>
      </c>
      <c r="I141" s="91" t="str">
        <f>I140</f>
        <v>2동1,2라인</v>
      </c>
      <c r="J141" s="92" t="s">
        <v>220</v>
      </c>
      <c r="L141" s="89">
        <v>2</v>
      </c>
      <c r="M141" s="78">
        <f>M140</f>
        <v>14</v>
      </c>
      <c r="N141" s="84"/>
      <c r="O141" s="78">
        <f t="shared" ref="O141" si="99">L141*M141-N141*L141</f>
        <v>28</v>
      </c>
    </row>
    <row r="142" spans="1:16" ht="18" customHeight="1">
      <c r="A142" s="85"/>
      <c r="B142" s="93"/>
      <c r="C142" s="87"/>
      <c r="D142" s="325" t="s">
        <v>0</v>
      </c>
      <c r="E142" s="325"/>
      <c r="F142" s="94">
        <f>SUM(F140:F141)</f>
        <v>42</v>
      </c>
      <c r="G142" s="95">
        <f>SUM(G140:G141)</f>
        <v>247.00105654129771</v>
      </c>
      <c r="H142" s="96">
        <f>SUM(H140:H141)</f>
        <v>269.24800000000005</v>
      </c>
      <c r="I142" s="97"/>
      <c r="J142" s="162"/>
    </row>
    <row r="143" spans="1:16">
      <c r="A143" s="16"/>
      <c r="B143" s="16"/>
      <c r="C143" s="16"/>
      <c r="D143" s="261"/>
      <c r="E143" s="261"/>
      <c r="F143" s="261"/>
      <c r="G143" s="19"/>
      <c r="H143" s="19"/>
      <c r="I143" s="16"/>
      <c r="J143" s="16"/>
    </row>
    <row r="144" spans="1:16" ht="18" customHeight="1">
      <c r="A144" s="85" t="s">
        <v>235</v>
      </c>
      <c r="B144" s="23" t="s">
        <v>201</v>
      </c>
      <c r="C144" s="24">
        <v>22</v>
      </c>
      <c r="D144" s="88">
        <v>861</v>
      </c>
      <c r="E144" s="88">
        <v>1810</v>
      </c>
      <c r="F144" s="89">
        <f t="shared" ref="F144:F147" si="100">O144</f>
        <v>9</v>
      </c>
      <c r="G144" s="90">
        <f t="shared" ref="G144:G147" si="101">D144*E144/91809*F144</f>
        <v>152.77031663562394</v>
      </c>
      <c r="H144" s="90">
        <f t="shared" ref="H144:H147" si="102">(D144/1000)*4*F144+(E144/1000)*4*F144</f>
        <v>96.155999999999992</v>
      </c>
      <c r="I144" s="91" t="s">
        <v>248</v>
      </c>
      <c r="J144" s="92" t="s">
        <v>205</v>
      </c>
      <c r="L144" s="89">
        <v>1</v>
      </c>
      <c r="M144" s="78">
        <v>9</v>
      </c>
      <c r="N144" s="84"/>
      <c r="O144" s="78">
        <f>L144*M144-N144*L144</f>
        <v>9</v>
      </c>
      <c r="P144" s="64"/>
    </row>
    <row r="145" spans="1:16" ht="18" customHeight="1">
      <c r="A145" s="85"/>
      <c r="B145" s="86"/>
      <c r="C145" s="87"/>
      <c r="D145" s="88">
        <v>738</v>
      </c>
      <c r="E145" s="88">
        <v>1310</v>
      </c>
      <c r="F145" s="89">
        <f t="shared" si="100"/>
        <v>36</v>
      </c>
      <c r="G145" s="90">
        <f t="shared" si="101"/>
        <v>379.09224585824921</v>
      </c>
      <c r="H145" s="90">
        <f t="shared" si="102"/>
        <v>294.91200000000003</v>
      </c>
      <c r="I145" s="91" t="str">
        <f>I144</f>
        <v>2동3라인</v>
      </c>
      <c r="J145" s="92" t="s">
        <v>207</v>
      </c>
      <c r="L145" s="89">
        <v>4</v>
      </c>
      <c r="M145" s="78">
        <f>M144</f>
        <v>9</v>
      </c>
      <c r="N145" s="84"/>
      <c r="O145" s="78">
        <f t="shared" ref="O145:O147" si="103">L145*M145-N145*L145</f>
        <v>36</v>
      </c>
    </row>
    <row r="146" spans="1:16" ht="18" customHeight="1">
      <c r="A146" s="85"/>
      <c r="B146" s="86"/>
      <c r="C146" s="87"/>
      <c r="D146" s="88">
        <v>228</v>
      </c>
      <c r="E146" s="88">
        <v>910</v>
      </c>
      <c r="F146" s="89">
        <f t="shared" si="100"/>
        <v>18</v>
      </c>
      <c r="G146" s="90">
        <f t="shared" si="101"/>
        <v>40.67836486618959</v>
      </c>
      <c r="H146" s="90">
        <f t="shared" si="102"/>
        <v>81.935999999999993</v>
      </c>
      <c r="I146" s="91" t="str">
        <f t="shared" ref="I146:I147" si="104">I145</f>
        <v>2동3라인</v>
      </c>
      <c r="J146" s="92" t="s">
        <v>209</v>
      </c>
      <c r="L146" s="89">
        <v>2</v>
      </c>
      <c r="M146" s="78">
        <f t="shared" ref="M146:M147" si="105">M145</f>
        <v>9</v>
      </c>
      <c r="N146" s="78"/>
      <c r="O146" s="78">
        <f t="shared" si="103"/>
        <v>18</v>
      </c>
    </row>
    <row r="147" spans="1:16" ht="18" customHeight="1">
      <c r="A147" s="85"/>
      <c r="B147" s="86"/>
      <c r="C147" s="87"/>
      <c r="D147" s="88">
        <v>438</v>
      </c>
      <c r="E147" s="88">
        <v>270</v>
      </c>
      <c r="F147" s="89">
        <f t="shared" si="100"/>
        <v>18</v>
      </c>
      <c r="G147" s="90">
        <f t="shared" si="101"/>
        <v>23.185962160572494</v>
      </c>
      <c r="H147" s="90">
        <f t="shared" si="102"/>
        <v>50.975999999999999</v>
      </c>
      <c r="I147" s="91" t="str">
        <f t="shared" si="104"/>
        <v>2동3라인</v>
      </c>
      <c r="J147" s="92" t="s">
        <v>210</v>
      </c>
      <c r="L147" s="89">
        <v>2</v>
      </c>
      <c r="M147" s="78">
        <f t="shared" si="105"/>
        <v>9</v>
      </c>
      <c r="N147" s="78"/>
      <c r="O147" s="78">
        <f t="shared" si="103"/>
        <v>18</v>
      </c>
    </row>
    <row r="148" spans="1:16" ht="18" customHeight="1">
      <c r="A148" s="85"/>
      <c r="B148" s="93"/>
      <c r="C148" s="87"/>
      <c r="D148" s="325" t="s">
        <v>0</v>
      </c>
      <c r="E148" s="325"/>
      <c r="F148" s="94">
        <f>SUM(F144:F147)</f>
        <v>81</v>
      </c>
      <c r="G148" s="95">
        <f>SUM(G144:G147)</f>
        <v>595.72688952063515</v>
      </c>
      <c r="H148" s="96">
        <f>SUM(H144:H147)</f>
        <v>523.98</v>
      </c>
      <c r="I148" s="97"/>
      <c r="J148" s="162"/>
    </row>
    <row r="149" spans="1:16" ht="18" customHeight="1">
      <c r="A149" s="85"/>
      <c r="B149" s="93"/>
      <c r="C149" s="87"/>
      <c r="D149" s="161"/>
      <c r="E149" s="161"/>
      <c r="F149" s="89"/>
      <c r="G149" s="100"/>
      <c r="H149" s="101"/>
      <c r="I149" s="102"/>
      <c r="J149" s="121"/>
      <c r="L149" s="252"/>
      <c r="M149" s="252"/>
      <c r="N149" s="252"/>
      <c r="O149" s="252"/>
    </row>
    <row r="150" spans="1:16" ht="18" customHeight="1">
      <c r="A150" s="85"/>
      <c r="B150" s="23" t="s">
        <v>198</v>
      </c>
      <c r="C150" s="24">
        <v>22</v>
      </c>
      <c r="D150" s="88">
        <v>861</v>
      </c>
      <c r="E150" s="88">
        <v>1810</v>
      </c>
      <c r="F150" s="89">
        <f t="shared" ref="F150:F154" si="106">O150</f>
        <v>9</v>
      </c>
      <c r="G150" s="90">
        <f t="shared" ref="G150:G154" si="107">D150*E150/91809*F150</f>
        <v>152.77031663562394</v>
      </c>
      <c r="H150" s="90">
        <f t="shared" ref="H150:H154" si="108">(D150/1000)*4*F150+(E150/1000)*4*F150</f>
        <v>96.155999999999992</v>
      </c>
      <c r="I150" s="91" t="str">
        <f>I144</f>
        <v>2동3라인</v>
      </c>
      <c r="J150" s="92" t="s">
        <v>212</v>
      </c>
      <c r="L150" s="89">
        <v>1</v>
      </c>
      <c r="M150" s="78">
        <f>M144</f>
        <v>9</v>
      </c>
      <c r="N150" s="84"/>
      <c r="O150" s="78">
        <f>L150*M150-N150*L150</f>
        <v>9</v>
      </c>
    </row>
    <row r="151" spans="1:16" ht="18" customHeight="1">
      <c r="A151" s="85"/>
      <c r="B151" s="86"/>
      <c r="C151" s="87"/>
      <c r="D151" s="88">
        <v>2114</v>
      </c>
      <c r="E151" s="88">
        <v>1810</v>
      </c>
      <c r="F151" s="89">
        <f t="shared" si="106"/>
        <v>9</v>
      </c>
      <c r="G151" s="90">
        <f t="shared" si="107"/>
        <v>375.09459856876776</v>
      </c>
      <c r="H151" s="90">
        <f t="shared" si="108"/>
        <v>141.26400000000001</v>
      </c>
      <c r="I151" s="91" t="str">
        <f>I144</f>
        <v>2동3라인</v>
      </c>
      <c r="J151" s="92" t="s">
        <v>213</v>
      </c>
      <c r="L151" s="89">
        <v>1</v>
      </c>
      <c r="M151" s="78">
        <f>M150</f>
        <v>9</v>
      </c>
      <c r="N151" s="84"/>
      <c r="O151" s="78">
        <f>L151*M151-N151*L151</f>
        <v>9</v>
      </c>
    </row>
    <row r="152" spans="1:16" ht="18" customHeight="1">
      <c r="A152" s="104"/>
      <c r="B152" s="93"/>
      <c r="C152" s="87"/>
      <c r="D152" s="88">
        <v>738</v>
      </c>
      <c r="E152" s="88">
        <v>1310</v>
      </c>
      <c r="F152" s="89">
        <f t="shared" si="106"/>
        <v>36</v>
      </c>
      <c r="G152" s="90">
        <f t="shared" si="107"/>
        <v>379.09224585824921</v>
      </c>
      <c r="H152" s="90">
        <f t="shared" si="108"/>
        <v>294.91200000000003</v>
      </c>
      <c r="I152" s="91" t="str">
        <f>I151</f>
        <v>2동3라인</v>
      </c>
      <c r="J152" s="92" t="s">
        <v>214</v>
      </c>
      <c r="L152" s="89">
        <v>4</v>
      </c>
      <c r="M152" s="78">
        <f t="shared" ref="M152:M154" si="109">M151</f>
        <v>9</v>
      </c>
      <c r="N152" s="84"/>
      <c r="O152" s="78">
        <f t="shared" ref="O152:O154" si="110">L152*M152-N152*L152</f>
        <v>36</v>
      </c>
    </row>
    <row r="153" spans="1:16" ht="18" customHeight="1">
      <c r="A153" s="104"/>
      <c r="B153" s="93"/>
      <c r="C153" s="87"/>
      <c r="D153" s="88">
        <v>228</v>
      </c>
      <c r="E153" s="88">
        <v>910</v>
      </c>
      <c r="F153" s="89">
        <f t="shared" si="106"/>
        <v>18</v>
      </c>
      <c r="G153" s="90">
        <f t="shared" si="107"/>
        <v>40.67836486618959</v>
      </c>
      <c r="H153" s="90">
        <f t="shared" si="108"/>
        <v>81.935999999999993</v>
      </c>
      <c r="I153" s="91" t="str">
        <f t="shared" ref="I153:I154" si="111">I152</f>
        <v>2동3라인</v>
      </c>
      <c r="J153" s="92" t="s">
        <v>216</v>
      </c>
      <c r="L153" s="89">
        <v>2</v>
      </c>
      <c r="M153" s="78">
        <f t="shared" si="109"/>
        <v>9</v>
      </c>
      <c r="N153" s="78"/>
      <c r="O153" s="78">
        <f t="shared" si="110"/>
        <v>18</v>
      </c>
    </row>
    <row r="154" spans="1:16" ht="18" customHeight="1">
      <c r="A154" s="104"/>
      <c r="B154" s="93"/>
      <c r="C154" s="87"/>
      <c r="D154" s="88">
        <v>438</v>
      </c>
      <c r="E154" s="88">
        <v>270</v>
      </c>
      <c r="F154" s="89">
        <f t="shared" si="106"/>
        <v>18</v>
      </c>
      <c r="G154" s="90">
        <f t="shared" si="107"/>
        <v>23.185962160572494</v>
      </c>
      <c r="H154" s="90">
        <f t="shared" si="108"/>
        <v>50.975999999999999</v>
      </c>
      <c r="I154" s="91" t="str">
        <f t="shared" si="111"/>
        <v>2동3라인</v>
      </c>
      <c r="J154" s="92" t="s">
        <v>217</v>
      </c>
      <c r="L154" s="89">
        <v>2</v>
      </c>
      <c r="M154" s="78">
        <f t="shared" si="109"/>
        <v>9</v>
      </c>
      <c r="N154" s="78"/>
      <c r="O154" s="78">
        <f t="shared" si="110"/>
        <v>18</v>
      </c>
    </row>
    <row r="155" spans="1:16" ht="18" customHeight="1">
      <c r="A155" s="104"/>
      <c r="B155" s="87"/>
      <c r="C155" s="87"/>
      <c r="D155" s="325" t="s">
        <v>0</v>
      </c>
      <c r="E155" s="325"/>
      <c r="F155" s="171">
        <f>SUM(F150:F154)</f>
        <v>90</v>
      </c>
      <c r="G155" s="95">
        <f>SUM(G150:G154)</f>
        <v>970.82148808940303</v>
      </c>
      <c r="H155" s="95">
        <f>SUM(H150:H154)</f>
        <v>665.24400000000014</v>
      </c>
      <c r="I155" s="97"/>
      <c r="J155" s="98"/>
    </row>
    <row r="156" spans="1:16">
      <c r="A156" s="105"/>
      <c r="B156" s="9"/>
      <c r="C156" s="9"/>
      <c r="D156" s="51"/>
      <c r="E156" s="51"/>
      <c r="F156" s="51"/>
      <c r="G156" s="106"/>
      <c r="H156" s="106"/>
      <c r="I156" s="9"/>
      <c r="J156" s="107"/>
    </row>
    <row r="157" spans="1:16" ht="18" customHeight="1">
      <c r="A157" s="85"/>
      <c r="B157" s="23" t="s">
        <v>237</v>
      </c>
      <c r="C157" s="24">
        <v>22</v>
      </c>
      <c r="D157" s="88">
        <v>2114</v>
      </c>
      <c r="E157" s="88">
        <v>1810</v>
      </c>
      <c r="F157" s="89">
        <f t="shared" ref="F157" si="112">O157</f>
        <v>9</v>
      </c>
      <c r="G157" s="90">
        <f t="shared" ref="G157" si="113">D157*E157/91809*F157</f>
        <v>375.09459856876776</v>
      </c>
      <c r="H157" s="90">
        <f t="shared" ref="H157" si="114">(D157/1000)*4*F157+(E157/1000)*4*F157</f>
        <v>141.26400000000001</v>
      </c>
      <c r="I157" s="91" t="str">
        <f>I150</f>
        <v>2동3라인</v>
      </c>
      <c r="J157" s="92" t="s">
        <v>206</v>
      </c>
      <c r="L157" s="89">
        <v>1</v>
      </c>
      <c r="M157" s="78">
        <f>M144</f>
        <v>9</v>
      </c>
      <c r="N157" s="84"/>
      <c r="O157" s="78">
        <f>L157*M157-N157*L157</f>
        <v>9</v>
      </c>
    </row>
    <row r="158" spans="1:16" ht="18" customHeight="1">
      <c r="A158" s="85"/>
      <c r="B158" s="93"/>
      <c r="C158" s="87"/>
      <c r="D158" s="325" t="s">
        <v>0</v>
      </c>
      <c r="E158" s="325"/>
      <c r="F158" s="94">
        <f>SUM(F157:F157)</f>
        <v>9</v>
      </c>
      <c r="G158" s="95">
        <f>SUM(G157:G157)</f>
        <v>375.09459856876776</v>
      </c>
      <c r="H158" s="95">
        <f>SUM(H157:H157)</f>
        <v>141.26400000000001</v>
      </c>
      <c r="I158" s="97"/>
      <c r="J158" s="98"/>
    </row>
    <row r="159" spans="1:16" ht="18" customHeight="1">
      <c r="A159" s="218"/>
      <c r="B159" s="219"/>
      <c r="C159" s="220"/>
      <c r="D159" s="161"/>
      <c r="E159" s="161"/>
      <c r="F159" s="89"/>
      <c r="G159" s="100"/>
      <c r="H159" s="100"/>
      <c r="I159" s="102"/>
      <c r="J159" s="221"/>
    </row>
    <row r="160" spans="1:16" ht="18" customHeight="1">
      <c r="A160" s="85"/>
      <c r="B160" s="23" t="s">
        <v>203</v>
      </c>
      <c r="C160" s="24">
        <v>22</v>
      </c>
      <c r="D160" s="88">
        <v>738</v>
      </c>
      <c r="E160" s="88">
        <v>1810</v>
      </c>
      <c r="F160" s="89">
        <f t="shared" ref="F160:F161" si="115">O160</f>
        <v>0</v>
      </c>
      <c r="G160" s="90">
        <f t="shared" ref="G160:G161" si="116">D160*E160/91809*F160</f>
        <v>0</v>
      </c>
      <c r="H160" s="90">
        <f t="shared" ref="H160:H161" si="117">(D160/1000)*4*F160+(E160/1000)*4*F160</f>
        <v>0</v>
      </c>
      <c r="I160" s="91" t="str">
        <f>I157</f>
        <v>2동3라인</v>
      </c>
      <c r="J160" s="92" t="s">
        <v>219</v>
      </c>
      <c r="L160" s="89">
        <v>2</v>
      </c>
      <c r="M160" s="78">
        <f>M157</f>
        <v>9</v>
      </c>
      <c r="N160" s="84">
        <v>9</v>
      </c>
      <c r="O160" s="78">
        <f>L160*M160-N160*L160</f>
        <v>0</v>
      </c>
      <c r="P160" s="64" t="s">
        <v>282</v>
      </c>
    </row>
    <row r="161" spans="1:16" ht="18" customHeight="1">
      <c r="A161" s="85"/>
      <c r="B161" s="86"/>
      <c r="C161" s="87"/>
      <c r="D161" s="88">
        <v>250</v>
      </c>
      <c r="E161" s="88">
        <v>930</v>
      </c>
      <c r="F161" s="89">
        <f t="shared" si="115"/>
        <v>18</v>
      </c>
      <c r="G161" s="90">
        <f t="shared" si="116"/>
        <v>45.583766297421818</v>
      </c>
      <c r="H161" s="90">
        <f t="shared" si="117"/>
        <v>84.960000000000008</v>
      </c>
      <c r="I161" s="91" t="str">
        <f>I160</f>
        <v>2동3라인</v>
      </c>
      <c r="J161" s="92" t="s">
        <v>220</v>
      </c>
      <c r="L161" s="89">
        <v>2</v>
      </c>
      <c r="M161" s="78">
        <f>M160</f>
        <v>9</v>
      </c>
      <c r="N161" s="84"/>
      <c r="O161" s="78">
        <f t="shared" ref="O161" si="118">L161*M161-N161*L161</f>
        <v>18</v>
      </c>
    </row>
    <row r="162" spans="1:16" ht="18" customHeight="1">
      <c r="A162" s="85"/>
      <c r="B162" s="93"/>
      <c r="C162" s="87"/>
      <c r="D162" s="325" t="s">
        <v>0</v>
      </c>
      <c r="E162" s="325"/>
      <c r="F162" s="94">
        <f>SUM(F160:F161)</f>
        <v>18</v>
      </c>
      <c r="G162" s="95">
        <f>SUM(G160:G161)</f>
        <v>45.583766297421818</v>
      </c>
      <c r="H162" s="96">
        <f>SUM(H160:H161)</f>
        <v>84.960000000000008</v>
      </c>
      <c r="I162" s="97"/>
      <c r="J162" s="162"/>
    </row>
    <row r="163" spans="1:16" ht="18" customHeight="1" thickBot="1">
      <c r="A163" s="222"/>
      <c r="B163" s="223"/>
      <c r="C163" s="224"/>
      <c r="D163" s="225"/>
      <c r="E163" s="225"/>
      <c r="F163" s="226"/>
      <c r="G163" s="227"/>
      <c r="H163" s="228"/>
      <c r="I163" s="229"/>
      <c r="J163" s="230"/>
      <c r="L163" s="78" t="s">
        <v>48</v>
      </c>
      <c r="M163" s="78" t="s">
        <v>49</v>
      </c>
      <c r="N163" s="78" t="s">
        <v>50</v>
      </c>
      <c r="O163" s="78" t="s">
        <v>55</v>
      </c>
    </row>
    <row r="164" spans="1:16" ht="18" customHeight="1">
      <c r="A164" s="79" t="s">
        <v>234</v>
      </c>
      <c r="B164" s="231" t="s">
        <v>195</v>
      </c>
      <c r="C164" s="232">
        <v>22</v>
      </c>
      <c r="D164" s="80">
        <v>761</v>
      </c>
      <c r="E164" s="80">
        <v>1810</v>
      </c>
      <c r="F164" s="233">
        <f>O164</f>
        <v>18</v>
      </c>
      <c r="G164" s="81">
        <f t="shared" ref="G164:G170" si="119">D164*E164/91809*F164</f>
        <v>270.05391628271741</v>
      </c>
      <c r="H164" s="81">
        <f t="shared" ref="H164:H170" si="120">(D164/1000)*4*F164+(E164/1000)*4*F164</f>
        <v>185.11199999999999</v>
      </c>
      <c r="I164" s="82" t="s">
        <v>249</v>
      </c>
      <c r="J164" s="83" t="s">
        <v>205</v>
      </c>
      <c r="L164" s="89">
        <v>2</v>
      </c>
      <c r="M164" s="78">
        <v>9</v>
      </c>
      <c r="N164" s="84"/>
      <c r="O164" s="78">
        <f>L164*M164-N164*L164</f>
        <v>18</v>
      </c>
      <c r="P164" s="64"/>
    </row>
    <row r="165" spans="1:16" ht="18" customHeight="1">
      <c r="A165" s="85"/>
      <c r="B165" s="86"/>
      <c r="C165" s="87"/>
      <c r="D165" s="88">
        <v>1688</v>
      </c>
      <c r="E165" s="88">
        <v>1810</v>
      </c>
      <c r="F165" s="89">
        <f t="shared" ref="F165:F170" si="121">O165</f>
        <v>9</v>
      </c>
      <c r="G165" s="90">
        <f t="shared" si="119"/>
        <v>299.50789138319772</v>
      </c>
      <c r="H165" s="90">
        <f t="shared" si="120"/>
        <v>125.928</v>
      </c>
      <c r="I165" s="91" t="str">
        <f>I164</f>
        <v>2동4라인</v>
      </c>
      <c r="J165" s="92" t="s">
        <v>206</v>
      </c>
      <c r="L165" s="89">
        <v>1</v>
      </c>
      <c r="M165" s="78">
        <f>M164</f>
        <v>9</v>
      </c>
      <c r="N165" s="84"/>
      <c r="O165" s="78">
        <f t="shared" ref="O165:O170" si="122">L165*M165-N165*L165</f>
        <v>9</v>
      </c>
    </row>
    <row r="166" spans="1:16" ht="18" customHeight="1">
      <c r="A166" s="85"/>
      <c r="B166" s="86"/>
      <c r="C166" s="87"/>
      <c r="D166" s="88">
        <v>738</v>
      </c>
      <c r="E166" s="88">
        <v>1310</v>
      </c>
      <c r="F166" s="89">
        <f t="shared" si="121"/>
        <v>36</v>
      </c>
      <c r="G166" s="90">
        <f t="shared" si="119"/>
        <v>379.09224585824921</v>
      </c>
      <c r="H166" s="90">
        <f t="shared" si="120"/>
        <v>294.91200000000003</v>
      </c>
      <c r="I166" s="91" t="str">
        <f t="shared" ref="I166:I170" si="123">I165</f>
        <v>2동4라인</v>
      </c>
      <c r="J166" s="92" t="s">
        <v>207</v>
      </c>
      <c r="L166" s="89">
        <v>4</v>
      </c>
      <c r="M166" s="78">
        <f t="shared" ref="M166:M169" si="124">M165</f>
        <v>9</v>
      </c>
      <c r="N166" s="78"/>
      <c r="O166" s="78">
        <f t="shared" si="122"/>
        <v>36</v>
      </c>
    </row>
    <row r="167" spans="1:16" ht="18" customHeight="1">
      <c r="A167" s="85"/>
      <c r="B167" s="86"/>
      <c r="C167" s="87"/>
      <c r="D167" s="88">
        <v>288</v>
      </c>
      <c r="E167" s="88">
        <v>910</v>
      </c>
      <c r="F167" s="89">
        <f t="shared" si="121"/>
        <v>18</v>
      </c>
      <c r="G167" s="90">
        <f t="shared" si="119"/>
        <v>51.383197725713167</v>
      </c>
      <c r="H167" s="90">
        <f t="shared" si="120"/>
        <v>86.256</v>
      </c>
      <c r="I167" s="91" t="str">
        <f t="shared" si="123"/>
        <v>2동4라인</v>
      </c>
      <c r="J167" s="92" t="s">
        <v>208</v>
      </c>
      <c r="L167" s="89">
        <v>2</v>
      </c>
      <c r="M167" s="78">
        <f t="shared" si="124"/>
        <v>9</v>
      </c>
      <c r="N167" s="78"/>
      <c r="O167" s="78">
        <f t="shared" si="122"/>
        <v>18</v>
      </c>
    </row>
    <row r="168" spans="1:16" ht="18" customHeight="1">
      <c r="A168" s="85"/>
      <c r="B168" s="86"/>
      <c r="C168" s="87"/>
      <c r="D168" s="88">
        <v>228</v>
      </c>
      <c r="E168" s="88">
        <v>910</v>
      </c>
      <c r="F168" s="89">
        <f t="shared" si="121"/>
        <v>18</v>
      </c>
      <c r="G168" s="90">
        <f t="shared" si="119"/>
        <v>40.67836486618959</v>
      </c>
      <c r="H168" s="90">
        <f t="shared" si="120"/>
        <v>81.935999999999993</v>
      </c>
      <c r="I168" s="91" t="str">
        <f t="shared" si="123"/>
        <v>2동4라인</v>
      </c>
      <c r="J168" s="92" t="s">
        <v>209</v>
      </c>
      <c r="L168" s="89">
        <v>2</v>
      </c>
      <c r="M168" s="78">
        <f t="shared" si="124"/>
        <v>9</v>
      </c>
      <c r="N168" s="78"/>
      <c r="O168" s="78">
        <f t="shared" si="122"/>
        <v>18</v>
      </c>
    </row>
    <row r="169" spans="1:16" ht="18" customHeight="1">
      <c r="A169" s="85"/>
      <c r="B169" s="86"/>
      <c r="C169" s="87"/>
      <c r="D169" s="88">
        <v>438</v>
      </c>
      <c r="E169" s="88">
        <v>270</v>
      </c>
      <c r="F169" s="89">
        <f t="shared" si="121"/>
        <v>18</v>
      </c>
      <c r="G169" s="90">
        <f t="shared" si="119"/>
        <v>23.185962160572494</v>
      </c>
      <c r="H169" s="90">
        <f t="shared" si="120"/>
        <v>50.975999999999999</v>
      </c>
      <c r="I169" s="91" t="str">
        <f t="shared" si="123"/>
        <v>2동4라인</v>
      </c>
      <c r="J169" s="92" t="s">
        <v>210</v>
      </c>
      <c r="L169" s="89">
        <v>2</v>
      </c>
      <c r="M169" s="78">
        <f t="shared" si="124"/>
        <v>9</v>
      </c>
      <c r="N169" s="78"/>
      <c r="O169" s="78">
        <f t="shared" si="122"/>
        <v>18</v>
      </c>
    </row>
    <row r="170" spans="1:16" ht="18" customHeight="1">
      <c r="A170" s="85"/>
      <c r="B170" s="86"/>
      <c r="C170" s="87"/>
      <c r="D170" s="88">
        <v>208</v>
      </c>
      <c r="E170" s="88">
        <v>910</v>
      </c>
      <c r="F170" s="89">
        <f t="shared" si="121"/>
        <v>18</v>
      </c>
      <c r="G170" s="90">
        <f t="shared" si="119"/>
        <v>37.1100872463484</v>
      </c>
      <c r="H170" s="90">
        <f t="shared" si="120"/>
        <v>80.495999999999995</v>
      </c>
      <c r="I170" s="91" t="str">
        <f t="shared" si="123"/>
        <v>2동4라인</v>
      </c>
      <c r="J170" s="92" t="s">
        <v>211</v>
      </c>
      <c r="L170" s="89">
        <v>2</v>
      </c>
      <c r="M170" s="78">
        <f>M169</f>
        <v>9</v>
      </c>
      <c r="N170" s="78"/>
      <c r="O170" s="78">
        <f t="shared" si="122"/>
        <v>18</v>
      </c>
    </row>
    <row r="171" spans="1:16" ht="18" customHeight="1">
      <c r="A171" s="85"/>
      <c r="B171" s="93"/>
      <c r="C171" s="87"/>
      <c r="D171" s="325" t="s">
        <v>0</v>
      </c>
      <c r="E171" s="325"/>
      <c r="F171" s="94">
        <f>SUM(F164:F170)</f>
        <v>135</v>
      </c>
      <c r="G171" s="95">
        <f>SUM(G164:G170)</f>
        <v>1101.0116655229881</v>
      </c>
      <c r="H171" s="96">
        <f>SUM(H164:H170)</f>
        <v>905.61599999999999</v>
      </c>
      <c r="I171" s="97"/>
      <c r="J171" s="162"/>
    </row>
    <row r="172" spans="1:16" ht="18" customHeight="1">
      <c r="A172" s="85"/>
      <c r="B172" s="93"/>
      <c r="C172" s="87"/>
      <c r="D172" s="161"/>
      <c r="E172" s="161"/>
      <c r="F172" s="89"/>
      <c r="G172" s="100"/>
      <c r="H172" s="101"/>
      <c r="I172" s="102"/>
      <c r="J172" s="121"/>
      <c r="L172" s="78" t="s">
        <v>48</v>
      </c>
      <c r="M172" s="78" t="s">
        <v>54</v>
      </c>
      <c r="N172" s="78" t="s">
        <v>50</v>
      </c>
      <c r="O172" s="78" t="s">
        <v>55</v>
      </c>
    </row>
    <row r="173" spans="1:16" ht="18" customHeight="1">
      <c r="A173" s="85"/>
      <c r="B173" s="23" t="s">
        <v>197</v>
      </c>
      <c r="C173" s="24">
        <v>22</v>
      </c>
      <c r="D173" s="88">
        <v>761</v>
      </c>
      <c r="E173" s="88">
        <v>1810</v>
      </c>
      <c r="F173" s="89">
        <f t="shared" ref="F173:F179" si="125">O173</f>
        <v>18</v>
      </c>
      <c r="G173" s="90">
        <f t="shared" ref="G173:G179" si="126">D173*E173/91809*F173</f>
        <v>270.05391628271741</v>
      </c>
      <c r="H173" s="90">
        <f t="shared" ref="H173:H179" si="127">(D173/1000)*4*F173+(E173/1000)*4*F173</f>
        <v>185.11199999999999</v>
      </c>
      <c r="I173" s="91" t="str">
        <f t="shared" ref="I173:I179" si="128">I164</f>
        <v>2동4라인</v>
      </c>
      <c r="J173" s="92" t="s">
        <v>212</v>
      </c>
      <c r="L173" s="89">
        <v>2</v>
      </c>
      <c r="M173" s="78">
        <f>M164</f>
        <v>9</v>
      </c>
      <c r="N173" s="84"/>
      <c r="O173" s="78">
        <f>L173*M173-N173*L173</f>
        <v>18</v>
      </c>
    </row>
    <row r="174" spans="1:16" ht="18" customHeight="1">
      <c r="A174" s="85"/>
      <c r="B174" s="86"/>
      <c r="C174" s="87"/>
      <c r="D174" s="88">
        <v>1688</v>
      </c>
      <c r="E174" s="88">
        <v>1810</v>
      </c>
      <c r="F174" s="89">
        <f t="shared" si="125"/>
        <v>9</v>
      </c>
      <c r="G174" s="90">
        <f t="shared" si="126"/>
        <v>299.50789138319772</v>
      </c>
      <c r="H174" s="90">
        <f t="shared" si="127"/>
        <v>125.928</v>
      </c>
      <c r="I174" s="91" t="str">
        <f t="shared" si="128"/>
        <v>2동4라인</v>
      </c>
      <c r="J174" s="92" t="s">
        <v>213</v>
      </c>
      <c r="L174" s="89">
        <v>1</v>
      </c>
      <c r="M174" s="78">
        <f>M173</f>
        <v>9</v>
      </c>
      <c r="N174" s="84"/>
      <c r="O174" s="78">
        <f>L174*M174-N174*L174</f>
        <v>9</v>
      </c>
    </row>
    <row r="175" spans="1:16" ht="18" customHeight="1">
      <c r="A175" s="104"/>
      <c r="B175" s="93"/>
      <c r="C175" s="87"/>
      <c r="D175" s="88">
        <v>738</v>
      </c>
      <c r="E175" s="88">
        <v>1310</v>
      </c>
      <c r="F175" s="89">
        <f t="shared" si="125"/>
        <v>36</v>
      </c>
      <c r="G175" s="90">
        <f t="shared" si="126"/>
        <v>379.09224585824921</v>
      </c>
      <c r="H175" s="90">
        <f t="shared" si="127"/>
        <v>294.91200000000003</v>
      </c>
      <c r="I175" s="91" t="str">
        <f t="shared" si="128"/>
        <v>2동4라인</v>
      </c>
      <c r="J175" s="92" t="s">
        <v>214</v>
      </c>
      <c r="L175" s="89">
        <v>4</v>
      </c>
      <c r="M175" s="78">
        <f t="shared" ref="M175:M179" si="129">M174</f>
        <v>9</v>
      </c>
      <c r="N175" s="84"/>
      <c r="O175" s="78">
        <f t="shared" ref="O175:O179" si="130">L175*M175-N175*L175</f>
        <v>36</v>
      </c>
    </row>
    <row r="176" spans="1:16" ht="18" customHeight="1">
      <c r="A176" s="104"/>
      <c r="B176" s="93"/>
      <c r="C176" s="87"/>
      <c r="D176" s="88">
        <v>288</v>
      </c>
      <c r="E176" s="88">
        <v>910</v>
      </c>
      <c r="F176" s="89">
        <f t="shared" si="125"/>
        <v>18</v>
      </c>
      <c r="G176" s="90">
        <f t="shared" si="126"/>
        <v>51.383197725713167</v>
      </c>
      <c r="H176" s="90">
        <f t="shared" si="127"/>
        <v>86.256</v>
      </c>
      <c r="I176" s="91" t="str">
        <f t="shared" si="128"/>
        <v>2동4라인</v>
      </c>
      <c r="J176" s="92" t="s">
        <v>215</v>
      </c>
      <c r="L176" s="89">
        <v>2</v>
      </c>
      <c r="M176" s="78">
        <f t="shared" si="129"/>
        <v>9</v>
      </c>
      <c r="N176" s="78"/>
      <c r="O176" s="78">
        <f t="shared" si="130"/>
        <v>18</v>
      </c>
    </row>
    <row r="177" spans="1:16" ht="18" customHeight="1">
      <c r="A177" s="104"/>
      <c r="B177" s="93"/>
      <c r="C177" s="87"/>
      <c r="D177" s="88">
        <v>228</v>
      </c>
      <c r="E177" s="88">
        <v>910</v>
      </c>
      <c r="F177" s="89">
        <f t="shared" si="125"/>
        <v>18</v>
      </c>
      <c r="G177" s="90">
        <f t="shared" si="126"/>
        <v>40.67836486618959</v>
      </c>
      <c r="H177" s="90">
        <f t="shared" si="127"/>
        <v>81.935999999999993</v>
      </c>
      <c r="I177" s="91" t="str">
        <f t="shared" si="128"/>
        <v>2동4라인</v>
      </c>
      <c r="J177" s="92" t="s">
        <v>216</v>
      </c>
      <c r="L177" s="89">
        <v>2</v>
      </c>
      <c r="M177" s="78">
        <f t="shared" si="129"/>
        <v>9</v>
      </c>
      <c r="N177" s="78"/>
      <c r="O177" s="78">
        <f t="shared" si="130"/>
        <v>18</v>
      </c>
    </row>
    <row r="178" spans="1:16" ht="18" customHeight="1">
      <c r="A178" s="104"/>
      <c r="B178" s="93"/>
      <c r="C178" s="87"/>
      <c r="D178" s="88">
        <v>438</v>
      </c>
      <c r="E178" s="88">
        <v>270</v>
      </c>
      <c r="F178" s="89">
        <f t="shared" si="125"/>
        <v>18</v>
      </c>
      <c r="G178" s="90">
        <f t="shared" si="126"/>
        <v>23.185962160572494</v>
      </c>
      <c r="H178" s="90">
        <f t="shared" si="127"/>
        <v>50.975999999999999</v>
      </c>
      <c r="I178" s="91" t="str">
        <f t="shared" si="128"/>
        <v>2동4라인</v>
      </c>
      <c r="J178" s="92" t="s">
        <v>217</v>
      </c>
      <c r="L178" s="89">
        <v>2</v>
      </c>
      <c r="M178" s="78">
        <f t="shared" si="129"/>
        <v>9</v>
      </c>
      <c r="N178" s="78"/>
      <c r="O178" s="78">
        <f t="shared" si="130"/>
        <v>18</v>
      </c>
    </row>
    <row r="179" spans="1:16" ht="18" customHeight="1">
      <c r="A179" s="104"/>
      <c r="B179" s="93"/>
      <c r="C179" s="87"/>
      <c r="D179" s="88">
        <v>208</v>
      </c>
      <c r="E179" s="88">
        <v>910</v>
      </c>
      <c r="F179" s="89">
        <f t="shared" si="125"/>
        <v>18</v>
      </c>
      <c r="G179" s="90">
        <f t="shared" si="126"/>
        <v>37.1100872463484</v>
      </c>
      <c r="H179" s="90">
        <f t="shared" si="127"/>
        <v>80.495999999999995</v>
      </c>
      <c r="I179" s="91" t="str">
        <f t="shared" si="128"/>
        <v>2동4라인</v>
      </c>
      <c r="J179" s="92" t="s">
        <v>218</v>
      </c>
      <c r="L179" s="89">
        <v>2</v>
      </c>
      <c r="M179" s="78">
        <f t="shared" si="129"/>
        <v>9</v>
      </c>
      <c r="N179" s="78"/>
      <c r="O179" s="78">
        <f t="shared" si="130"/>
        <v>18</v>
      </c>
    </row>
    <row r="180" spans="1:16" ht="18" customHeight="1">
      <c r="A180" s="104"/>
      <c r="B180" s="87"/>
      <c r="C180" s="87"/>
      <c r="D180" s="325" t="s">
        <v>0</v>
      </c>
      <c r="E180" s="325"/>
      <c r="F180" s="171">
        <f>SUM(F173:F179)</f>
        <v>135</v>
      </c>
      <c r="G180" s="95">
        <f>SUM(G173:G179)</f>
        <v>1101.0116655229881</v>
      </c>
      <c r="H180" s="95">
        <f>SUM(H173:H179)</f>
        <v>905.61599999999999</v>
      </c>
      <c r="I180" s="97"/>
      <c r="J180" s="98"/>
    </row>
    <row r="181" spans="1:16">
      <c r="A181" s="105"/>
      <c r="B181" s="9"/>
      <c r="C181" s="9"/>
      <c r="D181" s="51"/>
      <c r="E181" s="51"/>
      <c r="F181" s="51"/>
      <c r="G181" s="106"/>
      <c r="H181" s="106"/>
      <c r="I181" s="9"/>
      <c r="J181" s="107"/>
    </row>
    <row r="182" spans="1:16" ht="18" customHeight="1">
      <c r="A182" s="85"/>
      <c r="B182" s="163" t="s">
        <v>199</v>
      </c>
      <c r="C182" s="163">
        <v>22</v>
      </c>
      <c r="D182" s="88">
        <v>738</v>
      </c>
      <c r="E182" s="88">
        <v>1810</v>
      </c>
      <c r="F182" s="89">
        <f t="shared" ref="F182:F183" si="131">O182</f>
        <v>18</v>
      </c>
      <c r="G182" s="90">
        <f t="shared" ref="G182:G183" si="132">D182*E182/91809*F182</f>
        <v>261.89197137535535</v>
      </c>
      <c r="H182" s="90">
        <f t="shared" ref="H182:H183" si="133">(D182/1000)*4*F182+(E182/1000)*4*F182</f>
        <v>183.45599999999999</v>
      </c>
      <c r="I182" s="91" t="str">
        <f>I173</f>
        <v>2동4라인</v>
      </c>
      <c r="J182" s="92" t="s">
        <v>219</v>
      </c>
      <c r="L182" s="89">
        <v>2</v>
      </c>
      <c r="M182" s="78">
        <f>M164</f>
        <v>9</v>
      </c>
      <c r="N182" s="84"/>
      <c r="O182" s="78">
        <f>L182*M182-N182*L182</f>
        <v>18</v>
      </c>
      <c r="P182" s="64"/>
    </row>
    <row r="183" spans="1:16" ht="18" customHeight="1">
      <c r="A183" s="85"/>
      <c r="B183" s="86"/>
      <c r="C183" s="87"/>
      <c r="D183" s="88">
        <v>250</v>
      </c>
      <c r="E183" s="88">
        <v>930</v>
      </c>
      <c r="F183" s="89">
        <f t="shared" si="131"/>
        <v>18</v>
      </c>
      <c r="G183" s="90">
        <f t="shared" si="132"/>
        <v>45.583766297421818</v>
      </c>
      <c r="H183" s="90">
        <f t="shared" si="133"/>
        <v>84.960000000000008</v>
      </c>
      <c r="I183" s="91" t="str">
        <f>I182</f>
        <v>2동4라인</v>
      </c>
      <c r="J183" s="92" t="s">
        <v>220</v>
      </c>
      <c r="L183" s="89">
        <v>2</v>
      </c>
      <c r="M183" s="78">
        <f>M182</f>
        <v>9</v>
      </c>
      <c r="N183" s="84"/>
      <c r="O183" s="78">
        <f t="shared" ref="O183" si="134">L183*M183-N183*L183</f>
        <v>18</v>
      </c>
    </row>
    <row r="184" spans="1:16" ht="18" customHeight="1">
      <c r="A184" s="85"/>
      <c r="B184" s="93"/>
      <c r="C184" s="87"/>
      <c r="D184" s="325" t="s">
        <v>0</v>
      </c>
      <c r="E184" s="325"/>
      <c r="F184" s="94">
        <f>SUM(F182:F183)</f>
        <v>36</v>
      </c>
      <c r="G184" s="95">
        <f>SUM(G182:G183)</f>
        <v>307.4757376727772</v>
      </c>
      <c r="H184" s="95">
        <f>SUM(H182:H183)</f>
        <v>268.416</v>
      </c>
      <c r="I184" s="97"/>
      <c r="J184" s="98"/>
    </row>
    <row r="185" spans="1:16" ht="18" customHeight="1">
      <c r="A185" s="108"/>
      <c r="B185" s="164"/>
      <c r="C185" s="109"/>
      <c r="D185" s="363"/>
      <c r="E185" s="363"/>
      <c r="F185" s="110"/>
      <c r="G185" s="111"/>
      <c r="H185" s="234"/>
      <c r="I185" s="112"/>
      <c r="J185" s="235"/>
    </row>
    <row r="186" spans="1:16" ht="18" customHeight="1">
      <c r="A186" s="262" t="s">
        <v>234</v>
      </c>
      <c r="B186" s="263" t="s">
        <v>195</v>
      </c>
      <c r="C186" s="264">
        <v>22</v>
      </c>
      <c r="D186" s="265">
        <v>761</v>
      </c>
      <c r="E186" s="265">
        <v>1810</v>
      </c>
      <c r="F186" s="251">
        <f>O186</f>
        <v>36</v>
      </c>
      <c r="G186" s="266">
        <f t="shared" ref="G186:G192" si="135">D186*E186/91809*F186</f>
        <v>540.10783256543482</v>
      </c>
      <c r="H186" s="266">
        <f t="shared" ref="H186:H192" si="136">(D186/1000)*4*F186+(E186/1000)*4*F186</f>
        <v>370.22399999999999</v>
      </c>
      <c r="I186" s="267" t="s">
        <v>250</v>
      </c>
      <c r="J186" s="268" t="s">
        <v>205</v>
      </c>
      <c r="L186" s="89">
        <v>2</v>
      </c>
      <c r="M186" s="78">
        <f>2*9</f>
        <v>18</v>
      </c>
      <c r="N186" s="84"/>
      <c r="O186" s="78">
        <f>L186*M186-N186*L186</f>
        <v>36</v>
      </c>
      <c r="P186" s="64"/>
    </row>
    <row r="187" spans="1:16" ht="18" customHeight="1">
      <c r="A187" s="85"/>
      <c r="B187" s="86"/>
      <c r="C187" s="87"/>
      <c r="D187" s="88">
        <v>1688</v>
      </c>
      <c r="E187" s="88">
        <v>1810</v>
      </c>
      <c r="F187" s="89">
        <f t="shared" ref="F187:F192" si="137">O187</f>
        <v>18</v>
      </c>
      <c r="G187" s="90">
        <f t="shared" si="135"/>
        <v>599.01578276639543</v>
      </c>
      <c r="H187" s="90">
        <f t="shared" si="136"/>
        <v>251.85599999999999</v>
      </c>
      <c r="I187" s="91" t="str">
        <f>I186</f>
        <v>2동5,6라인</v>
      </c>
      <c r="J187" s="92" t="s">
        <v>206</v>
      </c>
      <c r="L187" s="89">
        <v>1</v>
      </c>
      <c r="M187" s="78">
        <f>M186</f>
        <v>18</v>
      </c>
      <c r="N187" s="84"/>
      <c r="O187" s="78">
        <f t="shared" ref="O187:O192" si="138">L187*M187-N187*L187</f>
        <v>18</v>
      </c>
    </row>
    <row r="188" spans="1:16" ht="18" customHeight="1">
      <c r="A188" s="85"/>
      <c r="B188" s="86"/>
      <c r="C188" s="87"/>
      <c r="D188" s="88">
        <v>738</v>
      </c>
      <c r="E188" s="88">
        <v>1310</v>
      </c>
      <c r="F188" s="89">
        <f t="shared" si="137"/>
        <v>72</v>
      </c>
      <c r="G188" s="90">
        <f t="shared" si="135"/>
        <v>758.18449171649843</v>
      </c>
      <c r="H188" s="90">
        <f t="shared" si="136"/>
        <v>589.82400000000007</v>
      </c>
      <c r="I188" s="91" t="str">
        <f t="shared" ref="I188:I192" si="139">I187</f>
        <v>2동5,6라인</v>
      </c>
      <c r="J188" s="92" t="s">
        <v>207</v>
      </c>
      <c r="L188" s="89">
        <v>4</v>
      </c>
      <c r="M188" s="78">
        <f t="shared" ref="M188:M191" si="140">M187</f>
        <v>18</v>
      </c>
      <c r="N188" s="78"/>
      <c r="O188" s="78">
        <f t="shared" si="138"/>
        <v>72</v>
      </c>
    </row>
    <row r="189" spans="1:16" ht="18" customHeight="1">
      <c r="A189" s="85"/>
      <c r="B189" s="86"/>
      <c r="C189" s="87"/>
      <c r="D189" s="88">
        <v>288</v>
      </c>
      <c r="E189" s="88">
        <v>910</v>
      </c>
      <c r="F189" s="89">
        <f t="shared" si="137"/>
        <v>36</v>
      </c>
      <c r="G189" s="90">
        <f t="shared" si="135"/>
        <v>102.76639545142633</v>
      </c>
      <c r="H189" s="90">
        <f t="shared" si="136"/>
        <v>172.512</v>
      </c>
      <c r="I189" s="91" t="str">
        <f t="shared" si="139"/>
        <v>2동5,6라인</v>
      </c>
      <c r="J189" s="92" t="s">
        <v>208</v>
      </c>
      <c r="L189" s="89">
        <v>2</v>
      </c>
      <c r="M189" s="78">
        <f t="shared" si="140"/>
        <v>18</v>
      </c>
      <c r="N189" s="78"/>
      <c r="O189" s="78">
        <f t="shared" si="138"/>
        <v>36</v>
      </c>
    </row>
    <row r="190" spans="1:16" ht="18" customHeight="1">
      <c r="A190" s="85"/>
      <c r="B190" s="86"/>
      <c r="C190" s="87"/>
      <c r="D190" s="88">
        <v>228</v>
      </c>
      <c r="E190" s="88">
        <v>910</v>
      </c>
      <c r="F190" s="89">
        <f t="shared" si="137"/>
        <v>36</v>
      </c>
      <c r="G190" s="90">
        <f t="shared" si="135"/>
        <v>81.356729732379179</v>
      </c>
      <c r="H190" s="90">
        <f t="shared" si="136"/>
        <v>163.87199999999999</v>
      </c>
      <c r="I190" s="91" t="str">
        <f t="shared" si="139"/>
        <v>2동5,6라인</v>
      </c>
      <c r="J190" s="92" t="s">
        <v>209</v>
      </c>
      <c r="L190" s="89">
        <v>2</v>
      </c>
      <c r="M190" s="78">
        <f t="shared" si="140"/>
        <v>18</v>
      </c>
      <c r="N190" s="78"/>
      <c r="O190" s="78">
        <f t="shared" si="138"/>
        <v>36</v>
      </c>
    </row>
    <row r="191" spans="1:16" ht="18" customHeight="1">
      <c r="A191" s="85"/>
      <c r="B191" s="86"/>
      <c r="C191" s="87"/>
      <c r="D191" s="88">
        <v>438</v>
      </c>
      <c r="E191" s="88">
        <v>270</v>
      </c>
      <c r="F191" s="89">
        <f t="shared" si="137"/>
        <v>36</v>
      </c>
      <c r="G191" s="90">
        <f t="shared" si="135"/>
        <v>46.371924321144988</v>
      </c>
      <c r="H191" s="90">
        <f t="shared" si="136"/>
        <v>101.952</v>
      </c>
      <c r="I191" s="91" t="str">
        <f t="shared" si="139"/>
        <v>2동5,6라인</v>
      </c>
      <c r="J191" s="92" t="s">
        <v>210</v>
      </c>
      <c r="L191" s="89">
        <v>2</v>
      </c>
      <c r="M191" s="78">
        <f t="shared" si="140"/>
        <v>18</v>
      </c>
      <c r="N191" s="78"/>
      <c r="O191" s="78">
        <f t="shared" si="138"/>
        <v>36</v>
      </c>
    </row>
    <row r="192" spans="1:16" ht="18" customHeight="1">
      <c r="A192" s="85"/>
      <c r="B192" s="86"/>
      <c r="C192" s="87"/>
      <c r="D192" s="88">
        <v>208</v>
      </c>
      <c r="E192" s="88">
        <v>910</v>
      </c>
      <c r="F192" s="89">
        <f t="shared" si="137"/>
        <v>36</v>
      </c>
      <c r="G192" s="90">
        <f t="shared" si="135"/>
        <v>74.220174492696799</v>
      </c>
      <c r="H192" s="90">
        <f t="shared" si="136"/>
        <v>160.99199999999999</v>
      </c>
      <c r="I192" s="91" t="str">
        <f t="shared" si="139"/>
        <v>2동5,6라인</v>
      </c>
      <c r="J192" s="92" t="s">
        <v>211</v>
      </c>
      <c r="L192" s="89">
        <v>2</v>
      </c>
      <c r="M192" s="78">
        <f>M191</f>
        <v>18</v>
      </c>
      <c r="N192" s="78"/>
      <c r="O192" s="78">
        <f t="shared" si="138"/>
        <v>36</v>
      </c>
    </row>
    <row r="193" spans="1:16" ht="18" customHeight="1">
      <c r="A193" s="85"/>
      <c r="B193" s="93"/>
      <c r="C193" s="87"/>
      <c r="D193" s="325" t="s">
        <v>0</v>
      </c>
      <c r="E193" s="325"/>
      <c r="F193" s="94">
        <f>SUM(F186:F192)</f>
        <v>270</v>
      </c>
      <c r="G193" s="95">
        <f>SUM(G186:G192)</f>
        <v>2202.0233310459762</v>
      </c>
      <c r="H193" s="96">
        <f>SUM(H186:H192)</f>
        <v>1811.232</v>
      </c>
      <c r="I193" s="97"/>
      <c r="J193" s="162"/>
    </row>
    <row r="194" spans="1:16" ht="18" customHeight="1">
      <c r="A194" s="85"/>
      <c r="B194" s="93"/>
      <c r="C194" s="87"/>
      <c r="D194" s="161"/>
      <c r="E194" s="161"/>
      <c r="F194" s="89"/>
      <c r="G194" s="100"/>
      <c r="H194" s="101"/>
      <c r="I194" s="102"/>
      <c r="J194" s="121"/>
      <c r="L194" s="78" t="s">
        <v>48</v>
      </c>
      <c r="M194" s="78" t="s">
        <v>54</v>
      </c>
      <c r="N194" s="78" t="s">
        <v>50</v>
      </c>
      <c r="O194" s="78" t="s">
        <v>55</v>
      </c>
    </row>
    <row r="195" spans="1:16" ht="18" customHeight="1">
      <c r="A195" s="85"/>
      <c r="B195" s="23" t="s">
        <v>197</v>
      </c>
      <c r="C195" s="24">
        <v>22</v>
      </c>
      <c r="D195" s="88">
        <v>761</v>
      </c>
      <c r="E195" s="88">
        <v>1810</v>
      </c>
      <c r="F195" s="89">
        <f t="shared" ref="F195:F201" si="141">O195</f>
        <v>36</v>
      </c>
      <c r="G195" s="90">
        <f t="shared" ref="G195:G201" si="142">D195*E195/91809*F195</f>
        <v>540.10783256543482</v>
      </c>
      <c r="H195" s="90">
        <f t="shared" ref="H195:H201" si="143">(D195/1000)*4*F195+(E195/1000)*4*F195</f>
        <v>370.22399999999999</v>
      </c>
      <c r="I195" s="91" t="str">
        <f t="shared" ref="I195:I201" si="144">I186</f>
        <v>2동5,6라인</v>
      </c>
      <c r="J195" s="92" t="s">
        <v>212</v>
      </c>
      <c r="L195" s="89">
        <v>2</v>
      </c>
      <c r="M195" s="78">
        <f>M186</f>
        <v>18</v>
      </c>
      <c r="N195" s="84"/>
      <c r="O195" s="78">
        <f>L195*M195-N195*L195</f>
        <v>36</v>
      </c>
    </row>
    <row r="196" spans="1:16" ht="18" customHeight="1">
      <c r="A196" s="85"/>
      <c r="B196" s="86"/>
      <c r="C196" s="87"/>
      <c r="D196" s="88">
        <v>1688</v>
      </c>
      <c r="E196" s="88">
        <v>1810</v>
      </c>
      <c r="F196" s="89">
        <f t="shared" si="141"/>
        <v>18</v>
      </c>
      <c r="G196" s="90">
        <f t="shared" si="142"/>
        <v>599.01578276639543</v>
      </c>
      <c r="H196" s="90">
        <f t="shared" si="143"/>
        <v>251.85599999999999</v>
      </c>
      <c r="I196" s="91" t="str">
        <f t="shared" si="144"/>
        <v>2동5,6라인</v>
      </c>
      <c r="J196" s="92" t="s">
        <v>213</v>
      </c>
      <c r="L196" s="89">
        <v>1</v>
      </c>
      <c r="M196" s="78">
        <f>M195</f>
        <v>18</v>
      </c>
      <c r="N196" s="84"/>
      <c r="O196" s="78">
        <f>L196*M196-N196*L196</f>
        <v>18</v>
      </c>
    </row>
    <row r="197" spans="1:16" ht="18" customHeight="1">
      <c r="A197" s="104"/>
      <c r="B197" s="93"/>
      <c r="C197" s="87"/>
      <c r="D197" s="88">
        <v>738</v>
      </c>
      <c r="E197" s="88">
        <v>1310</v>
      </c>
      <c r="F197" s="89">
        <f t="shared" si="141"/>
        <v>72</v>
      </c>
      <c r="G197" s="90">
        <f t="shared" si="142"/>
        <v>758.18449171649843</v>
      </c>
      <c r="H197" s="90">
        <f t="shared" si="143"/>
        <v>589.82400000000007</v>
      </c>
      <c r="I197" s="91" t="str">
        <f t="shared" si="144"/>
        <v>2동5,6라인</v>
      </c>
      <c r="J197" s="92" t="s">
        <v>214</v>
      </c>
      <c r="L197" s="89">
        <v>4</v>
      </c>
      <c r="M197" s="78">
        <f t="shared" ref="M197:M201" si="145">M196</f>
        <v>18</v>
      </c>
      <c r="N197" s="84"/>
      <c r="O197" s="78">
        <f t="shared" ref="O197:O201" si="146">L197*M197-N197*L197</f>
        <v>72</v>
      </c>
    </row>
    <row r="198" spans="1:16" ht="18" customHeight="1">
      <c r="A198" s="104"/>
      <c r="B198" s="93"/>
      <c r="C198" s="87"/>
      <c r="D198" s="88">
        <v>288</v>
      </c>
      <c r="E198" s="88">
        <v>910</v>
      </c>
      <c r="F198" s="89">
        <f t="shared" si="141"/>
        <v>36</v>
      </c>
      <c r="G198" s="90">
        <f t="shared" si="142"/>
        <v>102.76639545142633</v>
      </c>
      <c r="H198" s="90">
        <f t="shared" si="143"/>
        <v>172.512</v>
      </c>
      <c r="I198" s="91" t="str">
        <f t="shared" si="144"/>
        <v>2동5,6라인</v>
      </c>
      <c r="J198" s="92" t="s">
        <v>215</v>
      </c>
      <c r="L198" s="89">
        <v>2</v>
      </c>
      <c r="M198" s="78">
        <f t="shared" si="145"/>
        <v>18</v>
      </c>
      <c r="N198" s="78"/>
      <c r="O198" s="78">
        <f t="shared" si="146"/>
        <v>36</v>
      </c>
    </row>
    <row r="199" spans="1:16" ht="18" customHeight="1">
      <c r="A199" s="104"/>
      <c r="B199" s="93"/>
      <c r="C199" s="87"/>
      <c r="D199" s="88">
        <v>228</v>
      </c>
      <c r="E199" s="88">
        <v>910</v>
      </c>
      <c r="F199" s="89">
        <f t="shared" si="141"/>
        <v>36</v>
      </c>
      <c r="G199" s="90">
        <f t="shared" si="142"/>
        <v>81.356729732379179</v>
      </c>
      <c r="H199" s="90">
        <f t="shared" si="143"/>
        <v>163.87199999999999</v>
      </c>
      <c r="I199" s="91" t="str">
        <f t="shared" si="144"/>
        <v>2동5,6라인</v>
      </c>
      <c r="J199" s="92" t="s">
        <v>216</v>
      </c>
      <c r="L199" s="89">
        <v>2</v>
      </c>
      <c r="M199" s="78">
        <f t="shared" si="145"/>
        <v>18</v>
      </c>
      <c r="N199" s="78"/>
      <c r="O199" s="78">
        <f t="shared" si="146"/>
        <v>36</v>
      </c>
    </row>
    <row r="200" spans="1:16" ht="18" customHeight="1">
      <c r="A200" s="104"/>
      <c r="B200" s="93"/>
      <c r="C200" s="87"/>
      <c r="D200" s="88">
        <v>438</v>
      </c>
      <c r="E200" s="88">
        <v>270</v>
      </c>
      <c r="F200" s="89">
        <f t="shared" si="141"/>
        <v>36</v>
      </c>
      <c r="G200" s="90">
        <f t="shared" si="142"/>
        <v>46.371924321144988</v>
      </c>
      <c r="H200" s="90">
        <f t="shared" si="143"/>
        <v>101.952</v>
      </c>
      <c r="I200" s="91" t="str">
        <f t="shared" si="144"/>
        <v>2동5,6라인</v>
      </c>
      <c r="J200" s="92" t="s">
        <v>217</v>
      </c>
      <c r="L200" s="89">
        <v>2</v>
      </c>
      <c r="M200" s="78">
        <f t="shared" si="145"/>
        <v>18</v>
      </c>
      <c r="N200" s="78"/>
      <c r="O200" s="78">
        <f t="shared" si="146"/>
        <v>36</v>
      </c>
    </row>
    <row r="201" spans="1:16" ht="18" customHeight="1">
      <c r="A201" s="104"/>
      <c r="B201" s="93"/>
      <c r="C201" s="87"/>
      <c r="D201" s="88">
        <v>208</v>
      </c>
      <c r="E201" s="88">
        <v>910</v>
      </c>
      <c r="F201" s="89">
        <f t="shared" si="141"/>
        <v>36</v>
      </c>
      <c r="G201" s="90">
        <f t="shared" si="142"/>
        <v>74.220174492696799</v>
      </c>
      <c r="H201" s="90">
        <f t="shared" si="143"/>
        <v>160.99199999999999</v>
      </c>
      <c r="I201" s="91" t="str">
        <f t="shared" si="144"/>
        <v>2동5,6라인</v>
      </c>
      <c r="J201" s="92" t="s">
        <v>218</v>
      </c>
      <c r="L201" s="89">
        <v>2</v>
      </c>
      <c r="M201" s="78">
        <f t="shared" si="145"/>
        <v>18</v>
      </c>
      <c r="N201" s="78"/>
      <c r="O201" s="78">
        <f t="shared" si="146"/>
        <v>36</v>
      </c>
    </row>
    <row r="202" spans="1:16" ht="18" customHeight="1">
      <c r="A202" s="104"/>
      <c r="B202" s="87"/>
      <c r="C202" s="87"/>
      <c r="D202" s="325" t="s">
        <v>0</v>
      </c>
      <c r="E202" s="325"/>
      <c r="F202" s="171">
        <f>SUM(F195:F201)</f>
        <v>270</v>
      </c>
      <c r="G202" s="95">
        <f>SUM(G195:G201)</f>
        <v>2202.0233310459762</v>
      </c>
      <c r="H202" s="95">
        <f>SUM(H195:H201)</f>
        <v>1811.232</v>
      </c>
      <c r="I202" s="97"/>
      <c r="J202" s="98"/>
    </row>
    <row r="203" spans="1:16">
      <c r="A203" s="105"/>
      <c r="B203" s="9"/>
      <c r="C203" s="9"/>
      <c r="D203" s="51"/>
      <c r="E203" s="51"/>
      <c r="F203" s="51"/>
      <c r="G203" s="106"/>
      <c r="H203" s="106"/>
      <c r="I203" s="9"/>
      <c r="J203" s="107"/>
    </row>
    <row r="204" spans="1:16" ht="18" customHeight="1">
      <c r="A204" s="85"/>
      <c r="B204" s="163" t="s">
        <v>199</v>
      </c>
      <c r="C204" s="163">
        <v>22</v>
      </c>
      <c r="D204" s="88">
        <v>738</v>
      </c>
      <c r="E204" s="88">
        <v>1810</v>
      </c>
      <c r="F204" s="89">
        <f t="shared" ref="F204:F205" si="147">O204</f>
        <v>36</v>
      </c>
      <c r="G204" s="90">
        <f t="shared" ref="G204:G205" si="148">D204*E204/91809*F204</f>
        <v>523.78394275071071</v>
      </c>
      <c r="H204" s="90">
        <f t="shared" ref="H204:H205" si="149">(D204/1000)*4*F204+(E204/1000)*4*F204</f>
        <v>366.91199999999998</v>
      </c>
      <c r="I204" s="91" t="str">
        <f>I195</f>
        <v>2동5,6라인</v>
      </c>
      <c r="J204" s="92" t="s">
        <v>219</v>
      </c>
      <c r="L204" s="89">
        <v>2</v>
      </c>
      <c r="M204" s="78">
        <f>M186</f>
        <v>18</v>
      </c>
      <c r="N204" s="84"/>
      <c r="O204" s="78">
        <f>L204*M204-N204*L204</f>
        <v>36</v>
      </c>
      <c r="P204" s="64"/>
    </row>
    <row r="205" spans="1:16" ht="18" customHeight="1">
      <c r="A205" s="85"/>
      <c r="B205" s="86"/>
      <c r="C205" s="87"/>
      <c r="D205" s="88">
        <v>250</v>
      </c>
      <c r="E205" s="88">
        <v>930</v>
      </c>
      <c r="F205" s="89">
        <f t="shared" si="147"/>
        <v>36</v>
      </c>
      <c r="G205" s="90">
        <f t="shared" si="148"/>
        <v>91.167532594843635</v>
      </c>
      <c r="H205" s="90">
        <f t="shared" si="149"/>
        <v>169.92000000000002</v>
      </c>
      <c r="I205" s="91" t="str">
        <f>I204</f>
        <v>2동5,6라인</v>
      </c>
      <c r="J205" s="92" t="s">
        <v>220</v>
      </c>
      <c r="L205" s="89">
        <v>2</v>
      </c>
      <c r="M205" s="78">
        <f>M204</f>
        <v>18</v>
      </c>
      <c r="N205" s="84"/>
      <c r="O205" s="78">
        <f t="shared" ref="O205" si="150">L205*M205-N205*L205</f>
        <v>36</v>
      </c>
    </row>
    <row r="206" spans="1:16" ht="18" customHeight="1">
      <c r="A206" s="85"/>
      <c r="B206" s="93"/>
      <c r="C206" s="87"/>
      <c r="D206" s="325" t="s">
        <v>0</v>
      </c>
      <c r="E206" s="325"/>
      <c r="F206" s="94">
        <f>SUM(F204:F205)</f>
        <v>72</v>
      </c>
      <c r="G206" s="95">
        <f>SUM(G204:G205)</f>
        <v>614.9514753455544</v>
      </c>
      <c r="H206" s="95">
        <f>SUM(H204:H205)</f>
        <v>536.83199999999999</v>
      </c>
      <c r="I206" s="97"/>
      <c r="J206" s="98"/>
    </row>
    <row r="207" spans="1:16" ht="18" customHeight="1">
      <c r="A207" s="253"/>
      <c r="B207" s="254"/>
      <c r="C207" s="255"/>
      <c r="D207" s="361"/>
      <c r="E207" s="361"/>
      <c r="F207" s="256"/>
      <c r="G207" s="257"/>
      <c r="H207" s="258"/>
      <c r="I207" s="259"/>
      <c r="J207" s="260"/>
      <c r="L207" s="250"/>
      <c r="M207" s="250"/>
      <c r="N207" s="250"/>
      <c r="O207" s="250"/>
    </row>
    <row r="208" spans="1:16" ht="18" customHeight="1">
      <c r="A208" s="85">
        <v>74</v>
      </c>
      <c r="B208" s="23" t="s">
        <v>201</v>
      </c>
      <c r="C208" s="24">
        <v>22</v>
      </c>
      <c r="D208" s="88">
        <v>861</v>
      </c>
      <c r="E208" s="88">
        <v>1810</v>
      </c>
      <c r="F208" s="89">
        <f t="shared" ref="F208:F212" si="151">O208</f>
        <v>18</v>
      </c>
      <c r="G208" s="90">
        <f t="shared" ref="G208:G212" si="152">D208*E208/91809*F208</f>
        <v>305.54063327124788</v>
      </c>
      <c r="H208" s="90">
        <f t="shared" ref="H208:H212" si="153">(D208/1000)*4*F208+(E208/1000)*4*F208</f>
        <v>192.31199999999998</v>
      </c>
      <c r="I208" s="91" t="s">
        <v>251</v>
      </c>
      <c r="J208" s="92" t="s">
        <v>205</v>
      </c>
      <c r="L208" s="89">
        <v>1</v>
      </c>
      <c r="M208" s="78">
        <f>2*9</f>
        <v>18</v>
      </c>
      <c r="N208" s="84"/>
      <c r="O208" s="78">
        <f>L208*M208-N208*L208</f>
        <v>18</v>
      </c>
      <c r="P208" s="64"/>
    </row>
    <row r="209" spans="1:15" ht="18" customHeight="1">
      <c r="A209" s="85"/>
      <c r="B209" s="86"/>
      <c r="C209" s="87"/>
      <c r="D209" s="88">
        <v>738</v>
      </c>
      <c r="E209" s="88">
        <v>1310</v>
      </c>
      <c r="F209" s="89">
        <f t="shared" si="151"/>
        <v>72</v>
      </c>
      <c r="G209" s="90">
        <f t="shared" si="152"/>
        <v>758.18449171649843</v>
      </c>
      <c r="H209" s="90">
        <f t="shared" si="153"/>
        <v>589.82400000000007</v>
      </c>
      <c r="I209" s="91" t="str">
        <f>I208</f>
        <v>3동1,2라인</v>
      </c>
      <c r="J209" s="92" t="s">
        <v>207</v>
      </c>
      <c r="L209" s="89">
        <v>4</v>
      </c>
      <c r="M209" s="78">
        <f>M208</f>
        <v>18</v>
      </c>
      <c r="N209" s="84"/>
      <c r="O209" s="78">
        <f t="shared" ref="O209:O212" si="154">L209*M209-N209*L209</f>
        <v>72</v>
      </c>
    </row>
    <row r="210" spans="1:15" ht="18" customHeight="1">
      <c r="A210" s="85"/>
      <c r="B210" s="86"/>
      <c r="C210" s="87"/>
      <c r="D210" s="88">
        <v>288</v>
      </c>
      <c r="E210" s="88">
        <v>910</v>
      </c>
      <c r="F210" s="89">
        <f t="shared" si="151"/>
        <v>36</v>
      </c>
      <c r="G210" s="90">
        <f t="shared" si="152"/>
        <v>102.76639545142633</v>
      </c>
      <c r="H210" s="90">
        <f t="shared" si="153"/>
        <v>172.512</v>
      </c>
      <c r="I210" s="91" t="str">
        <f t="shared" ref="I210:I211" si="155">I209</f>
        <v>3동1,2라인</v>
      </c>
      <c r="J210" s="92" t="s">
        <v>208</v>
      </c>
      <c r="L210" s="89">
        <v>2</v>
      </c>
      <c r="M210" s="78">
        <f t="shared" ref="M210" si="156">M209</f>
        <v>18</v>
      </c>
      <c r="N210" s="78"/>
      <c r="O210" s="78">
        <f t="shared" si="154"/>
        <v>36</v>
      </c>
    </row>
    <row r="211" spans="1:15" ht="18" customHeight="1">
      <c r="A211" s="85"/>
      <c r="B211" s="86"/>
      <c r="C211" s="87"/>
      <c r="D211" s="88">
        <v>228</v>
      </c>
      <c r="E211" s="88">
        <v>910</v>
      </c>
      <c r="F211" s="89">
        <f t="shared" si="151"/>
        <v>36</v>
      </c>
      <c r="G211" s="90">
        <f t="shared" si="152"/>
        <v>81.356729732379179</v>
      </c>
      <c r="H211" s="90">
        <f t="shared" si="153"/>
        <v>163.87199999999999</v>
      </c>
      <c r="I211" s="91" t="str">
        <f t="shared" si="155"/>
        <v>3동1,2라인</v>
      </c>
      <c r="J211" s="92" t="s">
        <v>209</v>
      </c>
      <c r="L211" s="89">
        <v>2</v>
      </c>
      <c r="M211" s="78">
        <f>M210</f>
        <v>18</v>
      </c>
      <c r="N211" s="78"/>
      <c r="O211" s="78">
        <f t="shared" si="154"/>
        <v>36</v>
      </c>
    </row>
    <row r="212" spans="1:15" ht="18" customHeight="1">
      <c r="A212" s="85"/>
      <c r="B212" s="86"/>
      <c r="C212" s="87"/>
      <c r="D212" s="88">
        <v>438</v>
      </c>
      <c r="E212" s="88">
        <v>270</v>
      </c>
      <c r="F212" s="89">
        <f t="shared" si="151"/>
        <v>36</v>
      </c>
      <c r="G212" s="90">
        <f t="shared" si="152"/>
        <v>46.371924321144988</v>
      </c>
      <c r="H212" s="90">
        <f t="shared" si="153"/>
        <v>101.952</v>
      </c>
      <c r="I212" s="91" t="str">
        <f>I210</f>
        <v>3동1,2라인</v>
      </c>
      <c r="J212" s="92" t="s">
        <v>210</v>
      </c>
      <c r="L212" s="89">
        <v>2</v>
      </c>
      <c r="M212" s="78">
        <f>M210</f>
        <v>18</v>
      </c>
      <c r="N212" s="78"/>
      <c r="O212" s="78">
        <f t="shared" si="154"/>
        <v>36</v>
      </c>
    </row>
    <row r="213" spans="1:15" ht="18" customHeight="1">
      <c r="A213" s="85"/>
      <c r="B213" s="93"/>
      <c r="C213" s="87"/>
      <c r="D213" s="325" t="s">
        <v>0</v>
      </c>
      <c r="E213" s="325"/>
      <c r="F213" s="94">
        <f>SUM(F208:F212)</f>
        <v>198</v>
      </c>
      <c r="G213" s="95">
        <f>SUM(G208:G212)</f>
        <v>1294.2201744926967</v>
      </c>
      <c r="H213" s="96">
        <f>SUM(H208:H212)</f>
        <v>1220.4720000000002</v>
      </c>
      <c r="I213" s="97"/>
      <c r="J213" s="162"/>
    </row>
    <row r="214" spans="1:15" ht="18" customHeight="1">
      <c r="A214" s="85"/>
      <c r="B214" s="93"/>
      <c r="C214" s="87"/>
      <c r="D214" s="161"/>
      <c r="E214" s="161"/>
      <c r="F214" s="89"/>
      <c r="G214" s="100"/>
      <c r="H214" s="101"/>
      <c r="I214" s="102"/>
      <c r="J214" s="121"/>
      <c r="L214" s="252"/>
      <c r="M214" s="252"/>
      <c r="N214" s="252"/>
      <c r="O214" s="252"/>
    </row>
    <row r="215" spans="1:15" ht="18" customHeight="1">
      <c r="A215" s="85"/>
      <c r="B215" s="23" t="s">
        <v>198</v>
      </c>
      <c r="C215" s="24">
        <v>22</v>
      </c>
      <c r="D215" s="88">
        <v>861</v>
      </c>
      <c r="E215" s="88">
        <v>1810</v>
      </c>
      <c r="F215" s="89">
        <f t="shared" ref="F215:F220" si="157">O215</f>
        <v>18</v>
      </c>
      <c r="G215" s="90">
        <f t="shared" ref="G215:G220" si="158">D215*E215/91809*F215</f>
        <v>305.54063327124788</v>
      </c>
      <c r="H215" s="90">
        <f t="shared" ref="H215:H220" si="159">(D215/1000)*4*F215+(E215/1000)*4*F215</f>
        <v>192.31199999999998</v>
      </c>
      <c r="I215" s="91" t="str">
        <f>I208</f>
        <v>3동1,2라인</v>
      </c>
      <c r="J215" s="92" t="s">
        <v>212</v>
      </c>
      <c r="L215" s="89">
        <v>1</v>
      </c>
      <c r="M215" s="78">
        <f>M208</f>
        <v>18</v>
      </c>
      <c r="N215" s="84"/>
      <c r="O215" s="78">
        <f>L215*M215-N215*L215</f>
        <v>18</v>
      </c>
    </row>
    <row r="216" spans="1:15" ht="18" customHeight="1">
      <c r="A216" s="85"/>
      <c r="B216" s="86"/>
      <c r="C216" s="87"/>
      <c r="D216" s="88">
        <v>2114</v>
      </c>
      <c r="E216" s="88">
        <v>1810</v>
      </c>
      <c r="F216" s="89">
        <f t="shared" si="157"/>
        <v>18</v>
      </c>
      <c r="G216" s="90">
        <f t="shared" si="158"/>
        <v>750.18919713753553</v>
      </c>
      <c r="H216" s="90">
        <f t="shared" si="159"/>
        <v>282.52800000000002</v>
      </c>
      <c r="I216" s="91" t="str">
        <f>I208</f>
        <v>3동1,2라인</v>
      </c>
      <c r="J216" s="92" t="s">
        <v>213</v>
      </c>
      <c r="L216" s="89">
        <v>1</v>
      </c>
      <c r="M216" s="78">
        <f>M215</f>
        <v>18</v>
      </c>
      <c r="N216" s="84"/>
      <c r="O216" s="78">
        <f>L216*M216-N216*L216</f>
        <v>18</v>
      </c>
    </row>
    <row r="217" spans="1:15" ht="18" customHeight="1">
      <c r="A217" s="104"/>
      <c r="B217" s="93"/>
      <c r="C217" s="87"/>
      <c r="D217" s="88">
        <v>738</v>
      </c>
      <c r="E217" s="88">
        <v>1310</v>
      </c>
      <c r="F217" s="89">
        <f t="shared" si="157"/>
        <v>72</v>
      </c>
      <c r="G217" s="90">
        <f t="shared" si="158"/>
        <v>758.18449171649843</v>
      </c>
      <c r="H217" s="90">
        <f t="shared" si="159"/>
        <v>589.82400000000007</v>
      </c>
      <c r="I217" s="91" t="str">
        <f>I216</f>
        <v>3동1,2라인</v>
      </c>
      <c r="J217" s="92" t="s">
        <v>214</v>
      </c>
      <c r="L217" s="89">
        <v>4</v>
      </c>
      <c r="M217" s="78">
        <f t="shared" ref="M217:M220" si="160">M216</f>
        <v>18</v>
      </c>
      <c r="N217" s="84"/>
      <c r="O217" s="78">
        <f t="shared" ref="O217:O220" si="161">L217*M217-N217*L217</f>
        <v>72</v>
      </c>
    </row>
    <row r="218" spans="1:15" ht="18" customHeight="1">
      <c r="A218" s="104"/>
      <c r="B218" s="93"/>
      <c r="C218" s="87"/>
      <c r="D218" s="88">
        <v>288</v>
      </c>
      <c r="E218" s="88">
        <v>910</v>
      </c>
      <c r="F218" s="89">
        <f t="shared" si="157"/>
        <v>36</v>
      </c>
      <c r="G218" s="90">
        <f t="shared" si="158"/>
        <v>102.76639545142633</v>
      </c>
      <c r="H218" s="90">
        <f t="shared" si="159"/>
        <v>172.512</v>
      </c>
      <c r="I218" s="91" t="str">
        <f>I217</f>
        <v>3동1,2라인</v>
      </c>
      <c r="J218" s="92" t="s">
        <v>215</v>
      </c>
      <c r="L218" s="89">
        <v>2</v>
      </c>
      <c r="M218" s="78">
        <f>M217</f>
        <v>18</v>
      </c>
      <c r="N218" s="84"/>
      <c r="O218" s="78">
        <f t="shared" si="161"/>
        <v>36</v>
      </c>
    </row>
    <row r="219" spans="1:15" ht="18" customHeight="1">
      <c r="A219" s="104"/>
      <c r="B219" s="93"/>
      <c r="C219" s="87"/>
      <c r="D219" s="88">
        <v>228</v>
      </c>
      <c r="E219" s="88">
        <v>910</v>
      </c>
      <c r="F219" s="89">
        <f t="shared" si="157"/>
        <v>36</v>
      </c>
      <c r="G219" s="90">
        <f t="shared" si="158"/>
        <v>81.356729732379179</v>
      </c>
      <c r="H219" s="90">
        <f t="shared" si="159"/>
        <v>163.87199999999999</v>
      </c>
      <c r="I219" s="91" t="str">
        <f>I217</f>
        <v>3동1,2라인</v>
      </c>
      <c r="J219" s="92" t="s">
        <v>216</v>
      </c>
      <c r="L219" s="89">
        <v>2</v>
      </c>
      <c r="M219" s="78">
        <f>M217</f>
        <v>18</v>
      </c>
      <c r="N219" s="78"/>
      <c r="O219" s="78">
        <f t="shared" si="161"/>
        <v>36</v>
      </c>
    </row>
    <row r="220" spans="1:15" ht="18" customHeight="1">
      <c r="A220" s="104"/>
      <c r="B220" s="93"/>
      <c r="C220" s="87"/>
      <c r="D220" s="88">
        <v>438</v>
      </c>
      <c r="E220" s="88">
        <v>270</v>
      </c>
      <c r="F220" s="89">
        <f t="shared" si="157"/>
        <v>36</v>
      </c>
      <c r="G220" s="90">
        <f t="shared" si="158"/>
        <v>46.371924321144988</v>
      </c>
      <c r="H220" s="90">
        <f t="shared" si="159"/>
        <v>101.952</v>
      </c>
      <c r="I220" s="91" t="str">
        <f t="shared" ref="I220" si="162">I219</f>
        <v>3동1,2라인</v>
      </c>
      <c r="J220" s="92" t="s">
        <v>217</v>
      </c>
      <c r="L220" s="89">
        <v>2</v>
      </c>
      <c r="M220" s="78">
        <f t="shared" si="160"/>
        <v>18</v>
      </c>
      <c r="N220" s="78"/>
      <c r="O220" s="78">
        <f t="shared" si="161"/>
        <v>36</v>
      </c>
    </row>
    <row r="221" spans="1:15" ht="18" customHeight="1">
      <c r="A221" s="104"/>
      <c r="B221" s="87"/>
      <c r="C221" s="87"/>
      <c r="D221" s="325" t="s">
        <v>0</v>
      </c>
      <c r="E221" s="325"/>
      <c r="F221" s="171">
        <f>SUM(F215:F220)</f>
        <v>216</v>
      </c>
      <c r="G221" s="95">
        <f>SUM(G215:G220)</f>
        <v>2044.4093716302325</v>
      </c>
      <c r="H221" s="95">
        <f>SUM(H215:H220)</f>
        <v>1503.0000000000002</v>
      </c>
      <c r="I221" s="97"/>
      <c r="J221" s="98"/>
    </row>
    <row r="222" spans="1:15">
      <c r="A222" s="105"/>
      <c r="B222" s="9"/>
      <c r="C222" s="9"/>
      <c r="D222" s="51"/>
      <c r="E222" s="51"/>
      <c r="F222" s="51"/>
      <c r="G222" s="106"/>
      <c r="H222" s="106"/>
      <c r="I222" s="9"/>
      <c r="J222" s="107"/>
    </row>
    <row r="223" spans="1:15" ht="18" customHeight="1">
      <c r="A223" s="85"/>
      <c r="B223" s="23" t="s">
        <v>237</v>
      </c>
      <c r="C223" s="24">
        <v>22</v>
      </c>
      <c r="D223" s="88">
        <v>2114</v>
      </c>
      <c r="E223" s="88">
        <v>1810</v>
      </c>
      <c r="F223" s="89">
        <f t="shared" ref="F223" si="163">O223</f>
        <v>18</v>
      </c>
      <c r="G223" s="90">
        <f t="shared" ref="G223" si="164">D223*E223/91809*F223</f>
        <v>750.18919713753553</v>
      </c>
      <c r="H223" s="90">
        <f t="shared" ref="H223" si="165">(D223/1000)*4*F223+(E223/1000)*4*F223</f>
        <v>282.52800000000002</v>
      </c>
      <c r="I223" s="91" t="str">
        <f>I215</f>
        <v>3동1,2라인</v>
      </c>
      <c r="J223" s="92" t="s">
        <v>206</v>
      </c>
      <c r="L223" s="89">
        <v>1</v>
      </c>
      <c r="M223" s="78">
        <f>M208</f>
        <v>18</v>
      </c>
      <c r="N223" s="84"/>
      <c r="O223" s="78">
        <f>L223*M223-N223*L223</f>
        <v>18</v>
      </c>
    </row>
    <row r="224" spans="1:15" ht="18" customHeight="1">
      <c r="A224" s="85"/>
      <c r="B224" s="93"/>
      <c r="C224" s="87"/>
      <c r="D224" s="325" t="s">
        <v>0</v>
      </c>
      <c r="E224" s="325"/>
      <c r="F224" s="94">
        <f>SUM(F223:F223)</f>
        <v>18</v>
      </c>
      <c r="G224" s="95">
        <f>SUM(G223:G223)</f>
        <v>750.18919713753553</v>
      </c>
      <c r="H224" s="95">
        <f>SUM(H223:H223)</f>
        <v>282.52800000000002</v>
      </c>
      <c r="I224" s="97"/>
      <c r="J224" s="98"/>
    </row>
    <row r="225" spans="1:16" ht="18" customHeight="1">
      <c r="A225" s="218"/>
      <c r="B225" s="219"/>
      <c r="C225" s="220"/>
      <c r="D225" s="161"/>
      <c r="E225" s="161"/>
      <c r="F225" s="89"/>
      <c r="G225" s="100"/>
      <c r="H225" s="100"/>
      <c r="I225" s="102"/>
      <c r="J225" s="221"/>
    </row>
    <row r="226" spans="1:16" ht="18" customHeight="1">
      <c r="A226" s="85"/>
      <c r="B226" s="23" t="s">
        <v>203</v>
      </c>
      <c r="C226" s="24">
        <v>22</v>
      </c>
      <c r="D226" s="88">
        <v>638</v>
      </c>
      <c r="E226" s="88">
        <v>1810</v>
      </c>
      <c r="F226" s="89">
        <f t="shared" ref="F226:F227" si="166">O226</f>
        <v>18</v>
      </c>
      <c r="G226" s="90">
        <f t="shared" ref="G226:G227" si="167">D226*E226/91809*F226</f>
        <v>226.40525438682482</v>
      </c>
      <c r="H226" s="90">
        <f t="shared" ref="H226:H227" si="168">(D226/1000)*4*F226+(E226/1000)*4*F226</f>
        <v>176.256</v>
      </c>
      <c r="I226" s="91" t="str">
        <f>I223</f>
        <v>3동1,2라인</v>
      </c>
      <c r="J226" s="92" t="s">
        <v>219</v>
      </c>
      <c r="L226" s="89">
        <v>2</v>
      </c>
      <c r="M226" s="78">
        <f>M223</f>
        <v>18</v>
      </c>
      <c r="N226" s="84">
        <v>9</v>
      </c>
      <c r="O226" s="78">
        <f>L226*M226-N226*L226</f>
        <v>18</v>
      </c>
      <c r="P226" s="64" t="s">
        <v>247</v>
      </c>
    </row>
    <row r="227" spans="1:16" ht="18" customHeight="1">
      <c r="A227" s="85"/>
      <c r="B227" s="86"/>
      <c r="C227" s="87"/>
      <c r="D227" s="88">
        <v>250</v>
      </c>
      <c r="E227" s="88">
        <v>930</v>
      </c>
      <c r="F227" s="89">
        <f t="shared" si="166"/>
        <v>36</v>
      </c>
      <c r="G227" s="90">
        <f t="shared" si="167"/>
        <v>91.167532594843635</v>
      </c>
      <c r="H227" s="90">
        <f t="shared" si="168"/>
        <v>169.92000000000002</v>
      </c>
      <c r="I227" s="91" t="str">
        <f>I226</f>
        <v>3동1,2라인</v>
      </c>
      <c r="J227" s="92" t="s">
        <v>220</v>
      </c>
      <c r="L227" s="89">
        <v>2</v>
      </c>
      <c r="M227" s="78">
        <f>M226</f>
        <v>18</v>
      </c>
      <c r="N227" s="84"/>
      <c r="O227" s="78">
        <f t="shared" ref="O227" si="169">L227*M227-N227*L227</f>
        <v>36</v>
      </c>
    </row>
    <row r="228" spans="1:16" ht="18" customHeight="1">
      <c r="A228" s="85"/>
      <c r="B228" s="93"/>
      <c r="C228" s="87"/>
      <c r="D228" s="325" t="s">
        <v>0</v>
      </c>
      <c r="E228" s="325"/>
      <c r="F228" s="94">
        <f>SUM(F226:F227)</f>
        <v>54</v>
      </c>
      <c r="G228" s="95">
        <f>SUM(G226:G227)</f>
        <v>317.57278698166846</v>
      </c>
      <c r="H228" s="96">
        <f>SUM(H226:H227)</f>
        <v>346.17600000000004</v>
      </c>
      <c r="I228" s="97"/>
      <c r="J228" s="162"/>
    </row>
    <row r="229" spans="1:16">
      <c r="A229" s="16"/>
      <c r="B229" s="16"/>
      <c r="C229" s="16"/>
      <c r="D229" s="261"/>
      <c r="E229" s="261"/>
      <c r="F229" s="261"/>
      <c r="G229" s="19"/>
      <c r="H229" s="19"/>
      <c r="I229" s="16"/>
      <c r="J229" s="16"/>
    </row>
    <row r="230" spans="1:16" ht="18" customHeight="1">
      <c r="A230" s="85" t="s">
        <v>235</v>
      </c>
      <c r="B230" s="23" t="s">
        <v>201</v>
      </c>
      <c r="C230" s="24">
        <v>22</v>
      </c>
      <c r="D230" s="88">
        <v>861</v>
      </c>
      <c r="E230" s="88">
        <v>1810</v>
      </c>
      <c r="F230" s="89">
        <f t="shared" ref="F230:F233" si="170">O230</f>
        <v>9</v>
      </c>
      <c r="G230" s="90">
        <f t="shared" ref="G230:G233" si="171">D230*E230/91809*F230</f>
        <v>152.77031663562394</v>
      </c>
      <c r="H230" s="90">
        <f t="shared" ref="H230:H233" si="172">(D230/1000)*4*F230+(E230/1000)*4*F230</f>
        <v>96.155999999999992</v>
      </c>
      <c r="I230" s="91" t="s">
        <v>252</v>
      </c>
      <c r="J230" s="92" t="s">
        <v>205</v>
      </c>
      <c r="L230" s="89">
        <v>1</v>
      </c>
      <c r="M230" s="78">
        <v>9</v>
      </c>
      <c r="N230" s="84"/>
      <c r="O230" s="78">
        <f>L230*M230-N230*L230</f>
        <v>9</v>
      </c>
      <c r="P230" s="64"/>
    </row>
    <row r="231" spans="1:16" ht="18" customHeight="1">
      <c r="A231" s="85"/>
      <c r="B231" s="86"/>
      <c r="C231" s="87"/>
      <c r="D231" s="88">
        <v>738</v>
      </c>
      <c r="E231" s="88">
        <v>1310</v>
      </c>
      <c r="F231" s="89">
        <f t="shared" si="170"/>
        <v>36</v>
      </c>
      <c r="G231" s="90">
        <f t="shared" si="171"/>
        <v>379.09224585824921</v>
      </c>
      <c r="H231" s="90">
        <f t="shared" si="172"/>
        <v>294.91200000000003</v>
      </c>
      <c r="I231" s="91" t="str">
        <f>I230</f>
        <v>3동3라인</v>
      </c>
      <c r="J231" s="92" t="s">
        <v>207</v>
      </c>
      <c r="L231" s="89">
        <v>4</v>
      </c>
      <c r="M231" s="78">
        <f>M230</f>
        <v>9</v>
      </c>
      <c r="N231" s="84"/>
      <c r="O231" s="78">
        <f t="shared" ref="O231:O233" si="173">L231*M231-N231*L231</f>
        <v>36</v>
      </c>
    </row>
    <row r="232" spans="1:16" ht="18" customHeight="1">
      <c r="A232" s="85"/>
      <c r="B232" s="86"/>
      <c r="C232" s="87"/>
      <c r="D232" s="88">
        <v>228</v>
      </c>
      <c r="E232" s="88">
        <v>910</v>
      </c>
      <c r="F232" s="89">
        <f t="shared" si="170"/>
        <v>18</v>
      </c>
      <c r="G232" s="90">
        <f t="shared" si="171"/>
        <v>40.67836486618959</v>
      </c>
      <c r="H232" s="90">
        <f t="shared" si="172"/>
        <v>81.935999999999993</v>
      </c>
      <c r="I232" s="91" t="str">
        <f t="shared" ref="I232:I233" si="174">I231</f>
        <v>3동3라인</v>
      </c>
      <c r="J232" s="92" t="s">
        <v>209</v>
      </c>
      <c r="L232" s="89">
        <v>2</v>
      </c>
      <c r="M232" s="78">
        <f t="shared" ref="M232:M233" si="175">M231</f>
        <v>9</v>
      </c>
      <c r="N232" s="78"/>
      <c r="O232" s="78">
        <f t="shared" si="173"/>
        <v>18</v>
      </c>
    </row>
    <row r="233" spans="1:16" ht="18" customHeight="1">
      <c r="A233" s="85"/>
      <c r="B233" s="86"/>
      <c r="C233" s="87"/>
      <c r="D233" s="88">
        <v>438</v>
      </c>
      <c r="E233" s="88">
        <v>270</v>
      </c>
      <c r="F233" s="89">
        <f t="shared" si="170"/>
        <v>18</v>
      </c>
      <c r="G233" s="90">
        <f t="shared" si="171"/>
        <v>23.185962160572494</v>
      </c>
      <c r="H233" s="90">
        <f t="shared" si="172"/>
        <v>50.975999999999999</v>
      </c>
      <c r="I233" s="91" t="str">
        <f t="shared" si="174"/>
        <v>3동3라인</v>
      </c>
      <c r="J233" s="92" t="s">
        <v>210</v>
      </c>
      <c r="L233" s="89">
        <v>2</v>
      </c>
      <c r="M233" s="78">
        <f t="shared" si="175"/>
        <v>9</v>
      </c>
      <c r="N233" s="78"/>
      <c r="O233" s="78">
        <f t="shared" si="173"/>
        <v>18</v>
      </c>
    </row>
    <row r="234" spans="1:16" ht="18" customHeight="1">
      <c r="A234" s="85"/>
      <c r="B234" s="93"/>
      <c r="C234" s="87"/>
      <c r="D234" s="325" t="s">
        <v>0</v>
      </c>
      <c r="E234" s="325"/>
      <c r="F234" s="94">
        <f>SUM(F230:F233)</f>
        <v>81</v>
      </c>
      <c r="G234" s="95">
        <f>SUM(G230:G233)</f>
        <v>595.72688952063515</v>
      </c>
      <c r="H234" s="96">
        <f>SUM(H230:H233)</f>
        <v>523.98</v>
      </c>
      <c r="I234" s="97"/>
      <c r="J234" s="162"/>
    </row>
    <row r="235" spans="1:16" ht="18" customHeight="1">
      <c r="A235" s="85"/>
      <c r="B235" s="93"/>
      <c r="C235" s="87"/>
      <c r="D235" s="161"/>
      <c r="E235" s="161"/>
      <c r="F235" s="89"/>
      <c r="G235" s="100"/>
      <c r="H235" s="101"/>
      <c r="I235" s="102"/>
      <c r="J235" s="121"/>
      <c r="L235" s="252"/>
      <c r="M235" s="252"/>
      <c r="N235" s="252"/>
      <c r="O235" s="252"/>
    </row>
    <row r="236" spans="1:16" ht="18" customHeight="1">
      <c r="A236" s="85"/>
      <c r="B236" s="23" t="s">
        <v>198</v>
      </c>
      <c r="C236" s="24">
        <v>22</v>
      </c>
      <c r="D236" s="88">
        <v>861</v>
      </c>
      <c r="E236" s="88">
        <v>1810</v>
      </c>
      <c r="F236" s="89">
        <f t="shared" ref="F236:F240" si="176">O236</f>
        <v>9</v>
      </c>
      <c r="G236" s="90">
        <f t="shared" ref="G236:G240" si="177">D236*E236/91809*F236</f>
        <v>152.77031663562394</v>
      </c>
      <c r="H236" s="90">
        <f t="shared" ref="H236:H240" si="178">(D236/1000)*4*F236+(E236/1000)*4*F236</f>
        <v>96.155999999999992</v>
      </c>
      <c r="I236" s="91" t="str">
        <f>I230</f>
        <v>3동3라인</v>
      </c>
      <c r="J236" s="92" t="s">
        <v>212</v>
      </c>
      <c r="L236" s="89">
        <v>1</v>
      </c>
      <c r="M236" s="78">
        <f>M230</f>
        <v>9</v>
      </c>
      <c r="N236" s="84"/>
      <c r="O236" s="78">
        <f>L236*M236-N236*L236</f>
        <v>9</v>
      </c>
    </row>
    <row r="237" spans="1:16" ht="18" customHeight="1">
      <c r="A237" s="85"/>
      <c r="B237" s="86"/>
      <c r="C237" s="87"/>
      <c r="D237" s="88">
        <v>2114</v>
      </c>
      <c r="E237" s="88">
        <v>1810</v>
      </c>
      <c r="F237" s="89">
        <f t="shared" si="176"/>
        <v>9</v>
      </c>
      <c r="G237" s="90">
        <f t="shared" si="177"/>
        <v>375.09459856876776</v>
      </c>
      <c r="H237" s="90">
        <f t="shared" si="178"/>
        <v>141.26400000000001</v>
      </c>
      <c r="I237" s="91" t="str">
        <f>I230</f>
        <v>3동3라인</v>
      </c>
      <c r="J237" s="92" t="s">
        <v>213</v>
      </c>
      <c r="L237" s="89">
        <v>1</v>
      </c>
      <c r="M237" s="78">
        <f>M236</f>
        <v>9</v>
      </c>
      <c r="N237" s="84"/>
      <c r="O237" s="78">
        <f>L237*M237-N237*L237</f>
        <v>9</v>
      </c>
    </row>
    <row r="238" spans="1:16" ht="18" customHeight="1">
      <c r="A238" s="104"/>
      <c r="B238" s="93"/>
      <c r="C238" s="87"/>
      <c r="D238" s="88">
        <v>738</v>
      </c>
      <c r="E238" s="88">
        <v>1310</v>
      </c>
      <c r="F238" s="89">
        <f t="shared" si="176"/>
        <v>36</v>
      </c>
      <c r="G238" s="90">
        <f t="shared" si="177"/>
        <v>379.09224585824921</v>
      </c>
      <c r="H238" s="90">
        <f t="shared" si="178"/>
        <v>294.91200000000003</v>
      </c>
      <c r="I238" s="91" t="str">
        <f>I237</f>
        <v>3동3라인</v>
      </c>
      <c r="J238" s="92" t="s">
        <v>214</v>
      </c>
      <c r="L238" s="89">
        <v>4</v>
      </c>
      <c r="M238" s="78">
        <f t="shared" ref="M238:M240" si="179">M237</f>
        <v>9</v>
      </c>
      <c r="N238" s="84"/>
      <c r="O238" s="78">
        <f t="shared" ref="O238:O240" si="180">L238*M238-N238*L238</f>
        <v>36</v>
      </c>
    </row>
    <row r="239" spans="1:16" ht="18" customHeight="1">
      <c r="A239" s="104"/>
      <c r="B239" s="93"/>
      <c r="C239" s="87"/>
      <c r="D239" s="88">
        <v>228</v>
      </c>
      <c r="E239" s="88">
        <v>910</v>
      </c>
      <c r="F239" s="89">
        <f t="shared" si="176"/>
        <v>18</v>
      </c>
      <c r="G239" s="90">
        <f t="shared" si="177"/>
        <v>40.67836486618959</v>
      </c>
      <c r="H239" s="90">
        <f t="shared" si="178"/>
        <v>81.935999999999993</v>
      </c>
      <c r="I239" s="91" t="str">
        <f t="shared" ref="I239:I240" si="181">I238</f>
        <v>3동3라인</v>
      </c>
      <c r="J239" s="92" t="s">
        <v>216</v>
      </c>
      <c r="L239" s="89">
        <v>2</v>
      </c>
      <c r="M239" s="78">
        <f t="shared" si="179"/>
        <v>9</v>
      </c>
      <c r="N239" s="78"/>
      <c r="O239" s="78">
        <f t="shared" si="180"/>
        <v>18</v>
      </c>
    </row>
    <row r="240" spans="1:16" ht="18" customHeight="1">
      <c r="A240" s="104"/>
      <c r="B240" s="93"/>
      <c r="C240" s="87"/>
      <c r="D240" s="88">
        <v>438</v>
      </c>
      <c r="E240" s="88">
        <v>270</v>
      </c>
      <c r="F240" s="89">
        <f t="shared" si="176"/>
        <v>18</v>
      </c>
      <c r="G240" s="90">
        <f t="shared" si="177"/>
        <v>23.185962160572494</v>
      </c>
      <c r="H240" s="90">
        <f t="shared" si="178"/>
        <v>50.975999999999999</v>
      </c>
      <c r="I240" s="91" t="str">
        <f t="shared" si="181"/>
        <v>3동3라인</v>
      </c>
      <c r="J240" s="92" t="s">
        <v>217</v>
      </c>
      <c r="L240" s="89">
        <v>2</v>
      </c>
      <c r="M240" s="78">
        <f t="shared" si="179"/>
        <v>9</v>
      </c>
      <c r="N240" s="78"/>
      <c r="O240" s="78">
        <f t="shared" si="180"/>
        <v>18</v>
      </c>
    </row>
    <row r="241" spans="1:16" ht="18" customHeight="1">
      <c r="A241" s="104"/>
      <c r="B241" s="87"/>
      <c r="C241" s="87"/>
      <c r="D241" s="325" t="s">
        <v>0</v>
      </c>
      <c r="E241" s="325"/>
      <c r="F241" s="171">
        <f>SUM(F236:F240)</f>
        <v>90</v>
      </c>
      <c r="G241" s="95">
        <f>SUM(G236:G240)</f>
        <v>970.82148808940303</v>
      </c>
      <c r="H241" s="95">
        <f>SUM(H236:H240)</f>
        <v>665.24400000000014</v>
      </c>
      <c r="I241" s="97"/>
      <c r="J241" s="98"/>
    </row>
    <row r="242" spans="1:16">
      <c r="A242" s="105"/>
      <c r="B242" s="9"/>
      <c r="C242" s="9"/>
      <c r="D242" s="51"/>
      <c r="E242" s="51"/>
      <c r="F242" s="51"/>
      <c r="G242" s="106"/>
      <c r="H242" s="106"/>
      <c r="I242" s="9"/>
      <c r="J242" s="107"/>
    </row>
    <row r="243" spans="1:16" ht="18" customHeight="1">
      <c r="A243" s="85"/>
      <c r="B243" s="23" t="s">
        <v>237</v>
      </c>
      <c r="C243" s="24">
        <v>22</v>
      </c>
      <c r="D243" s="88">
        <v>2114</v>
      </c>
      <c r="E243" s="88">
        <v>1810</v>
      </c>
      <c r="F243" s="89">
        <f t="shared" ref="F243" si="182">O243</f>
        <v>9</v>
      </c>
      <c r="G243" s="90">
        <f t="shared" ref="G243" si="183">D243*E243/91809*F243</f>
        <v>375.09459856876776</v>
      </c>
      <c r="H243" s="90">
        <f t="shared" ref="H243" si="184">(D243/1000)*4*F243+(E243/1000)*4*F243</f>
        <v>141.26400000000001</v>
      </c>
      <c r="I243" s="91" t="str">
        <f>I236</f>
        <v>3동3라인</v>
      </c>
      <c r="J243" s="92" t="s">
        <v>206</v>
      </c>
      <c r="L243" s="89">
        <v>1</v>
      </c>
      <c r="M243" s="78">
        <f>M230</f>
        <v>9</v>
      </c>
      <c r="N243" s="84"/>
      <c r="O243" s="78">
        <f>L243*M243-N243*L243</f>
        <v>9</v>
      </c>
    </row>
    <row r="244" spans="1:16" ht="18" customHeight="1">
      <c r="A244" s="85"/>
      <c r="B244" s="93"/>
      <c r="C244" s="87"/>
      <c r="D244" s="325" t="s">
        <v>0</v>
      </c>
      <c r="E244" s="325"/>
      <c r="F244" s="94">
        <f>SUM(F243:F243)</f>
        <v>9</v>
      </c>
      <c r="G244" s="95">
        <f>SUM(G243:G243)</f>
        <v>375.09459856876776</v>
      </c>
      <c r="H244" s="95">
        <f>SUM(H243:H243)</f>
        <v>141.26400000000001</v>
      </c>
      <c r="I244" s="97"/>
      <c r="J244" s="98"/>
    </row>
    <row r="245" spans="1:16" ht="18" customHeight="1">
      <c r="A245" s="218"/>
      <c r="B245" s="219"/>
      <c r="C245" s="220"/>
      <c r="D245" s="161"/>
      <c r="E245" s="161"/>
      <c r="F245" s="89"/>
      <c r="G245" s="100"/>
      <c r="H245" s="100"/>
      <c r="I245" s="102"/>
      <c r="J245" s="221"/>
    </row>
    <row r="246" spans="1:16" ht="18" customHeight="1">
      <c r="A246" s="85"/>
      <c r="B246" s="23" t="s">
        <v>203</v>
      </c>
      <c r="C246" s="24">
        <v>22</v>
      </c>
      <c r="D246" s="88">
        <v>738</v>
      </c>
      <c r="E246" s="88">
        <v>1810</v>
      </c>
      <c r="F246" s="89">
        <f t="shared" ref="F246:F247" si="185">O246</f>
        <v>18</v>
      </c>
      <c r="G246" s="90">
        <f t="shared" ref="G246:G247" si="186">D246*E246/91809*F246</f>
        <v>261.89197137535535</v>
      </c>
      <c r="H246" s="90">
        <f t="shared" ref="H246:H247" si="187">(D246/1000)*4*F246+(E246/1000)*4*F246</f>
        <v>183.45599999999999</v>
      </c>
      <c r="I246" s="91" t="str">
        <f>I243</f>
        <v>3동3라인</v>
      </c>
      <c r="J246" s="92" t="s">
        <v>219</v>
      </c>
      <c r="L246" s="89">
        <v>2</v>
      </c>
      <c r="M246" s="78">
        <f>M243</f>
        <v>9</v>
      </c>
      <c r="N246" s="84"/>
      <c r="O246" s="78">
        <f>L246*M246-N246*L246</f>
        <v>18</v>
      </c>
      <c r="P246" s="64"/>
    </row>
    <row r="247" spans="1:16" ht="18" customHeight="1">
      <c r="A247" s="85"/>
      <c r="B247" s="86"/>
      <c r="C247" s="87"/>
      <c r="D247" s="88">
        <v>250</v>
      </c>
      <c r="E247" s="88">
        <v>930</v>
      </c>
      <c r="F247" s="89">
        <f t="shared" si="185"/>
        <v>18</v>
      </c>
      <c r="G247" s="90">
        <f t="shared" si="186"/>
        <v>45.583766297421818</v>
      </c>
      <c r="H247" s="90">
        <f t="shared" si="187"/>
        <v>84.960000000000008</v>
      </c>
      <c r="I247" s="91" t="str">
        <f>I246</f>
        <v>3동3라인</v>
      </c>
      <c r="J247" s="92" t="s">
        <v>220</v>
      </c>
      <c r="L247" s="89">
        <v>2</v>
      </c>
      <c r="M247" s="78">
        <f>M246</f>
        <v>9</v>
      </c>
      <c r="N247" s="84"/>
      <c r="O247" s="78">
        <f t="shared" ref="O247" si="188">L247*M247-N247*L247</f>
        <v>18</v>
      </c>
    </row>
    <row r="248" spans="1:16" ht="18" customHeight="1">
      <c r="A248" s="85"/>
      <c r="B248" s="93"/>
      <c r="C248" s="87"/>
      <c r="D248" s="325" t="s">
        <v>0</v>
      </c>
      <c r="E248" s="325"/>
      <c r="F248" s="94">
        <f>SUM(F246:F247)</f>
        <v>36</v>
      </c>
      <c r="G248" s="95">
        <f>SUM(G246:G247)</f>
        <v>307.4757376727772</v>
      </c>
      <c r="H248" s="96">
        <f>SUM(H246:H247)</f>
        <v>268.416</v>
      </c>
      <c r="I248" s="97"/>
      <c r="J248" s="162"/>
    </row>
    <row r="249" spans="1:16" ht="18" customHeight="1" thickBot="1">
      <c r="A249" s="222"/>
      <c r="B249" s="223"/>
      <c r="C249" s="224"/>
      <c r="D249" s="225"/>
      <c r="E249" s="225"/>
      <c r="F249" s="226"/>
      <c r="G249" s="227"/>
      <c r="H249" s="228"/>
      <c r="I249" s="229"/>
      <c r="J249" s="230"/>
      <c r="L249" s="78" t="s">
        <v>48</v>
      </c>
      <c r="M249" s="78" t="s">
        <v>49</v>
      </c>
      <c r="N249" s="78" t="s">
        <v>50</v>
      </c>
      <c r="O249" s="78" t="s">
        <v>55</v>
      </c>
    </row>
    <row r="250" spans="1:16" ht="18" customHeight="1">
      <c r="A250" s="79" t="s">
        <v>234</v>
      </c>
      <c r="B250" s="231" t="s">
        <v>195</v>
      </c>
      <c r="C250" s="232">
        <v>22</v>
      </c>
      <c r="D250" s="80">
        <v>761</v>
      </c>
      <c r="E250" s="80">
        <v>1810</v>
      </c>
      <c r="F250" s="233">
        <f>O250</f>
        <v>18</v>
      </c>
      <c r="G250" s="81">
        <f t="shared" ref="G250:G256" si="189">D250*E250/91809*F250</f>
        <v>270.05391628271741</v>
      </c>
      <c r="H250" s="81">
        <f t="shared" ref="H250:H256" si="190">(D250/1000)*4*F250+(E250/1000)*4*F250</f>
        <v>185.11199999999999</v>
      </c>
      <c r="I250" s="82" t="s">
        <v>253</v>
      </c>
      <c r="J250" s="83" t="s">
        <v>205</v>
      </c>
      <c r="L250" s="89">
        <v>2</v>
      </c>
      <c r="M250" s="78">
        <v>9</v>
      </c>
      <c r="N250" s="84"/>
      <c r="O250" s="78">
        <f>L250*M250-N250*L250</f>
        <v>18</v>
      </c>
      <c r="P250" s="64"/>
    </row>
    <row r="251" spans="1:16" ht="18" customHeight="1">
      <c r="A251" s="85"/>
      <c r="B251" s="86"/>
      <c r="C251" s="87"/>
      <c r="D251" s="88">
        <v>1688</v>
      </c>
      <c r="E251" s="88">
        <v>1810</v>
      </c>
      <c r="F251" s="89">
        <f t="shared" ref="F251:F256" si="191">O251</f>
        <v>9</v>
      </c>
      <c r="G251" s="90">
        <f t="shared" si="189"/>
        <v>299.50789138319772</v>
      </c>
      <c r="H251" s="90">
        <f t="shared" si="190"/>
        <v>125.928</v>
      </c>
      <c r="I251" s="91" t="str">
        <f>I250</f>
        <v>3동4라인</v>
      </c>
      <c r="J251" s="92" t="s">
        <v>206</v>
      </c>
      <c r="L251" s="89">
        <v>1</v>
      </c>
      <c r="M251" s="78">
        <f>M250</f>
        <v>9</v>
      </c>
      <c r="N251" s="84"/>
      <c r="O251" s="78">
        <f t="shared" ref="O251:O256" si="192">L251*M251-N251*L251</f>
        <v>9</v>
      </c>
    </row>
    <row r="252" spans="1:16" ht="18" customHeight="1">
      <c r="A252" s="85"/>
      <c r="B252" s="86"/>
      <c r="C252" s="87"/>
      <c r="D252" s="88">
        <v>738</v>
      </c>
      <c r="E252" s="88">
        <v>1310</v>
      </c>
      <c r="F252" s="89">
        <f t="shared" si="191"/>
        <v>36</v>
      </c>
      <c r="G252" s="90">
        <f t="shared" si="189"/>
        <v>379.09224585824921</v>
      </c>
      <c r="H252" s="90">
        <f t="shared" si="190"/>
        <v>294.91200000000003</v>
      </c>
      <c r="I252" s="91" t="str">
        <f t="shared" ref="I252:I256" si="193">I251</f>
        <v>3동4라인</v>
      </c>
      <c r="J252" s="92" t="s">
        <v>207</v>
      </c>
      <c r="L252" s="89">
        <v>4</v>
      </c>
      <c r="M252" s="78">
        <f t="shared" ref="M252:M255" si="194">M251</f>
        <v>9</v>
      </c>
      <c r="N252" s="78"/>
      <c r="O252" s="78">
        <f t="shared" si="192"/>
        <v>36</v>
      </c>
    </row>
    <row r="253" spans="1:16" ht="18" customHeight="1">
      <c r="A253" s="85"/>
      <c r="B253" s="86"/>
      <c r="C253" s="87"/>
      <c r="D253" s="88">
        <v>288</v>
      </c>
      <c r="E253" s="88">
        <v>910</v>
      </c>
      <c r="F253" s="89">
        <f t="shared" si="191"/>
        <v>18</v>
      </c>
      <c r="G253" s="90">
        <f t="shared" si="189"/>
        <v>51.383197725713167</v>
      </c>
      <c r="H253" s="90">
        <f t="shared" si="190"/>
        <v>86.256</v>
      </c>
      <c r="I253" s="91" t="str">
        <f t="shared" si="193"/>
        <v>3동4라인</v>
      </c>
      <c r="J253" s="92" t="s">
        <v>208</v>
      </c>
      <c r="L253" s="89">
        <v>2</v>
      </c>
      <c r="M253" s="78">
        <f t="shared" si="194"/>
        <v>9</v>
      </c>
      <c r="N253" s="78"/>
      <c r="O253" s="78">
        <f t="shared" si="192"/>
        <v>18</v>
      </c>
    </row>
    <row r="254" spans="1:16" ht="18" customHeight="1">
      <c r="A254" s="85"/>
      <c r="B254" s="86"/>
      <c r="C254" s="87"/>
      <c r="D254" s="88">
        <v>228</v>
      </c>
      <c r="E254" s="88">
        <v>910</v>
      </c>
      <c r="F254" s="89">
        <f t="shared" si="191"/>
        <v>18</v>
      </c>
      <c r="G254" s="90">
        <f t="shared" si="189"/>
        <v>40.67836486618959</v>
      </c>
      <c r="H254" s="90">
        <f t="shared" si="190"/>
        <v>81.935999999999993</v>
      </c>
      <c r="I254" s="91" t="str">
        <f t="shared" si="193"/>
        <v>3동4라인</v>
      </c>
      <c r="J254" s="92" t="s">
        <v>209</v>
      </c>
      <c r="L254" s="89">
        <v>2</v>
      </c>
      <c r="M254" s="78">
        <f t="shared" si="194"/>
        <v>9</v>
      </c>
      <c r="N254" s="78"/>
      <c r="O254" s="78">
        <f t="shared" si="192"/>
        <v>18</v>
      </c>
    </row>
    <row r="255" spans="1:16" ht="18" customHeight="1">
      <c r="A255" s="85"/>
      <c r="B255" s="86"/>
      <c r="C255" s="87"/>
      <c r="D255" s="88">
        <v>438</v>
      </c>
      <c r="E255" s="88">
        <v>270</v>
      </c>
      <c r="F255" s="89">
        <f t="shared" si="191"/>
        <v>18</v>
      </c>
      <c r="G255" s="90">
        <f t="shared" si="189"/>
        <v>23.185962160572494</v>
      </c>
      <c r="H255" s="90">
        <f t="shared" si="190"/>
        <v>50.975999999999999</v>
      </c>
      <c r="I255" s="91" t="str">
        <f t="shared" si="193"/>
        <v>3동4라인</v>
      </c>
      <c r="J255" s="92" t="s">
        <v>210</v>
      </c>
      <c r="L255" s="89">
        <v>2</v>
      </c>
      <c r="M255" s="78">
        <f t="shared" si="194"/>
        <v>9</v>
      </c>
      <c r="N255" s="78"/>
      <c r="O255" s="78">
        <f t="shared" si="192"/>
        <v>18</v>
      </c>
    </row>
    <row r="256" spans="1:16" ht="18" customHeight="1">
      <c r="A256" s="85"/>
      <c r="B256" s="86"/>
      <c r="C256" s="87"/>
      <c r="D256" s="88">
        <v>208</v>
      </c>
      <c r="E256" s="88">
        <v>910</v>
      </c>
      <c r="F256" s="89">
        <f t="shared" si="191"/>
        <v>18</v>
      </c>
      <c r="G256" s="90">
        <f t="shared" si="189"/>
        <v>37.1100872463484</v>
      </c>
      <c r="H256" s="90">
        <f t="shared" si="190"/>
        <v>80.495999999999995</v>
      </c>
      <c r="I256" s="91" t="str">
        <f t="shared" si="193"/>
        <v>3동4라인</v>
      </c>
      <c r="J256" s="92" t="s">
        <v>211</v>
      </c>
      <c r="L256" s="89">
        <v>2</v>
      </c>
      <c r="M256" s="78">
        <f>M255</f>
        <v>9</v>
      </c>
      <c r="N256" s="78"/>
      <c r="O256" s="78">
        <f t="shared" si="192"/>
        <v>18</v>
      </c>
    </row>
    <row r="257" spans="1:16" ht="18" customHeight="1">
      <c r="A257" s="85"/>
      <c r="B257" s="93"/>
      <c r="C257" s="87"/>
      <c r="D257" s="325" t="s">
        <v>0</v>
      </c>
      <c r="E257" s="325"/>
      <c r="F257" s="94">
        <f>SUM(F250:F256)</f>
        <v>135</v>
      </c>
      <c r="G257" s="95">
        <f>SUM(G250:G256)</f>
        <v>1101.0116655229881</v>
      </c>
      <c r="H257" s="96">
        <f>SUM(H250:H256)</f>
        <v>905.61599999999999</v>
      </c>
      <c r="I257" s="97"/>
      <c r="J257" s="162"/>
    </row>
    <row r="258" spans="1:16" ht="18" customHeight="1">
      <c r="A258" s="85"/>
      <c r="B258" s="93"/>
      <c r="C258" s="87"/>
      <c r="D258" s="161"/>
      <c r="E258" s="161"/>
      <c r="F258" s="89"/>
      <c r="G258" s="100"/>
      <c r="H258" s="101"/>
      <c r="I258" s="102"/>
      <c r="J258" s="121"/>
      <c r="L258" s="78" t="s">
        <v>48</v>
      </c>
      <c r="M258" s="78" t="s">
        <v>54</v>
      </c>
      <c r="N258" s="78" t="s">
        <v>50</v>
      </c>
      <c r="O258" s="78" t="s">
        <v>55</v>
      </c>
    </row>
    <row r="259" spans="1:16" ht="18" customHeight="1">
      <c r="A259" s="85"/>
      <c r="B259" s="23" t="s">
        <v>197</v>
      </c>
      <c r="C259" s="24">
        <v>22</v>
      </c>
      <c r="D259" s="88">
        <v>761</v>
      </c>
      <c r="E259" s="88">
        <v>1810</v>
      </c>
      <c r="F259" s="89">
        <f t="shared" ref="F259:F265" si="195">O259</f>
        <v>18</v>
      </c>
      <c r="G259" s="90">
        <f t="shared" ref="G259:G265" si="196">D259*E259/91809*F259</f>
        <v>270.05391628271741</v>
      </c>
      <c r="H259" s="90">
        <f t="shared" ref="H259:H265" si="197">(D259/1000)*4*F259+(E259/1000)*4*F259</f>
        <v>185.11199999999999</v>
      </c>
      <c r="I259" s="91" t="str">
        <f t="shared" ref="I259:I265" si="198">I250</f>
        <v>3동4라인</v>
      </c>
      <c r="J259" s="92" t="s">
        <v>212</v>
      </c>
      <c r="L259" s="89">
        <v>2</v>
      </c>
      <c r="M259" s="78">
        <f>M250</f>
        <v>9</v>
      </c>
      <c r="N259" s="84"/>
      <c r="O259" s="78">
        <f>L259*M259-N259*L259</f>
        <v>18</v>
      </c>
    </row>
    <row r="260" spans="1:16" ht="18" customHeight="1">
      <c r="A260" s="85"/>
      <c r="B260" s="86"/>
      <c r="C260" s="87"/>
      <c r="D260" s="88">
        <v>1688</v>
      </c>
      <c r="E260" s="88">
        <v>1810</v>
      </c>
      <c r="F260" s="89">
        <f t="shared" si="195"/>
        <v>9</v>
      </c>
      <c r="G260" s="90">
        <f t="shared" si="196"/>
        <v>299.50789138319772</v>
      </c>
      <c r="H260" s="90">
        <f t="shared" si="197"/>
        <v>125.928</v>
      </c>
      <c r="I260" s="91" t="str">
        <f t="shared" si="198"/>
        <v>3동4라인</v>
      </c>
      <c r="J260" s="92" t="s">
        <v>213</v>
      </c>
      <c r="L260" s="89">
        <v>1</v>
      </c>
      <c r="M260" s="78">
        <f>M259</f>
        <v>9</v>
      </c>
      <c r="N260" s="84"/>
      <c r="O260" s="78">
        <f>L260*M260-N260*L260</f>
        <v>9</v>
      </c>
    </row>
    <row r="261" spans="1:16" ht="18" customHeight="1">
      <c r="A261" s="104"/>
      <c r="B261" s="93"/>
      <c r="C261" s="87"/>
      <c r="D261" s="88">
        <v>738</v>
      </c>
      <c r="E261" s="88">
        <v>1310</v>
      </c>
      <c r="F261" s="89">
        <f t="shared" si="195"/>
        <v>36</v>
      </c>
      <c r="G261" s="90">
        <f t="shared" si="196"/>
        <v>379.09224585824921</v>
      </c>
      <c r="H261" s="90">
        <f t="shared" si="197"/>
        <v>294.91200000000003</v>
      </c>
      <c r="I261" s="91" t="str">
        <f t="shared" si="198"/>
        <v>3동4라인</v>
      </c>
      <c r="J261" s="92" t="s">
        <v>214</v>
      </c>
      <c r="L261" s="89">
        <v>4</v>
      </c>
      <c r="M261" s="78">
        <f t="shared" ref="M261:M265" si="199">M260</f>
        <v>9</v>
      </c>
      <c r="N261" s="84"/>
      <c r="O261" s="78">
        <f t="shared" ref="O261:O265" si="200">L261*M261-N261*L261</f>
        <v>36</v>
      </c>
    </row>
    <row r="262" spans="1:16" ht="18" customHeight="1">
      <c r="A262" s="104"/>
      <c r="B262" s="93"/>
      <c r="C262" s="87"/>
      <c r="D262" s="88">
        <v>288</v>
      </c>
      <c r="E262" s="88">
        <v>910</v>
      </c>
      <c r="F262" s="89">
        <f t="shared" si="195"/>
        <v>18</v>
      </c>
      <c r="G262" s="90">
        <f t="shared" si="196"/>
        <v>51.383197725713167</v>
      </c>
      <c r="H262" s="90">
        <f t="shared" si="197"/>
        <v>86.256</v>
      </c>
      <c r="I262" s="91" t="str">
        <f t="shared" si="198"/>
        <v>3동4라인</v>
      </c>
      <c r="J262" s="92" t="s">
        <v>215</v>
      </c>
      <c r="L262" s="89">
        <v>2</v>
      </c>
      <c r="M262" s="78">
        <f t="shared" si="199"/>
        <v>9</v>
      </c>
      <c r="N262" s="78"/>
      <c r="O262" s="78">
        <f t="shared" si="200"/>
        <v>18</v>
      </c>
    </row>
    <row r="263" spans="1:16" ht="18" customHeight="1">
      <c r="A263" s="104"/>
      <c r="B263" s="93"/>
      <c r="C263" s="87"/>
      <c r="D263" s="88">
        <v>228</v>
      </c>
      <c r="E263" s="88">
        <v>910</v>
      </c>
      <c r="F263" s="89">
        <f t="shared" si="195"/>
        <v>18</v>
      </c>
      <c r="G263" s="90">
        <f t="shared" si="196"/>
        <v>40.67836486618959</v>
      </c>
      <c r="H263" s="90">
        <f t="shared" si="197"/>
        <v>81.935999999999993</v>
      </c>
      <c r="I263" s="91" t="str">
        <f t="shared" si="198"/>
        <v>3동4라인</v>
      </c>
      <c r="J263" s="92" t="s">
        <v>216</v>
      </c>
      <c r="L263" s="89">
        <v>2</v>
      </c>
      <c r="M263" s="78">
        <f t="shared" si="199"/>
        <v>9</v>
      </c>
      <c r="N263" s="78"/>
      <c r="O263" s="78">
        <f t="shared" si="200"/>
        <v>18</v>
      </c>
    </row>
    <row r="264" spans="1:16" ht="18" customHeight="1">
      <c r="A264" s="104"/>
      <c r="B264" s="93"/>
      <c r="C264" s="87"/>
      <c r="D264" s="88">
        <v>438</v>
      </c>
      <c r="E264" s="88">
        <v>270</v>
      </c>
      <c r="F264" s="89">
        <f t="shared" si="195"/>
        <v>18</v>
      </c>
      <c r="G264" s="90">
        <f t="shared" si="196"/>
        <v>23.185962160572494</v>
      </c>
      <c r="H264" s="90">
        <f t="shared" si="197"/>
        <v>50.975999999999999</v>
      </c>
      <c r="I264" s="91" t="str">
        <f t="shared" si="198"/>
        <v>3동4라인</v>
      </c>
      <c r="J264" s="92" t="s">
        <v>217</v>
      </c>
      <c r="L264" s="89">
        <v>2</v>
      </c>
      <c r="M264" s="78">
        <f t="shared" si="199"/>
        <v>9</v>
      </c>
      <c r="N264" s="78"/>
      <c r="O264" s="78">
        <f t="shared" si="200"/>
        <v>18</v>
      </c>
    </row>
    <row r="265" spans="1:16" ht="18" customHeight="1">
      <c r="A265" s="104"/>
      <c r="B265" s="93"/>
      <c r="C265" s="87"/>
      <c r="D265" s="88">
        <v>208</v>
      </c>
      <c r="E265" s="88">
        <v>910</v>
      </c>
      <c r="F265" s="89">
        <f t="shared" si="195"/>
        <v>18</v>
      </c>
      <c r="G265" s="90">
        <f t="shared" si="196"/>
        <v>37.1100872463484</v>
      </c>
      <c r="H265" s="90">
        <f t="shared" si="197"/>
        <v>80.495999999999995</v>
      </c>
      <c r="I265" s="91" t="str">
        <f t="shared" si="198"/>
        <v>3동4라인</v>
      </c>
      <c r="J265" s="92" t="s">
        <v>218</v>
      </c>
      <c r="L265" s="89">
        <v>2</v>
      </c>
      <c r="M265" s="78">
        <f t="shared" si="199"/>
        <v>9</v>
      </c>
      <c r="N265" s="78"/>
      <c r="O265" s="78">
        <f t="shared" si="200"/>
        <v>18</v>
      </c>
    </row>
    <row r="266" spans="1:16" ht="18" customHeight="1">
      <c r="A266" s="104"/>
      <c r="B266" s="87"/>
      <c r="C266" s="87"/>
      <c r="D266" s="325" t="s">
        <v>0</v>
      </c>
      <c r="E266" s="325"/>
      <c r="F266" s="171">
        <f>SUM(F259:F265)</f>
        <v>135</v>
      </c>
      <c r="G266" s="95">
        <f>SUM(G259:G265)</f>
        <v>1101.0116655229881</v>
      </c>
      <c r="H266" s="95">
        <f>SUM(H259:H265)</f>
        <v>905.61599999999999</v>
      </c>
      <c r="I266" s="97"/>
      <c r="J266" s="98"/>
    </row>
    <row r="267" spans="1:16">
      <c r="A267" s="105"/>
      <c r="B267" s="9"/>
      <c r="C267" s="9"/>
      <c r="D267" s="51"/>
      <c r="E267" s="51"/>
      <c r="F267" s="51"/>
      <c r="G267" s="106"/>
      <c r="H267" s="106"/>
      <c r="I267" s="9"/>
      <c r="J267" s="107"/>
    </row>
    <row r="268" spans="1:16" ht="18" customHeight="1">
      <c r="A268" s="85"/>
      <c r="B268" s="163" t="s">
        <v>199</v>
      </c>
      <c r="C268" s="163">
        <v>22</v>
      </c>
      <c r="D268" s="88">
        <v>738</v>
      </c>
      <c r="E268" s="88">
        <v>1810</v>
      </c>
      <c r="F268" s="89">
        <f t="shared" ref="F268:F269" si="201">O268</f>
        <v>18</v>
      </c>
      <c r="G268" s="90">
        <f t="shared" ref="G268:G269" si="202">D268*E268/91809*F268</f>
        <v>261.89197137535535</v>
      </c>
      <c r="H268" s="90">
        <f t="shared" ref="H268:H269" si="203">(D268/1000)*4*F268+(E268/1000)*4*F268</f>
        <v>183.45599999999999</v>
      </c>
      <c r="I268" s="91" t="str">
        <f>I259</f>
        <v>3동4라인</v>
      </c>
      <c r="J268" s="92" t="s">
        <v>219</v>
      </c>
      <c r="L268" s="89">
        <v>2</v>
      </c>
      <c r="M268" s="78">
        <f>M250</f>
        <v>9</v>
      </c>
      <c r="N268" s="84"/>
      <c r="O268" s="78">
        <f>L268*M268-N268*L268</f>
        <v>18</v>
      </c>
      <c r="P268" s="64"/>
    </row>
    <row r="269" spans="1:16" ht="18" customHeight="1">
      <c r="A269" s="85"/>
      <c r="B269" s="86"/>
      <c r="C269" s="87"/>
      <c r="D269" s="88">
        <v>250</v>
      </c>
      <c r="E269" s="88">
        <v>930</v>
      </c>
      <c r="F269" s="89">
        <f t="shared" si="201"/>
        <v>18</v>
      </c>
      <c r="G269" s="90">
        <f t="shared" si="202"/>
        <v>45.583766297421818</v>
      </c>
      <c r="H269" s="90">
        <f t="shared" si="203"/>
        <v>84.960000000000008</v>
      </c>
      <c r="I269" s="91" t="str">
        <f>I268</f>
        <v>3동4라인</v>
      </c>
      <c r="J269" s="92" t="s">
        <v>220</v>
      </c>
      <c r="L269" s="89">
        <v>2</v>
      </c>
      <c r="M269" s="78">
        <f>M268</f>
        <v>9</v>
      </c>
      <c r="N269" s="84"/>
      <c r="O269" s="78">
        <f t="shared" ref="O269" si="204">L269*M269-N269*L269</f>
        <v>18</v>
      </c>
    </row>
    <row r="270" spans="1:16" ht="18" customHeight="1">
      <c r="A270" s="85"/>
      <c r="B270" s="93"/>
      <c r="C270" s="87"/>
      <c r="D270" s="325" t="s">
        <v>0</v>
      </c>
      <c r="E270" s="325"/>
      <c r="F270" s="94">
        <f>SUM(F268:F269)</f>
        <v>36</v>
      </c>
      <c r="G270" s="95">
        <f>SUM(G268:G269)</f>
        <v>307.4757376727772</v>
      </c>
      <c r="H270" s="95">
        <f>SUM(H268:H269)</f>
        <v>268.416</v>
      </c>
      <c r="I270" s="97"/>
      <c r="J270" s="98"/>
    </row>
    <row r="271" spans="1:16" ht="18" customHeight="1">
      <c r="A271" s="108"/>
      <c r="B271" s="164"/>
      <c r="C271" s="109"/>
      <c r="D271" s="363"/>
      <c r="E271" s="363"/>
      <c r="F271" s="110"/>
      <c r="G271" s="111"/>
      <c r="H271" s="234"/>
      <c r="I271" s="112"/>
      <c r="J271" s="235"/>
    </row>
    <row r="272" spans="1:16" ht="18" customHeight="1">
      <c r="A272" s="262" t="s">
        <v>234</v>
      </c>
      <c r="B272" s="263" t="s">
        <v>195</v>
      </c>
      <c r="C272" s="264">
        <v>22</v>
      </c>
      <c r="D272" s="265">
        <v>761</v>
      </c>
      <c r="E272" s="265">
        <v>1810</v>
      </c>
      <c r="F272" s="251">
        <f>O272</f>
        <v>36</v>
      </c>
      <c r="G272" s="266">
        <f t="shared" ref="G272:G278" si="205">D272*E272/91809*F272</f>
        <v>540.10783256543482</v>
      </c>
      <c r="H272" s="266">
        <f t="shared" ref="H272:H278" si="206">(D272/1000)*4*F272+(E272/1000)*4*F272</f>
        <v>370.22399999999999</v>
      </c>
      <c r="I272" s="267" t="s">
        <v>254</v>
      </c>
      <c r="J272" s="268" t="s">
        <v>205</v>
      </c>
      <c r="L272" s="89">
        <v>2</v>
      </c>
      <c r="M272" s="78">
        <f>2*9</f>
        <v>18</v>
      </c>
      <c r="N272" s="84"/>
      <c r="O272" s="78">
        <f>L272*M272-N272*L272</f>
        <v>36</v>
      </c>
      <c r="P272" s="64"/>
    </row>
    <row r="273" spans="1:15" ht="18" customHeight="1">
      <c r="A273" s="85"/>
      <c r="B273" s="86"/>
      <c r="C273" s="87"/>
      <c r="D273" s="88">
        <v>1688</v>
      </c>
      <c r="E273" s="88">
        <v>1810</v>
      </c>
      <c r="F273" s="89">
        <f t="shared" ref="F273:F278" si="207">O273</f>
        <v>18</v>
      </c>
      <c r="G273" s="90">
        <f t="shared" si="205"/>
        <v>599.01578276639543</v>
      </c>
      <c r="H273" s="90">
        <f t="shared" si="206"/>
        <v>251.85599999999999</v>
      </c>
      <c r="I273" s="91" t="str">
        <f>I272</f>
        <v>3동5,6라인</v>
      </c>
      <c r="J273" s="92" t="s">
        <v>206</v>
      </c>
      <c r="L273" s="89">
        <v>1</v>
      </c>
      <c r="M273" s="78">
        <f>M272</f>
        <v>18</v>
      </c>
      <c r="N273" s="84"/>
      <c r="O273" s="78">
        <f t="shared" ref="O273:O278" si="208">L273*M273-N273*L273</f>
        <v>18</v>
      </c>
    </row>
    <row r="274" spans="1:15" ht="18" customHeight="1">
      <c r="A274" s="85"/>
      <c r="B274" s="86"/>
      <c r="C274" s="87"/>
      <c r="D274" s="88">
        <v>738</v>
      </c>
      <c r="E274" s="88">
        <v>1310</v>
      </c>
      <c r="F274" s="89">
        <f t="shared" si="207"/>
        <v>72</v>
      </c>
      <c r="G274" s="90">
        <f t="shared" si="205"/>
        <v>758.18449171649843</v>
      </c>
      <c r="H274" s="90">
        <f t="shared" si="206"/>
        <v>589.82400000000007</v>
      </c>
      <c r="I274" s="91" t="str">
        <f t="shared" ref="I274:I278" si="209">I273</f>
        <v>3동5,6라인</v>
      </c>
      <c r="J274" s="92" t="s">
        <v>207</v>
      </c>
      <c r="L274" s="89">
        <v>4</v>
      </c>
      <c r="M274" s="78">
        <f t="shared" ref="M274:M277" si="210">M273</f>
        <v>18</v>
      </c>
      <c r="N274" s="78"/>
      <c r="O274" s="78">
        <f t="shared" si="208"/>
        <v>72</v>
      </c>
    </row>
    <row r="275" spans="1:15" ht="18" customHeight="1">
      <c r="A275" s="85"/>
      <c r="B275" s="86"/>
      <c r="C275" s="87"/>
      <c r="D275" s="88">
        <v>288</v>
      </c>
      <c r="E275" s="88">
        <v>910</v>
      </c>
      <c r="F275" s="89">
        <f t="shared" si="207"/>
        <v>36</v>
      </c>
      <c r="G275" s="90">
        <f t="shared" si="205"/>
        <v>102.76639545142633</v>
      </c>
      <c r="H275" s="90">
        <f t="shared" si="206"/>
        <v>172.512</v>
      </c>
      <c r="I275" s="91" t="str">
        <f t="shared" si="209"/>
        <v>3동5,6라인</v>
      </c>
      <c r="J275" s="92" t="s">
        <v>208</v>
      </c>
      <c r="L275" s="89">
        <v>2</v>
      </c>
      <c r="M275" s="78">
        <f t="shared" si="210"/>
        <v>18</v>
      </c>
      <c r="N275" s="78"/>
      <c r="O275" s="78">
        <f t="shared" si="208"/>
        <v>36</v>
      </c>
    </row>
    <row r="276" spans="1:15" ht="18" customHeight="1">
      <c r="A276" s="85"/>
      <c r="B276" s="86"/>
      <c r="C276" s="87"/>
      <c r="D276" s="88">
        <v>228</v>
      </c>
      <c r="E276" s="88">
        <v>910</v>
      </c>
      <c r="F276" s="89">
        <f t="shared" si="207"/>
        <v>36</v>
      </c>
      <c r="G276" s="90">
        <f t="shared" si="205"/>
        <v>81.356729732379179</v>
      </c>
      <c r="H276" s="90">
        <f t="shared" si="206"/>
        <v>163.87199999999999</v>
      </c>
      <c r="I276" s="91" t="str">
        <f t="shared" si="209"/>
        <v>3동5,6라인</v>
      </c>
      <c r="J276" s="92" t="s">
        <v>209</v>
      </c>
      <c r="L276" s="89">
        <v>2</v>
      </c>
      <c r="M276" s="78">
        <f t="shared" si="210"/>
        <v>18</v>
      </c>
      <c r="N276" s="78"/>
      <c r="O276" s="78">
        <f t="shared" si="208"/>
        <v>36</v>
      </c>
    </row>
    <row r="277" spans="1:15" ht="18" customHeight="1">
      <c r="A277" s="85"/>
      <c r="B277" s="86"/>
      <c r="C277" s="87"/>
      <c r="D277" s="88">
        <v>438</v>
      </c>
      <c r="E277" s="88">
        <v>270</v>
      </c>
      <c r="F277" s="89">
        <f t="shared" si="207"/>
        <v>36</v>
      </c>
      <c r="G277" s="90">
        <f t="shared" si="205"/>
        <v>46.371924321144988</v>
      </c>
      <c r="H277" s="90">
        <f t="shared" si="206"/>
        <v>101.952</v>
      </c>
      <c r="I277" s="91" t="str">
        <f t="shared" si="209"/>
        <v>3동5,6라인</v>
      </c>
      <c r="J277" s="92" t="s">
        <v>210</v>
      </c>
      <c r="L277" s="89">
        <v>2</v>
      </c>
      <c r="M277" s="78">
        <f t="shared" si="210"/>
        <v>18</v>
      </c>
      <c r="N277" s="78"/>
      <c r="O277" s="78">
        <f t="shared" si="208"/>
        <v>36</v>
      </c>
    </row>
    <row r="278" spans="1:15" ht="18" customHeight="1">
      <c r="A278" s="85"/>
      <c r="B278" s="86"/>
      <c r="C278" s="87"/>
      <c r="D278" s="88">
        <v>208</v>
      </c>
      <c r="E278" s="88">
        <v>910</v>
      </c>
      <c r="F278" s="89">
        <f t="shared" si="207"/>
        <v>36</v>
      </c>
      <c r="G278" s="90">
        <f t="shared" si="205"/>
        <v>74.220174492696799</v>
      </c>
      <c r="H278" s="90">
        <f t="shared" si="206"/>
        <v>160.99199999999999</v>
      </c>
      <c r="I278" s="91" t="str">
        <f t="shared" si="209"/>
        <v>3동5,6라인</v>
      </c>
      <c r="J278" s="92" t="s">
        <v>211</v>
      </c>
      <c r="L278" s="89">
        <v>2</v>
      </c>
      <c r="M278" s="78">
        <f>M277</f>
        <v>18</v>
      </c>
      <c r="N278" s="78"/>
      <c r="O278" s="78">
        <f t="shared" si="208"/>
        <v>36</v>
      </c>
    </row>
    <row r="279" spans="1:15" ht="18" customHeight="1">
      <c r="A279" s="85"/>
      <c r="B279" s="93"/>
      <c r="C279" s="87"/>
      <c r="D279" s="325" t="s">
        <v>0</v>
      </c>
      <c r="E279" s="325"/>
      <c r="F279" s="94">
        <f>SUM(F272:F278)</f>
        <v>270</v>
      </c>
      <c r="G279" s="95">
        <f>SUM(G272:G278)</f>
        <v>2202.0233310459762</v>
      </c>
      <c r="H279" s="96">
        <f>SUM(H272:H278)</f>
        <v>1811.232</v>
      </c>
      <c r="I279" s="97"/>
      <c r="J279" s="162"/>
    </row>
    <row r="280" spans="1:15" ht="18" customHeight="1">
      <c r="A280" s="85"/>
      <c r="B280" s="93"/>
      <c r="C280" s="87"/>
      <c r="D280" s="161"/>
      <c r="E280" s="161"/>
      <c r="F280" s="89"/>
      <c r="G280" s="100"/>
      <c r="H280" s="101"/>
      <c r="I280" s="102"/>
      <c r="J280" s="121"/>
      <c r="L280" s="78" t="s">
        <v>48</v>
      </c>
      <c r="M280" s="78" t="s">
        <v>54</v>
      </c>
      <c r="N280" s="78" t="s">
        <v>50</v>
      </c>
      <c r="O280" s="78" t="s">
        <v>55</v>
      </c>
    </row>
    <row r="281" spans="1:15" ht="18" customHeight="1">
      <c r="A281" s="85"/>
      <c r="B281" s="23" t="s">
        <v>197</v>
      </c>
      <c r="C281" s="24">
        <v>22</v>
      </c>
      <c r="D281" s="88">
        <v>761</v>
      </c>
      <c r="E281" s="88">
        <v>1810</v>
      </c>
      <c r="F281" s="89">
        <f t="shared" ref="F281:F287" si="211">O281</f>
        <v>36</v>
      </c>
      <c r="G281" s="90">
        <f t="shared" ref="G281:G287" si="212">D281*E281/91809*F281</f>
        <v>540.10783256543482</v>
      </c>
      <c r="H281" s="90">
        <f t="shared" ref="H281:H287" si="213">(D281/1000)*4*F281+(E281/1000)*4*F281</f>
        <v>370.22399999999999</v>
      </c>
      <c r="I281" s="91" t="str">
        <f t="shared" ref="I281:I287" si="214">I272</f>
        <v>3동5,6라인</v>
      </c>
      <c r="J281" s="92" t="s">
        <v>212</v>
      </c>
      <c r="L281" s="89">
        <v>2</v>
      </c>
      <c r="M281" s="78">
        <f>M272</f>
        <v>18</v>
      </c>
      <c r="N281" s="84"/>
      <c r="O281" s="78">
        <f>L281*M281-N281*L281</f>
        <v>36</v>
      </c>
    </row>
    <row r="282" spans="1:15" ht="18" customHeight="1">
      <c r="A282" s="85"/>
      <c r="B282" s="86"/>
      <c r="C282" s="87"/>
      <c r="D282" s="88">
        <v>1688</v>
      </c>
      <c r="E282" s="88">
        <v>1810</v>
      </c>
      <c r="F282" s="89">
        <f t="shared" si="211"/>
        <v>18</v>
      </c>
      <c r="G282" s="90">
        <f t="shared" si="212"/>
        <v>599.01578276639543</v>
      </c>
      <c r="H282" s="90">
        <f t="shared" si="213"/>
        <v>251.85599999999999</v>
      </c>
      <c r="I282" s="91" t="str">
        <f t="shared" si="214"/>
        <v>3동5,6라인</v>
      </c>
      <c r="J282" s="92" t="s">
        <v>213</v>
      </c>
      <c r="L282" s="89">
        <v>1</v>
      </c>
      <c r="M282" s="78">
        <f>M281</f>
        <v>18</v>
      </c>
      <c r="N282" s="84"/>
      <c r="O282" s="78">
        <f>L282*M282-N282*L282</f>
        <v>18</v>
      </c>
    </row>
    <row r="283" spans="1:15" ht="18" customHeight="1">
      <c r="A283" s="104"/>
      <c r="B283" s="93"/>
      <c r="C283" s="87"/>
      <c r="D283" s="88">
        <v>738</v>
      </c>
      <c r="E283" s="88">
        <v>1310</v>
      </c>
      <c r="F283" s="89">
        <f t="shared" si="211"/>
        <v>72</v>
      </c>
      <c r="G283" s="90">
        <f t="shared" si="212"/>
        <v>758.18449171649843</v>
      </c>
      <c r="H283" s="90">
        <f t="shared" si="213"/>
        <v>589.82400000000007</v>
      </c>
      <c r="I283" s="91" t="str">
        <f t="shared" si="214"/>
        <v>3동5,6라인</v>
      </c>
      <c r="J283" s="92" t="s">
        <v>214</v>
      </c>
      <c r="L283" s="89">
        <v>4</v>
      </c>
      <c r="M283" s="78">
        <f t="shared" ref="M283:M287" si="215">M282</f>
        <v>18</v>
      </c>
      <c r="N283" s="84"/>
      <c r="O283" s="78">
        <f t="shared" ref="O283:O287" si="216">L283*M283-N283*L283</f>
        <v>72</v>
      </c>
    </row>
    <row r="284" spans="1:15" ht="18" customHeight="1">
      <c r="A284" s="104"/>
      <c r="B284" s="93"/>
      <c r="C284" s="87"/>
      <c r="D284" s="88">
        <v>288</v>
      </c>
      <c r="E284" s="88">
        <v>910</v>
      </c>
      <c r="F284" s="89">
        <f t="shared" si="211"/>
        <v>36</v>
      </c>
      <c r="G284" s="90">
        <f t="shared" si="212"/>
        <v>102.76639545142633</v>
      </c>
      <c r="H284" s="90">
        <f t="shared" si="213"/>
        <v>172.512</v>
      </c>
      <c r="I284" s="91" t="str">
        <f t="shared" si="214"/>
        <v>3동5,6라인</v>
      </c>
      <c r="J284" s="92" t="s">
        <v>215</v>
      </c>
      <c r="L284" s="89">
        <v>2</v>
      </c>
      <c r="M284" s="78">
        <f t="shared" si="215"/>
        <v>18</v>
      </c>
      <c r="N284" s="78"/>
      <c r="O284" s="78">
        <f t="shared" si="216"/>
        <v>36</v>
      </c>
    </row>
    <row r="285" spans="1:15" ht="18" customHeight="1">
      <c r="A285" s="104"/>
      <c r="B285" s="93"/>
      <c r="C285" s="87"/>
      <c r="D285" s="88">
        <v>228</v>
      </c>
      <c r="E285" s="88">
        <v>910</v>
      </c>
      <c r="F285" s="89">
        <f t="shared" si="211"/>
        <v>36</v>
      </c>
      <c r="G285" s="90">
        <f t="shared" si="212"/>
        <v>81.356729732379179</v>
      </c>
      <c r="H285" s="90">
        <f t="shared" si="213"/>
        <v>163.87199999999999</v>
      </c>
      <c r="I285" s="91" t="str">
        <f t="shared" si="214"/>
        <v>3동5,6라인</v>
      </c>
      <c r="J285" s="92" t="s">
        <v>216</v>
      </c>
      <c r="L285" s="89">
        <v>2</v>
      </c>
      <c r="M285" s="78">
        <f t="shared" si="215"/>
        <v>18</v>
      </c>
      <c r="N285" s="78"/>
      <c r="O285" s="78">
        <f t="shared" si="216"/>
        <v>36</v>
      </c>
    </row>
    <row r="286" spans="1:15" ht="18" customHeight="1">
      <c r="A286" s="104"/>
      <c r="B286" s="93"/>
      <c r="C286" s="87"/>
      <c r="D286" s="88">
        <v>438</v>
      </c>
      <c r="E286" s="88">
        <v>270</v>
      </c>
      <c r="F286" s="89">
        <f t="shared" si="211"/>
        <v>36</v>
      </c>
      <c r="G286" s="90">
        <f t="shared" si="212"/>
        <v>46.371924321144988</v>
      </c>
      <c r="H286" s="90">
        <f t="shared" si="213"/>
        <v>101.952</v>
      </c>
      <c r="I286" s="91" t="str">
        <f t="shared" si="214"/>
        <v>3동5,6라인</v>
      </c>
      <c r="J286" s="92" t="s">
        <v>217</v>
      </c>
      <c r="L286" s="89">
        <v>2</v>
      </c>
      <c r="M286" s="78">
        <f t="shared" si="215"/>
        <v>18</v>
      </c>
      <c r="N286" s="78"/>
      <c r="O286" s="78">
        <f t="shared" si="216"/>
        <v>36</v>
      </c>
    </row>
    <row r="287" spans="1:15" ht="18" customHeight="1">
      <c r="A287" s="104"/>
      <c r="B287" s="93"/>
      <c r="C287" s="87"/>
      <c r="D287" s="88">
        <v>208</v>
      </c>
      <c r="E287" s="88">
        <v>910</v>
      </c>
      <c r="F287" s="89">
        <f t="shared" si="211"/>
        <v>36</v>
      </c>
      <c r="G287" s="90">
        <f t="shared" si="212"/>
        <v>74.220174492696799</v>
      </c>
      <c r="H287" s="90">
        <f t="shared" si="213"/>
        <v>160.99199999999999</v>
      </c>
      <c r="I287" s="91" t="str">
        <f t="shared" si="214"/>
        <v>3동5,6라인</v>
      </c>
      <c r="J287" s="92" t="s">
        <v>218</v>
      </c>
      <c r="L287" s="89">
        <v>2</v>
      </c>
      <c r="M287" s="78">
        <f t="shared" si="215"/>
        <v>18</v>
      </c>
      <c r="N287" s="78"/>
      <c r="O287" s="78">
        <f t="shared" si="216"/>
        <v>36</v>
      </c>
    </row>
    <row r="288" spans="1:15" ht="18" customHeight="1">
      <c r="A288" s="104"/>
      <c r="B288" s="87"/>
      <c r="C288" s="87"/>
      <c r="D288" s="325" t="s">
        <v>0</v>
      </c>
      <c r="E288" s="325"/>
      <c r="F288" s="171">
        <f>SUM(F281:F287)</f>
        <v>270</v>
      </c>
      <c r="G288" s="95">
        <f>SUM(G281:G287)</f>
        <v>2202.0233310459762</v>
      </c>
      <c r="H288" s="95">
        <f>SUM(H281:H287)</f>
        <v>1811.232</v>
      </c>
      <c r="I288" s="97"/>
      <c r="J288" s="98"/>
    </row>
    <row r="289" spans="1:16">
      <c r="A289" s="105"/>
      <c r="B289" s="9"/>
      <c r="C289" s="9"/>
      <c r="D289" s="51"/>
      <c r="E289" s="51"/>
      <c r="F289" s="51"/>
      <c r="G289" s="106"/>
      <c r="H289" s="106"/>
      <c r="I289" s="9"/>
      <c r="J289" s="107"/>
    </row>
    <row r="290" spans="1:16" ht="18" customHeight="1">
      <c r="A290" s="85"/>
      <c r="B290" s="163" t="s">
        <v>199</v>
      </c>
      <c r="C290" s="163">
        <v>22</v>
      </c>
      <c r="D290" s="88">
        <v>738</v>
      </c>
      <c r="E290" s="88">
        <v>1810</v>
      </c>
      <c r="F290" s="89">
        <f t="shared" ref="F290:F291" si="217">O290</f>
        <v>36</v>
      </c>
      <c r="G290" s="90">
        <f t="shared" ref="G290:G291" si="218">D290*E290/91809*F290</f>
        <v>523.78394275071071</v>
      </c>
      <c r="H290" s="90">
        <f t="shared" ref="H290:H291" si="219">(D290/1000)*4*F290+(E290/1000)*4*F290</f>
        <v>366.91199999999998</v>
      </c>
      <c r="I290" s="91" t="str">
        <f>I281</f>
        <v>3동5,6라인</v>
      </c>
      <c r="J290" s="92" t="s">
        <v>219</v>
      </c>
      <c r="L290" s="89">
        <v>2</v>
      </c>
      <c r="M290" s="78">
        <f>M272</f>
        <v>18</v>
      </c>
      <c r="N290" s="84"/>
      <c r="O290" s="78">
        <f>L290*M290-N290*L290</f>
        <v>36</v>
      </c>
      <c r="P290" s="64"/>
    </row>
    <row r="291" spans="1:16" ht="18" customHeight="1">
      <c r="A291" s="85"/>
      <c r="B291" s="86"/>
      <c r="C291" s="87"/>
      <c r="D291" s="88">
        <v>250</v>
      </c>
      <c r="E291" s="88">
        <v>930</v>
      </c>
      <c r="F291" s="89">
        <f t="shared" si="217"/>
        <v>36</v>
      </c>
      <c r="G291" s="90">
        <f t="shared" si="218"/>
        <v>91.167532594843635</v>
      </c>
      <c r="H291" s="90">
        <f t="shared" si="219"/>
        <v>169.92000000000002</v>
      </c>
      <c r="I291" s="91" t="str">
        <f>I290</f>
        <v>3동5,6라인</v>
      </c>
      <c r="J291" s="92" t="s">
        <v>220</v>
      </c>
      <c r="L291" s="89">
        <v>2</v>
      </c>
      <c r="M291" s="78">
        <f>M290</f>
        <v>18</v>
      </c>
      <c r="N291" s="84"/>
      <c r="O291" s="78">
        <f t="shared" ref="O291" si="220">L291*M291-N291*L291</f>
        <v>36</v>
      </c>
    </row>
    <row r="292" spans="1:16" ht="18" customHeight="1">
      <c r="A292" s="85"/>
      <c r="B292" s="93"/>
      <c r="C292" s="87"/>
      <c r="D292" s="325" t="s">
        <v>0</v>
      </c>
      <c r="E292" s="325"/>
      <c r="F292" s="94">
        <f>SUM(F290:F291)</f>
        <v>72</v>
      </c>
      <c r="G292" s="95">
        <f>SUM(G290:G291)</f>
        <v>614.9514753455544</v>
      </c>
      <c r="H292" s="95">
        <f>SUM(H290:H291)</f>
        <v>536.83199999999999</v>
      </c>
      <c r="I292" s="97"/>
      <c r="J292" s="98"/>
    </row>
    <row r="293" spans="1:16" ht="18" customHeight="1">
      <c r="A293" s="114"/>
      <c r="B293" s="169"/>
      <c r="C293" s="115"/>
      <c r="D293" s="170"/>
      <c r="E293" s="170"/>
      <c r="F293" s="116"/>
      <c r="G293" s="117"/>
      <c r="H293" s="117"/>
      <c r="I293" s="118"/>
      <c r="J293" s="119"/>
    </row>
    <row r="294" spans="1:16" ht="18" customHeight="1">
      <c r="A294" s="262" t="s">
        <v>234</v>
      </c>
      <c r="B294" s="263" t="s">
        <v>195</v>
      </c>
      <c r="C294" s="264">
        <v>22</v>
      </c>
      <c r="D294" s="265">
        <v>761</v>
      </c>
      <c r="E294" s="265">
        <v>1810</v>
      </c>
      <c r="F294" s="251">
        <f>O294</f>
        <v>36</v>
      </c>
      <c r="G294" s="266">
        <f t="shared" ref="G294:G300" si="221">D294*E294/91809*F294</f>
        <v>540.10783256543482</v>
      </c>
      <c r="H294" s="266">
        <f t="shared" ref="H294:H300" si="222">(D294/1000)*4*F294+(E294/1000)*4*F294</f>
        <v>370.22399999999999</v>
      </c>
      <c r="I294" s="267" t="s">
        <v>255</v>
      </c>
      <c r="J294" s="268" t="s">
        <v>205</v>
      </c>
      <c r="L294" s="89">
        <v>2</v>
      </c>
      <c r="M294" s="78">
        <f>2*9</f>
        <v>18</v>
      </c>
      <c r="N294" s="84"/>
      <c r="O294" s="78">
        <f>L294*M294-N294*L294</f>
        <v>36</v>
      </c>
      <c r="P294" s="64"/>
    </row>
    <row r="295" spans="1:16" ht="18" customHeight="1">
      <c r="A295" s="85"/>
      <c r="B295" s="86"/>
      <c r="C295" s="87"/>
      <c r="D295" s="88">
        <v>1688</v>
      </c>
      <c r="E295" s="88">
        <v>1810</v>
      </c>
      <c r="F295" s="89">
        <f t="shared" ref="F295:F300" si="223">O295</f>
        <v>18</v>
      </c>
      <c r="G295" s="90">
        <f t="shared" si="221"/>
        <v>599.01578276639543</v>
      </c>
      <c r="H295" s="90">
        <f t="shared" si="222"/>
        <v>251.85599999999999</v>
      </c>
      <c r="I295" s="91" t="str">
        <f>I294</f>
        <v>9동1,2라인</v>
      </c>
      <c r="J295" s="92" t="s">
        <v>206</v>
      </c>
      <c r="L295" s="89">
        <v>1</v>
      </c>
      <c r="M295" s="78">
        <f>M294</f>
        <v>18</v>
      </c>
      <c r="N295" s="84"/>
      <c r="O295" s="78">
        <f t="shared" ref="O295:O300" si="224">L295*M295-N295*L295</f>
        <v>18</v>
      </c>
    </row>
    <row r="296" spans="1:16" ht="18" customHeight="1">
      <c r="A296" s="85"/>
      <c r="B296" s="86"/>
      <c r="C296" s="87"/>
      <c r="D296" s="88">
        <v>738</v>
      </c>
      <c r="E296" s="88">
        <v>1310</v>
      </c>
      <c r="F296" s="89">
        <f t="shared" si="223"/>
        <v>72</v>
      </c>
      <c r="G296" s="90">
        <f t="shared" si="221"/>
        <v>758.18449171649843</v>
      </c>
      <c r="H296" s="90">
        <f t="shared" si="222"/>
        <v>589.82400000000007</v>
      </c>
      <c r="I296" s="91" t="str">
        <f t="shared" ref="I296:I300" si="225">I295</f>
        <v>9동1,2라인</v>
      </c>
      <c r="J296" s="92" t="s">
        <v>207</v>
      </c>
      <c r="L296" s="89">
        <v>4</v>
      </c>
      <c r="M296" s="78">
        <f t="shared" ref="M296:M299" si="226">M295</f>
        <v>18</v>
      </c>
      <c r="N296" s="78"/>
      <c r="O296" s="78">
        <f t="shared" si="224"/>
        <v>72</v>
      </c>
    </row>
    <row r="297" spans="1:16" ht="18" customHeight="1">
      <c r="A297" s="85"/>
      <c r="B297" s="86"/>
      <c r="C297" s="87"/>
      <c r="D297" s="88">
        <v>288</v>
      </c>
      <c r="E297" s="88">
        <v>910</v>
      </c>
      <c r="F297" s="89">
        <f t="shared" si="223"/>
        <v>36</v>
      </c>
      <c r="G297" s="90">
        <f t="shared" si="221"/>
        <v>102.76639545142633</v>
      </c>
      <c r="H297" s="90">
        <f t="shared" si="222"/>
        <v>172.512</v>
      </c>
      <c r="I297" s="91" t="str">
        <f t="shared" si="225"/>
        <v>9동1,2라인</v>
      </c>
      <c r="J297" s="92" t="s">
        <v>208</v>
      </c>
      <c r="L297" s="89">
        <v>2</v>
      </c>
      <c r="M297" s="78">
        <f t="shared" si="226"/>
        <v>18</v>
      </c>
      <c r="N297" s="78"/>
      <c r="O297" s="78">
        <f t="shared" si="224"/>
        <v>36</v>
      </c>
    </row>
    <row r="298" spans="1:16" ht="18" customHeight="1">
      <c r="A298" s="85"/>
      <c r="B298" s="86"/>
      <c r="C298" s="87"/>
      <c r="D298" s="88">
        <v>228</v>
      </c>
      <c r="E298" s="88">
        <v>910</v>
      </c>
      <c r="F298" s="89">
        <f t="shared" si="223"/>
        <v>36</v>
      </c>
      <c r="G298" s="90">
        <f t="shared" si="221"/>
        <v>81.356729732379179</v>
      </c>
      <c r="H298" s="90">
        <f t="shared" si="222"/>
        <v>163.87199999999999</v>
      </c>
      <c r="I298" s="91" t="str">
        <f t="shared" si="225"/>
        <v>9동1,2라인</v>
      </c>
      <c r="J298" s="92" t="s">
        <v>209</v>
      </c>
      <c r="L298" s="89">
        <v>2</v>
      </c>
      <c r="M298" s="78">
        <f t="shared" si="226"/>
        <v>18</v>
      </c>
      <c r="N298" s="78"/>
      <c r="O298" s="78">
        <f t="shared" si="224"/>
        <v>36</v>
      </c>
    </row>
    <row r="299" spans="1:16" ht="18" customHeight="1">
      <c r="A299" s="85"/>
      <c r="B299" s="86"/>
      <c r="C299" s="87"/>
      <c r="D299" s="88">
        <v>438</v>
      </c>
      <c r="E299" s="88">
        <v>270</v>
      </c>
      <c r="F299" s="89">
        <f t="shared" si="223"/>
        <v>36</v>
      </c>
      <c r="G299" s="90">
        <f t="shared" si="221"/>
        <v>46.371924321144988</v>
      </c>
      <c r="H299" s="90">
        <f t="shared" si="222"/>
        <v>101.952</v>
      </c>
      <c r="I299" s="91" t="str">
        <f t="shared" si="225"/>
        <v>9동1,2라인</v>
      </c>
      <c r="J299" s="92" t="s">
        <v>210</v>
      </c>
      <c r="L299" s="89">
        <v>2</v>
      </c>
      <c r="M299" s="78">
        <f t="shared" si="226"/>
        <v>18</v>
      </c>
      <c r="N299" s="78"/>
      <c r="O299" s="78">
        <f t="shared" si="224"/>
        <v>36</v>
      </c>
    </row>
    <row r="300" spans="1:16" ht="18" customHeight="1">
      <c r="A300" s="85"/>
      <c r="B300" s="86"/>
      <c r="C300" s="87"/>
      <c r="D300" s="88">
        <v>208</v>
      </c>
      <c r="E300" s="88">
        <v>910</v>
      </c>
      <c r="F300" s="89">
        <f t="shared" si="223"/>
        <v>36</v>
      </c>
      <c r="G300" s="90">
        <f t="shared" si="221"/>
        <v>74.220174492696799</v>
      </c>
      <c r="H300" s="90">
        <f t="shared" si="222"/>
        <v>160.99199999999999</v>
      </c>
      <c r="I300" s="91" t="str">
        <f t="shared" si="225"/>
        <v>9동1,2라인</v>
      </c>
      <c r="J300" s="92" t="s">
        <v>211</v>
      </c>
      <c r="L300" s="89">
        <v>2</v>
      </c>
      <c r="M300" s="78">
        <f>M299</f>
        <v>18</v>
      </c>
      <c r="N300" s="78"/>
      <c r="O300" s="78">
        <f t="shared" si="224"/>
        <v>36</v>
      </c>
    </row>
    <row r="301" spans="1:16" ht="18" customHeight="1">
      <c r="A301" s="85"/>
      <c r="B301" s="93"/>
      <c r="C301" s="87"/>
      <c r="D301" s="325" t="s">
        <v>0</v>
      </c>
      <c r="E301" s="325"/>
      <c r="F301" s="94">
        <f>SUM(F294:F300)</f>
        <v>270</v>
      </c>
      <c r="G301" s="95">
        <f>SUM(G294:G300)</f>
        <v>2202.0233310459762</v>
      </c>
      <c r="H301" s="96">
        <f>SUM(H294:H300)</f>
        <v>1811.232</v>
      </c>
      <c r="I301" s="97"/>
      <c r="J301" s="162"/>
    </row>
    <row r="302" spans="1:16" ht="18" customHeight="1">
      <c r="A302" s="85"/>
      <c r="B302" s="93"/>
      <c r="C302" s="87"/>
      <c r="D302" s="161"/>
      <c r="E302" s="161"/>
      <c r="F302" s="89"/>
      <c r="G302" s="100"/>
      <c r="H302" s="101"/>
      <c r="I302" s="102"/>
      <c r="J302" s="121"/>
      <c r="L302" s="78" t="s">
        <v>48</v>
      </c>
      <c r="M302" s="78" t="s">
        <v>54</v>
      </c>
      <c r="N302" s="78" t="s">
        <v>50</v>
      </c>
      <c r="O302" s="78" t="s">
        <v>55</v>
      </c>
    </row>
    <row r="303" spans="1:16" ht="18" customHeight="1">
      <c r="A303" s="85"/>
      <c r="B303" s="23" t="s">
        <v>197</v>
      </c>
      <c r="C303" s="24">
        <v>22</v>
      </c>
      <c r="D303" s="88">
        <v>761</v>
      </c>
      <c r="E303" s="88">
        <v>1810</v>
      </c>
      <c r="F303" s="89">
        <f t="shared" ref="F303:F309" si="227">O303</f>
        <v>36</v>
      </c>
      <c r="G303" s="90">
        <f t="shared" ref="G303:G309" si="228">D303*E303/91809*F303</f>
        <v>540.10783256543482</v>
      </c>
      <c r="H303" s="90">
        <f t="shared" ref="H303:H309" si="229">(D303/1000)*4*F303+(E303/1000)*4*F303</f>
        <v>370.22399999999999</v>
      </c>
      <c r="I303" s="91" t="str">
        <f t="shared" ref="I303:I309" si="230">I294</f>
        <v>9동1,2라인</v>
      </c>
      <c r="J303" s="92" t="s">
        <v>212</v>
      </c>
      <c r="L303" s="89">
        <v>2</v>
      </c>
      <c r="M303" s="78">
        <f>M294</f>
        <v>18</v>
      </c>
      <c r="N303" s="84"/>
      <c r="O303" s="78">
        <f>L303*M303-N303*L303</f>
        <v>36</v>
      </c>
    </row>
    <row r="304" spans="1:16" ht="18" customHeight="1">
      <c r="A304" s="85"/>
      <c r="B304" s="86"/>
      <c r="C304" s="87"/>
      <c r="D304" s="88">
        <v>1688</v>
      </c>
      <c r="E304" s="88">
        <v>1810</v>
      </c>
      <c r="F304" s="89">
        <f t="shared" si="227"/>
        <v>18</v>
      </c>
      <c r="G304" s="90">
        <f t="shared" si="228"/>
        <v>599.01578276639543</v>
      </c>
      <c r="H304" s="90">
        <f t="shared" si="229"/>
        <v>251.85599999999999</v>
      </c>
      <c r="I304" s="91" t="str">
        <f t="shared" si="230"/>
        <v>9동1,2라인</v>
      </c>
      <c r="J304" s="92" t="s">
        <v>213</v>
      </c>
      <c r="L304" s="89">
        <v>1</v>
      </c>
      <c r="M304" s="78">
        <f>M303</f>
        <v>18</v>
      </c>
      <c r="N304" s="84"/>
      <c r="O304" s="78">
        <f>L304*M304-N304*L304</f>
        <v>18</v>
      </c>
    </row>
    <row r="305" spans="1:16" ht="18" customHeight="1">
      <c r="A305" s="104"/>
      <c r="B305" s="93"/>
      <c r="C305" s="87"/>
      <c r="D305" s="88">
        <v>738</v>
      </c>
      <c r="E305" s="88">
        <v>1310</v>
      </c>
      <c r="F305" s="89">
        <f t="shared" si="227"/>
        <v>72</v>
      </c>
      <c r="G305" s="90">
        <f t="shared" si="228"/>
        <v>758.18449171649843</v>
      </c>
      <c r="H305" s="90">
        <f t="shared" si="229"/>
        <v>589.82400000000007</v>
      </c>
      <c r="I305" s="91" t="str">
        <f t="shared" si="230"/>
        <v>9동1,2라인</v>
      </c>
      <c r="J305" s="92" t="s">
        <v>214</v>
      </c>
      <c r="L305" s="89">
        <v>4</v>
      </c>
      <c r="M305" s="78">
        <f t="shared" ref="M305:M309" si="231">M304</f>
        <v>18</v>
      </c>
      <c r="N305" s="84"/>
      <c r="O305" s="78">
        <f t="shared" ref="O305:O309" si="232">L305*M305-N305*L305</f>
        <v>72</v>
      </c>
    </row>
    <row r="306" spans="1:16" ht="18" customHeight="1">
      <c r="A306" s="104"/>
      <c r="B306" s="93"/>
      <c r="C306" s="87"/>
      <c r="D306" s="88">
        <v>288</v>
      </c>
      <c r="E306" s="88">
        <v>910</v>
      </c>
      <c r="F306" s="89">
        <f t="shared" si="227"/>
        <v>36</v>
      </c>
      <c r="G306" s="90">
        <f t="shared" si="228"/>
        <v>102.76639545142633</v>
      </c>
      <c r="H306" s="90">
        <f t="shared" si="229"/>
        <v>172.512</v>
      </c>
      <c r="I306" s="91" t="str">
        <f t="shared" si="230"/>
        <v>9동1,2라인</v>
      </c>
      <c r="J306" s="92" t="s">
        <v>215</v>
      </c>
      <c r="L306" s="89">
        <v>2</v>
      </c>
      <c r="M306" s="78">
        <f t="shared" si="231"/>
        <v>18</v>
      </c>
      <c r="N306" s="78"/>
      <c r="O306" s="78">
        <f t="shared" si="232"/>
        <v>36</v>
      </c>
    </row>
    <row r="307" spans="1:16" ht="18" customHeight="1">
      <c r="A307" s="104"/>
      <c r="B307" s="93"/>
      <c r="C307" s="87"/>
      <c r="D307" s="88">
        <v>228</v>
      </c>
      <c r="E307" s="88">
        <v>910</v>
      </c>
      <c r="F307" s="89">
        <f t="shared" si="227"/>
        <v>36</v>
      </c>
      <c r="G307" s="90">
        <f t="shared" si="228"/>
        <v>81.356729732379179</v>
      </c>
      <c r="H307" s="90">
        <f t="shared" si="229"/>
        <v>163.87199999999999</v>
      </c>
      <c r="I307" s="91" t="str">
        <f t="shared" si="230"/>
        <v>9동1,2라인</v>
      </c>
      <c r="J307" s="92" t="s">
        <v>216</v>
      </c>
      <c r="L307" s="89">
        <v>2</v>
      </c>
      <c r="M307" s="78">
        <f t="shared" si="231"/>
        <v>18</v>
      </c>
      <c r="N307" s="78"/>
      <c r="O307" s="78">
        <f t="shared" si="232"/>
        <v>36</v>
      </c>
    </row>
    <row r="308" spans="1:16" ht="18" customHeight="1">
      <c r="A308" s="104"/>
      <c r="B308" s="93"/>
      <c r="C308" s="87"/>
      <c r="D308" s="88">
        <v>438</v>
      </c>
      <c r="E308" s="88">
        <v>270</v>
      </c>
      <c r="F308" s="89">
        <f t="shared" si="227"/>
        <v>36</v>
      </c>
      <c r="G308" s="90">
        <f t="shared" si="228"/>
        <v>46.371924321144988</v>
      </c>
      <c r="H308" s="90">
        <f t="shared" si="229"/>
        <v>101.952</v>
      </c>
      <c r="I308" s="91" t="str">
        <f t="shared" si="230"/>
        <v>9동1,2라인</v>
      </c>
      <c r="J308" s="92" t="s">
        <v>217</v>
      </c>
      <c r="L308" s="89">
        <v>2</v>
      </c>
      <c r="M308" s="78">
        <f t="shared" si="231"/>
        <v>18</v>
      </c>
      <c r="N308" s="78"/>
      <c r="O308" s="78">
        <f t="shared" si="232"/>
        <v>36</v>
      </c>
    </row>
    <row r="309" spans="1:16" ht="18" customHeight="1">
      <c r="A309" s="104"/>
      <c r="B309" s="93"/>
      <c r="C309" s="87"/>
      <c r="D309" s="88">
        <v>208</v>
      </c>
      <c r="E309" s="88">
        <v>910</v>
      </c>
      <c r="F309" s="89">
        <f t="shared" si="227"/>
        <v>36</v>
      </c>
      <c r="G309" s="90">
        <f t="shared" si="228"/>
        <v>74.220174492696799</v>
      </c>
      <c r="H309" s="90">
        <f t="shared" si="229"/>
        <v>160.99199999999999</v>
      </c>
      <c r="I309" s="91" t="str">
        <f t="shared" si="230"/>
        <v>9동1,2라인</v>
      </c>
      <c r="J309" s="92" t="s">
        <v>218</v>
      </c>
      <c r="L309" s="89">
        <v>2</v>
      </c>
      <c r="M309" s="78">
        <f t="shared" si="231"/>
        <v>18</v>
      </c>
      <c r="N309" s="78"/>
      <c r="O309" s="78">
        <f t="shared" si="232"/>
        <v>36</v>
      </c>
    </row>
    <row r="310" spans="1:16" ht="18" customHeight="1">
      <c r="A310" s="104"/>
      <c r="B310" s="87"/>
      <c r="C310" s="87"/>
      <c r="D310" s="325" t="s">
        <v>0</v>
      </c>
      <c r="E310" s="325"/>
      <c r="F310" s="171">
        <f>SUM(F303:F309)</f>
        <v>270</v>
      </c>
      <c r="G310" s="95">
        <f>SUM(G303:G309)</f>
        <v>2202.0233310459762</v>
      </c>
      <c r="H310" s="95">
        <f>SUM(H303:H309)</f>
        <v>1811.232</v>
      </c>
      <c r="I310" s="97"/>
      <c r="J310" s="98"/>
    </row>
    <row r="311" spans="1:16">
      <c r="A311" s="105"/>
      <c r="B311" s="9"/>
      <c r="C311" s="9"/>
      <c r="D311" s="51"/>
      <c r="E311" s="51"/>
      <c r="F311" s="51"/>
      <c r="G311" s="106"/>
      <c r="H311" s="106"/>
      <c r="I311" s="9"/>
      <c r="J311" s="107"/>
    </row>
    <row r="312" spans="1:16" ht="18" customHeight="1">
      <c r="A312" s="85"/>
      <c r="B312" s="163" t="s">
        <v>199</v>
      </c>
      <c r="C312" s="163">
        <v>22</v>
      </c>
      <c r="D312" s="88">
        <v>738</v>
      </c>
      <c r="E312" s="88">
        <v>1810</v>
      </c>
      <c r="F312" s="89">
        <f t="shared" ref="F312:F313" si="233">O312</f>
        <v>18</v>
      </c>
      <c r="G312" s="90">
        <f t="shared" ref="G312:G313" si="234">D312*E312/91809*F312</f>
        <v>261.89197137535535</v>
      </c>
      <c r="H312" s="90">
        <f t="shared" ref="H312:H313" si="235">(D312/1000)*4*F312+(E312/1000)*4*F312</f>
        <v>183.45599999999999</v>
      </c>
      <c r="I312" s="91" t="str">
        <f>I303</f>
        <v>9동1,2라인</v>
      </c>
      <c r="J312" s="92" t="s">
        <v>219</v>
      </c>
      <c r="L312" s="89">
        <v>2</v>
      </c>
      <c r="M312" s="78">
        <f>M294</f>
        <v>18</v>
      </c>
      <c r="N312" s="84">
        <v>9</v>
      </c>
      <c r="O312" s="78">
        <f>L312*M312-N312*L312</f>
        <v>18</v>
      </c>
      <c r="P312" s="64" t="s">
        <v>244</v>
      </c>
    </row>
    <row r="313" spans="1:16" ht="18" customHeight="1">
      <c r="A313" s="85"/>
      <c r="B313" s="86"/>
      <c r="C313" s="87"/>
      <c r="D313" s="88">
        <v>250</v>
      </c>
      <c r="E313" s="88">
        <v>930</v>
      </c>
      <c r="F313" s="89">
        <f t="shared" si="233"/>
        <v>36</v>
      </c>
      <c r="G313" s="90">
        <f t="shared" si="234"/>
        <v>91.167532594843635</v>
      </c>
      <c r="H313" s="90">
        <f t="shared" si="235"/>
        <v>169.92000000000002</v>
      </c>
      <c r="I313" s="91" t="str">
        <f>I312</f>
        <v>9동1,2라인</v>
      </c>
      <c r="J313" s="92" t="s">
        <v>220</v>
      </c>
      <c r="L313" s="89">
        <v>2</v>
      </c>
      <c r="M313" s="78">
        <f>M312</f>
        <v>18</v>
      </c>
      <c r="N313" s="84"/>
      <c r="O313" s="78">
        <f t="shared" ref="O313" si="236">L313*M313-N313*L313</f>
        <v>36</v>
      </c>
    </row>
    <row r="314" spans="1:16" ht="18" customHeight="1">
      <c r="A314" s="85"/>
      <c r="B314" s="93"/>
      <c r="C314" s="87"/>
      <c r="D314" s="325" t="s">
        <v>0</v>
      </c>
      <c r="E314" s="325"/>
      <c r="F314" s="94">
        <f>SUM(F312:F313)</f>
        <v>54</v>
      </c>
      <c r="G314" s="95">
        <f>SUM(G312:G313)</f>
        <v>353.05950397019899</v>
      </c>
      <c r="H314" s="95">
        <f>SUM(H312:H313)</f>
        <v>353.37599999999998</v>
      </c>
      <c r="I314" s="97"/>
      <c r="J314" s="98"/>
    </row>
    <row r="315" spans="1:16" ht="18" customHeight="1">
      <c r="A315" s="108"/>
      <c r="B315" s="164"/>
      <c r="C315" s="109"/>
      <c r="D315" s="165"/>
      <c r="E315" s="165"/>
      <c r="F315" s="110"/>
      <c r="G315" s="111"/>
      <c r="H315" s="111"/>
      <c r="I315" s="112"/>
      <c r="J315" s="113"/>
    </row>
    <row r="316" spans="1:16" ht="18" customHeight="1">
      <c r="A316" s="85" t="s">
        <v>235</v>
      </c>
      <c r="B316" s="23" t="s">
        <v>201</v>
      </c>
      <c r="C316" s="24">
        <v>22</v>
      </c>
      <c r="D316" s="88">
        <v>861</v>
      </c>
      <c r="E316" s="88">
        <v>1810</v>
      </c>
      <c r="F316" s="89">
        <f t="shared" ref="F316:F319" si="237">O316</f>
        <v>9</v>
      </c>
      <c r="G316" s="90">
        <f t="shared" ref="G316:G319" si="238">D316*E316/91809*F316</f>
        <v>152.77031663562394</v>
      </c>
      <c r="H316" s="90">
        <f t="shared" ref="H316:H319" si="239">(D316/1000)*4*F316+(E316/1000)*4*F316</f>
        <v>96.155999999999992</v>
      </c>
      <c r="I316" s="91" t="s">
        <v>256</v>
      </c>
      <c r="J316" s="92" t="s">
        <v>205</v>
      </c>
      <c r="L316" s="89">
        <v>1</v>
      </c>
      <c r="M316" s="78">
        <v>9</v>
      </c>
      <c r="N316" s="84"/>
      <c r="O316" s="78">
        <f>L316*M316-N316*L316</f>
        <v>9</v>
      </c>
      <c r="P316" s="64"/>
    </row>
    <row r="317" spans="1:16" ht="18" customHeight="1">
      <c r="A317" s="85"/>
      <c r="B317" s="86"/>
      <c r="C317" s="87"/>
      <c r="D317" s="88">
        <v>738</v>
      </c>
      <c r="E317" s="88">
        <v>1310</v>
      </c>
      <c r="F317" s="89">
        <f t="shared" si="237"/>
        <v>36</v>
      </c>
      <c r="G317" s="90">
        <f t="shared" si="238"/>
        <v>379.09224585824921</v>
      </c>
      <c r="H317" s="90">
        <f t="shared" si="239"/>
        <v>294.91200000000003</v>
      </c>
      <c r="I317" s="91" t="str">
        <f>I316</f>
        <v>9동3라인</v>
      </c>
      <c r="J317" s="92" t="s">
        <v>207</v>
      </c>
      <c r="L317" s="89">
        <v>4</v>
      </c>
      <c r="M317" s="78">
        <f>M316</f>
        <v>9</v>
      </c>
      <c r="N317" s="84"/>
      <c r="O317" s="78">
        <f t="shared" ref="O317:O319" si="240">L317*M317-N317*L317</f>
        <v>36</v>
      </c>
    </row>
    <row r="318" spans="1:16" ht="18" customHeight="1">
      <c r="A318" s="85"/>
      <c r="B318" s="86"/>
      <c r="C318" s="87"/>
      <c r="D318" s="88">
        <v>228</v>
      </c>
      <c r="E318" s="88">
        <v>910</v>
      </c>
      <c r="F318" s="89">
        <f t="shared" si="237"/>
        <v>18</v>
      </c>
      <c r="G318" s="90">
        <f t="shared" si="238"/>
        <v>40.67836486618959</v>
      </c>
      <c r="H318" s="90">
        <f t="shared" si="239"/>
        <v>81.935999999999993</v>
      </c>
      <c r="I318" s="91" t="str">
        <f t="shared" ref="I318:I319" si="241">I317</f>
        <v>9동3라인</v>
      </c>
      <c r="J318" s="92" t="s">
        <v>209</v>
      </c>
      <c r="L318" s="89">
        <v>2</v>
      </c>
      <c r="M318" s="78">
        <f t="shared" ref="M318:M319" si="242">M317</f>
        <v>9</v>
      </c>
      <c r="N318" s="78"/>
      <c r="O318" s="78">
        <f t="shared" si="240"/>
        <v>18</v>
      </c>
    </row>
    <row r="319" spans="1:16" ht="18" customHeight="1">
      <c r="A319" s="85"/>
      <c r="B319" s="86"/>
      <c r="C319" s="87"/>
      <c r="D319" s="88">
        <v>438</v>
      </c>
      <c r="E319" s="88">
        <v>270</v>
      </c>
      <c r="F319" s="89">
        <f t="shared" si="237"/>
        <v>18</v>
      </c>
      <c r="G319" s="90">
        <f t="shared" si="238"/>
        <v>23.185962160572494</v>
      </c>
      <c r="H319" s="90">
        <f t="shared" si="239"/>
        <v>50.975999999999999</v>
      </c>
      <c r="I319" s="91" t="str">
        <f t="shared" si="241"/>
        <v>9동3라인</v>
      </c>
      <c r="J319" s="92" t="s">
        <v>210</v>
      </c>
      <c r="L319" s="89">
        <v>2</v>
      </c>
      <c r="M319" s="78">
        <f t="shared" si="242"/>
        <v>9</v>
      </c>
      <c r="N319" s="78"/>
      <c r="O319" s="78">
        <f t="shared" si="240"/>
        <v>18</v>
      </c>
    </row>
    <row r="320" spans="1:16" ht="18" customHeight="1">
      <c r="A320" s="85"/>
      <c r="B320" s="93"/>
      <c r="C320" s="87"/>
      <c r="D320" s="325" t="s">
        <v>0</v>
      </c>
      <c r="E320" s="325"/>
      <c r="F320" s="94">
        <f>SUM(F316:F319)</f>
        <v>81</v>
      </c>
      <c r="G320" s="95">
        <f>SUM(G316:G319)</f>
        <v>595.72688952063515</v>
      </c>
      <c r="H320" s="96">
        <f>SUM(H316:H319)</f>
        <v>523.98</v>
      </c>
      <c r="I320" s="97"/>
      <c r="J320" s="162"/>
    </row>
    <row r="321" spans="1:16" ht="18" customHeight="1">
      <c r="A321" s="85"/>
      <c r="B321" s="93"/>
      <c r="C321" s="87"/>
      <c r="D321" s="161"/>
      <c r="E321" s="161"/>
      <c r="F321" s="89"/>
      <c r="G321" s="100"/>
      <c r="H321" s="101"/>
      <c r="I321" s="102"/>
      <c r="J321" s="121"/>
      <c r="L321" s="252"/>
      <c r="M321" s="252"/>
      <c r="N321" s="252"/>
      <c r="O321" s="252"/>
    </row>
    <row r="322" spans="1:16" ht="18" customHeight="1">
      <c r="A322" s="85"/>
      <c r="B322" s="23" t="s">
        <v>198</v>
      </c>
      <c r="C322" s="24">
        <v>22</v>
      </c>
      <c r="D322" s="88">
        <v>861</v>
      </c>
      <c r="E322" s="88">
        <v>1810</v>
      </c>
      <c r="F322" s="89">
        <f t="shared" ref="F322:F326" si="243">O322</f>
        <v>9</v>
      </c>
      <c r="G322" s="90">
        <f t="shared" ref="G322:G326" si="244">D322*E322/91809*F322</f>
        <v>152.77031663562394</v>
      </c>
      <c r="H322" s="90">
        <f t="shared" ref="H322:H326" si="245">(D322/1000)*4*F322+(E322/1000)*4*F322</f>
        <v>96.155999999999992</v>
      </c>
      <c r="I322" s="103" t="str">
        <f>I316</f>
        <v>9동3라인</v>
      </c>
      <c r="J322" s="92" t="s">
        <v>212</v>
      </c>
      <c r="L322" s="89">
        <v>1</v>
      </c>
      <c r="M322" s="78">
        <f>M316</f>
        <v>9</v>
      </c>
      <c r="N322" s="84"/>
      <c r="O322" s="78">
        <f>L322*M322-N322*L322</f>
        <v>9</v>
      </c>
    </row>
    <row r="323" spans="1:16" ht="18" customHeight="1">
      <c r="A323" s="85"/>
      <c r="B323" s="86"/>
      <c r="C323" s="87"/>
      <c r="D323" s="88">
        <v>2114</v>
      </c>
      <c r="E323" s="88">
        <v>1810</v>
      </c>
      <c r="F323" s="89">
        <f t="shared" si="243"/>
        <v>9</v>
      </c>
      <c r="G323" s="90">
        <f t="shared" si="244"/>
        <v>375.09459856876776</v>
      </c>
      <c r="H323" s="90">
        <f t="shared" si="245"/>
        <v>141.26400000000001</v>
      </c>
      <c r="I323" s="91" t="str">
        <f>I316</f>
        <v>9동3라인</v>
      </c>
      <c r="J323" s="92" t="s">
        <v>213</v>
      </c>
      <c r="L323" s="89">
        <v>1</v>
      </c>
      <c r="M323" s="78">
        <f>M322</f>
        <v>9</v>
      </c>
      <c r="N323" s="84"/>
      <c r="O323" s="78">
        <f>L323*M323-N323*L323</f>
        <v>9</v>
      </c>
    </row>
    <row r="324" spans="1:16" ht="18" customHeight="1">
      <c r="A324" s="104"/>
      <c r="B324" s="93"/>
      <c r="C324" s="87"/>
      <c r="D324" s="88">
        <v>738</v>
      </c>
      <c r="E324" s="88">
        <v>1310</v>
      </c>
      <c r="F324" s="89">
        <f t="shared" si="243"/>
        <v>36</v>
      </c>
      <c r="G324" s="90">
        <f t="shared" si="244"/>
        <v>379.09224585824921</v>
      </c>
      <c r="H324" s="90">
        <f t="shared" si="245"/>
        <v>294.91200000000003</v>
      </c>
      <c r="I324" s="91" t="str">
        <f>I323</f>
        <v>9동3라인</v>
      </c>
      <c r="J324" s="92" t="s">
        <v>214</v>
      </c>
      <c r="L324" s="89">
        <v>4</v>
      </c>
      <c r="M324" s="78">
        <f t="shared" ref="M324:M326" si="246">M323</f>
        <v>9</v>
      </c>
      <c r="N324" s="84"/>
      <c r="O324" s="78">
        <f t="shared" ref="O324:O326" si="247">L324*M324-N324*L324</f>
        <v>36</v>
      </c>
    </row>
    <row r="325" spans="1:16" ht="18" customHeight="1">
      <c r="A325" s="104"/>
      <c r="B325" s="93"/>
      <c r="C325" s="87"/>
      <c r="D325" s="88">
        <v>228</v>
      </c>
      <c r="E325" s="88">
        <v>910</v>
      </c>
      <c r="F325" s="89">
        <f t="shared" si="243"/>
        <v>18</v>
      </c>
      <c r="G325" s="90">
        <f t="shared" si="244"/>
        <v>40.67836486618959</v>
      </c>
      <c r="H325" s="90">
        <f t="shared" si="245"/>
        <v>81.935999999999993</v>
      </c>
      <c r="I325" s="91" t="str">
        <f t="shared" ref="I325:I326" si="248">I324</f>
        <v>9동3라인</v>
      </c>
      <c r="J325" s="92" t="s">
        <v>216</v>
      </c>
      <c r="L325" s="89">
        <v>2</v>
      </c>
      <c r="M325" s="78">
        <f t="shared" si="246"/>
        <v>9</v>
      </c>
      <c r="N325" s="78"/>
      <c r="O325" s="78">
        <f t="shared" si="247"/>
        <v>18</v>
      </c>
    </row>
    <row r="326" spans="1:16" ht="18" customHeight="1">
      <c r="A326" s="104"/>
      <c r="B326" s="93"/>
      <c r="C326" s="87"/>
      <c r="D326" s="88">
        <v>438</v>
      </c>
      <c r="E326" s="88">
        <v>270</v>
      </c>
      <c r="F326" s="89">
        <f t="shared" si="243"/>
        <v>18</v>
      </c>
      <c r="G326" s="90">
        <f t="shared" si="244"/>
        <v>23.185962160572494</v>
      </c>
      <c r="H326" s="90">
        <f t="shared" si="245"/>
        <v>50.975999999999999</v>
      </c>
      <c r="I326" s="91" t="str">
        <f t="shared" si="248"/>
        <v>9동3라인</v>
      </c>
      <c r="J326" s="92" t="s">
        <v>217</v>
      </c>
      <c r="L326" s="89">
        <v>2</v>
      </c>
      <c r="M326" s="78">
        <f t="shared" si="246"/>
        <v>9</v>
      </c>
      <c r="N326" s="78"/>
      <c r="O326" s="78">
        <f t="shared" si="247"/>
        <v>18</v>
      </c>
    </row>
    <row r="327" spans="1:16" ht="18" customHeight="1">
      <c r="A327" s="104"/>
      <c r="B327" s="87"/>
      <c r="C327" s="87"/>
      <c r="D327" s="325" t="s">
        <v>0</v>
      </c>
      <c r="E327" s="325"/>
      <c r="F327" s="171">
        <f>SUM(F322:F326)</f>
        <v>90</v>
      </c>
      <c r="G327" s="95">
        <f>SUM(G322:G326)</f>
        <v>970.82148808940303</v>
      </c>
      <c r="H327" s="95">
        <f>SUM(H322:H326)</f>
        <v>665.24400000000014</v>
      </c>
      <c r="I327" s="97"/>
      <c r="J327" s="98"/>
    </row>
    <row r="328" spans="1:16">
      <c r="A328" s="105"/>
      <c r="B328" s="9"/>
      <c r="C328" s="9"/>
      <c r="D328" s="51"/>
      <c r="E328" s="51"/>
      <c r="F328" s="51"/>
      <c r="G328" s="106"/>
      <c r="H328" s="106"/>
      <c r="I328" s="9"/>
      <c r="J328" s="107"/>
    </row>
    <row r="329" spans="1:16" ht="18" customHeight="1">
      <c r="A329" s="85"/>
      <c r="B329" s="23" t="s">
        <v>237</v>
      </c>
      <c r="C329" s="24">
        <v>22</v>
      </c>
      <c r="D329" s="88">
        <v>2114</v>
      </c>
      <c r="E329" s="88">
        <v>1810</v>
      </c>
      <c r="F329" s="89">
        <f t="shared" ref="F329" si="249">O329</f>
        <v>9</v>
      </c>
      <c r="G329" s="90">
        <f t="shared" ref="G329" si="250">D329*E329/91809*F329</f>
        <v>375.09459856876776</v>
      </c>
      <c r="H329" s="90">
        <f t="shared" ref="H329" si="251">(D329/1000)*4*F329+(E329/1000)*4*F329</f>
        <v>141.26400000000001</v>
      </c>
      <c r="I329" s="91" t="str">
        <f>I322</f>
        <v>9동3라인</v>
      </c>
      <c r="J329" s="92" t="s">
        <v>206</v>
      </c>
      <c r="L329" s="89">
        <v>1</v>
      </c>
      <c r="M329" s="78">
        <f>M316</f>
        <v>9</v>
      </c>
      <c r="N329" s="84"/>
      <c r="O329" s="78">
        <f>L329*M329-N329*L329</f>
        <v>9</v>
      </c>
    </row>
    <row r="330" spans="1:16" ht="18" customHeight="1">
      <c r="A330" s="85"/>
      <c r="B330" s="93"/>
      <c r="C330" s="87"/>
      <c r="D330" s="325" t="s">
        <v>0</v>
      </c>
      <c r="E330" s="325"/>
      <c r="F330" s="94">
        <f>SUM(F329:F329)</f>
        <v>9</v>
      </c>
      <c r="G330" s="95">
        <f>SUM(G329:G329)</f>
        <v>375.09459856876776</v>
      </c>
      <c r="H330" s="95">
        <f>SUM(H329:H329)</f>
        <v>141.26400000000001</v>
      </c>
      <c r="I330" s="97"/>
      <c r="J330" s="98"/>
    </row>
    <row r="331" spans="1:16" ht="18" customHeight="1">
      <c r="A331" s="218"/>
      <c r="B331" s="219"/>
      <c r="C331" s="220"/>
      <c r="D331" s="161"/>
      <c r="E331" s="161"/>
      <c r="F331" s="89"/>
      <c r="G331" s="100"/>
      <c r="H331" s="100"/>
      <c r="I331" s="102"/>
      <c r="J331" s="221"/>
    </row>
    <row r="332" spans="1:16" ht="18" customHeight="1">
      <c r="A332" s="85"/>
      <c r="B332" s="23" t="s">
        <v>203</v>
      </c>
      <c r="C332" s="24">
        <v>22</v>
      </c>
      <c r="D332" s="88">
        <v>738</v>
      </c>
      <c r="E332" s="88">
        <v>1810</v>
      </c>
      <c r="F332" s="89">
        <f t="shared" ref="F332:F333" si="252">O332</f>
        <v>18</v>
      </c>
      <c r="G332" s="90">
        <f t="shared" ref="G332:G333" si="253">D332*E332/91809*F332</f>
        <v>261.89197137535535</v>
      </c>
      <c r="H332" s="90">
        <f t="shared" ref="H332:H333" si="254">(D332/1000)*4*F332+(E332/1000)*4*F332</f>
        <v>183.45599999999999</v>
      </c>
      <c r="I332" s="91" t="str">
        <f>I329</f>
        <v>9동3라인</v>
      </c>
      <c r="J332" s="92" t="s">
        <v>219</v>
      </c>
      <c r="L332" s="89">
        <v>2</v>
      </c>
      <c r="M332" s="78">
        <f>M329</f>
        <v>9</v>
      </c>
      <c r="N332" s="84"/>
      <c r="O332" s="78">
        <f>L332*M332-N332*L332</f>
        <v>18</v>
      </c>
      <c r="P332" s="64"/>
    </row>
    <row r="333" spans="1:16" ht="18" customHeight="1">
      <c r="A333" s="85"/>
      <c r="B333" s="86"/>
      <c r="C333" s="87"/>
      <c r="D333" s="88">
        <v>250</v>
      </c>
      <c r="E333" s="88">
        <v>930</v>
      </c>
      <c r="F333" s="89">
        <f t="shared" si="252"/>
        <v>18</v>
      </c>
      <c r="G333" s="90">
        <f t="shared" si="253"/>
        <v>45.583766297421818</v>
      </c>
      <c r="H333" s="90">
        <f t="shared" si="254"/>
        <v>84.960000000000008</v>
      </c>
      <c r="I333" s="91" t="str">
        <f>I332</f>
        <v>9동3라인</v>
      </c>
      <c r="J333" s="92" t="s">
        <v>220</v>
      </c>
      <c r="L333" s="89">
        <v>2</v>
      </c>
      <c r="M333" s="78">
        <f>M332</f>
        <v>9</v>
      </c>
      <c r="N333" s="84"/>
      <c r="O333" s="78">
        <f t="shared" ref="O333" si="255">L333*M333-N333*L333</f>
        <v>18</v>
      </c>
    </row>
    <row r="334" spans="1:16" ht="18" customHeight="1">
      <c r="A334" s="85"/>
      <c r="B334" s="93"/>
      <c r="C334" s="87"/>
      <c r="D334" s="325" t="s">
        <v>0</v>
      </c>
      <c r="E334" s="325"/>
      <c r="F334" s="94">
        <f>SUM(F332:F333)</f>
        <v>36</v>
      </c>
      <c r="G334" s="95">
        <f>SUM(G332:G333)</f>
        <v>307.4757376727772</v>
      </c>
      <c r="H334" s="96">
        <f>SUM(H332:H333)</f>
        <v>268.416</v>
      </c>
      <c r="I334" s="97"/>
      <c r="J334" s="162"/>
    </row>
    <row r="335" spans="1:16" ht="18" customHeight="1" thickBot="1">
      <c r="A335" s="222"/>
      <c r="B335" s="223"/>
      <c r="C335" s="224"/>
      <c r="D335" s="225"/>
      <c r="E335" s="225"/>
      <c r="F335" s="226"/>
      <c r="G335" s="227"/>
      <c r="H335" s="228"/>
      <c r="I335" s="229"/>
      <c r="J335" s="230"/>
      <c r="L335" s="78" t="s">
        <v>48</v>
      </c>
      <c r="M335" s="78" t="s">
        <v>49</v>
      </c>
      <c r="N335" s="78" t="s">
        <v>50</v>
      </c>
      <c r="O335" s="78" t="s">
        <v>55</v>
      </c>
    </row>
    <row r="336" spans="1:16" ht="18" customHeight="1">
      <c r="A336" s="79" t="s">
        <v>234</v>
      </c>
      <c r="B336" s="231" t="s">
        <v>195</v>
      </c>
      <c r="C336" s="232">
        <v>22</v>
      </c>
      <c r="D336" s="80">
        <v>761</v>
      </c>
      <c r="E336" s="80">
        <v>1810</v>
      </c>
      <c r="F336" s="233">
        <f>O336</f>
        <v>18</v>
      </c>
      <c r="G336" s="81">
        <f t="shared" ref="G336:G342" si="256">D336*E336/91809*F336</f>
        <v>270.05391628271741</v>
      </c>
      <c r="H336" s="81">
        <f t="shared" ref="H336:H342" si="257">(D336/1000)*4*F336+(E336/1000)*4*F336</f>
        <v>185.11199999999999</v>
      </c>
      <c r="I336" s="82" t="s">
        <v>257</v>
      </c>
      <c r="J336" s="83" t="s">
        <v>205</v>
      </c>
      <c r="L336" s="89">
        <v>2</v>
      </c>
      <c r="M336" s="78">
        <v>9</v>
      </c>
      <c r="N336" s="84"/>
      <c r="O336" s="78">
        <f>L336*M336-N336*L336</f>
        <v>18</v>
      </c>
      <c r="P336" s="64"/>
    </row>
    <row r="337" spans="1:15" ht="18" customHeight="1">
      <c r="A337" s="85"/>
      <c r="B337" s="86"/>
      <c r="C337" s="87"/>
      <c r="D337" s="88">
        <v>1688</v>
      </c>
      <c r="E337" s="88">
        <v>1810</v>
      </c>
      <c r="F337" s="89">
        <f t="shared" ref="F337:F342" si="258">O337</f>
        <v>9</v>
      </c>
      <c r="G337" s="90">
        <f t="shared" si="256"/>
        <v>299.50789138319772</v>
      </c>
      <c r="H337" s="90">
        <f t="shared" si="257"/>
        <v>125.928</v>
      </c>
      <c r="I337" s="91" t="str">
        <f>I336</f>
        <v>9동4라인</v>
      </c>
      <c r="J337" s="92" t="s">
        <v>206</v>
      </c>
      <c r="L337" s="89">
        <v>1</v>
      </c>
      <c r="M337" s="78">
        <f>M336</f>
        <v>9</v>
      </c>
      <c r="N337" s="84"/>
      <c r="O337" s="78">
        <f t="shared" ref="O337:O342" si="259">L337*M337-N337*L337</f>
        <v>9</v>
      </c>
    </row>
    <row r="338" spans="1:15" ht="18" customHeight="1">
      <c r="A338" s="85"/>
      <c r="B338" s="86"/>
      <c r="C338" s="87"/>
      <c r="D338" s="88">
        <v>738</v>
      </c>
      <c r="E338" s="88">
        <v>1310</v>
      </c>
      <c r="F338" s="89">
        <f t="shared" si="258"/>
        <v>36</v>
      </c>
      <c r="G338" s="90">
        <f t="shared" si="256"/>
        <v>379.09224585824921</v>
      </c>
      <c r="H338" s="90">
        <f t="shared" si="257"/>
        <v>294.91200000000003</v>
      </c>
      <c r="I338" s="91" t="str">
        <f t="shared" ref="I338:I342" si="260">I337</f>
        <v>9동4라인</v>
      </c>
      <c r="J338" s="92" t="s">
        <v>207</v>
      </c>
      <c r="L338" s="89">
        <v>4</v>
      </c>
      <c r="M338" s="78">
        <f t="shared" ref="M338:M341" si="261">M337</f>
        <v>9</v>
      </c>
      <c r="N338" s="78"/>
      <c r="O338" s="78">
        <f t="shared" si="259"/>
        <v>36</v>
      </c>
    </row>
    <row r="339" spans="1:15" ht="18" customHeight="1">
      <c r="A339" s="85"/>
      <c r="B339" s="86"/>
      <c r="C339" s="87"/>
      <c r="D339" s="88">
        <v>288</v>
      </c>
      <c r="E339" s="88">
        <v>910</v>
      </c>
      <c r="F339" s="89">
        <f t="shared" si="258"/>
        <v>18</v>
      </c>
      <c r="G339" s="90">
        <f t="shared" si="256"/>
        <v>51.383197725713167</v>
      </c>
      <c r="H339" s="90">
        <f t="shared" si="257"/>
        <v>86.256</v>
      </c>
      <c r="I339" s="91" t="str">
        <f t="shared" si="260"/>
        <v>9동4라인</v>
      </c>
      <c r="J339" s="92" t="s">
        <v>208</v>
      </c>
      <c r="L339" s="89">
        <v>2</v>
      </c>
      <c r="M339" s="78">
        <f t="shared" si="261"/>
        <v>9</v>
      </c>
      <c r="N339" s="78"/>
      <c r="O339" s="78">
        <f t="shared" si="259"/>
        <v>18</v>
      </c>
    </row>
    <row r="340" spans="1:15" ht="18" customHeight="1">
      <c r="A340" s="85"/>
      <c r="B340" s="86"/>
      <c r="C340" s="87"/>
      <c r="D340" s="88">
        <v>228</v>
      </c>
      <c r="E340" s="88">
        <v>910</v>
      </c>
      <c r="F340" s="89">
        <f t="shared" si="258"/>
        <v>18</v>
      </c>
      <c r="G340" s="90">
        <f t="shared" si="256"/>
        <v>40.67836486618959</v>
      </c>
      <c r="H340" s="90">
        <f t="shared" si="257"/>
        <v>81.935999999999993</v>
      </c>
      <c r="I340" s="91" t="str">
        <f t="shared" si="260"/>
        <v>9동4라인</v>
      </c>
      <c r="J340" s="92" t="s">
        <v>209</v>
      </c>
      <c r="L340" s="89">
        <v>2</v>
      </c>
      <c r="M340" s="78">
        <f t="shared" si="261"/>
        <v>9</v>
      </c>
      <c r="N340" s="78"/>
      <c r="O340" s="78">
        <f t="shared" si="259"/>
        <v>18</v>
      </c>
    </row>
    <row r="341" spans="1:15" ht="18" customHeight="1">
      <c r="A341" s="85"/>
      <c r="B341" s="86"/>
      <c r="C341" s="87"/>
      <c r="D341" s="88">
        <v>438</v>
      </c>
      <c r="E341" s="88">
        <v>270</v>
      </c>
      <c r="F341" s="89">
        <f t="shared" si="258"/>
        <v>18</v>
      </c>
      <c r="G341" s="90">
        <f t="shared" si="256"/>
        <v>23.185962160572494</v>
      </c>
      <c r="H341" s="90">
        <f t="shared" si="257"/>
        <v>50.975999999999999</v>
      </c>
      <c r="I341" s="91" t="str">
        <f t="shared" si="260"/>
        <v>9동4라인</v>
      </c>
      <c r="J341" s="92" t="s">
        <v>210</v>
      </c>
      <c r="L341" s="89">
        <v>2</v>
      </c>
      <c r="M341" s="78">
        <f t="shared" si="261"/>
        <v>9</v>
      </c>
      <c r="N341" s="78"/>
      <c r="O341" s="78">
        <f t="shared" si="259"/>
        <v>18</v>
      </c>
    </row>
    <row r="342" spans="1:15" ht="18" customHeight="1">
      <c r="A342" s="85"/>
      <c r="B342" s="86"/>
      <c r="C342" s="87"/>
      <c r="D342" s="88">
        <v>208</v>
      </c>
      <c r="E342" s="88">
        <v>910</v>
      </c>
      <c r="F342" s="89">
        <f t="shared" si="258"/>
        <v>18</v>
      </c>
      <c r="G342" s="90">
        <f t="shared" si="256"/>
        <v>37.1100872463484</v>
      </c>
      <c r="H342" s="90">
        <f t="shared" si="257"/>
        <v>80.495999999999995</v>
      </c>
      <c r="I342" s="91" t="str">
        <f t="shared" si="260"/>
        <v>9동4라인</v>
      </c>
      <c r="J342" s="92" t="s">
        <v>211</v>
      </c>
      <c r="L342" s="89">
        <v>2</v>
      </c>
      <c r="M342" s="78">
        <f>M341</f>
        <v>9</v>
      </c>
      <c r="N342" s="78"/>
      <c r="O342" s="78">
        <f t="shared" si="259"/>
        <v>18</v>
      </c>
    </row>
    <row r="343" spans="1:15" ht="18" customHeight="1">
      <c r="A343" s="85"/>
      <c r="B343" s="93"/>
      <c r="C343" s="87"/>
      <c r="D343" s="325" t="s">
        <v>0</v>
      </c>
      <c r="E343" s="325"/>
      <c r="F343" s="94">
        <f>SUM(F336:F342)</f>
        <v>135</v>
      </c>
      <c r="G343" s="95">
        <f>SUM(G336:G342)</f>
        <v>1101.0116655229881</v>
      </c>
      <c r="H343" s="96">
        <f>SUM(H336:H342)</f>
        <v>905.61599999999999</v>
      </c>
      <c r="I343" s="97"/>
      <c r="J343" s="162"/>
    </row>
    <row r="344" spans="1:15" ht="18" customHeight="1">
      <c r="A344" s="85"/>
      <c r="B344" s="93"/>
      <c r="C344" s="87"/>
      <c r="D344" s="161"/>
      <c r="E344" s="161"/>
      <c r="F344" s="89"/>
      <c r="G344" s="100"/>
      <c r="H344" s="101"/>
      <c r="I344" s="102"/>
      <c r="J344" s="121"/>
      <c r="L344" s="78" t="s">
        <v>48</v>
      </c>
      <c r="M344" s="78" t="s">
        <v>54</v>
      </c>
      <c r="N344" s="78" t="s">
        <v>50</v>
      </c>
      <c r="O344" s="78" t="s">
        <v>55</v>
      </c>
    </row>
    <row r="345" spans="1:15" ht="18" customHeight="1">
      <c r="A345" s="85"/>
      <c r="B345" s="23" t="s">
        <v>197</v>
      </c>
      <c r="C345" s="24">
        <v>22</v>
      </c>
      <c r="D345" s="88">
        <v>761</v>
      </c>
      <c r="E345" s="88">
        <v>1810</v>
      </c>
      <c r="F345" s="89">
        <f t="shared" ref="F345:F351" si="262">O345</f>
        <v>18</v>
      </c>
      <c r="G345" s="90">
        <f t="shared" ref="G345:G351" si="263">D345*E345/91809*F345</f>
        <v>270.05391628271741</v>
      </c>
      <c r="H345" s="90">
        <f t="shared" ref="H345:H351" si="264">(D345/1000)*4*F345+(E345/1000)*4*F345</f>
        <v>185.11199999999999</v>
      </c>
      <c r="I345" s="91" t="str">
        <f t="shared" ref="I345:I351" si="265">I336</f>
        <v>9동4라인</v>
      </c>
      <c r="J345" s="92" t="s">
        <v>212</v>
      </c>
      <c r="L345" s="89">
        <v>2</v>
      </c>
      <c r="M345" s="78">
        <f>M336</f>
        <v>9</v>
      </c>
      <c r="N345" s="84"/>
      <c r="O345" s="78">
        <f>L345*M345-N345*L345</f>
        <v>18</v>
      </c>
    </row>
    <row r="346" spans="1:15" ht="18" customHeight="1">
      <c r="A346" s="85"/>
      <c r="B346" s="86"/>
      <c r="C346" s="87"/>
      <c r="D346" s="88">
        <v>1688</v>
      </c>
      <c r="E346" s="88">
        <v>1810</v>
      </c>
      <c r="F346" s="89">
        <f t="shared" si="262"/>
        <v>9</v>
      </c>
      <c r="G346" s="90">
        <f t="shared" si="263"/>
        <v>299.50789138319772</v>
      </c>
      <c r="H346" s="90">
        <f t="shared" si="264"/>
        <v>125.928</v>
      </c>
      <c r="I346" s="91" t="str">
        <f t="shared" si="265"/>
        <v>9동4라인</v>
      </c>
      <c r="J346" s="92" t="s">
        <v>213</v>
      </c>
      <c r="L346" s="89">
        <v>1</v>
      </c>
      <c r="M346" s="78">
        <f>M345</f>
        <v>9</v>
      </c>
      <c r="N346" s="84"/>
      <c r="O346" s="78">
        <f>L346*M346-N346*L346</f>
        <v>9</v>
      </c>
    </row>
    <row r="347" spans="1:15" ht="18" customHeight="1">
      <c r="A347" s="104"/>
      <c r="B347" s="93"/>
      <c r="C347" s="87"/>
      <c r="D347" s="88">
        <v>738</v>
      </c>
      <c r="E347" s="88">
        <v>1310</v>
      </c>
      <c r="F347" s="89">
        <f t="shared" si="262"/>
        <v>36</v>
      </c>
      <c r="G347" s="90">
        <f t="shared" si="263"/>
        <v>379.09224585824921</v>
      </c>
      <c r="H347" s="90">
        <f t="shared" si="264"/>
        <v>294.91200000000003</v>
      </c>
      <c r="I347" s="91" t="str">
        <f t="shared" si="265"/>
        <v>9동4라인</v>
      </c>
      <c r="J347" s="92" t="s">
        <v>214</v>
      </c>
      <c r="L347" s="89">
        <v>4</v>
      </c>
      <c r="M347" s="78">
        <f t="shared" ref="M347:M351" si="266">M346</f>
        <v>9</v>
      </c>
      <c r="N347" s="84"/>
      <c r="O347" s="78">
        <f t="shared" ref="O347:O351" si="267">L347*M347-N347*L347</f>
        <v>36</v>
      </c>
    </row>
    <row r="348" spans="1:15" ht="18" customHeight="1">
      <c r="A348" s="104"/>
      <c r="B348" s="93"/>
      <c r="C348" s="87"/>
      <c r="D348" s="88">
        <v>288</v>
      </c>
      <c r="E348" s="88">
        <v>910</v>
      </c>
      <c r="F348" s="89">
        <f t="shared" si="262"/>
        <v>18</v>
      </c>
      <c r="G348" s="90">
        <f t="shared" si="263"/>
        <v>51.383197725713167</v>
      </c>
      <c r="H348" s="90">
        <f t="shared" si="264"/>
        <v>86.256</v>
      </c>
      <c r="I348" s="91" t="str">
        <f t="shared" si="265"/>
        <v>9동4라인</v>
      </c>
      <c r="J348" s="92" t="s">
        <v>215</v>
      </c>
      <c r="L348" s="89">
        <v>2</v>
      </c>
      <c r="M348" s="78">
        <f t="shared" si="266"/>
        <v>9</v>
      </c>
      <c r="N348" s="78"/>
      <c r="O348" s="78">
        <f t="shared" si="267"/>
        <v>18</v>
      </c>
    </row>
    <row r="349" spans="1:15" ht="18" customHeight="1">
      <c r="A349" s="104"/>
      <c r="B349" s="93"/>
      <c r="C349" s="87"/>
      <c r="D349" s="88">
        <v>228</v>
      </c>
      <c r="E349" s="88">
        <v>910</v>
      </c>
      <c r="F349" s="89">
        <f t="shared" si="262"/>
        <v>18</v>
      </c>
      <c r="G349" s="90">
        <f t="shared" si="263"/>
        <v>40.67836486618959</v>
      </c>
      <c r="H349" s="90">
        <f t="shared" si="264"/>
        <v>81.935999999999993</v>
      </c>
      <c r="I349" s="91" t="str">
        <f t="shared" si="265"/>
        <v>9동4라인</v>
      </c>
      <c r="J349" s="92" t="s">
        <v>216</v>
      </c>
      <c r="L349" s="89">
        <v>2</v>
      </c>
      <c r="M349" s="78">
        <f t="shared" si="266"/>
        <v>9</v>
      </c>
      <c r="N349" s="78"/>
      <c r="O349" s="78">
        <f t="shared" si="267"/>
        <v>18</v>
      </c>
    </row>
    <row r="350" spans="1:15" ht="18" customHeight="1">
      <c r="A350" s="104"/>
      <c r="B350" s="93"/>
      <c r="C350" s="87"/>
      <c r="D350" s="88">
        <v>438</v>
      </c>
      <c r="E350" s="88">
        <v>270</v>
      </c>
      <c r="F350" s="89">
        <f t="shared" si="262"/>
        <v>18</v>
      </c>
      <c r="G350" s="90">
        <f t="shared" si="263"/>
        <v>23.185962160572494</v>
      </c>
      <c r="H350" s="90">
        <f t="shared" si="264"/>
        <v>50.975999999999999</v>
      </c>
      <c r="I350" s="91" t="str">
        <f t="shared" si="265"/>
        <v>9동4라인</v>
      </c>
      <c r="J350" s="92" t="s">
        <v>217</v>
      </c>
      <c r="L350" s="89">
        <v>2</v>
      </c>
      <c r="M350" s="78">
        <f t="shared" si="266"/>
        <v>9</v>
      </c>
      <c r="N350" s="78"/>
      <c r="O350" s="78">
        <f t="shared" si="267"/>
        <v>18</v>
      </c>
    </row>
    <row r="351" spans="1:15" ht="18" customHeight="1">
      <c r="A351" s="104"/>
      <c r="B351" s="93"/>
      <c r="C351" s="87"/>
      <c r="D351" s="88">
        <v>208</v>
      </c>
      <c r="E351" s="88">
        <v>910</v>
      </c>
      <c r="F351" s="89">
        <f t="shared" si="262"/>
        <v>18</v>
      </c>
      <c r="G351" s="90">
        <f t="shared" si="263"/>
        <v>37.1100872463484</v>
      </c>
      <c r="H351" s="90">
        <f t="shared" si="264"/>
        <v>80.495999999999995</v>
      </c>
      <c r="I351" s="91" t="str">
        <f t="shared" si="265"/>
        <v>9동4라인</v>
      </c>
      <c r="J351" s="92" t="s">
        <v>218</v>
      </c>
      <c r="L351" s="89">
        <v>2</v>
      </c>
      <c r="M351" s="78">
        <f t="shared" si="266"/>
        <v>9</v>
      </c>
      <c r="N351" s="78"/>
      <c r="O351" s="78">
        <f t="shared" si="267"/>
        <v>18</v>
      </c>
    </row>
    <row r="352" spans="1:15" ht="18" customHeight="1">
      <c r="A352" s="104"/>
      <c r="B352" s="87"/>
      <c r="C352" s="87"/>
      <c r="D352" s="325" t="s">
        <v>0</v>
      </c>
      <c r="E352" s="325"/>
      <c r="F352" s="171">
        <f>SUM(F345:F351)</f>
        <v>135</v>
      </c>
      <c r="G352" s="95">
        <f>SUM(G345:G351)</f>
        <v>1101.0116655229881</v>
      </c>
      <c r="H352" s="95">
        <f>SUM(H345:H351)</f>
        <v>905.61599999999999</v>
      </c>
      <c r="I352" s="97"/>
      <c r="J352" s="98"/>
    </row>
    <row r="353" spans="1:16">
      <c r="A353" s="105"/>
      <c r="B353" s="9"/>
      <c r="C353" s="9"/>
      <c r="D353" s="51"/>
      <c r="E353" s="51"/>
      <c r="F353" s="51"/>
      <c r="G353" s="106"/>
      <c r="H353" s="106"/>
      <c r="I353" s="9"/>
      <c r="J353" s="107"/>
    </row>
    <row r="354" spans="1:16" ht="18" customHeight="1">
      <c r="A354" s="85"/>
      <c r="B354" s="163" t="s">
        <v>199</v>
      </c>
      <c r="C354" s="163">
        <v>22</v>
      </c>
      <c r="D354" s="88">
        <v>738</v>
      </c>
      <c r="E354" s="88">
        <v>1810</v>
      </c>
      <c r="F354" s="89">
        <f t="shared" ref="F354:F355" si="268">O354</f>
        <v>18</v>
      </c>
      <c r="G354" s="90">
        <f t="shared" ref="G354:G355" si="269">D354*E354/91809*F354</f>
        <v>261.89197137535535</v>
      </c>
      <c r="H354" s="90">
        <f t="shared" ref="H354:H355" si="270">(D354/1000)*4*F354+(E354/1000)*4*F354</f>
        <v>183.45599999999999</v>
      </c>
      <c r="I354" s="91" t="str">
        <f>I345</f>
        <v>9동4라인</v>
      </c>
      <c r="J354" s="92" t="s">
        <v>219</v>
      </c>
      <c r="L354" s="89">
        <v>2</v>
      </c>
      <c r="M354" s="78">
        <f>M336</f>
        <v>9</v>
      </c>
      <c r="N354" s="84"/>
      <c r="O354" s="78">
        <f>L354*M354-N354*L354</f>
        <v>18</v>
      </c>
      <c r="P354" s="64"/>
    </row>
    <row r="355" spans="1:16" ht="18" customHeight="1">
      <c r="A355" s="85"/>
      <c r="B355" s="86"/>
      <c r="C355" s="87"/>
      <c r="D355" s="88">
        <v>250</v>
      </c>
      <c r="E355" s="88">
        <v>930</v>
      </c>
      <c r="F355" s="89">
        <f t="shared" si="268"/>
        <v>18</v>
      </c>
      <c r="G355" s="90">
        <f t="shared" si="269"/>
        <v>45.583766297421818</v>
      </c>
      <c r="H355" s="90">
        <f t="shared" si="270"/>
        <v>84.960000000000008</v>
      </c>
      <c r="I355" s="91" t="str">
        <f>I354</f>
        <v>9동4라인</v>
      </c>
      <c r="J355" s="92" t="s">
        <v>220</v>
      </c>
      <c r="L355" s="89">
        <v>2</v>
      </c>
      <c r="M355" s="78">
        <f>M354</f>
        <v>9</v>
      </c>
      <c r="N355" s="84"/>
      <c r="O355" s="78">
        <f t="shared" ref="O355" si="271">L355*M355-N355*L355</f>
        <v>18</v>
      </c>
    </row>
    <row r="356" spans="1:16" ht="18" customHeight="1">
      <c r="A356" s="85"/>
      <c r="B356" s="93"/>
      <c r="C356" s="87"/>
      <c r="D356" s="325" t="s">
        <v>0</v>
      </c>
      <c r="E356" s="325"/>
      <c r="F356" s="94">
        <f>SUM(F354:F355)</f>
        <v>36</v>
      </c>
      <c r="G356" s="95">
        <f>SUM(G354:G355)</f>
        <v>307.4757376727772</v>
      </c>
      <c r="H356" s="95">
        <f>SUM(H354:H355)</f>
        <v>268.416</v>
      </c>
      <c r="I356" s="97"/>
      <c r="J356" s="98"/>
    </row>
    <row r="357" spans="1:16" ht="18" customHeight="1">
      <c r="A357" s="236"/>
      <c r="B357" s="237"/>
      <c r="C357" s="238"/>
      <c r="D357" s="362"/>
      <c r="E357" s="362"/>
      <c r="F357" s="239"/>
      <c r="G357" s="240"/>
      <c r="H357" s="241"/>
      <c r="I357" s="242"/>
      <c r="J357" s="243"/>
    </row>
    <row r="358" spans="1:16" ht="18" customHeight="1">
      <c r="A358" s="244" t="s">
        <v>234</v>
      </c>
      <c r="B358" s="23" t="s">
        <v>195</v>
      </c>
      <c r="C358" s="24">
        <v>22</v>
      </c>
      <c r="D358" s="88">
        <v>761</v>
      </c>
      <c r="E358" s="88">
        <v>1810</v>
      </c>
      <c r="F358" s="89">
        <f>O358</f>
        <v>18</v>
      </c>
      <c r="G358" s="90">
        <f t="shared" ref="G358:G364" si="272">D358*E358/91809*F358</f>
        <v>270.05391628271741</v>
      </c>
      <c r="H358" s="90">
        <f t="shared" ref="H358:H364" si="273">(D358/1000)*4*F358+(E358/1000)*4*F358</f>
        <v>185.11199999999999</v>
      </c>
      <c r="I358" s="91" t="s">
        <v>258</v>
      </c>
      <c r="J358" s="163" t="s">
        <v>205</v>
      </c>
      <c r="L358" s="89">
        <v>2</v>
      </c>
      <c r="M358" s="78">
        <v>9</v>
      </c>
      <c r="N358" s="84"/>
      <c r="O358" s="78">
        <f>L358*M358-N358*L358</f>
        <v>18</v>
      </c>
      <c r="P358" s="64"/>
    </row>
    <row r="359" spans="1:16" ht="18" customHeight="1">
      <c r="A359" s="85"/>
      <c r="B359" s="86"/>
      <c r="C359" s="87"/>
      <c r="D359" s="88">
        <v>1688</v>
      </c>
      <c r="E359" s="88">
        <v>1810</v>
      </c>
      <c r="F359" s="89">
        <f t="shared" ref="F359:F364" si="274">O359</f>
        <v>9</v>
      </c>
      <c r="G359" s="90">
        <f t="shared" si="272"/>
        <v>299.50789138319772</v>
      </c>
      <c r="H359" s="90">
        <f t="shared" si="273"/>
        <v>125.928</v>
      </c>
      <c r="I359" s="91" t="str">
        <f>I358</f>
        <v>9동5라인</v>
      </c>
      <c r="J359" s="92" t="s">
        <v>206</v>
      </c>
      <c r="L359" s="89">
        <v>1</v>
      </c>
      <c r="M359" s="78">
        <f>M358</f>
        <v>9</v>
      </c>
      <c r="N359" s="84"/>
      <c r="O359" s="78">
        <f t="shared" ref="O359:O364" si="275">L359*M359-N359*L359</f>
        <v>9</v>
      </c>
    </row>
    <row r="360" spans="1:16" ht="18" customHeight="1">
      <c r="A360" s="85"/>
      <c r="B360" s="86"/>
      <c r="C360" s="87"/>
      <c r="D360" s="88">
        <v>738</v>
      </c>
      <c r="E360" s="88">
        <v>1310</v>
      </c>
      <c r="F360" s="89">
        <f t="shared" si="274"/>
        <v>36</v>
      </c>
      <c r="G360" s="90">
        <f t="shared" si="272"/>
        <v>379.09224585824921</v>
      </c>
      <c r="H360" s="90">
        <f t="shared" si="273"/>
        <v>294.91200000000003</v>
      </c>
      <c r="I360" s="91" t="str">
        <f t="shared" ref="I360:I364" si="276">I359</f>
        <v>9동5라인</v>
      </c>
      <c r="J360" s="92" t="s">
        <v>207</v>
      </c>
      <c r="L360" s="89">
        <v>4</v>
      </c>
      <c r="M360" s="78">
        <f t="shared" ref="M360:M363" si="277">M359</f>
        <v>9</v>
      </c>
      <c r="N360" s="78"/>
      <c r="O360" s="78">
        <f t="shared" si="275"/>
        <v>36</v>
      </c>
    </row>
    <row r="361" spans="1:16" ht="18" customHeight="1">
      <c r="A361" s="85"/>
      <c r="B361" s="86"/>
      <c r="C361" s="87"/>
      <c r="D361" s="88">
        <v>288</v>
      </c>
      <c r="E361" s="88">
        <v>910</v>
      </c>
      <c r="F361" s="89">
        <f t="shared" si="274"/>
        <v>18</v>
      </c>
      <c r="G361" s="90">
        <f t="shared" si="272"/>
        <v>51.383197725713167</v>
      </c>
      <c r="H361" s="90">
        <f t="shared" si="273"/>
        <v>86.256</v>
      </c>
      <c r="I361" s="91" t="str">
        <f t="shared" si="276"/>
        <v>9동5라인</v>
      </c>
      <c r="J361" s="92" t="s">
        <v>208</v>
      </c>
      <c r="L361" s="89">
        <v>2</v>
      </c>
      <c r="M361" s="78">
        <f t="shared" si="277"/>
        <v>9</v>
      </c>
      <c r="N361" s="78"/>
      <c r="O361" s="78">
        <f t="shared" si="275"/>
        <v>18</v>
      </c>
    </row>
    <row r="362" spans="1:16" ht="18" customHeight="1">
      <c r="A362" s="85"/>
      <c r="B362" s="86"/>
      <c r="C362" s="87"/>
      <c r="D362" s="88">
        <v>228</v>
      </c>
      <c r="E362" s="88">
        <v>910</v>
      </c>
      <c r="F362" s="89">
        <f t="shared" si="274"/>
        <v>18</v>
      </c>
      <c r="G362" s="90">
        <f t="shared" si="272"/>
        <v>40.67836486618959</v>
      </c>
      <c r="H362" s="90">
        <f t="shared" si="273"/>
        <v>81.935999999999993</v>
      </c>
      <c r="I362" s="91" t="str">
        <f t="shared" si="276"/>
        <v>9동5라인</v>
      </c>
      <c r="J362" s="92" t="s">
        <v>209</v>
      </c>
      <c r="L362" s="89">
        <v>2</v>
      </c>
      <c r="M362" s="78">
        <f t="shared" si="277"/>
        <v>9</v>
      </c>
      <c r="N362" s="78"/>
      <c r="O362" s="78">
        <f t="shared" si="275"/>
        <v>18</v>
      </c>
    </row>
    <row r="363" spans="1:16" ht="18" customHeight="1">
      <c r="A363" s="85"/>
      <c r="B363" s="86"/>
      <c r="C363" s="87"/>
      <c r="D363" s="88">
        <v>438</v>
      </c>
      <c r="E363" s="88">
        <v>270</v>
      </c>
      <c r="F363" s="89">
        <f t="shared" si="274"/>
        <v>18</v>
      </c>
      <c r="G363" s="90">
        <f t="shared" si="272"/>
        <v>23.185962160572494</v>
      </c>
      <c r="H363" s="90">
        <f t="shared" si="273"/>
        <v>50.975999999999999</v>
      </c>
      <c r="I363" s="91" t="str">
        <f t="shared" si="276"/>
        <v>9동5라인</v>
      </c>
      <c r="J363" s="92" t="s">
        <v>210</v>
      </c>
      <c r="L363" s="89">
        <v>2</v>
      </c>
      <c r="M363" s="78">
        <f t="shared" si="277"/>
        <v>9</v>
      </c>
      <c r="N363" s="78"/>
      <c r="O363" s="78">
        <f t="shared" si="275"/>
        <v>18</v>
      </c>
    </row>
    <row r="364" spans="1:16" ht="18" customHeight="1">
      <c r="A364" s="85"/>
      <c r="B364" s="86"/>
      <c r="C364" s="87"/>
      <c r="D364" s="88">
        <v>208</v>
      </c>
      <c r="E364" s="88">
        <v>910</v>
      </c>
      <c r="F364" s="89">
        <f t="shared" si="274"/>
        <v>18</v>
      </c>
      <c r="G364" s="90">
        <f t="shared" si="272"/>
        <v>37.1100872463484</v>
      </c>
      <c r="H364" s="90">
        <f t="shared" si="273"/>
        <v>80.495999999999995</v>
      </c>
      <c r="I364" s="91" t="str">
        <f t="shared" si="276"/>
        <v>9동5라인</v>
      </c>
      <c r="J364" s="92" t="s">
        <v>211</v>
      </c>
      <c r="L364" s="89">
        <v>2</v>
      </c>
      <c r="M364" s="78">
        <f>M363</f>
        <v>9</v>
      </c>
      <c r="N364" s="78"/>
      <c r="O364" s="78">
        <f t="shared" si="275"/>
        <v>18</v>
      </c>
    </row>
    <row r="365" spans="1:16" ht="18" customHeight="1">
      <c r="A365" s="85"/>
      <c r="B365" s="93"/>
      <c r="C365" s="87"/>
      <c r="D365" s="325" t="s">
        <v>0</v>
      </c>
      <c r="E365" s="325"/>
      <c r="F365" s="94">
        <f>SUM(F358:F364)</f>
        <v>135</v>
      </c>
      <c r="G365" s="95">
        <f>SUM(G358:G364)</f>
        <v>1101.0116655229881</v>
      </c>
      <c r="H365" s="96">
        <f>SUM(H358:H364)</f>
        <v>905.61599999999999</v>
      </c>
      <c r="I365" s="97"/>
      <c r="J365" s="162"/>
    </row>
    <row r="366" spans="1:16" ht="18" customHeight="1">
      <c r="A366" s="85"/>
      <c r="B366" s="93"/>
      <c r="C366" s="87"/>
      <c r="D366" s="161"/>
      <c r="E366" s="161"/>
      <c r="F366" s="89"/>
      <c r="G366" s="100"/>
      <c r="H366" s="101"/>
      <c r="I366" s="102"/>
      <c r="J366" s="121"/>
      <c r="L366" s="78" t="s">
        <v>48</v>
      </c>
      <c r="M366" s="78" t="s">
        <v>54</v>
      </c>
      <c r="N366" s="78" t="s">
        <v>50</v>
      </c>
      <c r="O366" s="78" t="s">
        <v>55</v>
      </c>
    </row>
    <row r="367" spans="1:16" ht="18" customHeight="1">
      <c r="A367" s="85"/>
      <c r="B367" s="23" t="s">
        <v>197</v>
      </c>
      <c r="C367" s="24">
        <v>22</v>
      </c>
      <c r="D367" s="88">
        <v>761</v>
      </c>
      <c r="E367" s="88">
        <v>1810</v>
      </c>
      <c r="F367" s="89">
        <f t="shared" ref="F367:F373" si="278">O367</f>
        <v>18</v>
      </c>
      <c r="G367" s="90">
        <f t="shared" ref="G367:G373" si="279">D367*E367/91809*F367</f>
        <v>270.05391628271741</v>
      </c>
      <c r="H367" s="90">
        <f t="shared" ref="H367:H373" si="280">(D367/1000)*4*F367+(E367/1000)*4*F367</f>
        <v>185.11199999999999</v>
      </c>
      <c r="I367" s="91" t="str">
        <f t="shared" ref="I367:I373" si="281">I358</f>
        <v>9동5라인</v>
      </c>
      <c r="J367" s="92" t="s">
        <v>212</v>
      </c>
      <c r="L367" s="89">
        <v>2</v>
      </c>
      <c r="M367" s="78">
        <f>M358</f>
        <v>9</v>
      </c>
      <c r="N367" s="84"/>
      <c r="O367" s="78">
        <f>L367*M367-N367*L367</f>
        <v>18</v>
      </c>
    </row>
    <row r="368" spans="1:16" ht="18" customHeight="1">
      <c r="A368" s="85"/>
      <c r="B368" s="86"/>
      <c r="C368" s="87"/>
      <c r="D368" s="88">
        <v>1688</v>
      </c>
      <c r="E368" s="88">
        <v>1810</v>
      </c>
      <c r="F368" s="89">
        <f t="shared" si="278"/>
        <v>9</v>
      </c>
      <c r="G368" s="90">
        <f t="shared" si="279"/>
        <v>299.50789138319772</v>
      </c>
      <c r="H368" s="90">
        <f t="shared" si="280"/>
        <v>125.928</v>
      </c>
      <c r="I368" s="91" t="str">
        <f t="shared" si="281"/>
        <v>9동5라인</v>
      </c>
      <c r="J368" s="92" t="s">
        <v>213</v>
      </c>
      <c r="L368" s="89">
        <v>1</v>
      </c>
      <c r="M368" s="78">
        <f>M367</f>
        <v>9</v>
      </c>
      <c r="N368" s="84"/>
      <c r="O368" s="78">
        <f>L368*M368-N368*L368</f>
        <v>9</v>
      </c>
    </row>
    <row r="369" spans="1:16" ht="18" customHeight="1">
      <c r="A369" s="104"/>
      <c r="B369" s="93"/>
      <c r="C369" s="87"/>
      <c r="D369" s="88">
        <v>738</v>
      </c>
      <c r="E369" s="88">
        <v>1310</v>
      </c>
      <c r="F369" s="89">
        <f t="shared" si="278"/>
        <v>36</v>
      </c>
      <c r="G369" s="90">
        <f t="shared" si="279"/>
        <v>379.09224585824921</v>
      </c>
      <c r="H369" s="90">
        <f t="shared" si="280"/>
        <v>294.91200000000003</v>
      </c>
      <c r="I369" s="91" t="str">
        <f t="shared" si="281"/>
        <v>9동5라인</v>
      </c>
      <c r="J369" s="92" t="s">
        <v>214</v>
      </c>
      <c r="L369" s="89">
        <v>4</v>
      </c>
      <c r="M369" s="78">
        <f t="shared" ref="M369:M373" si="282">M368</f>
        <v>9</v>
      </c>
      <c r="N369" s="84"/>
      <c r="O369" s="78">
        <f t="shared" ref="O369:O373" si="283">L369*M369-N369*L369</f>
        <v>36</v>
      </c>
    </row>
    <row r="370" spans="1:16" ht="18" customHeight="1">
      <c r="A370" s="104"/>
      <c r="B370" s="93"/>
      <c r="C370" s="87"/>
      <c r="D370" s="88">
        <v>288</v>
      </c>
      <c r="E370" s="88">
        <v>910</v>
      </c>
      <c r="F370" s="89">
        <f t="shared" si="278"/>
        <v>18</v>
      </c>
      <c r="G370" s="90">
        <f t="shared" si="279"/>
        <v>51.383197725713167</v>
      </c>
      <c r="H370" s="90">
        <f t="shared" si="280"/>
        <v>86.256</v>
      </c>
      <c r="I370" s="91" t="str">
        <f t="shared" si="281"/>
        <v>9동5라인</v>
      </c>
      <c r="J370" s="92" t="s">
        <v>215</v>
      </c>
      <c r="L370" s="89">
        <v>2</v>
      </c>
      <c r="M370" s="78">
        <f t="shared" si="282"/>
        <v>9</v>
      </c>
      <c r="N370" s="78"/>
      <c r="O370" s="78">
        <f t="shared" si="283"/>
        <v>18</v>
      </c>
    </row>
    <row r="371" spans="1:16" ht="18" customHeight="1">
      <c r="A371" s="104"/>
      <c r="B371" s="93"/>
      <c r="C371" s="87"/>
      <c r="D371" s="88">
        <v>228</v>
      </c>
      <c r="E371" s="88">
        <v>910</v>
      </c>
      <c r="F371" s="89">
        <f t="shared" si="278"/>
        <v>18</v>
      </c>
      <c r="G371" s="90">
        <f t="shared" si="279"/>
        <v>40.67836486618959</v>
      </c>
      <c r="H371" s="90">
        <f t="shared" si="280"/>
        <v>81.935999999999993</v>
      </c>
      <c r="I371" s="91" t="str">
        <f t="shared" si="281"/>
        <v>9동5라인</v>
      </c>
      <c r="J371" s="92" t="s">
        <v>216</v>
      </c>
      <c r="L371" s="89">
        <v>2</v>
      </c>
      <c r="M371" s="78">
        <f t="shared" si="282"/>
        <v>9</v>
      </c>
      <c r="N371" s="78"/>
      <c r="O371" s="78">
        <f t="shared" si="283"/>
        <v>18</v>
      </c>
    </row>
    <row r="372" spans="1:16" ht="18" customHeight="1">
      <c r="A372" s="104"/>
      <c r="B372" s="93"/>
      <c r="C372" s="87"/>
      <c r="D372" s="88">
        <v>438</v>
      </c>
      <c r="E372" s="88">
        <v>270</v>
      </c>
      <c r="F372" s="89">
        <f t="shared" si="278"/>
        <v>18</v>
      </c>
      <c r="G372" s="90">
        <f t="shared" si="279"/>
        <v>23.185962160572494</v>
      </c>
      <c r="H372" s="90">
        <f t="shared" si="280"/>
        <v>50.975999999999999</v>
      </c>
      <c r="I372" s="91" t="str">
        <f t="shared" si="281"/>
        <v>9동5라인</v>
      </c>
      <c r="J372" s="92" t="s">
        <v>217</v>
      </c>
      <c r="L372" s="89">
        <v>2</v>
      </c>
      <c r="M372" s="78">
        <f t="shared" si="282"/>
        <v>9</v>
      </c>
      <c r="N372" s="78"/>
      <c r="O372" s="78">
        <f t="shared" si="283"/>
        <v>18</v>
      </c>
    </row>
    <row r="373" spans="1:16" ht="18" customHeight="1">
      <c r="A373" s="104"/>
      <c r="B373" s="93"/>
      <c r="C373" s="87"/>
      <c r="D373" s="88">
        <v>208</v>
      </c>
      <c r="E373" s="88">
        <v>910</v>
      </c>
      <c r="F373" s="89">
        <f t="shared" si="278"/>
        <v>18</v>
      </c>
      <c r="G373" s="90">
        <f t="shared" si="279"/>
        <v>37.1100872463484</v>
      </c>
      <c r="H373" s="90">
        <f t="shared" si="280"/>
        <v>80.495999999999995</v>
      </c>
      <c r="I373" s="91" t="str">
        <f t="shared" si="281"/>
        <v>9동5라인</v>
      </c>
      <c r="J373" s="92" t="s">
        <v>218</v>
      </c>
      <c r="L373" s="89">
        <v>2</v>
      </c>
      <c r="M373" s="78">
        <f t="shared" si="282"/>
        <v>9</v>
      </c>
      <c r="N373" s="78"/>
      <c r="O373" s="78">
        <f t="shared" si="283"/>
        <v>18</v>
      </c>
    </row>
    <row r="374" spans="1:16" ht="18" customHeight="1">
      <c r="A374" s="104"/>
      <c r="B374" s="87"/>
      <c r="C374" s="87"/>
      <c r="D374" s="325" t="s">
        <v>0</v>
      </c>
      <c r="E374" s="325"/>
      <c r="F374" s="171">
        <f>SUM(F367:F373)</f>
        <v>135</v>
      </c>
      <c r="G374" s="95">
        <f>SUM(G367:G373)</f>
        <v>1101.0116655229881</v>
      </c>
      <c r="H374" s="95">
        <f>SUM(H367:H373)</f>
        <v>905.61599999999999</v>
      </c>
      <c r="I374" s="97"/>
      <c r="J374" s="98"/>
    </row>
    <row r="375" spans="1:16">
      <c r="A375" s="105"/>
      <c r="B375" s="9"/>
      <c r="C375" s="9"/>
      <c r="D375" s="51"/>
      <c r="E375" s="51"/>
      <c r="F375" s="51"/>
      <c r="G375" s="106"/>
      <c r="H375" s="106"/>
      <c r="I375" s="9"/>
      <c r="J375" s="107"/>
    </row>
    <row r="376" spans="1:16" ht="18" customHeight="1">
      <c r="A376" s="85"/>
      <c r="B376" s="163" t="s">
        <v>199</v>
      </c>
      <c r="C376" s="163">
        <v>22</v>
      </c>
      <c r="D376" s="88">
        <v>738</v>
      </c>
      <c r="E376" s="88">
        <v>1810</v>
      </c>
      <c r="F376" s="89">
        <f t="shared" ref="F376:F377" si="284">O376</f>
        <v>18</v>
      </c>
      <c r="G376" s="90">
        <f t="shared" ref="G376:G377" si="285">D376*E376/91809*F376</f>
        <v>261.89197137535535</v>
      </c>
      <c r="H376" s="90">
        <f t="shared" ref="H376:H377" si="286">(D376/1000)*4*F376+(E376/1000)*4*F376</f>
        <v>183.45599999999999</v>
      </c>
      <c r="I376" s="91" t="str">
        <f>I367</f>
        <v>9동5라인</v>
      </c>
      <c r="J376" s="92" t="s">
        <v>219</v>
      </c>
      <c r="L376" s="89">
        <v>2</v>
      </c>
      <c r="M376" s="78">
        <f>M358</f>
        <v>9</v>
      </c>
      <c r="N376" s="84"/>
      <c r="O376" s="78">
        <f>L376*M376-N376*L376</f>
        <v>18</v>
      </c>
      <c r="P376" s="64"/>
    </row>
    <row r="377" spans="1:16" ht="18" customHeight="1">
      <c r="A377" s="85"/>
      <c r="B377" s="86"/>
      <c r="C377" s="87"/>
      <c r="D377" s="88">
        <v>250</v>
      </c>
      <c r="E377" s="88">
        <v>930</v>
      </c>
      <c r="F377" s="89">
        <f t="shared" si="284"/>
        <v>18</v>
      </c>
      <c r="G377" s="90">
        <f t="shared" si="285"/>
        <v>45.583766297421818</v>
      </c>
      <c r="H377" s="90">
        <f t="shared" si="286"/>
        <v>84.960000000000008</v>
      </c>
      <c r="I377" s="91" t="str">
        <f>I376</f>
        <v>9동5라인</v>
      </c>
      <c r="J377" s="92" t="s">
        <v>220</v>
      </c>
      <c r="L377" s="89">
        <v>2</v>
      </c>
      <c r="M377" s="78">
        <f>M376</f>
        <v>9</v>
      </c>
      <c r="N377" s="84"/>
      <c r="O377" s="78">
        <f t="shared" ref="O377" si="287">L377*M377-N377*L377</f>
        <v>18</v>
      </c>
    </row>
    <row r="378" spans="1:16" ht="18" customHeight="1">
      <c r="A378" s="85"/>
      <c r="B378" s="93"/>
      <c r="C378" s="87"/>
      <c r="D378" s="325" t="s">
        <v>0</v>
      </c>
      <c r="E378" s="325"/>
      <c r="F378" s="94">
        <f>SUM(F376:F377)</f>
        <v>36</v>
      </c>
      <c r="G378" s="95">
        <f>SUM(G376:G377)</f>
        <v>307.4757376727772</v>
      </c>
      <c r="H378" s="95">
        <f>SUM(H376:H377)</f>
        <v>268.416</v>
      </c>
      <c r="I378" s="97"/>
      <c r="J378" s="98"/>
    </row>
    <row r="379" spans="1:16" ht="18" customHeight="1" thickBot="1">
      <c r="A379" s="222"/>
      <c r="B379" s="245"/>
      <c r="C379" s="224"/>
      <c r="D379" s="246"/>
      <c r="E379" s="246"/>
      <c r="F379" s="226"/>
      <c r="G379" s="247"/>
      <c r="H379" s="247"/>
      <c r="I379" s="248"/>
      <c r="J379" s="249"/>
      <c r="L379" s="250"/>
      <c r="M379" s="250"/>
      <c r="N379" s="250"/>
      <c r="O379" s="250"/>
    </row>
    <row r="380" spans="1:16" ht="18" customHeight="1">
      <c r="A380" s="79" t="s">
        <v>242</v>
      </c>
      <c r="B380" s="231" t="s">
        <v>195</v>
      </c>
      <c r="C380" s="232">
        <v>22</v>
      </c>
      <c r="D380" s="80">
        <v>761</v>
      </c>
      <c r="E380" s="80">
        <v>1810</v>
      </c>
      <c r="F380" s="233">
        <f t="shared" ref="F380:F385" si="288">O380</f>
        <v>18</v>
      </c>
      <c r="G380" s="81">
        <f t="shared" ref="G380:G385" si="289">D380*E380/91809*F380</f>
        <v>270.05391628271741</v>
      </c>
      <c r="H380" s="81">
        <f t="shared" ref="H380:H385" si="290">(D380/1000)*4*F380+(E380/1000)*4*F380</f>
        <v>185.11199999999999</v>
      </c>
      <c r="I380" s="82" t="s">
        <v>259</v>
      </c>
      <c r="J380" s="83" t="s">
        <v>205</v>
      </c>
      <c r="L380" s="89">
        <v>2</v>
      </c>
      <c r="M380" s="78">
        <v>9</v>
      </c>
      <c r="N380" s="78"/>
      <c r="O380" s="78">
        <f t="shared" ref="O380:O385" si="291">L380*M380-N380*L380</f>
        <v>18</v>
      </c>
    </row>
    <row r="381" spans="1:16" ht="18" customHeight="1">
      <c r="A381" s="85"/>
      <c r="B381" s="86"/>
      <c r="C381" s="87"/>
      <c r="D381" s="88">
        <v>1688</v>
      </c>
      <c r="E381" s="88">
        <v>1810</v>
      </c>
      <c r="F381" s="89">
        <f t="shared" si="288"/>
        <v>9</v>
      </c>
      <c r="G381" s="90">
        <f t="shared" si="289"/>
        <v>299.50789138319772</v>
      </c>
      <c r="H381" s="90">
        <f t="shared" si="290"/>
        <v>125.928</v>
      </c>
      <c r="I381" s="91" t="str">
        <f>I380</f>
        <v>9동6라인</v>
      </c>
      <c r="J381" s="92" t="s">
        <v>206</v>
      </c>
      <c r="L381" s="89">
        <v>1</v>
      </c>
      <c r="M381" s="78">
        <f t="shared" ref="M381:M397" si="292">M380</f>
        <v>9</v>
      </c>
      <c r="N381" s="78"/>
      <c r="O381" s="78">
        <f t="shared" si="291"/>
        <v>9</v>
      </c>
    </row>
    <row r="382" spans="1:16" ht="18" customHeight="1">
      <c r="A382" s="85"/>
      <c r="B382" s="86"/>
      <c r="C382" s="87"/>
      <c r="D382" s="88">
        <v>738</v>
      </c>
      <c r="E382" s="88">
        <v>1310</v>
      </c>
      <c r="F382" s="89">
        <f t="shared" si="288"/>
        <v>36</v>
      </c>
      <c r="G382" s="90">
        <f t="shared" si="289"/>
        <v>379.09224585824921</v>
      </c>
      <c r="H382" s="90">
        <f t="shared" si="290"/>
        <v>294.91200000000003</v>
      </c>
      <c r="I382" s="91" t="str">
        <f t="shared" ref="I382:I385" si="293">I381</f>
        <v>9동6라인</v>
      </c>
      <c r="J382" s="92" t="s">
        <v>207</v>
      </c>
      <c r="L382" s="89">
        <v>4</v>
      </c>
      <c r="M382" s="78">
        <f t="shared" si="292"/>
        <v>9</v>
      </c>
      <c r="N382" s="78"/>
      <c r="O382" s="78">
        <f t="shared" si="291"/>
        <v>36</v>
      </c>
    </row>
    <row r="383" spans="1:16" ht="18" customHeight="1">
      <c r="A383" s="85"/>
      <c r="B383" s="86"/>
      <c r="C383" s="87"/>
      <c r="D383" s="88">
        <v>438</v>
      </c>
      <c r="E383" s="88">
        <v>910</v>
      </c>
      <c r="F383" s="89">
        <f t="shared" si="288"/>
        <v>18</v>
      </c>
      <c r="G383" s="90">
        <f t="shared" si="289"/>
        <v>78.145279874522103</v>
      </c>
      <c r="H383" s="90">
        <f t="shared" si="290"/>
        <v>97.055999999999997</v>
      </c>
      <c r="I383" s="91" t="str">
        <f t="shared" si="293"/>
        <v>9동6라인</v>
      </c>
      <c r="J383" s="92" t="s">
        <v>223</v>
      </c>
      <c r="L383" s="89">
        <v>2</v>
      </c>
      <c r="M383" s="78">
        <f t="shared" si="292"/>
        <v>9</v>
      </c>
      <c r="N383" s="78"/>
      <c r="O383" s="78">
        <f t="shared" si="291"/>
        <v>18</v>
      </c>
    </row>
    <row r="384" spans="1:16" ht="18" customHeight="1">
      <c r="A384" s="85"/>
      <c r="B384" s="86"/>
      <c r="C384" s="87"/>
      <c r="D384" s="88">
        <v>228</v>
      </c>
      <c r="E384" s="88">
        <v>910</v>
      </c>
      <c r="F384" s="89">
        <f t="shared" si="288"/>
        <v>18</v>
      </c>
      <c r="G384" s="90">
        <f t="shared" si="289"/>
        <v>40.67836486618959</v>
      </c>
      <c r="H384" s="90">
        <f t="shared" si="290"/>
        <v>81.935999999999993</v>
      </c>
      <c r="I384" s="91" t="str">
        <f t="shared" si="293"/>
        <v>9동6라인</v>
      </c>
      <c r="J384" s="92" t="s">
        <v>209</v>
      </c>
      <c r="L384" s="89">
        <v>2</v>
      </c>
      <c r="M384" s="78">
        <f t="shared" si="292"/>
        <v>9</v>
      </c>
      <c r="N384" s="78"/>
      <c r="O384" s="78">
        <f t="shared" si="291"/>
        <v>18</v>
      </c>
    </row>
    <row r="385" spans="1:16" ht="18" customHeight="1">
      <c r="A385" s="85"/>
      <c r="B385" s="86"/>
      <c r="C385" s="87"/>
      <c r="D385" s="88">
        <v>438</v>
      </c>
      <c r="E385" s="88">
        <v>270</v>
      </c>
      <c r="F385" s="89">
        <f t="shared" si="288"/>
        <v>18</v>
      </c>
      <c r="G385" s="90">
        <f t="shared" si="289"/>
        <v>23.185962160572494</v>
      </c>
      <c r="H385" s="90">
        <f t="shared" si="290"/>
        <v>50.975999999999999</v>
      </c>
      <c r="I385" s="91" t="str">
        <f t="shared" si="293"/>
        <v>9동6라인</v>
      </c>
      <c r="J385" s="92" t="s">
        <v>210</v>
      </c>
      <c r="L385" s="89">
        <v>2</v>
      </c>
      <c r="M385" s="78">
        <f t="shared" si="292"/>
        <v>9</v>
      </c>
      <c r="N385" s="78"/>
      <c r="O385" s="78">
        <f t="shared" si="291"/>
        <v>18</v>
      </c>
    </row>
    <row r="386" spans="1:16" ht="18" customHeight="1">
      <c r="A386" s="85"/>
      <c r="B386" s="93"/>
      <c r="C386" s="87"/>
      <c r="D386" s="325" t="s">
        <v>0</v>
      </c>
      <c r="E386" s="325"/>
      <c r="F386" s="94">
        <f>SUM(F380:F385)</f>
        <v>117</v>
      </c>
      <c r="G386" s="95">
        <f>SUM(G380:G385)</f>
        <v>1090.6636604254486</v>
      </c>
      <c r="H386" s="96">
        <f>SUM(H380:H385)</f>
        <v>835.92000000000007</v>
      </c>
      <c r="I386" s="97"/>
      <c r="J386" s="162"/>
      <c r="L386" s="250"/>
      <c r="M386" s="250"/>
      <c r="N386" s="250"/>
      <c r="O386" s="250"/>
    </row>
    <row r="387" spans="1:16" ht="18" customHeight="1">
      <c r="A387" s="85"/>
      <c r="B387" s="93"/>
      <c r="C387" s="87"/>
      <c r="D387" s="161"/>
      <c r="E387" s="161"/>
      <c r="F387" s="89"/>
      <c r="G387" s="100"/>
      <c r="H387" s="101"/>
      <c r="I387" s="102"/>
      <c r="J387" s="121"/>
      <c r="L387" s="250"/>
      <c r="M387" s="250"/>
      <c r="N387" s="250"/>
      <c r="O387" s="250"/>
    </row>
    <row r="388" spans="1:16" ht="18" customHeight="1">
      <c r="A388" s="85"/>
      <c r="B388" s="23" t="s">
        <v>197</v>
      </c>
      <c r="C388" s="24">
        <v>22</v>
      </c>
      <c r="D388" s="88">
        <v>761</v>
      </c>
      <c r="E388" s="88">
        <v>1810</v>
      </c>
      <c r="F388" s="89">
        <f t="shared" ref="F388:F393" si="294">O388</f>
        <v>18</v>
      </c>
      <c r="G388" s="90">
        <f t="shared" ref="G388:G393" si="295">D388*E388/91809*F388</f>
        <v>270.05391628271741</v>
      </c>
      <c r="H388" s="90">
        <f t="shared" ref="H388:H393" si="296">(D388/1000)*4*F388+(E388/1000)*4*F388</f>
        <v>185.11199999999999</v>
      </c>
      <c r="I388" s="91" t="str">
        <f>I380</f>
        <v>9동6라인</v>
      </c>
      <c r="J388" s="92" t="s">
        <v>212</v>
      </c>
      <c r="L388" s="89">
        <v>2</v>
      </c>
      <c r="M388" s="78">
        <f>M385</f>
        <v>9</v>
      </c>
      <c r="N388" s="78"/>
      <c r="O388" s="78">
        <f t="shared" ref="O388:O393" si="297">L388*M388-N388*L388</f>
        <v>18</v>
      </c>
    </row>
    <row r="389" spans="1:16" ht="18" customHeight="1">
      <c r="A389" s="85"/>
      <c r="B389" s="86"/>
      <c r="C389" s="87"/>
      <c r="D389" s="88">
        <v>1688</v>
      </c>
      <c r="E389" s="88">
        <v>1810</v>
      </c>
      <c r="F389" s="89">
        <f t="shared" si="294"/>
        <v>9</v>
      </c>
      <c r="G389" s="90">
        <f t="shared" si="295"/>
        <v>299.50789138319772</v>
      </c>
      <c r="H389" s="90">
        <f t="shared" si="296"/>
        <v>125.928</v>
      </c>
      <c r="I389" s="91" t="str">
        <f>I380</f>
        <v>9동6라인</v>
      </c>
      <c r="J389" s="92" t="s">
        <v>213</v>
      </c>
      <c r="L389" s="89">
        <v>1</v>
      </c>
      <c r="M389" s="78">
        <f t="shared" si="292"/>
        <v>9</v>
      </c>
      <c r="N389" s="78"/>
      <c r="O389" s="78">
        <f t="shared" si="297"/>
        <v>9</v>
      </c>
    </row>
    <row r="390" spans="1:16">
      <c r="A390" s="104"/>
      <c r="B390" s="93"/>
      <c r="C390" s="87"/>
      <c r="D390" s="88">
        <v>738</v>
      </c>
      <c r="E390" s="88">
        <v>1310</v>
      </c>
      <c r="F390" s="89">
        <f t="shared" si="294"/>
        <v>36</v>
      </c>
      <c r="G390" s="90">
        <f t="shared" si="295"/>
        <v>379.09224585824921</v>
      </c>
      <c r="H390" s="90">
        <f t="shared" si="296"/>
        <v>294.91200000000003</v>
      </c>
      <c r="I390" s="91" t="str">
        <f>I389</f>
        <v>9동6라인</v>
      </c>
      <c r="J390" s="92" t="s">
        <v>214</v>
      </c>
      <c r="L390" s="89">
        <v>4</v>
      </c>
      <c r="M390" s="78">
        <f t="shared" si="292"/>
        <v>9</v>
      </c>
      <c r="N390" s="78"/>
      <c r="O390" s="78">
        <f t="shared" si="297"/>
        <v>36</v>
      </c>
    </row>
    <row r="391" spans="1:16" ht="18" customHeight="1">
      <c r="A391" s="104"/>
      <c r="B391" s="93"/>
      <c r="C391" s="87"/>
      <c r="D391" s="88">
        <v>438</v>
      </c>
      <c r="E391" s="88">
        <v>910</v>
      </c>
      <c r="F391" s="89">
        <f t="shared" si="294"/>
        <v>18</v>
      </c>
      <c r="G391" s="90">
        <f t="shared" si="295"/>
        <v>78.145279874522103</v>
      </c>
      <c r="H391" s="90">
        <f t="shared" si="296"/>
        <v>97.055999999999997</v>
      </c>
      <c r="I391" s="91" t="str">
        <f t="shared" ref="I391:I393" si="298">I390</f>
        <v>9동6라인</v>
      </c>
      <c r="J391" s="92" t="s">
        <v>225</v>
      </c>
      <c r="L391" s="89">
        <v>2</v>
      </c>
      <c r="M391" s="78">
        <f t="shared" si="292"/>
        <v>9</v>
      </c>
      <c r="N391" s="78"/>
      <c r="O391" s="78">
        <f t="shared" si="297"/>
        <v>18</v>
      </c>
      <c r="P391" s="64"/>
    </row>
    <row r="392" spans="1:16" ht="18" customHeight="1">
      <c r="A392" s="104"/>
      <c r="B392" s="93"/>
      <c r="C392" s="87"/>
      <c r="D392" s="88">
        <v>228</v>
      </c>
      <c r="E392" s="88">
        <v>910</v>
      </c>
      <c r="F392" s="89">
        <f t="shared" si="294"/>
        <v>18</v>
      </c>
      <c r="G392" s="90">
        <f t="shared" si="295"/>
        <v>40.67836486618959</v>
      </c>
      <c r="H392" s="90">
        <f t="shared" si="296"/>
        <v>81.935999999999993</v>
      </c>
      <c r="I392" s="91" t="str">
        <f t="shared" si="298"/>
        <v>9동6라인</v>
      </c>
      <c r="J392" s="92" t="s">
        <v>216</v>
      </c>
      <c r="L392" s="89">
        <v>2</v>
      </c>
      <c r="M392" s="78">
        <f t="shared" si="292"/>
        <v>9</v>
      </c>
      <c r="N392" s="78"/>
      <c r="O392" s="78">
        <f t="shared" si="297"/>
        <v>18</v>
      </c>
    </row>
    <row r="393" spans="1:16" ht="18" customHeight="1">
      <c r="A393" s="104"/>
      <c r="B393" s="93"/>
      <c r="C393" s="87"/>
      <c r="D393" s="88">
        <v>438</v>
      </c>
      <c r="E393" s="88">
        <v>270</v>
      </c>
      <c r="F393" s="89">
        <f t="shared" si="294"/>
        <v>18</v>
      </c>
      <c r="G393" s="90">
        <f t="shared" si="295"/>
        <v>23.185962160572494</v>
      </c>
      <c r="H393" s="90">
        <f t="shared" si="296"/>
        <v>50.975999999999999</v>
      </c>
      <c r="I393" s="91" t="str">
        <f t="shared" si="298"/>
        <v>9동6라인</v>
      </c>
      <c r="J393" s="92" t="s">
        <v>217</v>
      </c>
      <c r="L393" s="89">
        <v>2</v>
      </c>
      <c r="M393" s="78">
        <f t="shared" si="292"/>
        <v>9</v>
      </c>
      <c r="N393" s="78"/>
      <c r="O393" s="78">
        <f t="shared" si="297"/>
        <v>18</v>
      </c>
    </row>
    <row r="394" spans="1:16">
      <c r="A394" s="104"/>
      <c r="B394" s="87"/>
      <c r="C394" s="87"/>
      <c r="D394" s="325" t="s">
        <v>0</v>
      </c>
      <c r="E394" s="325"/>
      <c r="F394" s="171">
        <f>SUM(F388:F393)</f>
        <v>117</v>
      </c>
      <c r="G394" s="95">
        <f>SUM(G388:G393)</f>
        <v>1090.6636604254486</v>
      </c>
      <c r="H394" s="95">
        <f>SUM(H388:H393)</f>
        <v>835.92000000000007</v>
      </c>
      <c r="I394" s="97"/>
      <c r="J394" s="98"/>
      <c r="L394" s="250"/>
      <c r="M394" s="250"/>
      <c r="N394" s="250"/>
      <c r="O394" s="250"/>
    </row>
    <row r="395" spans="1:16">
      <c r="A395" s="105"/>
      <c r="B395" s="9"/>
      <c r="C395" s="9"/>
      <c r="D395" s="51"/>
      <c r="E395" s="51"/>
      <c r="F395" s="51"/>
      <c r="G395" s="106"/>
      <c r="H395" s="106"/>
      <c r="I395" s="9"/>
      <c r="J395" s="107"/>
      <c r="L395" s="250"/>
      <c r="M395" s="250"/>
      <c r="N395" s="250"/>
      <c r="O395" s="250"/>
    </row>
    <row r="396" spans="1:16" ht="18" customHeight="1">
      <c r="A396" s="85"/>
      <c r="B396" s="163" t="s">
        <v>199</v>
      </c>
      <c r="C396" s="163">
        <v>22</v>
      </c>
      <c r="D396" s="88">
        <v>738</v>
      </c>
      <c r="E396" s="88">
        <v>1810</v>
      </c>
      <c r="F396" s="89">
        <f t="shared" ref="F396:F397" si="299">O396</f>
        <v>18</v>
      </c>
      <c r="G396" s="90">
        <f t="shared" ref="G396:G398" si="300">D396*E396/91809*F396</f>
        <v>261.89197137535535</v>
      </c>
      <c r="H396" s="90">
        <f t="shared" ref="H396:H398" si="301">(D396/1000)*4*F396+(E396/1000)*4*F396</f>
        <v>183.45599999999999</v>
      </c>
      <c r="I396" s="91" t="str">
        <f>I388</f>
        <v>9동6라인</v>
      </c>
      <c r="J396" s="92" t="s">
        <v>219</v>
      </c>
      <c r="L396" s="89">
        <v>2</v>
      </c>
      <c r="M396" s="78">
        <f>M393</f>
        <v>9</v>
      </c>
      <c r="N396" s="78"/>
      <c r="O396" s="78">
        <f t="shared" ref="O396:O397" si="302">L396*M396-N396*L396</f>
        <v>18</v>
      </c>
      <c r="P396" s="64"/>
    </row>
    <row r="397" spans="1:16" ht="18" customHeight="1">
      <c r="A397" s="85"/>
      <c r="B397" s="86"/>
      <c r="C397" s="87"/>
      <c r="D397" s="88">
        <v>250</v>
      </c>
      <c r="E397" s="88">
        <v>930</v>
      </c>
      <c r="F397" s="89">
        <f t="shared" si="299"/>
        <v>18</v>
      </c>
      <c r="G397" s="90">
        <f t="shared" si="300"/>
        <v>45.583766297421818</v>
      </c>
      <c r="H397" s="90">
        <f t="shared" si="301"/>
        <v>84.960000000000008</v>
      </c>
      <c r="I397" s="91" t="str">
        <f>I396</f>
        <v>9동6라인</v>
      </c>
      <c r="J397" s="92" t="s">
        <v>220</v>
      </c>
      <c r="L397" s="89">
        <v>2</v>
      </c>
      <c r="M397" s="78">
        <f t="shared" si="292"/>
        <v>9</v>
      </c>
      <c r="N397" s="78"/>
      <c r="O397" s="78">
        <f t="shared" si="302"/>
        <v>18</v>
      </c>
    </row>
    <row r="398" spans="1:16" ht="18" customHeight="1">
      <c r="A398" s="85"/>
      <c r="B398" s="86"/>
      <c r="C398" s="87"/>
      <c r="D398" s="88"/>
      <c r="E398" s="88"/>
      <c r="F398" s="89"/>
      <c r="G398" s="90">
        <f t="shared" si="300"/>
        <v>0</v>
      </c>
      <c r="H398" s="90">
        <f t="shared" si="301"/>
        <v>0</v>
      </c>
      <c r="I398" s="91"/>
      <c r="J398" s="92"/>
      <c r="L398" s="250"/>
      <c r="M398" s="250"/>
      <c r="N398" s="250"/>
      <c r="O398" s="250"/>
    </row>
    <row r="399" spans="1:16" ht="18" customHeight="1">
      <c r="A399" s="85"/>
      <c r="B399" s="93"/>
      <c r="C399" s="87"/>
      <c r="D399" s="325" t="s">
        <v>0</v>
      </c>
      <c r="E399" s="325"/>
      <c r="F399" s="94">
        <f>SUM(F396:F398)</f>
        <v>36</v>
      </c>
      <c r="G399" s="95">
        <f>SUM(G396:G398)</f>
        <v>307.4757376727772</v>
      </c>
      <c r="H399" s="95">
        <f>SUM(H396:H398)</f>
        <v>268.416</v>
      </c>
      <c r="I399" s="97"/>
      <c r="J399" s="98"/>
      <c r="L399" s="250"/>
      <c r="M399" s="250"/>
      <c r="N399" s="250"/>
      <c r="O399" s="250"/>
    </row>
    <row r="400" spans="1:16" ht="18" customHeight="1" thickBot="1">
      <c r="A400" s="253"/>
      <c r="B400" s="254"/>
      <c r="C400" s="255"/>
      <c r="D400" s="361"/>
      <c r="E400" s="361"/>
      <c r="F400" s="256"/>
      <c r="G400" s="257"/>
      <c r="H400" s="258"/>
      <c r="I400" s="259"/>
      <c r="J400" s="260"/>
      <c r="L400" s="250"/>
      <c r="M400" s="250"/>
      <c r="N400" s="250"/>
      <c r="O400" s="250"/>
    </row>
    <row r="401" spans="1:16" ht="18" customHeight="1">
      <c r="A401" s="79" t="s">
        <v>242</v>
      </c>
      <c r="B401" s="231" t="s">
        <v>195</v>
      </c>
      <c r="C401" s="232">
        <v>22</v>
      </c>
      <c r="D401" s="80">
        <v>761</v>
      </c>
      <c r="E401" s="80">
        <v>1810</v>
      </c>
      <c r="F401" s="233">
        <f t="shared" ref="F401:F406" si="303">O401</f>
        <v>14</v>
      </c>
      <c r="G401" s="81">
        <f t="shared" ref="G401:G406" si="304">D401*E401/91809*F401</f>
        <v>210.04193488655798</v>
      </c>
      <c r="H401" s="81">
        <f t="shared" ref="H401:H406" si="305">(D401/1000)*4*F401+(E401/1000)*4*F401</f>
        <v>143.976</v>
      </c>
      <c r="I401" s="82" t="s">
        <v>260</v>
      </c>
      <c r="J401" s="83" t="s">
        <v>205</v>
      </c>
      <c r="L401" s="89">
        <v>2</v>
      </c>
      <c r="M401" s="78">
        <v>7</v>
      </c>
      <c r="N401" s="78"/>
      <c r="O401" s="78">
        <f t="shared" ref="O401:O406" si="306">L401*M401-N401*L401</f>
        <v>14</v>
      </c>
    </row>
    <row r="402" spans="1:16" ht="18" customHeight="1">
      <c r="A402" s="85"/>
      <c r="B402" s="86"/>
      <c r="C402" s="87"/>
      <c r="D402" s="88">
        <v>1688</v>
      </c>
      <c r="E402" s="88">
        <v>1810</v>
      </c>
      <c r="F402" s="89">
        <f t="shared" si="303"/>
        <v>7</v>
      </c>
      <c r="G402" s="90">
        <f t="shared" si="304"/>
        <v>232.95058218693157</v>
      </c>
      <c r="H402" s="90">
        <f t="shared" si="305"/>
        <v>97.943999999999988</v>
      </c>
      <c r="I402" s="91" t="str">
        <f>I401</f>
        <v>10동1라인</v>
      </c>
      <c r="J402" s="92" t="s">
        <v>206</v>
      </c>
      <c r="L402" s="89">
        <v>1</v>
      </c>
      <c r="M402" s="78">
        <f t="shared" ref="M402:M418" si="307">M401</f>
        <v>7</v>
      </c>
      <c r="N402" s="78"/>
      <c r="O402" s="78">
        <f t="shared" si="306"/>
        <v>7</v>
      </c>
    </row>
    <row r="403" spans="1:16" ht="18" customHeight="1">
      <c r="A403" s="85"/>
      <c r="B403" s="86"/>
      <c r="C403" s="87"/>
      <c r="D403" s="88">
        <v>738</v>
      </c>
      <c r="E403" s="88">
        <v>1310</v>
      </c>
      <c r="F403" s="89">
        <f t="shared" si="303"/>
        <v>28</v>
      </c>
      <c r="G403" s="90">
        <f t="shared" si="304"/>
        <v>294.84952455641604</v>
      </c>
      <c r="H403" s="90">
        <f t="shared" si="305"/>
        <v>229.376</v>
      </c>
      <c r="I403" s="91" t="str">
        <f t="shared" ref="I403:I406" si="308">I402</f>
        <v>10동1라인</v>
      </c>
      <c r="J403" s="92" t="s">
        <v>207</v>
      </c>
      <c r="L403" s="89">
        <v>4</v>
      </c>
      <c r="M403" s="78">
        <f t="shared" si="307"/>
        <v>7</v>
      </c>
      <c r="N403" s="78"/>
      <c r="O403" s="78">
        <f t="shared" si="306"/>
        <v>28</v>
      </c>
    </row>
    <row r="404" spans="1:16" ht="18" customHeight="1">
      <c r="A404" s="85"/>
      <c r="B404" s="86"/>
      <c r="C404" s="87"/>
      <c r="D404" s="88">
        <v>438</v>
      </c>
      <c r="E404" s="88">
        <v>910</v>
      </c>
      <c r="F404" s="89">
        <f t="shared" si="303"/>
        <v>14</v>
      </c>
      <c r="G404" s="90">
        <f t="shared" si="304"/>
        <v>60.779662124628302</v>
      </c>
      <c r="H404" s="90">
        <f t="shared" si="305"/>
        <v>75.488</v>
      </c>
      <c r="I404" s="91" t="str">
        <f t="shared" si="308"/>
        <v>10동1라인</v>
      </c>
      <c r="J404" s="92" t="s">
        <v>223</v>
      </c>
      <c r="L404" s="89">
        <v>2</v>
      </c>
      <c r="M404" s="78">
        <f t="shared" si="307"/>
        <v>7</v>
      </c>
      <c r="N404" s="78"/>
      <c r="O404" s="78">
        <f t="shared" si="306"/>
        <v>14</v>
      </c>
    </row>
    <row r="405" spans="1:16" ht="18" customHeight="1">
      <c r="A405" s="85"/>
      <c r="B405" s="86"/>
      <c r="C405" s="87"/>
      <c r="D405" s="88">
        <v>228</v>
      </c>
      <c r="E405" s="88">
        <v>910</v>
      </c>
      <c r="F405" s="89">
        <f t="shared" si="303"/>
        <v>14</v>
      </c>
      <c r="G405" s="90">
        <f t="shared" si="304"/>
        <v>31.638728229258568</v>
      </c>
      <c r="H405" s="90">
        <f t="shared" si="305"/>
        <v>63.728000000000002</v>
      </c>
      <c r="I405" s="91" t="str">
        <f t="shared" si="308"/>
        <v>10동1라인</v>
      </c>
      <c r="J405" s="92" t="s">
        <v>209</v>
      </c>
      <c r="L405" s="89">
        <v>2</v>
      </c>
      <c r="M405" s="78">
        <f t="shared" si="307"/>
        <v>7</v>
      </c>
      <c r="N405" s="78"/>
      <c r="O405" s="78">
        <f t="shared" si="306"/>
        <v>14</v>
      </c>
    </row>
    <row r="406" spans="1:16" ht="18" customHeight="1">
      <c r="A406" s="85"/>
      <c r="B406" s="86"/>
      <c r="C406" s="87"/>
      <c r="D406" s="88">
        <v>438</v>
      </c>
      <c r="E406" s="88">
        <v>270</v>
      </c>
      <c r="F406" s="89">
        <f t="shared" si="303"/>
        <v>14</v>
      </c>
      <c r="G406" s="90">
        <f t="shared" si="304"/>
        <v>18.033526124889718</v>
      </c>
      <c r="H406" s="90">
        <f t="shared" si="305"/>
        <v>39.647999999999996</v>
      </c>
      <c r="I406" s="91" t="str">
        <f t="shared" si="308"/>
        <v>10동1라인</v>
      </c>
      <c r="J406" s="92" t="s">
        <v>210</v>
      </c>
      <c r="L406" s="89">
        <v>2</v>
      </c>
      <c r="M406" s="78">
        <f t="shared" si="307"/>
        <v>7</v>
      </c>
      <c r="N406" s="78"/>
      <c r="O406" s="78">
        <f t="shared" si="306"/>
        <v>14</v>
      </c>
    </row>
    <row r="407" spans="1:16" ht="18" customHeight="1">
      <c r="A407" s="85"/>
      <c r="B407" s="93"/>
      <c r="C407" s="87"/>
      <c r="D407" s="325" t="s">
        <v>0</v>
      </c>
      <c r="E407" s="325"/>
      <c r="F407" s="94">
        <f>SUM(F401:F406)</f>
        <v>91</v>
      </c>
      <c r="G407" s="95">
        <f>SUM(G401:G406)</f>
        <v>848.29395810868232</v>
      </c>
      <c r="H407" s="96">
        <f>SUM(H401:H406)</f>
        <v>650.16</v>
      </c>
      <c r="I407" s="97"/>
      <c r="J407" s="162"/>
      <c r="L407" s="250"/>
      <c r="M407" s="250"/>
      <c r="N407" s="250"/>
      <c r="O407" s="250"/>
    </row>
    <row r="408" spans="1:16" ht="18" customHeight="1">
      <c r="A408" s="85"/>
      <c r="B408" s="93"/>
      <c r="C408" s="87"/>
      <c r="D408" s="161"/>
      <c r="E408" s="161"/>
      <c r="F408" s="89"/>
      <c r="G408" s="100"/>
      <c r="H408" s="101"/>
      <c r="I408" s="102"/>
      <c r="J408" s="121"/>
      <c r="L408" s="250"/>
      <c r="M408" s="250"/>
      <c r="N408" s="250"/>
      <c r="O408" s="250"/>
    </row>
    <row r="409" spans="1:16" ht="18" customHeight="1">
      <c r="A409" s="85"/>
      <c r="B409" s="23" t="s">
        <v>197</v>
      </c>
      <c r="C409" s="24">
        <v>22</v>
      </c>
      <c r="D409" s="88">
        <v>761</v>
      </c>
      <c r="E409" s="88">
        <v>1810</v>
      </c>
      <c r="F409" s="89">
        <f t="shared" ref="F409:F414" si="309">O409</f>
        <v>14</v>
      </c>
      <c r="G409" s="90">
        <f t="shared" ref="G409:G414" si="310">D409*E409/91809*F409</f>
        <v>210.04193488655798</v>
      </c>
      <c r="H409" s="90">
        <f t="shared" ref="H409:H414" si="311">(D409/1000)*4*F409+(E409/1000)*4*F409</f>
        <v>143.976</v>
      </c>
      <c r="I409" s="91" t="str">
        <f>I401</f>
        <v>10동1라인</v>
      </c>
      <c r="J409" s="92" t="s">
        <v>212</v>
      </c>
      <c r="L409" s="89">
        <v>2</v>
      </c>
      <c r="M409" s="78">
        <f>M406</f>
        <v>7</v>
      </c>
      <c r="N409" s="78"/>
      <c r="O409" s="78">
        <f t="shared" ref="O409:O414" si="312">L409*M409-N409*L409</f>
        <v>14</v>
      </c>
    </row>
    <row r="410" spans="1:16" ht="18" customHeight="1">
      <c r="A410" s="85"/>
      <c r="B410" s="86"/>
      <c r="C410" s="87"/>
      <c r="D410" s="88">
        <v>1688</v>
      </c>
      <c r="E410" s="88">
        <v>1810</v>
      </c>
      <c r="F410" s="89">
        <f t="shared" si="309"/>
        <v>7</v>
      </c>
      <c r="G410" s="90">
        <f t="shared" si="310"/>
        <v>232.95058218693157</v>
      </c>
      <c r="H410" s="90">
        <f t="shared" si="311"/>
        <v>97.943999999999988</v>
      </c>
      <c r="I410" s="91" t="str">
        <f>I401</f>
        <v>10동1라인</v>
      </c>
      <c r="J410" s="92" t="s">
        <v>213</v>
      </c>
      <c r="L410" s="89">
        <v>1</v>
      </c>
      <c r="M410" s="78">
        <f t="shared" si="307"/>
        <v>7</v>
      </c>
      <c r="N410" s="78"/>
      <c r="O410" s="78">
        <f t="shared" si="312"/>
        <v>7</v>
      </c>
    </row>
    <row r="411" spans="1:16">
      <c r="A411" s="104"/>
      <c r="B411" s="93"/>
      <c r="C411" s="87"/>
      <c r="D411" s="88">
        <v>738</v>
      </c>
      <c r="E411" s="88">
        <v>1310</v>
      </c>
      <c r="F411" s="89">
        <f t="shared" si="309"/>
        <v>28</v>
      </c>
      <c r="G411" s="90">
        <f t="shared" si="310"/>
        <v>294.84952455641604</v>
      </c>
      <c r="H411" s="90">
        <f t="shared" si="311"/>
        <v>229.376</v>
      </c>
      <c r="I411" s="91" t="str">
        <f>I410</f>
        <v>10동1라인</v>
      </c>
      <c r="J411" s="92" t="s">
        <v>214</v>
      </c>
      <c r="L411" s="89">
        <v>4</v>
      </c>
      <c r="M411" s="78">
        <f t="shared" si="307"/>
        <v>7</v>
      </c>
      <c r="N411" s="78"/>
      <c r="O411" s="78">
        <f t="shared" si="312"/>
        <v>28</v>
      </c>
    </row>
    <row r="412" spans="1:16" ht="18" customHeight="1">
      <c r="A412" s="104"/>
      <c r="B412" s="93"/>
      <c r="C412" s="87"/>
      <c r="D412" s="88">
        <v>438</v>
      </c>
      <c r="E412" s="88">
        <v>910</v>
      </c>
      <c r="F412" s="89">
        <f t="shared" si="309"/>
        <v>14</v>
      </c>
      <c r="G412" s="90">
        <f t="shared" si="310"/>
        <v>60.779662124628302</v>
      </c>
      <c r="H412" s="90">
        <f t="shared" si="311"/>
        <v>75.488</v>
      </c>
      <c r="I412" s="91" t="str">
        <f t="shared" ref="I412:I414" si="313">I411</f>
        <v>10동1라인</v>
      </c>
      <c r="J412" s="92" t="s">
        <v>225</v>
      </c>
      <c r="L412" s="89">
        <v>2</v>
      </c>
      <c r="M412" s="78">
        <f t="shared" si="307"/>
        <v>7</v>
      </c>
      <c r="N412" s="78"/>
      <c r="O412" s="78">
        <f t="shared" si="312"/>
        <v>14</v>
      </c>
      <c r="P412" s="64"/>
    </row>
    <row r="413" spans="1:16" ht="18" customHeight="1">
      <c r="A413" s="104"/>
      <c r="B413" s="93"/>
      <c r="C413" s="87"/>
      <c r="D413" s="88">
        <v>228</v>
      </c>
      <c r="E413" s="88">
        <v>910</v>
      </c>
      <c r="F413" s="89">
        <f t="shared" si="309"/>
        <v>14</v>
      </c>
      <c r="G413" s="90">
        <f t="shared" si="310"/>
        <v>31.638728229258568</v>
      </c>
      <c r="H413" s="90">
        <f t="shared" si="311"/>
        <v>63.728000000000002</v>
      </c>
      <c r="I413" s="91" t="str">
        <f t="shared" si="313"/>
        <v>10동1라인</v>
      </c>
      <c r="J413" s="92" t="s">
        <v>216</v>
      </c>
      <c r="L413" s="89">
        <v>2</v>
      </c>
      <c r="M413" s="78">
        <f t="shared" si="307"/>
        <v>7</v>
      </c>
      <c r="N413" s="78"/>
      <c r="O413" s="78">
        <f t="shared" si="312"/>
        <v>14</v>
      </c>
    </row>
    <row r="414" spans="1:16" ht="18" customHeight="1">
      <c r="A414" s="104"/>
      <c r="B414" s="93"/>
      <c r="C414" s="87"/>
      <c r="D414" s="88">
        <v>438</v>
      </c>
      <c r="E414" s="88">
        <v>270</v>
      </c>
      <c r="F414" s="89">
        <f t="shared" si="309"/>
        <v>14</v>
      </c>
      <c r="G414" s="90">
        <f t="shared" si="310"/>
        <v>18.033526124889718</v>
      </c>
      <c r="H414" s="90">
        <f t="shared" si="311"/>
        <v>39.647999999999996</v>
      </c>
      <c r="I414" s="91" t="str">
        <f t="shared" si="313"/>
        <v>10동1라인</v>
      </c>
      <c r="J414" s="92" t="s">
        <v>217</v>
      </c>
      <c r="L414" s="89">
        <v>2</v>
      </c>
      <c r="M414" s="78">
        <f t="shared" si="307"/>
        <v>7</v>
      </c>
      <c r="N414" s="78"/>
      <c r="O414" s="78">
        <f t="shared" si="312"/>
        <v>14</v>
      </c>
    </row>
    <row r="415" spans="1:16">
      <c r="A415" s="104"/>
      <c r="B415" s="87"/>
      <c r="C415" s="87"/>
      <c r="D415" s="325" t="s">
        <v>0</v>
      </c>
      <c r="E415" s="325"/>
      <c r="F415" s="171">
        <f>SUM(F409:F414)</f>
        <v>91</v>
      </c>
      <c r="G415" s="95">
        <f>SUM(G409:G414)</f>
        <v>848.29395810868232</v>
      </c>
      <c r="H415" s="95">
        <f>SUM(H409:H414)</f>
        <v>650.16</v>
      </c>
      <c r="I415" s="97"/>
      <c r="J415" s="98"/>
      <c r="L415" s="250"/>
      <c r="M415" s="250"/>
      <c r="N415" s="250"/>
      <c r="O415" s="250"/>
    </row>
    <row r="416" spans="1:16">
      <c r="A416" s="105"/>
      <c r="B416" s="9"/>
      <c r="C416" s="9"/>
      <c r="D416" s="51"/>
      <c r="E416" s="51"/>
      <c r="F416" s="51"/>
      <c r="G416" s="106"/>
      <c r="H416" s="106"/>
      <c r="I416" s="9"/>
      <c r="J416" s="107"/>
      <c r="L416" s="250"/>
      <c r="M416" s="250"/>
      <c r="N416" s="250"/>
      <c r="O416" s="250"/>
    </row>
    <row r="417" spans="1:16" ht="18" customHeight="1">
      <c r="A417" s="85"/>
      <c r="B417" s="163" t="s">
        <v>199</v>
      </c>
      <c r="C417" s="163">
        <v>22</v>
      </c>
      <c r="D417" s="88">
        <v>738</v>
      </c>
      <c r="E417" s="88">
        <v>1810</v>
      </c>
      <c r="F417" s="89">
        <f t="shared" ref="F417:F418" si="314">O417</f>
        <v>14</v>
      </c>
      <c r="G417" s="90">
        <f t="shared" ref="G417:G419" si="315">D417*E417/91809*F417</f>
        <v>203.69375551416528</v>
      </c>
      <c r="H417" s="90">
        <f t="shared" ref="H417:H419" si="316">(D417/1000)*4*F417+(E417/1000)*4*F417</f>
        <v>142.68799999999999</v>
      </c>
      <c r="I417" s="91" t="str">
        <f>I409</f>
        <v>10동1라인</v>
      </c>
      <c r="J417" s="92" t="s">
        <v>219</v>
      </c>
      <c r="L417" s="89">
        <v>2</v>
      </c>
      <c r="M417" s="78">
        <f>M414</f>
        <v>7</v>
      </c>
      <c r="N417" s="78"/>
      <c r="O417" s="78">
        <f t="shared" ref="O417:O418" si="317">L417*M417-N417*L417</f>
        <v>14</v>
      </c>
      <c r="P417" s="64"/>
    </row>
    <row r="418" spans="1:16" ht="18" customHeight="1">
      <c r="A418" s="85"/>
      <c r="B418" s="86"/>
      <c r="C418" s="87"/>
      <c r="D418" s="88">
        <v>250</v>
      </c>
      <c r="E418" s="88">
        <v>930</v>
      </c>
      <c r="F418" s="89">
        <f t="shared" si="314"/>
        <v>14</v>
      </c>
      <c r="G418" s="90">
        <f t="shared" si="315"/>
        <v>35.454040453550306</v>
      </c>
      <c r="H418" s="90">
        <f t="shared" si="316"/>
        <v>66.080000000000013</v>
      </c>
      <c r="I418" s="91" t="str">
        <f>I417</f>
        <v>10동1라인</v>
      </c>
      <c r="J418" s="92" t="s">
        <v>220</v>
      </c>
      <c r="L418" s="89">
        <v>2</v>
      </c>
      <c r="M418" s="78">
        <f t="shared" si="307"/>
        <v>7</v>
      </c>
      <c r="N418" s="78"/>
      <c r="O418" s="78">
        <f t="shared" si="317"/>
        <v>14</v>
      </c>
    </row>
    <row r="419" spans="1:16" ht="18" customHeight="1">
      <c r="A419" s="85"/>
      <c r="B419" s="86"/>
      <c r="C419" s="87"/>
      <c r="D419" s="88"/>
      <c r="E419" s="88"/>
      <c r="F419" s="89"/>
      <c r="G419" s="90">
        <f t="shared" si="315"/>
        <v>0</v>
      </c>
      <c r="H419" s="90">
        <f t="shared" si="316"/>
        <v>0</v>
      </c>
      <c r="I419" s="91"/>
      <c r="J419" s="92"/>
      <c r="L419" s="250"/>
      <c r="M419" s="250"/>
      <c r="N419" s="250"/>
      <c r="O419" s="250"/>
    </row>
    <row r="420" spans="1:16" ht="18" customHeight="1" thickBot="1">
      <c r="A420" s="222"/>
      <c r="B420" s="223"/>
      <c r="C420" s="224"/>
      <c r="D420" s="364" t="s">
        <v>0</v>
      </c>
      <c r="E420" s="364"/>
      <c r="F420" s="269">
        <f>SUM(F417:F419)</f>
        <v>28</v>
      </c>
      <c r="G420" s="270">
        <f>SUM(G417:G419)</f>
        <v>239.14779596771558</v>
      </c>
      <c r="H420" s="270">
        <f>SUM(H417:H419)</f>
        <v>208.768</v>
      </c>
      <c r="I420" s="271"/>
      <c r="J420" s="272"/>
      <c r="L420" s="250"/>
      <c r="M420" s="250"/>
      <c r="N420" s="250"/>
      <c r="O420" s="250"/>
    </row>
    <row r="421" spans="1:16" ht="18" customHeight="1">
      <c r="A421" s="273" t="s">
        <v>234</v>
      </c>
      <c r="B421" s="231" t="s">
        <v>195</v>
      </c>
      <c r="C421" s="232">
        <v>22</v>
      </c>
      <c r="D421" s="80">
        <v>761</v>
      </c>
      <c r="E421" s="80">
        <v>1810</v>
      </c>
      <c r="F421" s="233">
        <f>O421</f>
        <v>14</v>
      </c>
      <c r="G421" s="81">
        <f t="shared" ref="G421:G427" si="318">D421*E421/91809*F421</f>
        <v>210.04193488655798</v>
      </c>
      <c r="H421" s="81">
        <f t="shared" ref="H421:H427" si="319">(D421/1000)*4*F421+(E421/1000)*4*F421</f>
        <v>143.976</v>
      </c>
      <c r="I421" s="82" t="s">
        <v>261</v>
      </c>
      <c r="J421" s="83" t="s">
        <v>205</v>
      </c>
      <c r="L421" s="89">
        <v>2</v>
      </c>
      <c r="M421" s="78">
        <v>7</v>
      </c>
      <c r="N421" s="84"/>
      <c r="O421" s="78">
        <f>L421*M421-N421*L421</f>
        <v>14</v>
      </c>
      <c r="P421" s="64"/>
    </row>
    <row r="422" spans="1:16" ht="18" customHeight="1">
      <c r="A422" s="85"/>
      <c r="B422" s="86"/>
      <c r="C422" s="87"/>
      <c r="D422" s="88">
        <v>1688</v>
      </c>
      <c r="E422" s="88">
        <v>1810</v>
      </c>
      <c r="F422" s="89">
        <f t="shared" ref="F422:F427" si="320">O422</f>
        <v>7</v>
      </c>
      <c r="G422" s="90">
        <f t="shared" si="318"/>
        <v>232.95058218693157</v>
      </c>
      <c r="H422" s="90">
        <f t="shared" si="319"/>
        <v>97.943999999999988</v>
      </c>
      <c r="I422" s="91" t="str">
        <f>I421</f>
        <v>10동2라인</v>
      </c>
      <c r="J422" s="92" t="s">
        <v>206</v>
      </c>
      <c r="L422" s="89">
        <v>1</v>
      </c>
      <c r="M422" s="78">
        <f>M421</f>
        <v>7</v>
      </c>
      <c r="N422" s="84"/>
      <c r="O422" s="78">
        <f t="shared" ref="O422:O427" si="321">L422*M422-N422*L422</f>
        <v>7</v>
      </c>
    </row>
    <row r="423" spans="1:16" ht="18" customHeight="1">
      <c r="A423" s="85"/>
      <c r="B423" s="86"/>
      <c r="C423" s="87"/>
      <c r="D423" s="88">
        <v>738</v>
      </c>
      <c r="E423" s="88">
        <v>1310</v>
      </c>
      <c r="F423" s="89">
        <f t="shared" si="320"/>
        <v>28</v>
      </c>
      <c r="G423" s="90">
        <f t="shared" si="318"/>
        <v>294.84952455641604</v>
      </c>
      <c r="H423" s="90">
        <f t="shared" si="319"/>
        <v>229.376</v>
      </c>
      <c r="I423" s="91" t="str">
        <f t="shared" ref="I423:I427" si="322">I422</f>
        <v>10동2라인</v>
      </c>
      <c r="J423" s="92" t="s">
        <v>207</v>
      </c>
      <c r="L423" s="89">
        <v>4</v>
      </c>
      <c r="M423" s="78">
        <f t="shared" ref="M423:M426" si="323">M422</f>
        <v>7</v>
      </c>
      <c r="N423" s="78"/>
      <c r="O423" s="78">
        <f t="shared" si="321"/>
        <v>28</v>
      </c>
    </row>
    <row r="424" spans="1:16" ht="18" customHeight="1">
      <c r="A424" s="85"/>
      <c r="B424" s="86"/>
      <c r="C424" s="87"/>
      <c r="D424" s="88">
        <v>288</v>
      </c>
      <c r="E424" s="88">
        <v>910</v>
      </c>
      <c r="F424" s="89">
        <f t="shared" si="320"/>
        <v>14</v>
      </c>
      <c r="G424" s="90">
        <f t="shared" si="318"/>
        <v>39.964709342221347</v>
      </c>
      <c r="H424" s="90">
        <f t="shared" si="319"/>
        <v>67.087999999999994</v>
      </c>
      <c r="I424" s="91" t="str">
        <f t="shared" si="322"/>
        <v>10동2라인</v>
      </c>
      <c r="J424" s="92" t="s">
        <v>208</v>
      </c>
      <c r="L424" s="89">
        <v>2</v>
      </c>
      <c r="M424" s="78">
        <f t="shared" si="323"/>
        <v>7</v>
      </c>
      <c r="N424" s="78"/>
      <c r="O424" s="78">
        <f t="shared" si="321"/>
        <v>14</v>
      </c>
    </row>
    <row r="425" spans="1:16" ht="18" customHeight="1">
      <c r="A425" s="85"/>
      <c r="B425" s="86"/>
      <c r="C425" s="87"/>
      <c r="D425" s="88">
        <v>228</v>
      </c>
      <c r="E425" s="88">
        <v>910</v>
      </c>
      <c r="F425" s="89">
        <f t="shared" si="320"/>
        <v>14</v>
      </c>
      <c r="G425" s="90">
        <f t="shared" si="318"/>
        <v>31.638728229258568</v>
      </c>
      <c r="H425" s="90">
        <f t="shared" si="319"/>
        <v>63.728000000000002</v>
      </c>
      <c r="I425" s="91" t="str">
        <f t="shared" si="322"/>
        <v>10동2라인</v>
      </c>
      <c r="J425" s="92" t="s">
        <v>209</v>
      </c>
      <c r="L425" s="89">
        <v>2</v>
      </c>
      <c r="M425" s="78">
        <f t="shared" si="323"/>
        <v>7</v>
      </c>
      <c r="N425" s="78"/>
      <c r="O425" s="78">
        <f t="shared" si="321"/>
        <v>14</v>
      </c>
    </row>
    <row r="426" spans="1:16" ht="18" customHeight="1">
      <c r="A426" s="85"/>
      <c r="B426" s="86"/>
      <c r="C426" s="87"/>
      <c r="D426" s="88">
        <v>438</v>
      </c>
      <c r="E426" s="88">
        <v>270</v>
      </c>
      <c r="F426" s="89">
        <f t="shared" si="320"/>
        <v>14</v>
      </c>
      <c r="G426" s="90">
        <f t="shared" si="318"/>
        <v>18.033526124889718</v>
      </c>
      <c r="H426" s="90">
        <f t="shared" si="319"/>
        <v>39.647999999999996</v>
      </c>
      <c r="I426" s="91" t="str">
        <f t="shared" si="322"/>
        <v>10동2라인</v>
      </c>
      <c r="J426" s="92" t="s">
        <v>210</v>
      </c>
      <c r="L426" s="89">
        <v>2</v>
      </c>
      <c r="M426" s="78">
        <f t="shared" si="323"/>
        <v>7</v>
      </c>
      <c r="N426" s="78"/>
      <c r="O426" s="78">
        <f t="shared" si="321"/>
        <v>14</v>
      </c>
    </row>
    <row r="427" spans="1:16" ht="18" customHeight="1">
      <c r="A427" s="85"/>
      <c r="B427" s="86"/>
      <c r="C427" s="87"/>
      <c r="D427" s="88">
        <v>208</v>
      </c>
      <c r="E427" s="88">
        <v>910</v>
      </c>
      <c r="F427" s="89">
        <f t="shared" si="320"/>
        <v>14</v>
      </c>
      <c r="G427" s="90">
        <f t="shared" si="318"/>
        <v>28.863401191604311</v>
      </c>
      <c r="H427" s="90">
        <f t="shared" si="319"/>
        <v>62.608000000000004</v>
      </c>
      <c r="I427" s="91" t="str">
        <f t="shared" si="322"/>
        <v>10동2라인</v>
      </c>
      <c r="J427" s="92" t="s">
        <v>211</v>
      </c>
      <c r="L427" s="89">
        <v>2</v>
      </c>
      <c r="M427" s="78">
        <f>M426</f>
        <v>7</v>
      </c>
      <c r="N427" s="78"/>
      <c r="O427" s="78">
        <f t="shared" si="321"/>
        <v>14</v>
      </c>
    </row>
    <row r="428" spans="1:16" ht="18" customHeight="1">
      <c r="A428" s="85"/>
      <c r="B428" s="93"/>
      <c r="C428" s="87"/>
      <c r="D428" s="325" t="s">
        <v>0</v>
      </c>
      <c r="E428" s="325"/>
      <c r="F428" s="94">
        <f>SUM(F421:F427)</f>
        <v>105</v>
      </c>
      <c r="G428" s="95">
        <f>SUM(G421:G427)</f>
        <v>856.34240651787968</v>
      </c>
      <c r="H428" s="96">
        <f>SUM(H421:H427)</f>
        <v>704.36799999999994</v>
      </c>
      <c r="I428" s="97"/>
      <c r="J428" s="162"/>
    </row>
    <row r="429" spans="1:16" ht="18" customHeight="1">
      <c r="A429" s="85"/>
      <c r="B429" s="93"/>
      <c r="C429" s="87"/>
      <c r="D429" s="161"/>
      <c r="E429" s="161"/>
      <c r="F429" s="89"/>
      <c r="G429" s="100"/>
      <c r="H429" s="101"/>
      <c r="I429" s="102"/>
      <c r="J429" s="121"/>
      <c r="L429" s="78" t="s">
        <v>48</v>
      </c>
      <c r="M429" s="78" t="s">
        <v>54</v>
      </c>
      <c r="N429" s="78" t="s">
        <v>50</v>
      </c>
      <c r="O429" s="78" t="s">
        <v>55</v>
      </c>
    </row>
    <row r="430" spans="1:16" ht="18" customHeight="1">
      <c r="A430" s="85"/>
      <c r="B430" s="23" t="s">
        <v>197</v>
      </c>
      <c r="C430" s="24">
        <v>22</v>
      </c>
      <c r="D430" s="88">
        <v>761</v>
      </c>
      <c r="E430" s="88">
        <v>1810</v>
      </c>
      <c r="F430" s="89">
        <f t="shared" ref="F430:F436" si="324">O430</f>
        <v>14</v>
      </c>
      <c r="G430" s="90">
        <f t="shared" ref="G430:G436" si="325">D430*E430/91809*F430</f>
        <v>210.04193488655798</v>
      </c>
      <c r="H430" s="90">
        <f t="shared" ref="H430:H436" si="326">(D430/1000)*4*F430+(E430/1000)*4*F430</f>
        <v>143.976</v>
      </c>
      <c r="I430" s="91" t="str">
        <f t="shared" ref="I430:I436" si="327">I421</f>
        <v>10동2라인</v>
      </c>
      <c r="J430" s="92" t="s">
        <v>212</v>
      </c>
      <c r="L430" s="89">
        <v>2</v>
      </c>
      <c r="M430" s="78">
        <f>M421</f>
        <v>7</v>
      </c>
      <c r="N430" s="84"/>
      <c r="O430" s="78">
        <f>L430*M430-N430*L430</f>
        <v>14</v>
      </c>
    </row>
    <row r="431" spans="1:16" ht="18" customHeight="1">
      <c r="A431" s="85"/>
      <c r="B431" s="86"/>
      <c r="C431" s="87"/>
      <c r="D431" s="88">
        <v>1688</v>
      </c>
      <c r="E431" s="88">
        <v>1810</v>
      </c>
      <c r="F431" s="89">
        <f t="shared" si="324"/>
        <v>7</v>
      </c>
      <c r="G431" s="90">
        <f t="shared" si="325"/>
        <v>232.95058218693157</v>
      </c>
      <c r="H431" s="90">
        <f t="shared" si="326"/>
        <v>97.943999999999988</v>
      </c>
      <c r="I431" s="91" t="str">
        <f t="shared" si="327"/>
        <v>10동2라인</v>
      </c>
      <c r="J431" s="92" t="s">
        <v>213</v>
      </c>
      <c r="L431" s="89">
        <v>1</v>
      </c>
      <c r="M431" s="78">
        <f>M430</f>
        <v>7</v>
      </c>
      <c r="N431" s="84"/>
      <c r="O431" s="78">
        <f>L431*M431-N431*L431</f>
        <v>7</v>
      </c>
    </row>
    <row r="432" spans="1:16" ht="18" customHeight="1">
      <c r="A432" s="104"/>
      <c r="B432" s="93"/>
      <c r="C432" s="87"/>
      <c r="D432" s="88">
        <v>738</v>
      </c>
      <c r="E432" s="88">
        <v>1310</v>
      </c>
      <c r="F432" s="89">
        <f t="shared" si="324"/>
        <v>28</v>
      </c>
      <c r="G432" s="90">
        <f t="shared" si="325"/>
        <v>294.84952455641604</v>
      </c>
      <c r="H432" s="90">
        <f t="shared" si="326"/>
        <v>229.376</v>
      </c>
      <c r="I432" s="91" t="str">
        <f t="shared" si="327"/>
        <v>10동2라인</v>
      </c>
      <c r="J432" s="92" t="s">
        <v>214</v>
      </c>
      <c r="L432" s="89">
        <v>4</v>
      </c>
      <c r="M432" s="78">
        <f t="shared" ref="M432:M436" si="328">M431</f>
        <v>7</v>
      </c>
      <c r="N432" s="84"/>
      <c r="O432" s="78">
        <f t="shared" ref="O432:O436" si="329">L432*M432-N432*L432</f>
        <v>28</v>
      </c>
    </row>
    <row r="433" spans="1:16" ht="18" customHeight="1">
      <c r="A433" s="104"/>
      <c r="B433" s="93"/>
      <c r="C433" s="87"/>
      <c r="D433" s="88">
        <v>288</v>
      </c>
      <c r="E433" s="88">
        <v>910</v>
      </c>
      <c r="F433" s="89">
        <f t="shared" si="324"/>
        <v>14</v>
      </c>
      <c r="G433" s="90">
        <f t="shared" si="325"/>
        <v>39.964709342221347</v>
      </c>
      <c r="H433" s="90">
        <f t="shared" si="326"/>
        <v>67.087999999999994</v>
      </c>
      <c r="I433" s="91" t="str">
        <f t="shared" si="327"/>
        <v>10동2라인</v>
      </c>
      <c r="J433" s="92" t="s">
        <v>215</v>
      </c>
      <c r="L433" s="89">
        <v>2</v>
      </c>
      <c r="M433" s="78">
        <f t="shared" si="328"/>
        <v>7</v>
      </c>
      <c r="N433" s="78"/>
      <c r="O433" s="78">
        <f t="shared" si="329"/>
        <v>14</v>
      </c>
    </row>
    <row r="434" spans="1:16" ht="18" customHeight="1">
      <c r="A434" s="104"/>
      <c r="B434" s="93"/>
      <c r="C434" s="87"/>
      <c r="D434" s="88">
        <v>228</v>
      </c>
      <c r="E434" s="88">
        <v>910</v>
      </c>
      <c r="F434" s="89">
        <f t="shared" si="324"/>
        <v>14</v>
      </c>
      <c r="G434" s="90">
        <f t="shared" si="325"/>
        <v>31.638728229258568</v>
      </c>
      <c r="H434" s="90">
        <f t="shared" si="326"/>
        <v>63.728000000000002</v>
      </c>
      <c r="I434" s="91" t="str">
        <f t="shared" si="327"/>
        <v>10동2라인</v>
      </c>
      <c r="J434" s="92" t="s">
        <v>216</v>
      </c>
      <c r="L434" s="89">
        <v>2</v>
      </c>
      <c r="M434" s="78">
        <f t="shared" si="328"/>
        <v>7</v>
      </c>
      <c r="N434" s="78"/>
      <c r="O434" s="78">
        <f t="shared" si="329"/>
        <v>14</v>
      </c>
    </row>
    <row r="435" spans="1:16" ht="18" customHeight="1">
      <c r="A435" s="104"/>
      <c r="B435" s="93"/>
      <c r="C435" s="87"/>
      <c r="D435" s="88">
        <v>438</v>
      </c>
      <c r="E435" s="88">
        <v>270</v>
      </c>
      <c r="F435" s="89">
        <f t="shared" si="324"/>
        <v>14</v>
      </c>
      <c r="G435" s="90">
        <f t="shared" si="325"/>
        <v>18.033526124889718</v>
      </c>
      <c r="H435" s="90">
        <f t="shared" si="326"/>
        <v>39.647999999999996</v>
      </c>
      <c r="I435" s="91" t="str">
        <f t="shared" si="327"/>
        <v>10동2라인</v>
      </c>
      <c r="J435" s="92" t="s">
        <v>217</v>
      </c>
      <c r="L435" s="89">
        <v>2</v>
      </c>
      <c r="M435" s="78">
        <f t="shared" si="328"/>
        <v>7</v>
      </c>
      <c r="N435" s="78"/>
      <c r="O435" s="78">
        <f t="shared" si="329"/>
        <v>14</v>
      </c>
    </row>
    <row r="436" spans="1:16" ht="18" customHeight="1">
      <c r="A436" s="104"/>
      <c r="B436" s="93"/>
      <c r="C436" s="87"/>
      <c r="D436" s="88">
        <v>208</v>
      </c>
      <c r="E436" s="88">
        <v>910</v>
      </c>
      <c r="F436" s="89">
        <f t="shared" si="324"/>
        <v>14</v>
      </c>
      <c r="G436" s="90">
        <f t="shared" si="325"/>
        <v>28.863401191604311</v>
      </c>
      <c r="H436" s="90">
        <f t="shared" si="326"/>
        <v>62.608000000000004</v>
      </c>
      <c r="I436" s="91" t="str">
        <f t="shared" si="327"/>
        <v>10동2라인</v>
      </c>
      <c r="J436" s="92" t="s">
        <v>218</v>
      </c>
      <c r="L436" s="89">
        <v>2</v>
      </c>
      <c r="M436" s="78">
        <f t="shared" si="328"/>
        <v>7</v>
      </c>
      <c r="N436" s="78"/>
      <c r="O436" s="78">
        <f t="shared" si="329"/>
        <v>14</v>
      </c>
    </row>
    <row r="437" spans="1:16" ht="18" customHeight="1">
      <c r="A437" s="104"/>
      <c r="B437" s="87"/>
      <c r="C437" s="87"/>
      <c r="D437" s="325" t="s">
        <v>0</v>
      </c>
      <c r="E437" s="325"/>
      <c r="F437" s="171">
        <f>SUM(F430:F436)</f>
        <v>105</v>
      </c>
      <c r="G437" s="95">
        <f>SUM(G430:G436)</f>
        <v>856.34240651787968</v>
      </c>
      <c r="H437" s="95">
        <f>SUM(H430:H436)</f>
        <v>704.36799999999994</v>
      </c>
      <c r="I437" s="97"/>
      <c r="J437" s="98"/>
    </row>
    <row r="438" spans="1:16">
      <c r="A438" s="105"/>
      <c r="B438" s="9"/>
      <c r="C438" s="9"/>
      <c r="D438" s="51"/>
      <c r="E438" s="51"/>
      <c r="F438" s="51"/>
      <c r="G438" s="106"/>
      <c r="H438" s="106"/>
      <c r="I438" s="9"/>
      <c r="J438" s="107"/>
    </row>
    <row r="439" spans="1:16" ht="18" customHeight="1">
      <c r="A439" s="85"/>
      <c r="B439" s="163" t="s">
        <v>199</v>
      </c>
      <c r="C439" s="163">
        <v>22</v>
      </c>
      <c r="D439" s="88">
        <v>738</v>
      </c>
      <c r="E439" s="88">
        <v>1810</v>
      </c>
      <c r="F439" s="89">
        <f t="shared" ref="F439:F440" si="330">O439</f>
        <v>0</v>
      </c>
      <c r="G439" s="90">
        <f t="shared" ref="G439:G440" si="331">D439*E439/91809*F439</f>
        <v>0</v>
      </c>
      <c r="H439" s="90">
        <f t="shared" ref="H439:H440" si="332">(D439/1000)*4*F439+(E439/1000)*4*F439</f>
        <v>0</v>
      </c>
      <c r="I439" s="91" t="str">
        <f>I430</f>
        <v>10동2라인</v>
      </c>
      <c r="J439" s="92" t="s">
        <v>219</v>
      </c>
      <c r="L439" s="89">
        <v>2</v>
      </c>
      <c r="M439" s="78">
        <f>M421</f>
        <v>7</v>
      </c>
      <c r="N439" s="84">
        <v>7</v>
      </c>
      <c r="O439" s="78">
        <f>L439*M439-N439*L439</f>
        <v>0</v>
      </c>
      <c r="P439" s="64" t="s">
        <v>285</v>
      </c>
    </row>
    <row r="440" spans="1:16" ht="18" customHeight="1">
      <c r="A440" s="85"/>
      <c r="B440" s="86"/>
      <c r="C440" s="87"/>
      <c r="D440" s="88">
        <v>250</v>
      </c>
      <c r="E440" s="88">
        <v>930</v>
      </c>
      <c r="F440" s="89">
        <f t="shared" si="330"/>
        <v>14</v>
      </c>
      <c r="G440" s="90">
        <f t="shared" si="331"/>
        <v>35.454040453550306</v>
      </c>
      <c r="H440" s="90">
        <f t="shared" si="332"/>
        <v>66.080000000000013</v>
      </c>
      <c r="I440" s="91" t="str">
        <f>I439</f>
        <v>10동2라인</v>
      </c>
      <c r="J440" s="92" t="s">
        <v>220</v>
      </c>
      <c r="L440" s="89">
        <v>2</v>
      </c>
      <c r="M440" s="78">
        <f>M439</f>
        <v>7</v>
      </c>
      <c r="N440" s="84"/>
      <c r="O440" s="78">
        <f t="shared" ref="O440" si="333">L440*M440-N440*L440</f>
        <v>14</v>
      </c>
    </row>
    <row r="441" spans="1:16" ht="18" customHeight="1">
      <c r="A441" s="85"/>
      <c r="B441" s="93"/>
      <c r="C441" s="87"/>
      <c r="D441" s="325" t="s">
        <v>0</v>
      </c>
      <c r="E441" s="325"/>
      <c r="F441" s="94">
        <f>SUM(F439:F440)</f>
        <v>14</v>
      </c>
      <c r="G441" s="95">
        <f>SUM(G439:G440)</f>
        <v>35.454040453550306</v>
      </c>
      <c r="H441" s="95">
        <f>SUM(H439:H440)</f>
        <v>66.080000000000013</v>
      </c>
      <c r="I441" s="97"/>
      <c r="J441" s="98"/>
    </row>
    <row r="442" spans="1:16">
      <c r="A442" s="236"/>
      <c r="B442" s="237"/>
      <c r="C442" s="238"/>
      <c r="D442" s="362"/>
      <c r="E442" s="362"/>
      <c r="F442" s="239"/>
      <c r="G442" s="240"/>
      <c r="H442" s="241"/>
      <c r="I442" s="242"/>
      <c r="J442" s="243"/>
    </row>
    <row r="443" spans="1:16" ht="18" customHeight="1">
      <c r="A443" s="244" t="s">
        <v>234</v>
      </c>
      <c r="B443" s="23" t="s">
        <v>195</v>
      </c>
      <c r="C443" s="24">
        <v>22</v>
      </c>
      <c r="D443" s="88">
        <v>761</v>
      </c>
      <c r="E443" s="88">
        <v>1810</v>
      </c>
      <c r="F443" s="89">
        <f>O443</f>
        <v>14</v>
      </c>
      <c r="G443" s="90">
        <f t="shared" ref="G443:G449" si="334">D443*E443/91809*F443</f>
        <v>210.04193488655798</v>
      </c>
      <c r="H443" s="90">
        <f t="shared" ref="H443:H449" si="335">(D443/1000)*4*F443+(E443/1000)*4*F443</f>
        <v>143.976</v>
      </c>
      <c r="I443" s="91" t="s">
        <v>262</v>
      </c>
      <c r="J443" s="92" t="s">
        <v>205</v>
      </c>
      <c r="L443" s="89">
        <v>2</v>
      </c>
      <c r="M443" s="78">
        <v>7</v>
      </c>
      <c r="N443" s="84"/>
      <c r="O443" s="78">
        <f>L443*M443-N443*L443</f>
        <v>14</v>
      </c>
      <c r="P443" s="64"/>
    </row>
    <row r="444" spans="1:16" ht="18" customHeight="1">
      <c r="A444" s="85"/>
      <c r="B444" s="86"/>
      <c r="C444" s="87"/>
      <c r="D444" s="88">
        <v>1688</v>
      </c>
      <c r="E444" s="88">
        <v>1810</v>
      </c>
      <c r="F444" s="89">
        <f t="shared" ref="F444:F449" si="336">O444</f>
        <v>7</v>
      </c>
      <c r="G444" s="90">
        <f t="shared" si="334"/>
        <v>232.95058218693157</v>
      </c>
      <c r="H444" s="90">
        <f t="shared" si="335"/>
        <v>97.943999999999988</v>
      </c>
      <c r="I444" s="91" t="str">
        <f>I443</f>
        <v>10동3라인</v>
      </c>
      <c r="J444" s="92" t="s">
        <v>206</v>
      </c>
      <c r="L444" s="89">
        <v>1</v>
      </c>
      <c r="M444" s="78">
        <f>M443</f>
        <v>7</v>
      </c>
      <c r="N444" s="84"/>
      <c r="O444" s="78">
        <f t="shared" ref="O444:O449" si="337">L444*M444-N444*L444</f>
        <v>7</v>
      </c>
    </row>
    <row r="445" spans="1:16" ht="18" customHeight="1">
      <c r="A445" s="85"/>
      <c r="B445" s="86"/>
      <c r="C445" s="87"/>
      <c r="D445" s="88">
        <v>738</v>
      </c>
      <c r="E445" s="88">
        <v>1310</v>
      </c>
      <c r="F445" s="89">
        <f t="shared" si="336"/>
        <v>28</v>
      </c>
      <c r="G445" s="90">
        <f t="shared" si="334"/>
        <v>294.84952455641604</v>
      </c>
      <c r="H445" s="90">
        <f t="shared" si="335"/>
        <v>229.376</v>
      </c>
      <c r="I445" s="91" t="str">
        <f t="shared" ref="I445:I449" si="338">I444</f>
        <v>10동3라인</v>
      </c>
      <c r="J445" s="92" t="s">
        <v>207</v>
      </c>
      <c r="L445" s="89">
        <v>4</v>
      </c>
      <c r="M445" s="78">
        <f t="shared" ref="M445:M448" si="339">M444</f>
        <v>7</v>
      </c>
      <c r="N445" s="78"/>
      <c r="O445" s="78">
        <f t="shared" si="337"/>
        <v>28</v>
      </c>
    </row>
    <row r="446" spans="1:16" ht="18" customHeight="1">
      <c r="A446" s="85"/>
      <c r="B446" s="86"/>
      <c r="C446" s="87"/>
      <c r="D446" s="88">
        <v>288</v>
      </c>
      <c r="E446" s="88">
        <v>910</v>
      </c>
      <c r="F446" s="89">
        <f t="shared" si="336"/>
        <v>14</v>
      </c>
      <c r="G446" s="90">
        <f t="shared" si="334"/>
        <v>39.964709342221347</v>
      </c>
      <c r="H446" s="90">
        <f t="shared" si="335"/>
        <v>67.087999999999994</v>
      </c>
      <c r="I446" s="91" t="str">
        <f t="shared" si="338"/>
        <v>10동3라인</v>
      </c>
      <c r="J446" s="92" t="s">
        <v>208</v>
      </c>
      <c r="L446" s="89">
        <v>2</v>
      </c>
      <c r="M446" s="78">
        <f t="shared" si="339"/>
        <v>7</v>
      </c>
      <c r="N446" s="78"/>
      <c r="O446" s="78">
        <f t="shared" si="337"/>
        <v>14</v>
      </c>
    </row>
    <row r="447" spans="1:16" ht="18" customHeight="1">
      <c r="A447" s="85"/>
      <c r="B447" s="86"/>
      <c r="C447" s="87"/>
      <c r="D447" s="88">
        <v>228</v>
      </c>
      <c r="E447" s="88">
        <v>910</v>
      </c>
      <c r="F447" s="89">
        <f t="shared" si="336"/>
        <v>14</v>
      </c>
      <c r="G447" s="90">
        <f t="shared" si="334"/>
        <v>31.638728229258568</v>
      </c>
      <c r="H447" s="90">
        <f t="shared" si="335"/>
        <v>63.728000000000002</v>
      </c>
      <c r="I447" s="91" t="str">
        <f t="shared" si="338"/>
        <v>10동3라인</v>
      </c>
      <c r="J447" s="92" t="s">
        <v>209</v>
      </c>
      <c r="L447" s="89">
        <v>2</v>
      </c>
      <c r="M447" s="78">
        <f t="shared" si="339"/>
        <v>7</v>
      </c>
      <c r="N447" s="78"/>
      <c r="O447" s="78">
        <f t="shared" si="337"/>
        <v>14</v>
      </c>
    </row>
    <row r="448" spans="1:16" ht="18" customHeight="1">
      <c r="A448" s="85"/>
      <c r="B448" s="86"/>
      <c r="C448" s="87"/>
      <c r="D448" s="88">
        <v>438</v>
      </c>
      <c r="E448" s="88">
        <v>270</v>
      </c>
      <c r="F448" s="89">
        <f t="shared" si="336"/>
        <v>14</v>
      </c>
      <c r="G448" s="90">
        <f t="shared" si="334"/>
        <v>18.033526124889718</v>
      </c>
      <c r="H448" s="90">
        <f t="shared" si="335"/>
        <v>39.647999999999996</v>
      </c>
      <c r="I448" s="91" t="str">
        <f t="shared" si="338"/>
        <v>10동3라인</v>
      </c>
      <c r="J448" s="92" t="s">
        <v>210</v>
      </c>
      <c r="L448" s="89">
        <v>2</v>
      </c>
      <c r="M448" s="78">
        <f t="shared" si="339"/>
        <v>7</v>
      </c>
      <c r="N448" s="78"/>
      <c r="O448" s="78">
        <f t="shared" si="337"/>
        <v>14</v>
      </c>
    </row>
    <row r="449" spans="1:16" ht="18" customHeight="1">
      <c r="A449" s="85"/>
      <c r="B449" s="86"/>
      <c r="C449" s="87"/>
      <c r="D449" s="88">
        <v>208</v>
      </c>
      <c r="E449" s="88">
        <v>910</v>
      </c>
      <c r="F449" s="89">
        <f t="shared" si="336"/>
        <v>14</v>
      </c>
      <c r="G449" s="90">
        <f t="shared" si="334"/>
        <v>28.863401191604311</v>
      </c>
      <c r="H449" s="90">
        <f t="shared" si="335"/>
        <v>62.608000000000004</v>
      </c>
      <c r="I449" s="91" t="str">
        <f t="shared" si="338"/>
        <v>10동3라인</v>
      </c>
      <c r="J449" s="92" t="s">
        <v>211</v>
      </c>
      <c r="L449" s="89">
        <v>2</v>
      </c>
      <c r="M449" s="78">
        <f>M448</f>
        <v>7</v>
      </c>
      <c r="N449" s="78"/>
      <c r="O449" s="78">
        <f t="shared" si="337"/>
        <v>14</v>
      </c>
    </row>
    <row r="450" spans="1:16" ht="18" customHeight="1">
      <c r="A450" s="85"/>
      <c r="B450" s="93"/>
      <c r="C450" s="87"/>
      <c r="D450" s="325" t="s">
        <v>0</v>
      </c>
      <c r="E450" s="325"/>
      <c r="F450" s="94">
        <f>SUM(F443:F449)</f>
        <v>105</v>
      </c>
      <c r="G450" s="95">
        <f>SUM(G443:G449)</f>
        <v>856.34240651787968</v>
      </c>
      <c r="H450" s="96">
        <f>SUM(H443:H449)</f>
        <v>704.36799999999994</v>
      </c>
      <c r="I450" s="97"/>
      <c r="J450" s="162"/>
    </row>
    <row r="451" spans="1:16" ht="18" customHeight="1">
      <c r="A451" s="85"/>
      <c r="B451" s="93"/>
      <c r="C451" s="87"/>
      <c r="D451" s="161"/>
      <c r="E451" s="161"/>
      <c r="F451" s="89"/>
      <c r="G451" s="100"/>
      <c r="H451" s="101"/>
      <c r="I451" s="102"/>
      <c r="J451" s="121"/>
      <c r="L451" s="78" t="s">
        <v>48</v>
      </c>
      <c r="M451" s="78" t="s">
        <v>54</v>
      </c>
      <c r="N451" s="78" t="s">
        <v>50</v>
      </c>
      <c r="O451" s="78" t="s">
        <v>55</v>
      </c>
    </row>
    <row r="452" spans="1:16" ht="18" customHeight="1">
      <c r="A452" s="85"/>
      <c r="B452" s="23" t="s">
        <v>197</v>
      </c>
      <c r="C452" s="24">
        <v>22</v>
      </c>
      <c r="D452" s="88">
        <v>761</v>
      </c>
      <c r="E452" s="88">
        <v>1810</v>
      </c>
      <c r="F452" s="89">
        <f t="shared" ref="F452:F458" si="340">O452</f>
        <v>14</v>
      </c>
      <c r="G452" s="90">
        <f t="shared" ref="G452:G458" si="341">D452*E452/91809*F452</f>
        <v>210.04193488655798</v>
      </c>
      <c r="H452" s="90">
        <f t="shared" ref="H452:H458" si="342">(D452/1000)*4*F452+(E452/1000)*4*F452</f>
        <v>143.976</v>
      </c>
      <c r="I452" s="91" t="str">
        <f t="shared" ref="I452:I458" si="343">I443</f>
        <v>10동3라인</v>
      </c>
      <c r="J452" s="92" t="s">
        <v>212</v>
      </c>
      <c r="L452" s="89">
        <v>2</v>
      </c>
      <c r="M452" s="78">
        <f>M443</f>
        <v>7</v>
      </c>
      <c r="N452" s="84"/>
      <c r="O452" s="78">
        <f>L452*M452-N452*L452</f>
        <v>14</v>
      </c>
    </row>
    <row r="453" spans="1:16" ht="18" customHeight="1">
      <c r="A453" s="85"/>
      <c r="B453" s="86"/>
      <c r="C453" s="87"/>
      <c r="D453" s="88">
        <v>1688</v>
      </c>
      <c r="E453" s="88">
        <v>1810</v>
      </c>
      <c r="F453" s="89">
        <f t="shared" si="340"/>
        <v>7</v>
      </c>
      <c r="G453" s="90">
        <f t="shared" si="341"/>
        <v>232.95058218693157</v>
      </c>
      <c r="H453" s="90">
        <f t="shared" si="342"/>
        <v>97.943999999999988</v>
      </c>
      <c r="I453" s="91" t="str">
        <f t="shared" si="343"/>
        <v>10동3라인</v>
      </c>
      <c r="J453" s="92" t="s">
        <v>213</v>
      </c>
      <c r="L453" s="89">
        <v>1</v>
      </c>
      <c r="M453" s="78">
        <f>M452</f>
        <v>7</v>
      </c>
      <c r="N453" s="84"/>
      <c r="O453" s="78">
        <f>L453*M453-N453*L453</f>
        <v>7</v>
      </c>
    </row>
    <row r="454" spans="1:16" ht="18" customHeight="1">
      <c r="A454" s="104"/>
      <c r="B454" s="93"/>
      <c r="C454" s="87"/>
      <c r="D454" s="88">
        <v>738</v>
      </c>
      <c r="E454" s="88">
        <v>1310</v>
      </c>
      <c r="F454" s="89">
        <f t="shared" si="340"/>
        <v>28</v>
      </c>
      <c r="G454" s="90">
        <f t="shared" si="341"/>
        <v>294.84952455641604</v>
      </c>
      <c r="H454" s="90">
        <f t="shared" si="342"/>
        <v>229.376</v>
      </c>
      <c r="I454" s="91" t="str">
        <f t="shared" si="343"/>
        <v>10동3라인</v>
      </c>
      <c r="J454" s="92" t="s">
        <v>214</v>
      </c>
      <c r="L454" s="89">
        <v>4</v>
      </c>
      <c r="M454" s="78">
        <f t="shared" ref="M454:M458" si="344">M453</f>
        <v>7</v>
      </c>
      <c r="N454" s="84"/>
      <c r="O454" s="78">
        <f t="shared" ref="O454:O458" si="345">L454*M454-N454*L454</f>
        <v>28</v>
      </c>
    </row>
    <row r="455" spans="1:16" ht="18" customHeight="1">
      <c r="A455" s="104"/>
      <c r="B455" s="93"/>
      <c r="C455" s="87"/>
      <c r="D455" s="88">
        <v>288</v>
      </c>
      <c r="E455" s="88">
        <v>910</v>
      </c>
      <c r="F455" s="89">
        <f t="shared" si="340"/>
        <v>14</v>
      </c>
      <c r="G455" s="90">
        <f t="shared" si="341"/>
        <v>39.964709342221347</v>
      </c>
      <c r="H455" s="90">
        <f t="shared" si="342"/>
        <v>67.087999999999994</v>
      </c>
      <c r="I455" s="91" t="str">
        <f t="shared" si="343"/>
        <v>10동3라인</v>
      </c>
      <c r="J455" s="92" t="s">
        <v>215</v>
      </c>
      <c r="L455" s="89">
        <v>2</v>
      </c>
      <c r="M455" s="78">
        <f t="shared" si="344"/>
        <v>7</v>
      </c>
      <c r="N455" s="78"/>
      <c r="O455" s="78">
        <f t="shared" si="345"/>
        <v>14</v>
      </c>
    </row>
    <row r="456" spans="1:16" ht="18" customHeight="1">
      <c r="A456" s="104"/>
      <c r="B456" s="93"/>
      <c r="C456" s="87"/>
      <c r="D456" s="88">
        <v>228</v>
      </c>
      <c r="E456" s="88">
        <v>910</v>
      </c>
      <c r="F456" s="89">
        <f t="shared" si="340"/>
        <v>14</v>
      </c>
      <c r="G456" s="90">
        <f t="shared" si="341"/>
        <v>31.638728229258568</v>
      </c>
      <c r="H456" s="90">
        <f t="shared" si="342"/>
        <v>63.728000000000002</v>
      </c>
      <c r="I456" s="91" t="str">
        <f t="shared" si="343"/>
        <v>10동3라인</v>
      </c>
      <c r="J456" s="92" t="s">
        <v>216</v>
      </c>
      <c r="L456" s="89">
        <v>2</v>
      </c>
      <c r="M456" s="78">
        <f t="shared" si="344"/>
        <v>7</v>
      </c>
      <c r="N456" s="78"/>
      <c r="O456" s="78">
        <f t="shared" si="345"/>
        <v>14</v>
      </c>
    </row>
    <row r="457" spans="1:16" ht="18" customHeight="1">
      <c r="A457" s="104"/>
      <c r="B457" s="93"/>
      <c r="C457" s="87"/>
      <c r="D457" s="88">
        <v>438</v>
      </c>
      <c r="E457" s="88">
        <v>270</v>
      </c>
      <c r="F457" s="89">
        <f t="shared" si="340"/>
        <v>14</v>
      </c>
      <c r="G457" s="90">
        <f t="shared" si="341"/>
        <v>18.033526124889718</v>
      </c>
      <c r="H457" s="90">
        <f t="shared" si="342"/>
        <v>39.647999999999996</v>
      </c>
      <c r="I457" s="91" t="str">
        <f t="shared" si="343"/>
        <v>10동3라인</v>
      </c>
      <c r="J457" s="92" t="s">
        <v>217</v>
      </c>
      <c r="L457" s="89">
        <v>2</v>
      </c>
      <c r="M457" s="78">
        <f t="shared" si="344"/>
        <v>7</v>
      </c>
      <c r="N457" s="78"/>
      <c r="O457" s="78">
        <f t="shared" si="345"/>
        <v>14</v>
      </c>
    </row>
    <row r="458" spans="1:16" ht="18" customHeight="1">
      <c r="A458" s="104"/>
      <c r="B458" s="93"/>
      <c r="C458" s="87"/>
      <c r="D458" s="88">
        <v>208</v>
      </c>
      <c r="E458" s="88">
        <v>910</v>
      </c>
      <c r="F458" s="89">
        <f t="shared" si="340"/>
        <v>14</v>
      </c>
      <c r="G458" s="90">
        <f t="shared" si="341"/>
        <v>28.863401191604311</v>
      </c>
      <c r="H458" s="90">
        <f t="shared" si="342"/>
        <v>62.608000000000004</v>
      </c>
      <c r="I458" s="91" t="str">
        <f t="shared" si="343"/>
        <v>10동3라인</v>
      </c>
      <c r="J458" s="92" t="s">
        <v>218</v>
      </c>
      <c r="L458" s="89">
        <v>2</v>
      </c>
      <c r="M458" s="78">
        <f t="shared" si="344"/>
        <v>7</v>
      </c>
      <c r="N458" s="78"/>
      <c r="O458" s="78">
        <f t="shared" si="345"/>
        <v>14</v>
      </c>
    </row>
    <row r="459" spans="1:16" ht="18" customHeight="1">
      <c r="A459" s="104"/>
      <c r="B459" s="87"/>
      <c r="C459" s="87"/>
      <c r="D459" s="325" t="s">
        <v>0</v>
      </c>
      <c r="E459" s="325"/>
      <c r="F459" s="171">
        <f>SUM(F452:F458)</f>
        <v>105</v>
      </c>
      <c r="G459" s="95">
        <f>SUM(G452:G458)</f>
        <v>856.34240651787968</v>
      </c>
      <c r="H459" s="95">
        <f>SUM(H452:H458)</f>
        <v>704.36799999999994</v>
      </c>
      <c r="I459" s="97"/>
      <c r="J459" s="98"/>
    </row>
    <row r="460" spans="1:16">
      <c r="A460" s="105"/>
      <c r="B460" s="9"/>
      <c r="C460" s="9"/>
      <c r="D460" s="51"/>
      <c r="E460" s="51"/>
      <c r="F460" s="51"/>
      <c r="G460" s="106"/>
      <c r="H460" s="106"/>
      <c r="I460" s="9"/>
      <c r="J460" s="107"/>
    </row>
    <row r="461" spans="1:16" ht="18" customHeight="1">
      <c r="A461" s="85"/>
      <c r="B461" s="163" t="s">
        <v>199</v>
      </c>
      <c r="C461" s="163">
        <v>22</v>
      </c>
      <c r="D461" s="88">
        <v>738</v>
      </c>
      <c r="E461" s="88">
        <v>1810</v>
      </c>
      <c r="F461" s="89">
        <f t="shared" ref="F461:F462" si="346">O461</f>
        <v>14</v>
      </c>
      <c r="G461" s="90">
        <f t="shared" ref="G461:G462" si="347">D461*E461/91809*F461</f>
        <v>203.69375551416528</v>
      </c>
      <c r="H461" s="90">
        <f t="shared" ref="H461:H462" si="348">(D461/1000)*4*F461+(E461/1000)*4*F461</f>
        <v>142.68799999999999</v>
      </c>
      <c r="I461" s="91" t="str">
        <f>I452</f>
        <v>10동3라인</v>
      </c>
      <c r="J461" s="92" t="s">
        <v>219</v>
      </c>
      <c r="L461" s="89">
        <v>2</v>
      </c>
      <c r="M461" s="78">
        <f>M443</f>
        <v>7</v>
      </c>
      <c r="N461" s="84"/>
      <c r="O461" s="78">
        <f>L461*M461-N461*L461</f>
        <v>14</v>
      </c>
      <c r="P461" s="64"/>
    </row>
    <row r="462" spans="1:16" ht="18" customHeight="1">
      <c r="A462" s="85"/>
      <c r="B462" s="86"/>
      <c r="C462" s="87"/>
      <c r="D462" s="88">
        <v>250</v>
      </c>
      <c r="E462" s="88">
        <v>930</v>
      </c>
      <c r="F462" s="89">
        <f t="shared" si="346"/>
        <v>14</v>
      </c>
      <c r="G462" s="90">
        <f t="shared" si="347"/>
        <v>35.454040453550306</v>
      </c>
      <c r="H462" s="90">
        <f t="shared" si="348"/>
        <v>66.080000000000013</v>
      </c>
      <c r="I462" s="91" t="str">
        <f>I461</f>
        <v>10동3라인</v>
      </c>
      <c r="J462" s="92" t="s">
        <v>220</v>
      </c>
      <c r="L462" s="89">
        <v>2</v>
      </c>
      <c r="M462" s="78">
        <f>M461</f>
        <v>7</v>
      </c>
      <c r="N462" s="84"/>
      <c r="O462" s="78">
        <f t="shared" ref="O462" si="349">L462*M462-N462*L462</f>
        <v>14</v>
      </c>
    </row>
    <row r="463" spans="1:16" ht="18" customHeight="1" thickBot="1">
      <c r="A463" s="222"/>
      <c r="B463" s="223"/>
      <c r="C463" s="224"/>
      <c r="D463" s="364" t="s">
        <v>0</v>
      </c>
      <c r="E463" s="364"/>
      <c r="F463" s="269">
        <f>SUM(F461:F462)</f>
        <v>28</v>
      </c>
      <c r="G463" s="270">
        <f>SUM(G461:G462)</f>
        <v>239.14779596771558</v>
      </c>
      <c r="H463" s="270">
        <f>SUM(H461:H462)</f>
        <v>208.768</v>
      </c>
      <c r="I463" s="271"/>
      <c r="J463" s="272"/>
    </row>
    <row r="464" spans="1:16" ht="18" customHeight="1">
      <c r="A464" s="79" t="s">
        <v>235</v>
      </c>
      <c r="B464" s="231" t="s">
        <v>201</v>
      </c>
      <c r="C464" s="232">
        <v>22</v>
      </c>
      <c r="D464" s="80">
        <v>861</v>
      </c>
      <c r="E464" s="80">
        <v>1810</v>
      </c>
      <c r="F464" s="233">
        <f t="shared" ref="F464:F467" si="350">O464</f>
        <v>7</v>
      </c>
      <c r="G464" s="81">
        <f t="shared" ref="G464:G467" si="351">D464*E464/91809*F464</f>
        <v>118.82135738326308</v>
      </c>
      <c r="H464" s="81">
        <f t="shared" ref="H464:H467" si="352">(D464/1000)*4*F464+(E464/1000)*4*F464</f>
        <v>74.787999999999997</v>
      </c>
      <c r="I464" s="82" t="s">
        <v>263</v>
      </c>
      <c r="J464" s="83" t="s">
        <v>205</v>
      </c>
      <c r="L464" s="89">
        <v>1</v>
      </c>
      <c r="M464" s="78">
        <v>7</v>
      </c>
      <c r="N464" s="84"/>
      <c r="O464" s="78">
        <f>L464*M464-N464*L464</f>
        <v>7</v>
      </c>
      <c r="P464" s="64"/>
    </row>
    <row r="465" spans="1:16" ht="18" customHeight="1">
      <c r="A465" s="85"/>
      <c r="B465" s="86"/>
      <c r="C465" s="87"/>
      <c r="D465" s="88">
        <v>738</v>
      </c>
      <c r="E465" s="88">
        <v>1310</v>
      </c>
      <c r="F465" s="89">
        <f t="shared" si="350"/>
        <v>28</v>
      </c>
      <c r="G465" s="90">
        <f t="shared" si="351"/>
        <v>294.84952455641604</v>
      </c>
      <c r="H465" s="90">
        <f t="shared" si="352"/>
        <v>229.376</v>
      </c>
      <c r="I465" s="91" t="str">
        <f>I464</f>
        <v>10동4라인</v>
      </c>
      <c r="J465" s="92" t="s">
        <v>207</v>
      </c>
      <c r="L465" s="89">
        <v>4</v>
      </c>
      <c r="M465" s="78">
        <f>M464</f>
        <v>7</v>
      </c>
      <c r="N465" s="84"/>
      <c r="O465" s="78">
        <f t="shared" ref="O465:O467" si="353">L465*M465-N465*L465</f>
        <v>28</v>
      </c>
    </row>
    <row r="466" spans="1:16" ht="18" customHeight="1">
      <c r="A466" s="85"/>
      <c r="B466" s="86"/>
      <c r="C466" s="87"/>
      <c r="D466" s="88">
        <v>228</v>
      </c>
      <c r="E466" s="88">
        <v>910</v>
      </c>
      <c r="F466" s="89">
        <f t="shared" si="350"/>
        <v>14</v>
      </c>
      <c r="G466" s="90">
        <f t="shared" si="351"/>
        <v>31.638728229258568</v>
      </c>
      <c r="H466" s="90">
        <f t="shared" si="352"/>
        <v>63.728000000000002</v>
      </c>
      <c r="I466" s="91" t="str">
        <f t="shared" ref="I466:I467" si="354">I465</f>
        <v>10동4라인</v>
      </c>
      <c r="J466" s="92" t="s">
        <v>209</v>
      </c>
      <c r="L466" s="89">
        <v>2</v>
      </c>
      <c r="M466" s="78">
        <f t="shared" ref="M466:M467" si="355">M465</f>
        <v>7</v>
      </c>
      <c r="N466" s="78"/>
      <c r="O466" s="78">
        <f t="shared" si="353"/>
        <v>14</v>
      </c>
    </row>
    <row r="467" spans="1:16" ht="18" customHeight="1">
      <c r="A467" s="85"/>
      <c r="B467" s="86"/>
      <c r="C467" s="87"/>
      <c r="D467" s="88">
        <v>438</v>
      </c>
      <c r="E467" s="88">
        <v>270</v>
      </c>
      <c r="F467" s="89">
        <f t="shared" si="350"/>
        <v>14</v>
      </c>
      <c r="G467" s="90">
        <f t="shared" si="351"/>
        <v>18.033526124889718</v>
      </c>
      <c r="H467" s="90">
        <f t="shared" si="352"/>
        <v>39.647999999999996</v>
      </c>
      <c r="I467" s="91" t="str">
        <f t="shared" si="354"/>
        <v>10동4라인</v>
      </c>
      <c r="J467" s="92" t="s">
        <v>210</v>
      </c>
      <c r="L467" s="89">
        <v>2</v>
      </c>
      <c r="M467" s="78">
        <f t="shared" si="355"/>
        <v>7</v>
      </c>
      <c r="N467" s="78"/>
      <c r="O467" s="78">
        <f t="shared" si="353"/>
        <v>14</v>
      </c>
    </row>
    <row r="468" spans="1:16" ht="18" customHeight="1">
      <c r="A468" s="85"/>
      <c r="B468" s="93"/>
      <c r="C468" s="87"/>
      <c r="D468" s="325" t="s">
        <v>0</v>
      </c>
      <c r="E468" s="325"/>
      <c r="F468" s="94">
        <f>SUM(F464:F467)</f>
        <v>63</v>
      </c>
      <c r="G468" s="95">
        <f>SUM(G464:G467)</f>
        <v>463.3431362938274</v>
      </c>
      <c r="H468" s="96">
        <f>SUM(H464:H467)</f>
        <v>407.53999999999996</v>
      </c>
      <c r="I468" s="97"/>
      <c r="J468" s="162"/>
    </row>
    <row r="469" spans="1:16" ht="18" customHeight="1">
      <c r="A469" s="85"/>
      <c r="B469" s="93"/>
      <c r="C469" s="87"/>
      <c r="D469" s="161"/>
      <c r="E469" s="161"/>
      <c r="F469" s="89"/>
      <c r="G469" s="100"/>
      <c r="H469" s="101"/>
      <c r="I469" s="102"/>
      <c r="J469" s="121"/>
      <c r="L469" s="252"/>
      <c r="M469" s="252"/>
      <c r="N469" s="252"/>
      <c r="O469" s="252"/>
    </row>
    <row r="470" spans="1:16" ht="18" customHeight="1">
      <c r="A470" s="85"/>
      <c r="B470" s="23" t="s">
        <v>198</v>
      </c>
      <c r="C470" s="24">
        <v>22</v>
      </c>
      <c r="D470" s="88">
        <v>861</v>
      </c>
      <c r="E470" s="88">
        <v>1810</v>
      </c>
      <c r="F470" s="89">
        <f t="shared" ref="F470:F474" si="356">O470</f>
        <v>7</v>
      </c>
      <c r="G470" s="90">
        <f t="shared" ref="G470:G474" si="357">D470*E470/91809*F470</f>
        <v>118.82135738326308</v>
      </c>
      <c r="H470" s="90">
        <f t="shared" ref="H470:H474" si="358">(D470/1000)*4*F470+(E470/1000)*4*F470</f>
        <v>74.787999999999997</v>
      </c>
      <c r="I470" s="103" t="str">
        <f>I464</f>
        <v>10동4라인</v>
      </c>
      <c r="J470" s="92" t="s">
        <v>212</v>
      </c>
      <c r="L470" s="89">
        <v>1</v>
      </c>
      <c r="M470" s="78">
        <f>M464</f>
        <v>7</v>
      </c>
      <c r="N470" s="84"/>
      <c r="O470" s="78">
        <f>L470*M470-N470*L470</f>
        <v>7</v>
      </c>
    </row>
    <row r="471" spans="1:16" ht="18" customHeight="1">
      <c r="A471" s="85"/>
      <c r="B471" s="86"/>
      <c r="C471" s="87"/>
      <c r="D471" s="88">
        <v>2114</v>
      </c>
      <c r="E471" s="88">
        <v>1810</v>
      </c>
      <c r="F471" s="89">
        <f t="shared" si="356"/>
        <v>7</v>
      </c>
      <c r="G471" s="90">
        <f t="shared" si="357"/>
        <v>291.74024333126385</v>
      </c>
      <c r="H471" s="90">
        <f t="shared" si="358"/>
        <v>109.87199999999999</v>
      </c>
      <c r="I471" s="91" t="str">
        <f>I464</f>
        <v>10동4라인</v>
      </c>
      <c r="J471" s="92" t="s">
        <v>213</v>
      </c>
      <c r="L471" s="89">
        <v>1</v>
      </c>
      <c r="M471" s="78">
        <f>M470</f>
        <v>7</v>
      </c>
      <c r="N471" s="84"/>
      <c r="O471" s="78">
        <f>L471*M471-N471*L471</f>
        <v>7</v>
      </c>
    </row>
    <row r="472" spans="1:16" ht="18" customHeight="1">
      <c r="A472" s="104"/>
      <c r="B472" s="93"/>
      <c r="C472" s="87"/>
      <c r="D472" s="88">
        <v>738</v>
      </c>
      <c r="E472" s="88">
        <v>1310</v>
      </c>
      <c r="F472" s="89">
        <f t="shared" si="356"/>
        <v>28</v>
      </c>
      <c r="G472" s="90">
        <f t="shared" si="357"/>
        <v>294.84952455641604</v>
      </c>
      <c r="H472" s="90">
        <f t="shared" si="358"/>
        <v>229.376</v>
      </c>
      <c r="I472" s="91" t="str">
        <f>I471</f>
        <v>10동4라인</v>
      </c>
      <c r="J472" s="92" t="s">
        <v>214</v>
      </c>
      <c r="L472" s="89">
        <v>4</v>
      </c>
      <c r="M472" s="78">
        <f t="shared" ref="M472:M474" si="359">M471</f>
        <v>7</v>
      </c>
      <c r="N472" s="84"/>
      <c r="O472" s="78">
        <f t="shared" ref="O472:O474" si="360">L472*M472-N472*L472</f>
        <v>28</v>
      </c>
    </row>
    <row r="473" spans="1:16" ht="18" customHeight="1">
      <c r="A473" s="104"/>
      <c r="B473" s="93"/>
      <c r="C473" s="87"/>
      <c r="D473" s="88">
        <v>228</v>
      </c>
      <c r="E473" s="88">
        <v>910</v>
      </c>
      <c r="F473" s="89">
        <f t="shared" si="356"/>
        <v>14</v>
      </c>
      <c r="G473" s="90">
        <f t="shared" si="357"/>
        <v>31.638728229258568</v>
      </c>
      <c r="H473" s="90">
        <f t="shared" si="358"/>
        <v>63.728000000000002</v>
      </c>
      <c r="I473" s="91" t="str">
        <f t="shared" ref="I473:I474" si="361">I472</f>
        <v>10동4라인</v>
      </c>
      <c r="J473" s="92" t="s">
        <v>216</v>
      </c>
      <c r="L473" s="89">
        <v>2</v>
      </c>
      <c r="M473" s="78">
        <f t="shared" si="359"/>
        <v>7</v>
      </c>
      <c r="N473" s="78"/>
      <c r="O473" s="78">
        <f t="shared" si="360"/>
        <v>14</v>
      </c>
    </row>
    <row r="474" spans="1:16" ht="18" customHeight="1">
      <c r="A474" s="104"/>
      <c r="B474" s="93"/>
      <c r="C474" s="87"/>
      <c r="D474" s="88">
        <v>438</v>
      </c>
      <c r="E474" s="88">
        <v>270</v>
      </c>
      <c r="F474" s="89">
        <f t="shared" si="356"/>
        <v>14</v>
      </c>
      <c r="G474" s="90">
        <f t="shared" si="357"/>
        <v>18.033526124889718</v>
      </c>
      <c r="H474" s="90">
        <f t="shared" si="358"/>
        <v>39.647999999999996</v>
      </c>
      <c r="I474" s="91" t="str">
        <f t="shared" si="361"/>
        <v>10동4라인</v>
      </c>
      <c r="J474" s="92" t="s">
        <v>217</v>
      </c>
      <c r="L474" s="89">
        <v>2</v>
      </c>
      <c r="M474" s="78">
        <f t="shared" si="359"/>
        <v>7</v>
      </c>
      <c r="N474" s="78"/>
      <c r="O474" s="78">
        <f t="shared" si="360"/>
        <v>14</v>
      </c>
    </row>
    <row r="475" spans="1:16" ht="18" customHeight="1">
      <c r="A475" s="104"/>
      <c r="B475" s="87"/>
      <c r="C475" s="87"/>
      <c r="D475" s="325" t="s">
        <v>0</v>
      </c>
      <c r="E475" s="325"/>
      <c r="F475" s="171">
        <f>SUM(F470:F474)</f>
        <v>70</v>
      </c>
      <c r="G475" s="95">
        <f>SUM(G470:G474)</f>
        <v>755.08337962509131</v>
      </c>
      <c r="H475" s="95">
        <f>SUM(H470:H474)</f>
        <v>517.41199999999992</v>
      </c>
      <c r="I475" s="97"/>
      <c r="J475" s="98"/>
    </row>
    <row r="476" spans="1:16">
      <c r="A476" s="105"/>
      <c r="B476" s="9"/>
      <c r="C476" s="9"/>
      <c r="D476" s="51"/>
      <c r="E476" s="51"/>
      <c r="F476" s="51"/>
      <c r="G476" s="106"/>
      <c r="H476" s="106"/>
      <c r="I476" s="9"/>
      <c r="J476" s="107"/>
    </row>
    <row r="477" spans="1:16" ht="18" customHeight="1">
      <c r="A477" s="85"/>
      <c r="B477" s="23" t="s">
        <v>237</v>
      </c>
      <c r="C477" s="24">
        <v>22</v>
      </c>
      <c r="D477" s="88">
        <v>2114</v>
      </c>
      <c r="E477" s="88">
        <v>1810</v>
      </c>
      <c r="F477" s="89">
        <f t="shared" ref="F477" si="362">O477</f>
        <v>7</v>
      </c>
      <c r="G477" s="90">
        <f t="shared" ref="G477" si="363">D477*E477/91809*F477</f>
        <v>291.74024333126385</v>
      </c>
      <c r="H477" s="90">
        <f t="shared" ref="H477" si="364">(D477/1000)*4*F477+(E477/1000)*4*F477</f>
        <v>109.87199999999999</v>
      </c>
      <c r="I477" s="91" t="str">
        <f>I470</f>
        <v>10동4라인</v>
      </c>
      <c r="J477" s="92" t="s">
        <v>206</v>
      </c>
      <c r="L477" s="89">
        <v>1</v>
      </c>
      <c r="M477" s="78">
        <f>M464</f>
        <v>7</v>
      </c>
      <c r="N477" s="84"/>
      <c r="O477" s="78">
        <f>L477*M477-N477*L477</f>
        <v>7</v>
      </c>
    </row>
    <row r="478" spans="1:16" ht="18" customHeight="1">
      <c r="A478" s="85"/>
      <c r="B478" s="93"/>
      <c r="C478" s="87"/>
      <c r="D478" s="325" t="s">
        <v>0</v>
      </c>
      <c r="E478" s="325"/>
      <c r="F478" s="94">
        <f>SUM(F477:F477)</f>
        <v>7</v>
      </c>
      <c r="G478" s="95">
        <f>SUM(G477:G477)</f>
        <v>291.74024333126385</v>
      </c>
      <c r="H478" s="95">
        <f>SUM(H477:H477)</f>
        <v>109.87199999999999</v>
      </c>
      <c r="I478" s="97"/>
      <c r="J478" s="98"/>
    </row>
    <row r="479" spans="1:16" ht="18" customHeight="1">
      <c r="A479" s="218"/>
      <c r="B479" s="219"/>
      <c r="C479" s="220"/>
      <c r="D479" s="161"/>
      <c r="E479" s="161"/>
      <c r="F479" s="89"/>
      <c r="G479" s="100"/>
      <c r="H479" s="100"/>
      <c r="I479" s="102"/>
      <c r="J479" s="221"/>
    </row>
    <row r="480" spans="1:16" ht="18" customHeight="1">
      <c r="A480" s="85"/>
      <c r="B480" s="23" t="s">
        <v>203</v>
      </c>
      <c r="C480" s="24">
        <v>22</v>
      </c>
      <c r="D480" s="88">
        <v>738</v>
      </c>
      <c r="E480" s="88">
        <v>1810</v>
      </c>
      <c r="F480" s="89">
        <f t="shared" ref="F480:F481" si="365">O480</f>
        <v>0</v>
      </c>
      <c r="G480" s="90">
        <f t="shared" ref="G480:G481" si="366">D480*E480/91809*F480</f>
        <v>0</v>
      </c>
      <c r="H480" s="90">
        <f t="shared" ref="H480:H481" si="367">(D480/1000)*4*F480+(E480/1000)*4*F480</f>
        <v>0</v>
      </c>
      <c r="I480" s="91" t="str">
        <f>I477</f>
        <v>10동4라인</v>
      </c>
      <c r="J480" s="92" t="s">
        <v>219</v>
      </c>
      <c r="L480" s="89">
        <v>2</v>
      </c>
      <c r="M480" s="78">
        <f>M477</f>
        <v>7</v>
      </c>
      <c r="N480" s="84">
        <v>7</v>
      </c>
      <c r="O480" s="78">
        <f>L480*M480-N480*L480</f>
        <v>0</v>
      </c>
      <c r="P480" s="64" t="s">
        <v>289</v>
      </c>
    </row>
    <row r="481" spans="1:16" ht="18" customHeight="1">
      <c r="A481" s="85"/>
      <c r="B481" s="86"/>
      <c r="C481" s="87"/>
      <c r="D481" s="88">
        <v>250</v>
      </c>
      <c r="E481" s="88">
        <v>930</v>
      </c>
      <c r="F481" s="89">
        <f t="shared" si="365"/>
        <v>14</v>
      </c>
      <c r="G481" s="90">
        <f t="shared" si="366"/>
        <v>35.454040453550306</v>
      </c>
      <c r="H481" s="90">
        <f t="shared" si="367"/>
        <v>66.080000000000013</v>
      </c>
      <c r="I481" s="91" t="str">
        <f>I480</f>
        <v>10동4라인</v>
      </c>
      <c r="J481" s="92" t="s">
        <v>220</v>
      </c>
      <c r="L481" s="89">
        <v>2</v>
      </c>
      <c r="M481" s="78">
        <f>M480</f>
        <v>7</v>
      </c>
      <c r="N481" s="84"/>
      <c r="O481" s="78">
        <f t="shared" ref="O481" si="368">L481*M481-N481*L481</f>
        <v>14</v>
      </c>
    </row>
    <row r="482" spans="1:16" ht="18" customHeight="1">
      <c r="A482" s="85"/>
      <c r="B482" s="93"/>
      <c r="C482" s="87"/>
      <c r="D482" s="325" t="s">
        <v>0</v>
      </c>
      <c r="E482" s="325"/>
      <c r="F482" s="94">
        <f>SUM(F480:F481)</f>
        <v>14</v>
      </c>
      <c r="G482" s="95">
        <f>SUM(G480:G481)</f>
        <v>35.454040453550306</v>
      </c>
      <c r="H482" s="96">
        <f>SUM(H480:H481)</f>
        <v>66.080000000000013</v>
      </c>
      <c r="I482" s="97"/>
      <c r="J482" s="162"/>
    </row>
    <row r="483" spans="1:16">
      <c r="A483" s="236"/>
      <c r="B483" s="237"/>
      <c r="C483" s="238"/>
      <c r="D483" s="362"/>
      <c r="E483" s="362"/>
      <c r="F483" s="239"/>
      <c r="G483" s="240"/>
      <c r="H483" s="241"/>
      <c r="I483" s="242"/>
      <c r="J483" s="243"/>
    </row>
    <row r="484" spans="1:16" ht="18" customHeight="1">
      <c r="A484" s="262" t="s">
        <v>234</v>
      </c>
      <c r="B484" s="263" t="s">
        <v>195</v>
      </c>
      <c r="C484" s="264">
        <v>22</v>
      </c>
      <c r="D484" s="265">
        <v>761</v>
      </c>
      <c r="E484" s="265">
        <v>1810</v>
      </c>
      <c r="F484" s="251">
        <f>O484</f>
        <v>28</v>
      </c>
      <c r="G484" s="266">
        <f t="shared" ref="G484:G490" si="369">D484*E484/91809*F484</f>
        <v>420.08386977311596</v>
      </c>
      <c r="H484" s="266">
        <f t="shared" ref="H484:H490" si="370">(D484/1000)*4*F484+(E484/1000)*4*F484</f>
        <v>287.952</v>
      </c>
      <c r="I484" s="267" t="s">
        <v>265</v>
      </c>
      <c r="J484" s="268" t="s">
        <v>205</v>
      </c>
      <c r="L484" s="89">
        <v>2</v>
      </c>
      <c r="M484" s="78">
        <f>2*7</f>
        <v>14</v>
      </c>
      <c r="N484" s="84"/>
      <c r="O484" s="78">
        <f>L484*M484-N484*L484</f>
        <v>28</v>
      </c>
      <c r="P484" s="64"/>
    </row>
    <row r="485" spans="1:16" ht="18" customHeight="1">
      <c r="A485" s="85"/>
      <c r="B485" s="86"/>
      <c r="C485" s="87"/>
      <c r="D485" s="88">
        <v>1688</v>
      </c>
      <c r="E485" s="88">
        <v>1810</v>
      </c>
      <c r="F485" s="89">
        <f t="shared" ref="F485:F490" si="371">O485</f>
        <v>14</v>
      </c>
      <c r="G485" s="90">
        <f t="shared" si="369"/>
        <v>465.90116437386314</v>
      </c>
      <c r="H485" s="90">
        <f t="shared" si="370"/>
        <v>195.88799999999998</v>
      </c>
      <c r="I485" s="91" t="str">
        <f>I484</f>
        <v>10동5,6라인</v>
      </c>
      <c r="J485" s="92" t="s">
        <v>206</v>
      </c>
      <c r="L485" s="89">
        <v>1</v>
      </c>
      <c r="M485" s="78">
        <f>M484</f>
        <v>14</v>
      </c>
      <c r="N485" s="84"/>
      <c r="O485" s="78">
        <f t="shared" ref="O485:O490" si="372">L485*M485-N485*L485</f>
        <v>14</v>
      </c>
    </row>
    <row r="486" spans="1:16" ht="18" customHeight="1">
      <c r="A486" s="85"/>
      <c r="B486" s="86"/>
      <c r="C486" s="87"/>
      <c r="D486" s="88">
        <v>738</v>
      </c>
      <c r="E486" s="88">
        <v>1310</v>
      </c>
      <c r="F486" s="89">
        <f t="shared" si="371"/>
        <v>56</v>
      </c>
      <c r="G486" s="90">
        <f t="shared" si="369"/>
        <v>589.69904911283209</v>
      </c>
      <c r="H486" s="90">
        <f t="shared" si="370"/>
        <v>458.75200000000001</v>
      </c>
      <c r="I486" s="91" t="str">
        <f t="shared" ref="I486:I490" si="373">I485</f>
        <v>10동5,6라인</v>
      </c>
      <c r="J486" s="92" t="s">
        <v>207</v>
      </c>
      <c r="L486" s="89">
        <v>4</v>
      </c>
      <c r="M486" s="78">
        <f t="shared" ref="M486:M489" si="374">M485</f>
        <v>14</v>
      </c>
      <c r="N486" s="78"/>
      <c r="O486" s="78">
        <f t="shared" si="372"/>
        <v>56</v>
      </c>
    </row>
    <row r="487" spans="1:16" ht="18" customHeight="1">
      <c r="A487" s="85"/>
      <c r="B487" s="86"/>
      <c r="C487" s="87"/>
      <c r="D487" s="88">
        <v>288</v>
      </c>
      <c r="E487" s="88">
        <v>910</v>
      </c>
      <c r="F487" s="89">
        <f t="shared" si="371"/>
        <v>28</v>
      </c>
      <c r="G487" s="90">
        <f t="shared" si="369"/>
        <v>79.929418684442695</v>
      </c>
      <c r="H487" s="90">
        <f t="shared" si="370"/>
        <v>134.17599999999999</v>
      </c>
      <c r="I487" s="91" t="str">
        <f t="shared" si="373"/>
        <v>10동5,6라인</v>
      </c>
      <c r="J487" s="92" t="s">
        <v>208</v>
      </c>
      <c r="L487" s="89">
        <v>2</v>
      </c>
      <c r="M487" s="78">
        <f t="shared" si="374"/>
        <v>14</v>
      </c>
      <c r="N487" s="78"/>
      <c r="O487" s="78">
        <f t="shared" si="372"/>
        <v>28</v>
      </c>
    </row>
    <row r="488" spans="1:16" ht="18" customHeight="1">
      <c r="A488" s="85"/>
      <c r="B488" s="86"/>
      <c r="C488" s="87"/>
      <c r="D488" s="88">
        <v>228</v>
      </c>
      <c r="E488" s="88">
        <v>910</v>
      </c>
      <c r="F488" s="89">
        <f t="shared" si="371"/>
        <v>28</v>
      </c>
      <c r="G488" s="90">
        <f t="shared" si="369"/>
        <v>63.277456458517136</v>
      </c>
      <c r="H488" s="90">
        <f t="shared" si="370"/>
        <v>127.456</v>
      </c>
      <c r="I488" s="91" t="str">
        <f t="shared" si="373"/>
        <v>10동5,6라인</v>
      </c>
      <c r="J488" s="92" t="s">
        <v>209</v>
      </c>
      <c r="L488" s="89">
        <v>2</v>
      </c>
      <c r="M488" s="78">
        <f t="shared" si="374"/>
        <v>14</v>
      </c>
      <c r="N488" s="78"/>
      <c r="O488" s="78">
        <f t="shared" si="372"/>
        <v>28</v>
      </c>
    </row>
    <row r="489" spans="1:16" ht="18" customHeight="1">
      <c r="A489" s="85"/>
      <c r="B489" s="86"/>
      <c r="C489" s="87"/>
      <c r="D489" s="88">
        <v>438</v>
      </c>
      <c r="E489" s="88">
        <v>270</v>
      </c>
      <c r="F489" s="89">
        <f t="shared" si="371"/>
        <v>28</v>
      </c>
      <c r="G489" s="90">
        <f t="shared" si="369"/>
        <v>36.067052249779437</v>
      </c>
      <c r="H489" s="90">
        <f t="shared" si="370"/>
        <v>79.295999999999992</v>
      </c>
      <c r="I489" s="91" t="str">
        <f t="shared" si="373"/>
        <v>10동5,6라인</v>
      </c>
      <c r="J489" s="92" t="s">
        <v>210</v>
      </c>
      <c r="L489" s="89">
        <v>2</v>
      </c>
      <c r="M489" s="78">
        <f t="shared" si="374"/>
        <v>14</v>
      </c>
      <c r="N489" s="78"/>
      <c r="O489" s="78">
        <f t="shared" si="372"/>
        <v>28</v>
      </c>
    </row>
    <row r="490" spans="1:16" ht="18" customHeight="1">
      <c r="A490" s="85"/>
      <c r="B490" s="86"/>
      <c r="C490" s="87"/>
      <c r="D490" s="88">
        <v>208</v>
      </c>
      <c r="E490" s="88">
        <v>910</v>
      </c>
      <c r="F490" s="89">
        <f t="shared" si="371"/>
        <v>28</v>
      </c>
      <c r="G490" s="90">
        <f t="shared" si="369"/>
        <v>57.726802383208621</v>
      </c>
      <c r="H490" s="90">
        <f t="shared" si="370"/>
        <v>125.21600000000001</v>
      </c>
      <c r="I490" s="91" t="str">
        <f t="shared" si="373"/>
        <v>10동5,6라인</v>
      </c>
      <c r="J490" s="92" t="s">
        <v>211</v>
      </c>
      <c r="L490" s="89">
        <v>2</v>
      </c>
      <c r="M490" s="78">
        <f>M489</f>
        <v>14</v>
      </c>
      <c r="N490" s="78"/>
      <c r="O490" s="78">
        <f t="shared" si="372"/>
        <v>28</v>
      </c>
    </row>
    <row r="491" spans="1:16" ht="18" customHeight="1">
      <c r="A491" s="85"/>
      <c r="B491" s="93"/>
      <c r="C491" s="87"/>
      <c r="D491" s="325" t="s">
        <v>0</v>
      </c>
      <c r="E491" s="325"/>
      <c r="F491" s="94">
        <f>SUM(F484:F490)</f>
        <v>210</v>
      </c>
      <c r="G491" s="95">
        <f>SUM(G484:G490)</f>
        <v>1712.6848130357594</v>
      </c>
      <c r="H491" s="96">
        <f>SUM(H484:H490)</f>
        <v>1408.7359999999999</v>
      </c>
      <c r="I491" s="97"/>
      <c r="J491" s="162"/>
    </row>
    <row r="492" spans="1:16" ht="18" customHeight="1">
      <c r="A492" s="85"/>
      <c r="B492" s="93"/>
      <c r="C492" s="87"/>
      <c r="D492" s="161"/>
      <c r="E492" s="161"/>
      <c r="F492" s="89"/>
      <c r="G492" s="100"/>
      <c r="H492" s="101"/>
      <c r="I492" s="102"/>
      <c r="J492" s="121"/>
      <c r="L492" s="78" t="s">
        <v>48</v>
      </c>
      <c r="M492" s="78" t="s">
        <v>54</v>
      </c>
      <c r="N492" s="78" t="s">
        <v>50</v>
      </c>
      <c r="O492" s="78" t="s">
        <v>55</v>
      </c>
    </row>
    <row r="493" spans="1:16" ht="18" customHeight="1">
      <c r="A493" s="85"/>
      <c r="B493" s="23" t="s">
        <v>197</v>
      </c>
      <c r="C493" s="24">
        <v>22</v>
      </c>
      <c r="D493" s="88">
        <v>761</v>
      </c>
      <c r="E493" s="88">
        <v>1810</v>
      </c>
      <c r="F493" s="89">
        <f t="shared" ref="F493:F499" si="375">O493</f>
        <v>28</v>
      </c>
      <c r="G493" s="90">
        <f t="shared" ref="G493:G499" si="376">D493*E493/91809*F493</f>
        <v>420.08386977311596</v>
      </c>
      <c r="H493" s="90">
        <f t="shared" ref="H493:H499" si="377">(D493/1000)*4*F493+(E493/1000)*4*F493</f>
        <v>287.952</v>
      </c>
      <c r="I493" s="91" t="str">
        <f t="shared" ref="I493:I499" si="378">I484</f>
        <v>10동5,6라인</v>
      </c>
      <c r="J493" s="92" t="s">
        <v>212</v>
      </c>
      <c r="L493" s="89">
        <v>2</v>
      </c>
      <c r="M493" s="78">
        <f>M484</f>
        <v>14</v>
      </c>
      <c r="N493" s="84"/>
      <c r="O493" s="78">
        <f>L493*M493-N493*L493</f>
        <v>28</v>
      </c>
    </row>
    <row r="494" spans="1:16" ht="18" customHeight="1">
      <c r="A494" s="85"/>
      <c r="B494" s="86"/>
      <c r="C494" s="87"/>
      <c r="D494" s="88">
        <v>1688</v>
      </c>
      <c r="E494" s="88">
        <v>1810</v>
      </c>
      <c r="F494" s="89">
        <f t="shared" si="375"/>
        <v>14</v>
      </c>
      <c r="G494" s="90">
        <f t="shared" si="376"/>
        <v>465.90116437386314</v>
      </c>
      <c r="H494" s="90">
        <f t="shared" si="377"/>
        <v>195.88799999999998</v>
      </c>
      <c r="I494" s="91" t="str">
        <f t="shared" si="378"/>
        <v>10동5,6라인</v>
      </c>
      <c r="J494" s="92" t="s">
        <v>213</v>
      </c>
      <c r="L494" s="89">
        <v>1</v>
      </c>
      <c r="M494" s="78">
        <f>M493</f>
        <v>14</v>
      </c>
      <c r="N494" s="84"/>
      <c r="O494" s="78">
        <f>L494*M494-N494*L494</f>
        <v>14</v>
      </c>
    </row>
    <row r="495" spans="1:16" ht="18" customHeight="1">
      <c r="A495" s="104"/>
      <c r="B495" s="93"/>
      <c r="C495" s="87"/>
      <c r="D495" s="88">
        <v>738</v>
      </c>
      <c r="E495" s="88">
        <v>1310</v>
      </c>
      <c r="F495" s="89">
        <f t="shared" si="375"/>
        <v>56</v>
      </c>
      <c r="G495" s="90">
        <f t="shared" si="376"/>
        <v>589.69904911283209</v>
      </c>
      <c r="H495" s="90">
        <f t="shared" si="377"/>
        <v>458.75200000000001</v>
      </c>
      <c r="I495" s="91" t="str">
        <f t="shared" si="378"/>
        <v>10동5,6라인</v>
      </c>
      <c r="J495" s="92" t="s">
        <v>214</v>
      </c>
      <c r="L495" s="89">
        <v>4</v>
      </c>
      <c r="M495" s="78">
        <f t="shared" ref="M495:M499" si="379">M494</f>
        <v>14</v>
      </c>
      <c r="N495" s="84"/>
      <c r="O495" s="78">
        <f t="shared" ref="O495:O499" si="380">L495*M495-N495*L495</f>
        <v>56</v>
      </c>
    </row>
    <row r="496" spans="1:16" ht="18" customHeight="1">
      <c r="A496" s="104"/>
      <c r="B496" s="93"/>
      <c r="C496" s="87"/>
      <c r="D496" s="88">
        <v>288</v>
      </c>
      <c r="E496" s="88">
        <v>910</v>
      </c>
      <c r="F496" s="89">
        <f t="shared" si="375"/>
        <v>28</v>
      </c>
      <c r="G496" s="90">
        <f t="shared" si="376"/>
        <v>79.929418684442695</v>
      </c>
      <c r="H496" s="90">
        <f t="shared" si="377"/>
        <v>134.17599999999999</v>
      </c>
      <c r="I496" s="91" t="str">
        <f t="shared" si="378"/>
        <v>10동5,6라인</v>
      </c>
      <c r="J496" s="92" t="s">
        <v>215</v>
      </c>
      <c r="L496" s="89">
        <v>2</v>
      </c>
      <c r="M496" s="78">
        <f t="shared" si="379"/>
        <v>14</v>
      </c>
      <c r="N496" s="78"/>
      <c r="O496" s="78">
        <f t="shared" si="380"/>
        <v>28</v>
      </c>
    </row>
    <row r="497" spans="1:16" ht="18" customHeight="1">
      <c r="A497" s="104"/>
      <c r="B497" s="93"/>
      <c r="C497" s="87"/>
      <c r="D497" s="88">
        <v>228</v>
      </c>
      <c r="E497" s="88">
        <v>910</v>
      </c>
      <c r="F497" s="89">
        <f t="shared" si="375"/>
        <v>28</v>
      </c>
      <c r="G497" s="90">
        <f t="shared" si="376"/>
        <v>63.277456458517136</v>
      </c>
      <c r="H497" s="90">
        <f t="shared" si="377"/>
        <v>127.456</v>
      </c>
      <c r="I497" s="91" t="str">
        <f t="shared" si="378"/>
        <v>10동5,6라인</v>
      </c>
      <c r="J497" s="92" t="s">
        <v>216</v>
      </c>
      <c r="L497" s="89">
        <v>2</v>
      </c>
      <c r="M497" s="78">
        <f t="shared" si="379"/>
        <v>14</v>
      </c>
      <c r="N497" s="78"/>
      <c r="O497" s="78">
        <f t="shared" si="380"/>
        <v>28</v>
      </c>
    </row>
    <row r="498" spans="1:16" ht="18" customHeight="1">
      <c r="A498" s="104"/>
      <c r="B498" s="93"/>
      <c r="C498" s="87"/>
      <c r="D498" s="88">
        <v>438</v>
      </c>
      <c r="E498" s="88">
        <v>270</v>
      </c>
      <c r="F498" s="89">
        <f t="shared" si="375"/>
        <v>28</v>
      </c>
      <c r="G498" s="90">
        <f t="shared" si="376"/>
        <v>36.067052249779437</v>
      </c>
      <c r="H498" s="90">
        <f t="shared" si="377"/>
        <v>79.295999999999992</v>
      </c>
      <c r="I498" s="91" t="str">
        <f t="shared" si="378"/>
        <v>10동5,6라인</v>
      </c>
      <c r="J498" s="92" t="s">
        <v>217</v>
      </c>
      <c r="L498" s="89">
        <v>2</v>
      </c>
      <c r="M498" s="78">
        <f t="shared" si="379"/>
        <v>14</v>
      </c>
      <c r="N498" s="78"/>
      <c r="O498" s="78">
        <f t="shared" si="380"/>
        <v>28</v>
      </c>
    </row>
    <row r="499" spans="1:16" ht="18" customHeight="1">
      <c r="A499" s="104"/>
      <c r="B499" s="93"/>
      <c r="C499" s="87"/>
      <c r="D499" s="88">
        <v>208</v>
      </c>
      <c r="E499" s="88">
        <v>910</v>
      </c>
      <c r="F499" s="89">
        <f t="shared" si="375"/>
        <v>28</v>
      </c>
      <c r="G499" s="90">
        <f t="shared" si="376"/>
        <v>57.726802383208621</v>
      </c>
      <c r="H499" s="90">
        <f t="shared" si="377"/>
        <v>125.21600000000001</v>
      </c>
      <c r="I499" s="91" t="str">
        <f t="shared" si="378"/>
        <v>10동5,6라인</v>
      </c>
      <c r="J499" s="92" t="s">
        <v>218</v>
      </c>
      <c r="L499" s="89">
        <v>2</v>
      </c>
      <c r="M499" s="78">
        <f t="shared" si="379"/>
        <v>14</v>
      </c>
      <c r="N499" s="78"/>
      <c r="O499" s="78">
        <f t="shared" si="380"/>
        <v>28</v>
      </c>
    </row>
    <row r="500" spans="1:16" ht="18" customHeight="1">
      <c r="A500" s="104"/>
      <c r="B500" s="87"/>
      <c r="C500" s="87"/>
      <c r="D500" s="325" t="s">
        <v>0</v>
      </c>
      <c r="E500" s="325"/>
      <c r="F500" s="171">
        <f>SUM(F493:F499)</f>
        <v>210</v>
      </c>
      <c r="G500" s="95">
        <f>SUM(G493:G499)</f>
        <v>1712.6848130357594</v>
      </c>
      <c r="H500" s="95">
        <f>SUM(H493:H499)</f>
        <v>1408.7359999999999</v>
      </c>
      <c r="I500" s="97"/>
      <c r="J500" s="98"/>
    </row>
    <row r="501" spans="1:16">
      <c r="A501" s="105"/>
      <c r="B501" s="9"/>
      <c r="C501" s="9"/>
      <c r="D501" s="51"/>
      <c r="E501" s="51"/>
      <c r="F501" s="51"/>
      <c r="G501" s="106"/>
      <c r="H501" s="106"/>
      <c r="I501" s="9"/>
      <c r="J501" s="107"/>
    </row>
    <row r="502" spans="1:16" ht="18" customHeight="1">
      <c r="A502" s="85"/>
      <c r="B502" s="163" t="s">
        <v>199</v>
      </c>
      <c r="C502" s="163">
        <v>22</v>
      </c>
      <c r="D502" s="88">
        <v>738</v>
      </c>
      <c r="E502" s="88">
        <v>1810</v>
      </c>
      <c r="F502" s="89">
        <f t="shared" ref="F502:F503" si="381">O502</f>
        <v>28</v>
      </c>
      <c r="G502" s="90">
        <f t="shared" ref="G502:G503" si="382">D502*E502/91809*F502</f>
        <v>407.38751102833055</v>
      </c>
      <c r="H502" s="90">
        <f t="shared" ref="H502:H503" si="383">(D502/1000)*4*F502+(E502/1000)*4*F502</f>
        <v>285.37599999999998</v>
      </c>
      <c r="I502" s="91" t="str">
        <f>I493</f>
        <v>10동5,6라인</v>
      </c>
      <c r="J502" s="92" t="s">
        <v>219</v>
      </c>
      <c r="L502" s="89">
        <v>2</v>
      </c>
      <c r="M502" s="78">
        <f>M484</f>
        <v>14</v>
      </c>
      <c r="N502" s="84"/>
      <c r="O502" s="78">
        <f>L502*M502-N502*L502</f>
        <v>28</v>
      </c>
      <c r="P502" s="64"/>
    </row>
    <row r="503" spans="1:16" ht="18" customHeight="1">
      <c r="A503" s="85"/>
      <c r="B503" s="86"/>
      <c r="C503" s="87"/>
      <c r="D503" s="88">
        <v>250</v>
      </c>
      <c r="E503" s="88">
        <v>930</v>
      </c>
      <c r="F503" s="89">
        <f t="shared" si="381"/>
        <v>28</v>
      </c>
      <c r="G503" s="90">
        <f t="shared" si="382"/>
        <v>70.908080907100612</v>
      </c>
      <c r="H503" s="90">
        <f t="shared" si="383"/>
        <v>132.16000000000003</v>
      </c>
      <c r="I503" s="91" t="str">
        <f>I502</f>
        <v>10동5,6라인</v>
      </c>
      <c r="J503" s="92" t="s">
        <v>220</v>
      </c>
      <c r="L503" s="89">
        <v>2</v>
      </c>
      <c r="M503" s="78">
        <f>M502</f>
        <v>14</v>
      </c>
      <c r="N503" s="84"/>
      <c r="O503" s="78">
        <f t="shared" ref="O503" si="384">L503*M503-N503*L503</f>
        <v>28</v>
      </c>
    </row>
    <row r="504" spans="1:16" ht="18" customHeight="1">
      <c r="A504" s="85"/>
      <c r="B504" s="93"/>
      <c r="C504" s="87"/>
      <c r="D504" s="325" t="s">
        <v>0</v>
      </c>
      <c r="E504" s="325"/>
      <c r="F504" s="94">
        <f>SUM(F502:F503)</f>
        <v>56</v>
      </c>
      <c r="G504" s="95">
        <f>SUM(G502:G503)</f>
        <v>478.29559193543116</v>
      </c>
      <c r="H504" s="95">
        <f>SUM(H502:H503)</f>
        <v>417.536</v>
      </c>
      <c r="I504" s="97"/>
      <c r="J504" s="98"/>
    </row>
    <row r="505" spans="1:16">
      <c r="A505" s="166"/>
      <c r="B505" s="166"/>
      <c r="C505" s="166"/>
      <c r="D505" s="167"/>
      <c r="E505" s="167"/>
      <c r="F505" s="167"/>
      <c r="G505" s="168"/>
      <c r="H505" s="168"/>
      <c r="I505" s="166"/>
      <c r="J505" s="166"/>
    </row>
    <row r="506" spans="1:16" ht="18" customHeight="1">
      <c r="A506" s="85" t="s">
        <v>235</v>
      </c>
      <c r="B506" s="23" t="s">
        <v>201</v>
      </c>
      <c r="C506" s="24">
        <v>22</v>
      </c>
      <c r="D506" s="88">
        <v>861</v>
      </c>
      <c r="E506" s="88">
        <v>1810</v>
      </c>
      <c r="F506" s="89">
        <f t="shared" ref="F506:F509" si="385">O506</f>
        <v>3</v>
      </c>
      <c r="G506" s="90">
        <f t="shared" ref="G506:G509" si="386">D506*E506/91809*F506</f>
        <v>50.923438878541319</v>
      </c>
      <c r="H506" s="90">
        <f t="shared" ref="H506:H509" si="387">(D506/1000)*4*F506+(E506/1000)*4*F506</f>
        <v>32.052</v>
      </c>
      <c r="I506" s="91" t="s">
        <v>266</v>
      </c>
      <c r="J506" s="92" t="s">
        <v>205</v>
      </c>
      <c r="L506" s="89">
        <v>1</v>
      </c>
      <c r="M506" s="78">
        <v>3</v>
      </c>
      <c r="N506" s="84"/>
      <c r="O506" s="78">
        <f>L506*M506-N506*L506</f>
        <v>3</v>
      </c>
      <c r="P506" s="64"/>
    </row>
    <row r="507" spans="1:16" ht="18" customHeight="1">
      <c r="A507" s="85"/>
      <c r="B507" s="86"/>
      <c r="C507" s="87"/>
      <c r="D507" s="88">
        <v>738</v>
      </c>
      <c r="E507" s="88">
        <v>1310</v>
      </c>
      <c r="F507" s="89">
        <f t="shared" si="385"/>
        <v>12</v>
      </c>
      <c r="G507" s="90">
        <f t="shared" si="386"/>
        <v>126.36408195274973</v>
      </c>
      <c r="H507" s="90">
        <f t="shared" si="387"/>
        <v>98.304000000000002</v>
      </c>
      <c r="I507" s="91" t="str">
        <f>I506</f>
        <v>11동1라인</v>
      </c>
      <c r="J507" s="92" t="s">
        <v>207</v>
      </c>
      <c r="L507" s="89">
        <v>4</v>
      </c>
      <c r="M507" s="78">
        <f>M506</f>
        <v>3</v>
      </c>
      <c r="N507" s="84"/>
      <c r="O507" s="78">
        <f t="shared" ref="O507:O509" si="388">L507*M507-N507*L507</f>
        <v>12</v>
      </c>
    </row>
    <row r="508" spans="1:16" ht="18" customHeight="1">
      <c r="A508" s="85"/>
      <c r="B508" s="86"/>
      <c r="C508" s="87"/>
      <c r="D508" s="88">
        <v>228</v>
      </c>
      <c r="E508" s="88">
        <v>910</v>
      </c>
      <c r="F508" s="89">
        <f t="shared" si="385"/>
        <v>6</v>
      </c>
      <c r="G508" s="90">
        <f t="shared" si="386"/>
        <v>13.559454955396529</v>
      </c>
      <c r="H508" s="90">
        <f t="shared" si="387"/>
        <v>27.312000000000001</v>
      </c>
      <c r="I508" s="91" t="str">
        <f t="shared" ref="I508:I509" si="389">I507</f>
        <v>11동1라인</v>
      </c>
      <c r="J508" s="92" t="s">
        <v>209</v>
      </c>
      <c r="L508" s="89">
        <v>2</v>
      </c>
      <c r="M508" s="78">
        <f t="shared" ref="M508:M509" si="390">M507</f>
        <v>3</v>
      </c>
      <c r="N508" s="78"/>
      <c r="O508" s="78">
        <f t="shared" si="388"/>
        <v>6</v>
      </c>
    </row>
    <row r="509" spans="1:16" ht="18" customHeight="1">
      <c r="A509" s="85"/>
      <c r="B509" s="86"/>
      <c r="C509" s="87"/>
      <c r="D509" s="88">
        <v>438</v>
      </c>
      <c r="E509" s="88">
        <v>270</v>
      </c>
      <c r="F509" s="89">
        <f t="shared" si="385"/>
        <v>6</v>
      </c>
      <c r="G509" s="90">
        <f t="shared" si="386"/>
        <v>7.7286540535241652</v>
      </c>
      <c r="H509" s="90">
        <f t="shared" si="387"/>
        <v>16.992000000000001</v>
      </c>
      <c r="I509" s="91" t="str">
        <f t="shared" si="389"/>
        <v>11동1라인</v>
      </c>
      <c r="J509" s="92" t="s">
        <v>210</v>
      </c>
      <c r="L509" s="89">
        <v>2</v>
      </c>
      <c r="M509" s="78">
        <f t="shared" si="390"/>
        <v>3</v>
      </c>
      <c r="N509" s="78"/>
      <c r="O509" s="78">
        <f t="shared" si="388"/>
        <v>6</v>
      </c>
    </row>
    <row r="510" spans="1:16" ht="18" customHeight="1">
      <c r="A510" s="85"/>
      <c r="B510" s="93"/>
      <c r="C510" s="87"/>
      <c r="D510" s="325" t="s">
        <v>0</v>
      </c>
      <c r="E510" s="325"/>
      <c r="F510" s="94">
        <f>SUM(F506:F509)</f>
        <v>27</v>
      </c>
      <c r="G510" s="95">
        <f>SUM(G506:G509)</f>
        <v>198.57562984021172</v>
      </c>
      <c r="H510" s="96">
        <f>SUM(H506:H509)</f>
        <v>174.66</v>
      </c>
      <c r="I510" s="97"/>
      <c r="J510" s="162"/>
    </row>
    <row r="511" spans="1:16" ht="18" customHeight="1">
      <c r="A511" s="85"/>
      <c r="B511" s="93"/>
      <c r="C511" s="87"/>
      <c r="D511" s="161"/>
      <c r="E511" s="161"/>
      <c r="F511" s="89"/>
      <c r="G511" s="100"/>
      <c r="H511" s="101"/>
      <c r="I511" s="102"/>
      <c r="J511" s="121"/>
      <c r="L511" s="252"/>
      <c r="M511" s="252"/>
      <c r="N511" s="252"/>
      <c r="O511" s="252"/>
    </row>
    <row r="512" spans="1:16" ht="18" customHeight="1">
      <c r="A512" s="85"/>
      <c r="B512" s="23" t="s">
        <v>198</v>
      </c>
      <c r="C512" s="24">
        <v>22</v>
      </c>
      <c r="D512" s="88">
        <v>861</v>
      </c>
      <c r="E512" s="88">
        <v>1810</v>
      </c>
      <c r="F512" s="89">
        <f t="shared" ref="F512:F516" si="391">O512</f>
        <v>3</v>
      </c>
      <c r="G512" s="90">
        <f t="shared" ref="G512:G516" si="392">D512*E512/91809*F512</f>
        <v>50.923438878541319</v>
      </c>
      <c r="H512" s="90">
        <f t="shared" ref="H512:H516" si="393">(D512/1000)*4*F512+(E512/1000)*4*F512</f>
        <v>32.052</v>
      </c>
      <c r="I512" s="103" t="str">
        <f>I506</f>
        <v>11동1라인</v>
      </c>
      <c r="J512" s="92" t="s">
        <v>212</v>
      </c>
      <c r="L512" s="89">
        <v>1</v>
      </c>
      <c r="M512" s="78">
        <f>M506</f>
        <v>3</v>
      </c>
      <c r="N512" s="84"/>
      <c r="O512" s="78">
        <f>L512*M512-N512*L512</f>
        <v>3</v>
      </c>
    </row>
    <row r="513" spans="1:16" ht="18" customHeight="1">
      <c r="A513" s="85"/>
      <c r="B513" s="86"/>
      <c r="C513" s="87"/>
      <c r="D513" s="88">
        <v>2114</v>
      </c>
      <c r="E513" s="88">
        <v>1810</v>
      </c>
      <c r="F513" s="89">
        <f t="shared" si="391"/>
        <v>3</v>
      </c>
      <c r="G513" s="90">
        <f t="shared" si="392"/>
        <v>125.03153285625592</v>
      </c>
      <c r="H513" s="90">
        <f t="shared" si="393"/>
        <v>47.087999999999994</v>
      </c>
      <c r="I513" s="91" t="str">
        <f>I506</f>
        <v>11동1라인</v>
      </c>
      <c r="J513" s="92" t="s">
        <v>213</v>
      </c>
      <c r="L513" s="89">
        <v>1</v>
      </c>
      <c r="M513" s="78">
        <f>M512</f>
        <v>3</v>
      </c>
      <c r="N513" s="84"/>
      <c r="O513" s="78">
        <f>L513*M513-N513*L513</f>
        <v>3</v>
      </c>
    </row>
    <row r="514" spans="1:16" ht="18" customHeight="1">
      <c r="A514" s="104"/>
      <c r="B514" s="93"/>
      <c r="C514" s="87"/>
      <c r="D514" s="88">
        <v>738</v>
      </c>
      <c r="E514" s="88">
        <v>1310</v>
      </c>
      <c r="F514" s="89">
        <f t="shared" si="391"/>
        <v>12</v>
      </c>
      <c r="G514" s="90">
        <f t="shared" si="392"/>
        <v>126.36408195274973</v>
      </c>
      <c r="H514" s="90">
        <f t="shared" si="393"/>
        <v>98.304000000000002</v>
      </c>
      <c r="I514" s="91" t="str">
        <f>I513</f>
        <v>11동1라인</v>
      </c>
      <c r="J514" s="92" t="s">
        <v>214</v>
      </c>
      <c r="L514" s="89">
        <v>4</v>
      </c>
      <c r="M514" s="78">
        <f t="shared" ref="M514:M516" si="394">M513</f>
        <v>3</v>
      </c>
      <c r="N514" s="84"/>
      <c r="O514" s="78">
        <f t="shared" ref="O514:O516" si="395">L514*M514-N514*L514</f>
        <v>12</v>
      </c>
    </row>
    <row r="515" spans="1:16" ht="18" customHeight="1">
      <c r="A515" s="104"/>
      <c r="B515" s="93"/>
      <c r="C515" s="87"/>
      <c r="D515" s="88">
        <v>228</v>
      </c>
      <c r="E515" s="88">
        <v>910</v>
      </c>
      <c r="F515" s="89">
        <f t="shared" si="391"/>
        <v>6</v>
      </c>
      <c r="G515" s="90">
        <f t="shared" si="392"/>
        <v>13.559454955396529</v>
      </c>
      <c r="H515" s="90">
        <f t="shared" si="393"/>
        <v>27.312000000000001</v>
      </c>
      <c r="I515" s="91" t="str">
        <f t="shared" ref="I515:I516" si="396">I514</f>
        <v>11동1라인</v>
      </c>
      <c r="J515" s="92" t="s">
        <v>216</v>
      </c>
      <c r="L515" s="89">
        <v>2</v>
      </c>
      <c r="M515" s="78">
        <f t="shared" si="394"/>
        <v>3</v>
      </c>
      <c r="N515" s="78"/>
      <c r="O515" s="78">
        <f t="shared" si="395"/>
        <v>6</v>
      </c>
    </row>
    <row r="516" spans="1:16" ht="18" customHeight="1">
      <c r="A516" s="104"/>
      <c r="B516" s="93"/>
      <c r="C516" s="87"/>
      <c r="D516" s="88">
        <v>438</v>
      </c>
      <c r="E516" s="88">
        <v>270</v>
      </c>
      <c r="F516" s="89">
        <f t="shared" si="391"/>
        <v>6</v>
      </c>
      <c r="G516" s="90">
        <f t="shared" si="392"/>
        <v>7.7286540535241652</v>
      </c>
      <c r="H516" s="90">
        <f t="shared" si="393"/>
        <v>16.992000000000001</v>
      </c>
      <c r="I516" s="91" t="str">
        <f t="shared" si="396"/>
        <v>11동1라인</v>
      </c>
      <c r="J516" s="92" t="s">
        <v>217</v>
      </c>
      <c r="L516" s="89">
        <v>2</v>
      </c>
      <c r="M516" s="78">
        <f t="shared" si="394"/>
        <v>3</v>
      </c>
      <c r="N516" s="78"/>
      <c r="O516" s="78">
        <f t="shared" si="395"/>
        <v>6</v>
      </c>
    </row>
    <row r="517" spans="1:16" ht="18" customHeight="1">
      <c r="A517" s="104"/>
      <c r="B517" s="87"/>
      <c r="C517" s="87"/>
      <c r="D517" s="325" t="s">
        <v>0</v>
      </c>
      <c r="E517" s="325"/>
      <c r="F517" s="171">
        <f>SUM(F512:F516)</f>
        <v>30</v>
      </c>
      <c r="G517" s="95">
        <f>SUM(G512:G516)</f>
        <v>323.6071626964677</v>
      </c>
      <c r="H517" s="95">
        <f>SUM(H512:H516)</f>
        <v>221.74799999999999</v>
      </c>
      <c r="I517" s="97"/>
      <c r="J517" s="98"/>
    </row>
    <row r="518" spans="1:16">
      <c r="A518" s="105"/>
      <c r="B518" s="9"/>
      <c r="C518" s="9"/>
      <c r="D518" s="51"/>
      <c r="E518" s="51"/>
      <c r="F518" s="51"/>
      <c r="G518" s="106"/>
      <c r="H518" s="106"/>
      <c r="I518" s="9"/>
      <c r="J518" s="107"/>
    </row>
    <row r="519" spans="1:16" ht="18" customHeight="1">
      <c r="A519" s="85"/>
      <c r="B519" s="23" t="s">
        <v>237</v>
      </c>
      <c r="C519" s="24">
        <v>22</v>
      </c>
      <c r="D519" s="88">
        <v>2114</v>
      </c>
      <c r="E519" s="88">
        <v>1810</v>
      </c>
      <c r="F519" s="89">
        <f t="shared" ref="F519" si="397">O519</f>
        <v>3</v>
      </c>
      <c r="G519" s="90">
        <f t="shared" ref="G519" si="398">D519*E519/91809*F519</f>
        <v>125.03153285625592</v>
      </c>
      <c r="H519" s="90">
        <f t="shared" ref="H519" si="399">(D519/1000)*4*F519+(E519/1000)*4*F519</f>
        <v>47.087999999999994</v>
      </c>
      <c r="I519" s="91" t="str">
        <f>I512</f>
        <v>11동1라인</v>
      </c>
      <c r="J519" s="92" t="s">
        <v>206</v>
      </c>
      <c r="L519" s="89">
        <v>1</v>
      </c>
      <c r="M519" s="78">
        <f>M506</f>
        <v>3</v>
      </c>
      <c r="N519" s="84"/>
      <c r="O519" s="78">
        <f>L519*M519-N519*L519</f>
        <v>3</v>
      </c>
    </row>
    <row r="520" spans="1:16" ht="18" customHeight="1">
      <c r="A520" s="85"/>
      <c r="B520" s="93"/>
      <c r="C520" s="87"/>
      <c r="D520" s="325" t="s">
        <v>0</v>
      </c>
      <c r="E520" s="325"/>
      <c r="F520" s="94">
        <f>SUM(F519:F519)</f>
        <v>3</v>
      </c>
      <c r="G520" s="95">
        <f>SUM(G519:G519)</f>
        <v>125.03153285625592</v>
      </c>
      <c r="H520" s="95">
        <f>SUM(H519:H519)</f>
        <v>47.087999999999994</v>
      </c>
      <c r="I520" s="97"/>
      <c r="J520" s="98"/>
    </row>
    <row r="521" spans="1:16" ht="18" customHeight="1">
      <c r="A521" s="218"/>
      <c r="B521" s="219"/>
      <c r="C521" s="220"/>
      <c r="D521" s="161"/>
      <c r="E521" s="161"/>
      <c r="F521" s="89"/>
      <c r="G521" s="100"/>
      <c r="H521" s="100"/>
      <c r="I521" s="102"/>
      <c r="J521" s="221"/>
    </row>
    <row r="522" spans="1:16" ht="18" customHeight="1">
      <c r="A522" s="85"/>
      <c r="B522" s="23" t="s">
        <v>203</v>
      </c>
      <c r="C522" s="24">
        <v>22</v>
      </c>
      <c r="D522" s="88">
        <v>738</v>
      </c>
      <c r="E522" s="88">
        <v>1810</v>
      </c>
      <c r="F522" s="89">
        <f t="shared" ref="F522:F523" si="400">O522</f>
        <v>0</v>
      </c>
      <c r="G522" s="90">
        <f t="shared" ref="G522:G523" si="401">D522*E522/91809*F522</f>
        <v>0</v>
      </c>
      <c r="H522" s="90">
        <f t="shared" ref="H522:H523" si="402">(D522/1000)*4*F522+(E522/1000)*4*F522</f>
        <v>0</v>
      </c>
      <c r="I522" s="91" t="str">
        <f>I519</f>
        <v>11동1라인</v>
      </c>
      <c r="J522" s="92" t="s">
        <v>219</v>
      </c>
      <c r="L522" s="89">
        <v>2</v>
      </c>
      <c r="M522" s="78">
        <f>M519</f>
        <v>3</v>
      </c>
      <c r="N522" s="84">
        <v>3</v>
      </c>
      <c r="O522" s="78">
        <f>L522*M522-N522*L522</f>
        <v>0</v>
      </c>
      <c r="P522" s="64" t="s">
        <v>293</v>
      </c>
    </row>
    <row r="523" spans="1:16" ht="18" customHeight="1">
      <c r="A523" s="85"/>
      <c r="B523" s="86"/>
      <c r="C523" s="87"/>
      <c r="D523" s="88">
        <v>250</v>
      </c>
      <c r="E523" s="88">
        <v>930</v>
      </c>
      <c r="F523" s="89">
        <f t="shared" si="400"/>
        <v>6</v>
      </c>
      <c r="G523" s="90">
        <f t="shared" si="401"/>
        <v>15.194588765807273</v>
      </c>
      <c r="H523" s="90">
        <f t="shared" si="402"/>
        <v>28.32</v>
      </c>
      <c r="I523" s="91" t="str">
        <f>I522</f>
        <v>11동1라인</v>
      </c>
      <c r="J523" s="92" t="s">
        <v>220</v>
      </c>
      <c r="L523" s="89">
        <v>2</v>
      </c>
      <c r="M523" s="78">
        <f>M522</f>
        <v>3</v>
      </c>
      <c r="N523" s="84"/>
      <c r="O523" s="78">
        <f t="shared" ref="O523" si="403">L523*M523-N523*L523</f>
        <v>6</v>
      </c>
    </row>
    <row r="524" spans="1:16" ht="18" customHeight="1">
      <c r="A524" s="85"/>
      <c r="B524" s="93"/>
      <c r="C524" s="87"/>
      <c r="D524" s="325" t="s">
        <v>0</v>
      </c>
      <c r="E524" s="325"/>
      <c r="F524" s="94">
        <f>SUM(F522:F523)</f>
        <v>6</v>
      </c>
      <c r="G524" s="95">
        <f>SUM(G522:G523)</f>
        <v>15.194588765807273</v>
      </c>
      <c r="H524" s="96">
        <f>SUM(H522:H523)</f>
        <v>28.32</v>
      </c>
      <c r="I524" s="97"/>
      <c r="J524" s="162"/>
    </row>
    <row r="525" spans="1:16" ht="18" customHeight="1" thickBot="1">
      <c r="A525" s="222"/>
      <c r="B525" s="223"/>
      <c r="C525" s="224"/>
      <c r="D525" s="225"/>
      <c r="E525" s="225"/>
      <c r="F525" s="226"/>
      <c r="G525" s="227"/>
      <c r="H525" s="228"/>
      <c r="I525" s="229"/>
      <c r="J525" s="230"/>
      <c r="L525" s="78" t="s">
        <v>48</v>
      </c>
      <c r="M525" s="78" t="s">
        <v>49</v>
      </c>
      <c r="N525" s="78" t="s">
        <v>50</v>
      </c>
      <c r="O525" s="78" t="s">
        <v>55</v>
      </c>
    </row>
    <row r="526" spans="1:16" ht="18" customHeight="1">
      <c r="A526" s="79" t="s">
        <v>234</v>
      </c>
      <c r="B526" s="231" t="s">
        <v>195</v>
      </c>
      <c r="C526" s="232">
        <v>22</v>
      </c>
      <c r="D526" s="80">
        <v>761</v>
      </c>
      <c r="E526" s="80">
        <v>1810</v>
      </c>
      <c r="F526" s="233">
        <f>O526</f>
        <v>6</v>
      </c>
      <c r="G526" s="81">
        <f t="shared" ref="G526:G532" si="404">D526*E526/91809*F526</f>
        <v>90.017972094239127</v>
      </c>
      <c r="H526" s="81">
        <f t="shared" ref="H526:H532" si="405">(D526/1000)*4*F526+(E526/1000)*4*F526</f>
        <v>61.703999999999994</v>
      </c>
      <c r="I526" s="82" t="s">
        <v>267</v>
      </c>
      <c r="J526" s="83" t="s">
        <v>205</v>
      </c>
      <c r="L526" s="89">
        <v>2</v>
      </c>
      <c r="M526" s="78">
        <v>3</v>
      </c>
      <c r="N526" s="84"/>
      <c r="O526" s="78">
        <f>L526*M526-N526*L526</f>
        <v>6</v>
      </c>
      <c r="P526" s="64"/>
    </row>
    <row r="527" spans="1:16" ht="18" customHeight="1">
      <c r="A527" s="85"/>
      <c r="B527" s="86"/>
      <c r="C527" s="87"/>
      <c r="D527" s="88">
        <v>1688</v>
      </c>
      <c r="E527" s="88">
        <v>1810</v>
      </c>
      <c r="F527" s="89">
        <f t="shared" ref="F527:F532" si="406">O527</f>
        <v>3</v>
      </c>
      <c r="G527" s="90">
        <f t="shared" si="404"/>
        <v>99.835963794399248</v>
      </c>
      <c r="H527" s="90">
        <f t="shared" si="405"/>
        <v>41.975999999999999</v>
      </c>
      <c r="I527" s="91" t="str">
        <f>I526</f>
        <v>11동2라인</v>
      </c>
      <c r="J527" s="92" t="s">
        <v>206</v>
      </c>
      <c r="L527" s="89">
        <v>1</v>
      </c>
      <c r="M527" s="78">
        <f>M526</f>
        <v>3</v>
      </c>
      <c r="N527" s="84"/>
      <c r="O527" s="78">
        <f t="shared" ref="O527:O532" si="407">L527*M527-N527*L527</f>
        <v>3</v>
      </c>
    </row>
    <row r="528" spans="1:16" ht="18" customHeight="1">
      <c r="A528" s="85"/>
      <c r="B528" s="86"/>
      <c r="C528" s="87"/>
      <c r="D528" s="88">
        <v>738</v>
      </c>
      <c r="E528" s="88">
        <v>1310</v>
      </c>
      <c r="F528" s="89">
        <f t="shared" si="406"/>
        <v>12</v>
      </c>
      <c r="G528" s="90">
        <f t="shared" si="404"/>
        <v>126.36408195274973</v>
      </c>
      <c r="H528" s="90">
        <f t="shared" si="405"/>
        <v>98.304000000000002</v>
      </c>
      <c r="I528" s="91" t="str">
        <f t="shared" ref="I528:I532" si="408">I527</f>
        <v>11동2라인</v>
      </c>
      <c r="J528" s="92" t="s">
        <v>207</v>
      </c>
      <c r="L528" s="89">
        <v>4</v>
      </c>
      <c r="M528" s="78">
        <f t="shared" ref="M528:M531" si="409">M527</f>
        <v>3</v>
      </c>
      <c r="N528" s="78"/>
      <c r="O528" s="78">
        <f t="shared" si="407"/>
        <v>12</v>
      </c>
    </row>
    <row r="529" spans="1:16" ht="18" customHeight="1">
      <c r="A529" s="85"/>
      <c r="B529" s="86"/>
      <c r="C529" s="87"/>
      <c r="D529" s="88">
        <v>288</v>
      </c>
      <c r="E529" s="88">
        <v>910</v>
      </c>
      <c r="F529" s="89">
        <f t="shared" si="406"/>
        <v>6</v>
      </c>
      <c r="G529" s="90">
        <f t="shared" si="404"/>
        <v>17.127732575237722</v>
      </c>
      <c r="H529" s="90">
        <f t="shared" si="405"/>
        <v>28.751999999999999</v>
      </c>
      <c r="I529" s="91" t="str">
        <f t="shared" si="408"/>
        <v>11동2라인</v>
      </c>
      <c r="J529" s="92" t="s">
        <v>208</v>
      </c>
      <c r="L529" s="89">
        <v>2</v>
      </c>
      <c r="M529" s="78">
        <f t="shared" si="409"/>
        <v>3</v>
      </c>
      <c r="N529" s="78"/>
      <c r="O529" s="78">
        <f t="shared" si="407"/>
        <v>6</v>
      </c>
    </row>
    <row r="530" spans="1:16" ht="18" customHeight="1">
      <c r="A530" s="85"/>
      <c r="B530" s="86"/>
      <c r="C530" s="87"/>
      <c r="D530" s="88">
        <v>228</v>
      </c>
      <c r="E530" s="88">
        <v>910</v>
      </c>
      <c r="F530" s="89">
        <f t="shared" si="406"/>
        <v>6</v>
      </c>
      <c r="G530" s="90">
        <f t="shared" si="404"/>
        <v>13.559454955396529</v>
      </c>
      <c r="H530" s="90">
        <f t="shared" si="405"/>
        <v>27.312000000000001</v>
      </c>
      <c r="I530" s="91" t="str">
        <f t="shared" si="408"/>
        <v>11동2라인</v>
      </c>
      <c r="J530" s="92" t="s">
        <v>209</v>
      </c>
      <c r="L530" s="89">
        <v>2</v>
      </c>
      <c r="M530" s="78">
        <f t="shared" si="409"/>
        <v>3</v>
      </c>
      <c r="N530" s="78"/>
      <c r="O530" s="78">
        <f t="shared" si="407"/>
        <v>6</v>
      </c>
    </row>
    <row r="531" spans="1:16" ht="18" customHeight="1">
      <c r="A531" s="85"/>
      <c r="B531" s="86"/>
      <c r="C531" s="87"/>
      <c r="D531" s="88">
        <v>438</v>
      </c>
      <c r="E531" s="88">
        <v>270</v>
      </c>
      <c r="F531" s="89">
        <f t="shared" si="406"/>
        <v>6</v>
      </c>
      <c r="G531" s="90">
        <f t="shared" si="404"/>
        <v>7.7286540535241652</v>
      </c>
      <c r="H531" s="90">
        <f t="shared" si="405"/>
        <v>16.992000000000001</v>
      </c>
      <c r="I531" s="91" t="str">
        <f t="shared" si="408"/>
        <v>11동2라인</v>
      </c>
      <c r="J531" s="92" t="s">
        <v>210</v>
      </c>
      <c r="L531" s="89">
        <v>2</v>
      </c>
      <c r="M531" s="78">
        <f t="shared" si="409"/>
        <v>3</v>
      </c>
      <c r="N531" s="78"/>
      <c r="O531" s="78">
        <f t="shared" si="407"/>
        <v>6</v>
      </c>
    </row>
    <row r="532" spans="1:16" ht="18" customHeight="1">
      <c r="A532" s="85"/>
      <c r="B532" s="86"/>
      <c r="C532" s="87"/>
      <c r="D532" s="88">
        <v>208</v>
      </c>
      <c r="E532" s="88">
        <v>910</v>
      </c>
      <c r="F532" s="89">
        <f t="shared" si="406"/>
        <v>6</v>
      </c>
      <c r="G532" s="90">
        <f t="shared" si="404"/>
        <v>12.370029082116133</v>
      </c>
      <c r="H532" s="90">
        <f t="shared" si="405"/>
        <v>26.832000000000001</v>
      </c>
      <c r="I532" s="91" t="str">
        <f t="shared" si="408"/>
        <v>11동2라인</v>
      </c>
      <c r="J532" s="92" t="s">
        <v>211</v>
      </c>
      <c r="L532" s="89">
        <v>2</v>
      </c>
      <c r="M532" s="78">
        <f>M531</f>
        <v>3</v>
      </c>
      <c r="N532" s="78"/>
      <c r="O532" s="78">
        <f t="shared" si="407"/>
        <v>6</v>
      </c>
    </row>
    <row r="533" spans="1:16" ht="18" customHeight="1">
      <c r="A533" s="85"/>
      <c r="B533" s="93"/>
      <c r="C533" s="87"/>
      <c r="D533" s="325" t="s">
        <v>0</v>
      </c>
      <c r="E533" s="325"/>
      <c r="F533" s="94">
        <f>SUM(F526:F532)</f>
        <v>45</v>
      </c>
      <c r="G533" s="95">
        <f>SUM(G526:G532)</f>
        <v>367.00388850766262</v>
      </c>
      <c r="H533" s="96">
        <f>SUM(H526:H532)</f>
        <v>301.87200000000001</v>
      </c>
      <c r="I533" s="97"/>
      <c r="J533" s="162"/>
    </row>
    <row r="534" spans="1:16" ht="18" customHeight="1">
      <c r="A534" s="85"/>
      <c r="B534" s="93"/>
      <c r="C534" s="87"/>
      <c r="D534" s="161"/>
      <c r="E534" s="161"/>
      <c r="F534" s="89"/>
      <c r="G534" s="100"/>
      <c r="H534" s="101"/>
      <c r="I534" s="102"/>
      <c r="J534" s="121"/>
      <c r="L534" s="78" t="s">
        <v>48</v>
      </c>
      <c r="M534" s="78" t="s">
        <v>54</v>
      </c>
      <c r="N534" s="78" t="s">
        <v>50</v>
      </c>
      <c r="O534" s="78" t="s">
        <v>55</v>
      </c>
    </row>
    <row r="535" spans="1:16" ht="18" customHeight="1">
      <c r="A535" s="85"/>
      <c r="B535" s="23" t="s">
        <v>197</v>
      </c>
      <c r="C535" s="24">
        <v>22</v>
      </c>
      <c r="D535" s="88">
        <v>761</v>
      </c>
      <c r="E535" s="88">
        <v>1810</v>
      </c>
      <c r="F535" s="89">
        <f t="shared" ref="F535:F541" si="410">O535</f>
        <v>6</v>
      </c>
      <c r="G535" s="90">
        <f t="shared" ref="G535:G541" si="411">D535*E535/91809*F535</f>
        <v>90.017972094239127</v>
      </c>
      <c r="H535" s="90">
        <f t="shared" ref="H535:H541" si="412">(D535/1000)*4*F535+(E535/1000)*4*F535</f>
        <v>61.703999999999994</v>
      </c>
      <c r="I535" s="91" t="str">
        <f t="shared" ref="I535:I541" si="413">I526</f>
        <v>11동2라인</v>
      </c>
      <c r="J535" s="92" t="s">
        <v>212</v>
      </c>
      <c r="L535" s="89">
        <v>2</v>
      </c>
      <c r="M535" s="78">
        <f>M526</f>
        <v>3</v>
      </c>
      <c r="N535" s="84"/>
      <c r="O535" s="78">
        <f>L535*M535-N535*L535</f>
        <v>6</v>
      </c>
    </row>
    <row r="536" spans="1:16" ht="18" customHeight="1">
      <c r="A536" s="85"/>
      <c r="B536" s="86"/>
      <c r="C536" s="87"/>
      <c r="D536" s="88">
        <v>1688</v>
      </c>
      <c r="E536" s="88">
        <v>1810</v>
      </c>
      <c r="F536" s="89">
        <f t="shared" si="410"/>
        <v>3</v>
      </c>
      <c r="G536" s="90">
        <f t="shared" si="411"/>
        <v>99.835963794399248</v>
      </c>
      <c r="H536" s="90">
        <f t="shared" si="412"/>
        <v>41.975999999999999</v>
      </c>
      <c r="I536" s="91" t="str">
        <f t="shared" si="413"/>
        <v>11동2라인</v>
      </c>
      <c r="J536" s="92" t="s">
        <v>213</v>
      </c>
      <c r="L536" s="89">
        <v>1</v>
      </c>
      <c r="M536" s="78">
        <f>M535</f>
        <v>3</v>
      </c>
      <c r="N536" s="84"/>
      <c r="O536" s="78">
        <f>L536*M536-N536*L536</f>
        <v>3</v>
      </c>
    </row>
    <row r="537" spans="1:16" ht="18" customHeight="1">
      <c r="A537" s="104"/>
      <c r="B537" s="93"/>
      <c r="C537" s="87"/>
      <c r="D537" s="88">
        <v>738</v>
      </c>
      <c r="E537" s="88">
        <v>1310</v>
      </c>
      <c r="F537" s="89">
        <f t="shared" si="410"/>
        <v>12</v>
      </c>
      <c r="G537" s="90">
        <f t="shared" si="411"/>
        <v>126.36408195274973</v>
      </c>
      <c r="H537" s="90">
        <f t="shared" si="412"/>
        <v>98.304000000000002</v>
      </c>
      <c r="I537" s="91" t="str">
        <f t="shared" si="413"/>
        <v>11동2라인</v>
      </c>
      <c r="J537" s="92" t="s">
        <v>214</v>
      </c>
      <c r="L537" s="89">
        <v>4</v>
      </c>
      <c r="M537" s="78">
        <f t="shared" ref="M537:M541" si="414">M536</f>
        <v>3</v>
      </c>
      <c r="N537" s="84"/>
      <c r="O537" s="78">
        <f t="shared" ref="O537:O541" si="415">L537*M537-N537*L537</f>
        <v>12</v>
      </c>
    </row>
    <row r="538" spans="1:16" ht="18" customHeight="1">
      <c r="A538" s="104"/>
      <c r="B538" s="93"/>
      <c r="C538" s="87"/>
      <c r="D538" s="88">
        <v>288</v>
      </c>
      <c r="E538" s="88">
        <v>910</v>
      </c>
      <c r="F538" s="89">
        <f t="shared" si="410"/>
        <v>6</v>
      </c>
      <c r="G538" s="90">
        <f t="shared" si="411"/>
        <v>17.127732575237722</v>
      </c>
      <c r="H538" s="90">
        <f t="shared" si="412"/>
        <v>28.751999999999999</v>
      </c>
      <c r="I538" s="91" t="str">
        <f t="shared" si="413"/>
        <v>11동2라인</v>
      </c>
      <c r="J538" s="92" t="s">
        <v>215</v>
      </c>
      <c r="L538" s="89">
        <v>2</v>
      </c>
      <c r="M538" s="78">
        <f t="shared" si="414"/>
        <v>3</v>
      </c>
      <c r="N538" s="78"/>
      <c r="O538" s="78">
        <f t="shared" si="415"/>
        <v>6</v>
      </c>
    </row>
    <row r="539" spans="1:16" ht="18" customHeight="1">
      <c r="A539" s="104"/>
      <c r="B539" s="93"/>
      <c r="C539" s="87"/>
      <c r="D539" s="88">
        <v>228</v>
      </c>
      <c r="E539" s="88">
        <v>910</v>
      </c>
      <c r="F539" s="89">
        <f t="shared" si="410"/>
        <v>6</v>
      </c>
      <c r="G539" s="90">
        <f t="shared" si="411"/>
        <v>13.559454955396529</v>
      </c>
      <c r="H539" s="90">
        <f t="shared" si="412"/>
        <v>27.312000000000001</v>
      </c>
      <c r="I539" s="91" t="str">
        <f t="shared" si="413"/>
        <v>11동2라인</v>
      </c>
      <c r="J539" s="92" t="s">
        <v>216</v>
      </c>
      <c r="L539" s="89">
        <v>2</v>
      </c>
      <c r="M539" s="78">
        <f t="shared" si="414"/>
        <v>3</v>
      </c>
      <c r="N539" s="78"/>
      <c r="O539" s="78">
        <f t="shared" si="415"/>
        <v>6</v>
      </c>
    </row>
    <row r="540" spans="1:16" ht="18" customHeight="1">
      <c r="A540" s="104"/>
      <c r="B540" s="93"/>
      <c r="C540" s="87"/>
      <c r="D540" s="88">
        <v>438</v>
      </c>
      <c r="E540" s="88">
        <v>270</v>
      </c>
      <c r="F540" s="89">
        <f t="shared" si="410"/>
        <v>6</v>
      </c>
      <c r="G540" s="90">
        <f t="shared" si="411"/>
        <v>7.7286540535241652</v>
      </c>
      <c r="H540" s="90">
        <f t="shared" si="412"/>
        <v>16.992000000000001</v>
      </c>
      <c r="I540" s="91" t="str">
        <f t="shared" si="413"/>
        <v>11동2라인</v>
      </c>
      <c r="J540" s="92" t="s">
        <v>217</v>
      </c>
      <c r="L540" s="89">
        <v>2</v>
      </c>
      <c r="M540" s="78">
        <f t="shared" si="414"/>
        <v>3</v>
      </c>
      <c r="N540" s="78"/>
      <c r="O540" s="78">
        <f t="shared" si="415"/>
        <v>6</v>
      </c>
    </row>
    <row r="541" spans="1:16" ht="18" customHeight="1">
      <c r="A541" s="104"/>
      <c r="B541" s="93"/>
      <c r="C541" s="87"/>
      <c r="D541" s="88">
        <v>208</v>
      </c>
      <c r="E541" s="88">
        <v>910</v>
      </c>
      <c r="F541" s="89">
        <f t="shared" si="410"/>
        <v>6</v>
      </c>
      <c r="G541" s="90">
        <f t="shared" si="411"/>
        <v>12.370029082116133</v>
      </c>
      <c r="H541" s="90">
        <f t="shared" si="412"/>
        <v>26.832000000000001</v>
      </c>
      <c r="I541" s="91" t="str">
        <f t="shared" si="413"/>
        <v>11동2라인</v>
      </c>
      <c r="J541" s="92" t="s">
        <v>218</v>
      </c>
      <c r="L541" s="89">
        <v>2</v>
      </c>
      <c r="M541" s="78">
        <f t="shared" si="414"/>
        <v>3</v>
      </c>
      <c r="N541" s="78"/>
      <c r="O541" s="78">
        <f t="shared" si="415"/>
        <v>6</v>
      </c>
    </row>
    <row r="542" spans="1:16" ht="18" customHeight="1">
      <c r="A542" s="104"/>
      <c r="B542" s="87"/>
      <c r="C542" s="87"/>
      <c r="D542" s="325" t="s">
        <v>0</v>
      </c>
      <c r="E542" s="325"/>
      <c r="F542" s="171">
        <f>SUM(F535:F541)</f>
        <v>45</v>
      </c>
      <c r="G542" s="95">
        <f>SUM(G535:G541)</f>
        <v>367.00388850766262</v>
      </c>
      <c r="H542" s="95">
        <f>SUM(H535:H541)</f>
        <v>301.87200000000001</v>
      </c>
      <c r="I542" s="97"/>
      <c r="J542" s="98"/>
    </row>
    <row r="543" spans="1:16">
      <c r="A543" s="105"/>
      <c r="B543" s="9"/>
      <c r="C543" s="9"/>
      <c r="D543" s="51"/>
      <c r="E543" s="51"/>
      <c r="F543" s="51"/>
      <c r="G543" s="106"/>
      <c r="H543" s="106"/>
      <c r="I543" s="9"/>
      <c r="J543" s="107"/>
    </row>
    <row r="544" spans="1:16" ht="18" customHeight="1">
      <c r="A544" s="85"/>
      <c r="B544" s="163" t="s">
        <v>199</v>
      </c>
      <c r="C544" s="163">
        <v>22</v>
      </c>
      <c r="D544" s="88">
        <v>738</v>
      </c>
      <c r="E544" s="88">
        <v>1810</v>
      </c>
      <c r="F544" s="89">
        <f t="shared" ref="F544:F545" si="416">O544</f>
        <v>6</v>
      </c>
      <c r="G544" s="90">
        <f t="shared" ref="G544:G545" si="417">D544*E544/91809*F544</f>
        <v>87.297323791785118</v>
      </c>
      <c r="H544" s="90">
        <f t="shared" ref="H544:H545" si="418">(D544/1000)*4*F544+(E544/1000)*4*F544</f>
        <v>61.152000000000001</v>
      </c>
      <c r="I544" s="91" t="str">
        <f>I535</f>
        <v>11동2라인</v>
      </c>
      <c r="J544" s="92" t="s">
        <v>219</v>
      </c>
      <c r="L544" s="89">
        <v>2</v>
      </c>
      <c r="M544" s="78">
        <f>M526</f>
        <v>3</v>
      </c>
      <c r="N544" s="84"/>
      <c r="O544" s="78">
        <f>L544*M544-N544*L544</f>
        <v>6</v>
      </c>
      <c r="P544" s="64"/>
    </row>
    <row r="545" spans="1:16" ht="18" customHeight="1">
      <c r="A545" s="85"/>
      <c r="B545" s="86"/>
      <c r="C545" s="87"/>
      <c r="D545" s="88">
        <v>250</v>
      </c>
      <c r="E545" s="88">
        <v>930</v>
      </c>
      <c r="F545" s="89">
        <f t="shared" si="416"/>
        <v>6</v>
      </c>
      <c r="G545" s="90">
        <f t="shared" si="417"/>
        <v>15.194588765807273</v>
      </c>
      <c r="H545" s="90">
        <f t="shared" si="418"/>
        <v>28.32</v>
      </c>
      <c r="I545" s="91" t="str">
        <f>I544</f>
        <v>11동2라인</v>
      </c>
      <c r="J545" s="92" t="s">
        <v>220</v>
      </c>
      <c r="L545" s="89">
        <v>2</v>
      </c>
      <c r="M545" s="78">
        <f>M544</f>
        <v>3</v>
      </c>
      <c r="N545" s="84"/>
      <c r="O545" s="78">
        <f t="shared" ref="O545" si="419">L545*M545-N545*L545</f>
        <v>6</v>
      </c>
    </row>
    <row r="546" spans="1:16" ht="18" customHeight="1">
      <c r="A546" s="85"/>
      <c r="B546" s="93"/>
      <c r="C546" s="87"/>
      <c r="D546" s="325" t="s">
        <v>0</v>
      </c>
      <c r="E546" s="325"/>
      <c r="F546" s="94">
        <f>SUM(F544:F545)</f>
        <v>12</v>
      </c>
      <c r="G546" s="95">
        <f>SUM(G544:G545)</f>
        <v>102.49191255759239</v>
      </c>
      <c r="H546" s="95">
        <f>SUM(H544:H545)</f>
        <v>89.472000000000008</v>
      </c>
      <c r="I546" s="97"/>
      <c r="J546" s="98"/>
    </row>
    <row r="547" spans="1:16">
      <c r="A547" s="236"/>
      <c r="B547" s="237"/>
      <c r="C547" s="238"/>
      <c r="D547" s="362"/>
      <c r="E547" s="362"/>
      <c r="F547" s="239"/>
      <c r="G547" s="240"/>
      <c r="H547" s="241"/>
      <c r="I547" s="242"/>
      <c r="J547" s="243"/>
    </row>
    <row r="548" spans="1:16" ht="18" customHeight="1">
      <c r="A548" s="244" t="s">
        <v>234</v>
      </c>
      <c r="B548" s="23" t="s">
        <v>195</v>
      </c>
      <c r="C548" s="24">
        <v>22</v>
      </c>
      <c r="D548" s="88">
        <v>761</v>
      </c>
      <c r="E548" s="88">
        <v>1810</v>
      </c>
      <c r="F548" s="89">
        <f>O548</f>
        <v>0</v>
      </c>
      <c r="G548" s="90">
        <f t="shared" ref="G548:G554" si="420">D548*E548/91809*F548</f>
        <v>0</v>
      </c>
      <c r="H548" s="90">
        <f t="shared" ref="H548:H554" si="421">(D548/1000)*4*F548+(E548/1000)*4*F548</f>
        <v>0</v>
      </c>
      <c r="I548" s="91" t="s">
        <v>268</v>
      </c>
      <c r="J548" s="92" t="s">
        <v>205</v>
      </c>
      <c r="L548" s="89">
        <v>2</v>
      </c>
      <c r="M548" s="78">
        <v>0</v>
      </c>
      <c r="N548" s="84"/>
      <c r="O548" s="78">
        <f>L548*M548-N548*L548</f>
        <v>0</v>
      </c>
      <c r="P548" s="64"/>
    </row>
    <row r="549" spans="1:16" ht="18" customHeight="1">
      <c r="A549" s="85"/>
      <c r="B549" s="86"/>
      <c r="C549" s="87"/>
      <c r="D549" s="88">
        <v>1688</v>
      </c>
      <c r="E549" s="88">
        <v>1810</v>
      </c>
      <c r="F549" s="89">
        <f t="shared" ref="F549:F554" si="422">O549</f>
        <v>0</v>
      </c>
      <c r="G549" s="90">
        <f t="shared" si="420"/>
        <v>0</v>
      </c>
      <c r="H549" s="90">
        <f t="shared" si="421"/>
        <v>0</v>
      </c>
      <c r="I549" s="91" t="str">
        <f>I548</f>
        <v>11동3,5라인</v>
      </c>
      <c r="J549" s="92" t="s">
        <v>206</v>
      </c>
      <c r="L549" s="89">
        <v>1</v>
      </c>
      <c r="M549" s="78">
        <f>M548</f>
        <v>0</v>
      </c>
      <c r="N549" s="84"/>
      <c r="O549" s="78">
        <f t="shared" ref="O549:O554" si="423">L549*M549-N549*L549</f>
        <v>0</v>
      </c>
    </row>
    <row r="550" spans="1:16" ht="18" customHeight="1">
      <c r="A550" s="85"/>
      <c r="B550" s="86"/>
      <c r="C550" s="87"/>
      <c r="D550" s="88">
        <v>738</v>
      </c>
      <c r="E550" s="88">
        <v>1310</v>
      </c>
      <c r="F550" s="89">
        <f t="shared" si="422"/>
        <v>0</v>
      </c>
      <c r="G550" s="90">
        <f t="shared" si="420"/>
        <v>0</v>
      </c>
      <c r="H550" s="90">
        <f t="shared" si="421"/>
        <v>0</v>
      </c>
      <c r="I550" s="91" t="str">
        <f t="shared" ref="I550:I554" si="424">I549</f>
        <v>11동3,5라인</v>
      </c>
      <c r="J550" s="92" t="s">
        <v>207</v>
      </c>
      <c r="L550" s="89">
        <v>4</v>
      </c>
      <c r="M550" s="78">
        <f t="shared" ref="M550:M553" si="425">M549</f>
        <v>0</v>
      </c>
      <c r="N550" s="78"/>
      <c r="O550" s="78">
        <f t="shared" si="423"/>
        <v>0</v>
      </c>
    </row>
    <row r="551" spans="1:16" ht="18" customHeight="1">
      <c r="A551" s="85"/>
      <c r="B551" s="86"/>
      <c r="C551" s="87"/>
      <c r="D551" s="88">
        <v>288</v>
      </c>
      <c r="E551" s="88">
        <v>910</v>
      </c>
      <c r="F551" s="89">
        <f t="shared" si="422"/>
        <v>0</v>
      </c>
      <c r="G551" s="90">
        <f t="shared" si="420"/>
        <v>0</v>
      </c>
      <c r="H551" s="90">
        <f t="shared" si="421"/>
        <v>0</v>
      </c>
      <c r="I551" s="91" t="str">
        <f t="shared" si="424"/>
        <v>11동3,5라인</v>
      </c>
      <c r="J551" s="92" t="s">
        <v>208</v>
      </c>
      <c r="L551" s="89">
        <v>2</v>
      </c>
      <c r="M551" s="78">
        <f t="shared" si="425"/>
        <v>0</v>
      </c>
      <c r="N551" s="78"/>
      <c r="O551" s="78">
        <f t="shared" si="423"/>
        <v>0</v>
      </c>
    </row>
    <row r="552" spans="1:16" ht="18" customHeight="1">
      <c r="A552" s="85"/>
      <c r="B552" s="86"/>
      <c r="C552" s="87"/>
      <c r="D552" s="88">
        <v>228</v>
      </c>
      <c r="E552" s="88">
        <v>910</v>
      </c>
      <c r="F552" s="89">
        <f t="shared" si="422"/>
        <v>0</v>
      </c>
      <c r="G552" s="90">
        <f t="shared" si="420"/>
        <v>0</v>
      </c>
      <c r="H552" s="90">
        <f t="shared" si="421"/>
        <v>0</v>
      </c>
      <c r="I552" s="91" t="str">
        <f t="shared" si="424"/>
        <v>11동3,5라인</v>
      </c>
      <c r="J552" s="92" t="s">
        <v>209</v>
      </c>
      <c r="L552" s="89">
        <v>2</v>
      </c>
      <c r="M552" s="78">
        <f t="shared" si="425"/>
        <v>0</v>
      </c>
      <c r="N552" s="78"/>
      <c r="O552" s="78">
        <f t="shared" si="423"/>
        <v>0</v>
      </c>
    </row>
    <row r="553" spans="1:16" ht="18" customHeight="1">
      <c r="A553" s="85"/>
      <c r="B553" s="86"/>
      <c r="C553" s="87"/>
      <c r="D553" s="88">
        <v>438</v>
      </c>
      <c r="E553" s="88">
        <v>270</v>
      </c>
      <c r="F553" s="89">
        <f t="shared" si="422"/>
        <v>0</v>
      </c>
      <c r="G553" s="90">
        <f t="shared" si="420"/>
        <v>0</v>
      </c>
      <c r="H553" s="90">
        <f t="shared" si="421"/>
        <v>0</v>
      </c>
      <c r="I553" s="91" t="str">
        <f t="shared" si="424"/>
        <v>11동3,5라인</v>
      </c>
      <c r="J553" s="92" t="s">
        <v>210</v>
      </c>
      <c r="L553" s="89">
        <v>2</v>
      </c>
      <c r="M553" s="78">
        <f t="shared" si="425"/>
        <v>0</v>
      </c>
      <c r="N553" s="78"/>
      <c r="O553" s="78">
        <f t="shared" si="423"/>
        <v>0</v>
      </c>
    </row>
    <row r="554" spans="1:16" ht="18" customHeight="1">
      <c r="A554" s="85"/>
      <c r="B554" s="86"/>
      <c r="C554" s="87"/>
      <c r="D554" s="88">
        <v>208</v>
      </c>
      <c r="E554" s="88">
        <v>910</v>
      </c>
      <c r="F554" s="89">
        <f t="shared" si="422"/>
        <v>0</v>
      </c>
      <c r="G554" s="90">
        <f t="shared" si="420"/>
        <v>0</v>
      </c>
      <c r="H554" s="90">
        <f t="shared" si="421"/>
        <v>0</v>
      </c>
      <c r="I554" s="91" t="str">
        <f t="shared" si="424"/>
        <v>11동3,5라인</v>
      </c>
      <c r="J554" s="92" t="s">
        <v>211</v>
      </c>
      <c r="L554" s="89">
        <v>2</v>
      </c>
      <c r="M554" s="78">
        <f>M553</f>
        <v>0</v>
      </c>
      <c r="N554" s="78"/>
      <c r="O554" s="78">
        <f t="shared" si="423"/>
        <v>0</v>
      </c>
    </row>
    <row r="555" spans="1:16" ht="18" customHeight="1">
      <c r="A555" s="85"/>
      <c r="B555" s="93"/>
      <c r="C555" s="87"/>
      <c r="D555" s="325" t="s">
        <v>0</v>
      </c>
      <c r="E555" s="325"/>
      <c r="F555" s="94">
        <f>SUM(F548:F554)</f>
        <v>0</v>
      </c>
      <c r="G555" s="95">
        <f>SUM(G548:G554)</f>
        <v>0</v>
      </c>
      <c r="H555" s="96">
        <f>SUM(H548:H554)</f>
        <v>0</v>
      </c>
      <c r="I555" s="97"/>
      <c r="J555" s="162"/>
    </row>
    <row r="556" spans="1:16" ht="18" customHeight="1">
      <c r="A556" s="85"/>
      <c r="B556" s="93"/>
      <c r="C556" s="87"/>
      <c r="D556" s="161"/>
      <c r="E556" s="161"/>
      <c r="F556" s="89"/>
      <c r="G556" s="100"/>
      <c r="H556" s="101"/>
      <c r="I556" s="102"/>
      <c r="J556" s="121"/>
      <c r="L556" s="78" t="s">
        <v>48</v>
      </c>
      <c r="M556" s="78" t="s">
        <v>54</v>
      </c>
      <c r="N556" s="78" t="s">
        <v>50</v>
      </c>
      <c r="O556" s="78" t="s">
        <v>55</v>
      </c>
    </row>
    <row r="557" spans="1:16" ht="18" customHeight="1">
      <c r="A557" s="85"/>
      <c r="B557" s="23" t="s">
        <v>197</v>
      </c>
      <c r="C557" s="24">
        <v>22</v>
      </c>
      <c r="D557" s="88">
        <v>761</v>
      </c>
      <c r="E557" s="88">
        <v>1810</v>
      </c>
      <c r="F557" s="89">
        <f t="shared" ref="F557:F563" si="426">O557</f>
        <v>0</v>
      </c>
      <c r="G557" s="90">
        <f t="shared" ref="G557:G563" si="427">D557*E557/91809*F557</f>
        <v>0</v>
      </c>
      <c r="H557" s="90">
        <f t="shared" ref="H557:H563" si="428">(D557/1000)*4*F557+(E557/1000)*4*F557</f>
        <v>0</v>
      </c>
      <c r="I557" s="91" t="str">
        <f t="shared" ref="I557:I563" si="429">I548</f>
        <v>11동3,5라인</v>
      </c>
      <c r="J557" s="92" t="s">
        <v>212</v>
      </c>
      <c r="L557" s="89">
        <v>2</v>
      </c>
      <c r="M557" s="78">
        <f>M548</f>
        <v>0</v>
      </c>
      <c r="N557" s="84"/>
      <c r="O557" s="78">
        <f>L557*M557-N557*L557</f>
        <v>0</v>
      </c>
    </row>
    <row r="558" spans="1:16" ht="18" customHeight="1">
      <c r="A558" s="85"/>
      <c r="B558" s="86"/>
      <c r="C558" s="87"/>
      <c r="D558" s="88">
        <v>1688</v>
      </c>
      <c r="E558" s="88">
        <v>1810</v>
      </c>
      <c r="F558" s="89">
        <f t="shared" si="426"/>
        <v>0</v>
      </c>
      <c r="G558" s="90">
        <f t="shared" si="427"/>
        <v>0</v>
      </c>
      <c r="H558" s="90">
        <f t="shared" si="428"/>
        <v>0</v>
      </c>
      <c r="I558" s="91" t="str">
        <f t="shared" si="429"/>
        <v>11동3,5라인</v>
      </c>
      <c r="J558" s="92" t="s">
        <v>213</v>
      </c>
      <c r="L558" s="89">
        <v>1</v>
      </c>
      <c r="M558" s="78">
        <f>M557</f>
        <v>0</v>
      </c>
      <c r="N558" s="84"/>
      <c r="O558" s="78">
        <f>L558*M558-N558*L558</f>
        <v>0</v>
      </c>
    </row>
    <row r="559" spans="1:16" ht="18" customHeight="1">
      <c r="A559" s="104"/>
      <c r="B559" s="93"/>
      <c r="C559" s="87"/>
      <c r="D559" s="88">
        <v>738</v>
      </c>
      <c r="E559" s="88">
        <v>1310</v>
      </c>
      <c r="F559" s="89">
        <f t="shared" si="426"/>
        <v>0</v>
      </c>
      <c r="G559" s="90">
        <f t="shared" si="427"/>
        <v>0</v>
      </c>
      <c r="H559" s="90">
        <f t="shared" si="428"/>
        <v>0</v>
      </c>
      <c r="I559" s="91" t="str">
        <f t="shared" si="429"/>
        <v>11동3,5라인</v>
      </c>
      <c r="J559" s="92" t="s">
        <v>214</v>
      </c>
      <c r="L559" s="89">
        <v>4</v>
      </c>
      <c r="M559" s="78">
        <f t="shared" ref="M559:M563" si="430">M558</f>
        <v>0</v>
      </c>
      <c r="N559" s="84"/>
      <c r="O559" s="78">
        <f t="shared" ref="O559:O563" si="431">L559*M559-N559*L559</f>
        <v>0</v>
      </c>
    </row>
    <row r="560" spans="1:16" ht="18" customHeight="1">
      <c r="A560" s="104"/>
      <c r="B560" s="93"/>
      <c r="C560" s="87"/>
      <c r="D560" s="88">
        <v>288</v>
      </c>
      <c r="E560" s="88">
        <v>910</v>
      </c>
      <c r="F560" s="89">
        <f t="shared" si="426"/>
        <v>0</v>
      </c>
      <c r="G560" s="90">
        <f t="shared" si="427"/>
        <v>0</v>
      </c>
      <c r="H560" s="90">
        <f t="shared" si="428"/>
        <v>0</v>
      </c>
      <c r="I560" s="91" t="str">
        <f t="shared" si="429"/>
        <v>11동3,5라인</v>
      </c>
      <c r="J560" s="92" t="s">
        <v>215</v>
      </c>
      <c r="L560" s="89">
        <v>2</v>
      </c>
      <c r="M560" s="78">
        <f t="shared" si="430"/>
        <v>0</v>
      </c>
      <c r="N560" s="78"/>
      <c r="O560" s="78">
        <f t="shared" si="431"/>
        <v>0</v>
      </c>
    </row>
    <row r="561" spans="1:16" ht="18" customHeight="1">
      <c r="A561" s="104"/>
      <c r="B561" s="93"/>
      <c r="C561" s="87"/>
      <c r="D561" s="88">
        <v>228</v>
      </c>
      <c r="E561" s="88">
        <v>910</v>
      </c>
      <c r="F561" s="89">
        <f t="shared" si="426"/>
        <v>0</v>
      </c>
      <c r="G561" s="90">
        <f t="shared" si="427"/>
        <v>0</v>
      </c>
      <c r="H561" s="90">
        <f t="shared" si="428"/>
        <v>0</v>
      </c>
      <c r="I561" s="91" t="str">
        <f t="shared" si="429"/>
        <v>11동3,5라인</v>
      </c>
      <c r="J561" s="92" t="s">
        <v>216</v>
      </c>
      <c r="L561" s="89">
        <v>2</v>
      </c>
      <c r="M561" s="78">
        <f t="shared" si="430"/>
        <v>0</v>
      </c>
      <c r="N561" s="78"/>
      <c r="O561" s="78">
        <f t="shared" si="431"/>
        <v>0</v>
      </c>
    </row>
    <row r="562" spans="1:16" ht="18" customHeight="1">
      <c r="A562" s="104"/>
      <c r="B562" s="93"/>
      <c r="C562" s="87"/>
      <c r="D562" s="88">
        <v>438</v>
      </c>
      <c r="E562" s="88">
        <v>270</v>
      </c>
      <c r="F562" s="89">
        <f t="shared" si="426"/>
        <v>0</v>
      </c>
      <c r="G562" s="90">
        <f t="shared" si="427"/>
        <v>0</v>
      </c>
      <c r="H562" s="90">
        <f t="shared" si="428"/>
        <v>0</v>
      </c>
      <c r="I562" s="91" t="str">
        <f t="shared" si="429"/>
        <v>11동3,5라인</v>
      </c>
      <c r="J562" s="92" t="s">
        <v>217</v>
      </c>
      <c r="L562" s="89">
        <v>2</v>
      </c>
      <c r="M562" s="78">
        <f t="shared" si="430"/>
        <v>0</v>
      </c>
      <c r="N562" s="78"/>
      <c r="O562" s="78">
        <f t="shared" si="431"/>
        <v>0</v>
      </c>
    </row>
    <row r="563" spans="1:16" ht="18" customHeight="1">
      <c r="A563" s="104"/>
      <c r="B563" s="93"/>
      <c r="C563" s="87"/>
      <c r="D563" s="88">
        <v>208</v>
      </c>
      <c r="E563" s="88">
        <v>910</v>
      </c>
      <c r="F563" s="89">
        <f t="shared" si="426"/>
        <v>0</v>
      </c>
      <c r="G563" s="90">
        <f t="shared" si="427"/>
        <v>0</v>
      </c>
      <c r="H563" s="90">
        <f t="shared" si="428"/>
        <v>0</v>
      </c>
      <c r="I563" s="91" t="str">
        <f t="shared" si="429"/>
        <v>11동3,5라인</v>
      </c>
      <c r="J563" s="92" t="s">
        <v>218</v>
      </c>
      <c r="L563" s="89">
        <v>2</v>
      </c>
      <c r="M563" s="78">
        <f t="shared" si="430"/>
        <v>0</v>
      </c>
      <c r="N563" s="78"/>
      <c r="O563" s="78">
        <f t="shared" si="431"/>
        <v>0</v>
      </c>
    </row>
    <row r="564" spans="1:16" ht="18" customHeight="1">
      <c r="A564" s="104"/>
      <c r="B564" s="87"/>
      <c r="C564" s="87"/>
      <c r="D564" s="325" t="s">
        <v>0</v>
      </c>
      <c r="E564" s="325"/>
      <c r="F564" s="171">
        <f>SUM(F557:F563)</f>
        <v>0</v>
      </c>
      <c r="G564" s="95">
        <f>SUM(G557:G563)</f>
        <v>0</v>
      </c>
      <c r="H564" s="95">
        <f>SUM(H557:H563)</f>
        <v>0</v>
      </c>
      <c r="I564" s="97"/>
      <c r="J564" s="98"/>
    </row>
    <row r="565" spans="1:16">
      <c r="A565" s="105"/>
      <c r="B565" s="9"/>
      <c r="C565" s="9"/>
      <c r="D565" s="51"/>
      <c r="E565" s="51"/>
      <c r="F565" s="51"/>
      <c r="G565" s="106"/>
      <c r="H565" s="106"/>
      <c r="I565" s="9"/>
      <c r="J565" s="107"/>
    </row>
    <row r="566" spans="1:16" ht="18" customHeight="1">
      <c r="A566" s="85"/>
      <c r="B566" s="163" t="s">
        <v>199</v>
      </c>
      <c r="C566" s="163">
        <v>22</v>
      </c>
      <c r="D566" s="88">
        <v>738</v>
      </c>
      <c r="E566" s="88">
        <v>1810</v>
      </c>
      <c r="F566" s="89">
        <f t="shared" ref="F566:F567" si="432">O566</f>
        <v>0</v>
      </c>
      <c r="G566" s="90">
        <f t="shared" ref="G566:G567" si="433">D566*E566/91809*F566</f>
        <v>0</v>
      </c>
      <c r="H566" s="90">
        <f t="shared" ref="H566:H567" si="434">(D566/1000)*4*F566+(E566/1000)*4*F566</f>
        <v>0</v>
      </c>
      <c r="I566" s="91" t="str">
        <f>I557</f>
        <v>11동3,5라인</v>
      </c>
      <c r="J566" s="92" t="s">
        <v>219</v>
      </c>
      <c r="L566" s="89">
        <v>2</v>
      </c>
      <c r="M566" s="78">
        <f>M548</f>
        <v>0</v>
      </c>
      <c r="N566" s="84"/>
      <c r="O566" s="78">
        <f>L566*M566-N566*L566</f>
        <v>0</v>
      </c>
      <c r="P566" s="64" t="s">
        <v>264</v>
      </c>
    </row>
    <row r="567" spans="1:16" ht="18" customHeight="1">
      <c r="A567" s="85"/>
      <c r="B567" s="86"/>
      <c r="C567" s="87"/>
      <c r="D567" s="88">
        <v>250</v>
      </c>
      <c r="E567" s="88">
        <v>930</v>
      </c>
      <c r="F567" s="89">
        <f t="shared" si="432"/>
        <v>0</v>
      </c>
      <c r="G567" s="90">
        <f t="shared" si="433"/>
        <v>0</v>
      </c>
      <c r="H567" s="90">
        <f t="shared" si="434"/>
        <v>0</v>
      </c>
      <c r="I567" s="91" t="str">
        <f>I566</f>
        <v>11동3,5라인</v>
      </c>
      <c r="J567" s="92" t="s">
        <v>220</v>
      </c>
      <c r="L567" s="89">
        <v>2</v>
      </c>
      <c r="M567" s="78">
        <f>M566</f>
        <v>0</v>
      </c>
      <c r="N567" s="84"/>
      <c r="O567" s="78">
        <f t="shared" ref="O567" si="435">L567*M567-N567*L567</f>
        <v>0</v>
      </c>
    </row>
    <row r="568" spans="1:16" ht="18" customHeight="1" thickBot="1">
      <c r="A568" s="222"/>
      <c r="B568" s="223"/>
      <c r="C568" s="224"/>
      <c r="D568" s="364" t="s">
        <v>0</v>
      </c>
      <c r="E568" s="364"/>
      <c r="F568" s="269">
        <f>SUM(F566:F567)</f>
        <v>0</v>
      </c>
      <c r="G568" s="270">
        <f>SUM(G566:G567)</f>
        <v>0</v>
      </c>
      <c r="H568" s="270">
        <f>SUM(H566:H567)</f>
        <v>0</v>
      </c>
      <c r="I568" s="271"/>
      <c r="J568" s="272"/>
    </row>
    <row r="569" spans="1:16" ht="18" customHeight="1">
      <c r="A569" s="79" t="s">
        <v>235</v>
      </c>
      <c r="B569" s="231" t="s">
        <v>201</v>
      </c>
      <c r="C569" s="232">
        <v>22</v>
      </c>
      <c r="D569" s="80">
        <v>861</v>
      </c>
      <c r="E569" s="80">
        <v>1810</v>
      </c>
      <c r="F569" s="233">
        <f t="shared" ref="F569:F572" si="436">O569</f>
        <v>0</v>
      </c>
      <c r="G569" s="81">
        <f t="shared" ref="G569:G572" si="437">D569*E569/91809*F569</f>
        <v>0</v>
      </c>
      <c r="H569" s="81">
        <f t="shared" ref="H569:H572" si="438">(D569/1000)*4*F569+(E569/1000)*4*F569</f>
        <v>0</v>
      </c>
      <c r="I569" s="82" t="s">
        <v>269</v>
      </c>
      <c r="J569" s="83" t="s">
        <v>205</v>
      </c>
      <c r="L569" s="89">
        <v>1</v>
      </c>
      <c r="M569" s="78">
        <v>0</v>
      </c>
      <c r="N569" s="84"/>
      <c r="O569" s="78">
        <f>L569*M569-N569*L569</f>
        <v>0</v>
      </c>
      <c r="P569" s="64"/>
    </row>
    <row r="570" spans="1:16" ht="18" customHeight="1">
      <c r="A570" s="85"/>
      <c r="B570" s="86"/>
      <c r="C570" s="87"/>
      <c r="D570" s="88">
        <v>738</v>
      </c>
      <c r="E570" s="88">
        <v>1310</v>
      </c>
      <c r="F570" s="89">
        <f t="shared" si="436"/>
        <v>0</v>
      </c>
      <c r="G570" s="90">
        <f t="shared" si="437"/>
        <v>0</v>
      </c>
      <c r="H570" s="90">
        <f t="shared" si="438"/>
        <v>0</v>
      </c>
      <c r="I570" s="91" t="str">
        <f>I569</f>
        <v>11동4라인</v>
      </c>
      <c r="J570" s="92" t="s">
        <v>207</v>
      </c>
      <c r="L570" s="89">
        <v>4</v>
      </c>
      <c r="M570" s="78">
        <f>M569</f>
        <v>0</v>
      </c>
      <c r="N570" s="84"/>
      <c r="O570" s="78">
        <f t="shared" ref="O570:O572" si="439">L570*M570-N570*L570</f>
        <v>0</v>
      </c>
    </row>
    <row r="571" spans="1:16" ht="18" customHeight="1">
      <c r="A571" s="85"/>
      <c r="B571" s="86"/>
      <c r="C571" s="87"/>
      <c r="D571" s="88">
        <v>228</v>
      </c>
      <c r="E571" s="88">
        <v>910</v>
      </c>
      <c r="F571" s="89">
        <f t="shared" si="436"/>
        <v>0</v>
      </c>
      <c r="G571" s="90">
        <f t="shared" si="437"/>
        <v>0</v>
      </c>
      <c r="H571" s="90">
        <f t="shared" si="438"/>
        <v>0</v>
      </c>
      <c r="I571" s="91" t="str">
        <f t="shared" ref="I571:I572" si="440">I570</f>
        <v>11동4라인</v>
      </c>
      <c r="J571" s="92" t="s">
        <v>209</v>
      </c>
      <c r="L571" s="89">
        <v>2</v>
      </c>
      <c r="M571" s="78">
        <f t="shared" ref="M571:M572" si="441">M570</f>
        <v>0</v>
      </c>
      <c r="N571" s="78"/>
      <c r="O571" s="78">
        <f t="shared" si="439"/>
        <v>0</v>
      </c>
    </row>
    <row r="572" spans="1:16" ht="18" customHeight="1">
      <c r="A572" s="85"/>
      <c r="B572" s="86"/>
      <c r="C572" s="87"/>
      <c r="D572" s="88">
        <v>438</v>
      </c>
      <c r="E572" s="88">
        <v>270</v>
      </c>
      <c r="F572" s="89">
        <f t="shared" si="436"/>
        <v>0</v>
      </c>
      <c r="G572" s="90">
        <f t="shared" si="437"/>
        <v>0</v>
      </c>
      <c r="H572" s="90">
        <f t="shared" si="438"/>
        <v>0</v>
      </c>
      <c r="I572" s="91" t="str">
        <f t="shared" si="440"/>
        <v>11동4라인</v>
      </c>
      <c r="J572" s="92" t="s">
        <v>210</v>
      </c>
      <c r="L572" s="89">
        <v>2</v>
      </c>
      <c r="M572" s="78">
        <f t="shared" si="441"/>
        <v>0</v>
      </c>
      <c r="N572" s="78"/>
      <c r="O572" s="78">
        <f t="shared" si="439"/>
        <v>0</v>
      </c>
    </row>
    <row r="573" spans="1:16" ht="18" customHeight="1">
      <c r="A573" s="85"/>
      <c r="B573" s="93"/>
      <c r="C573" s="87"/>
      <c r="D573" s="325" t="s">
        <v>0</v>
      </c>
      <c r="E573" s="325"/>
      <c r="F573" s="94">
        <f>SUM(F569:F572)</f>
        <v>0</v>
      </c>
      <c r="G573" s="95">
        <f>SUM(G569:G572)</f>
        <v>0</v>
      </c>
      <c r="H573" s="96">
        <f>SUM(H569:H572)</f>
        <v>0</v>
      </c>
      <c r="I573" s="97"/>
      <c r="J573" s="162"/>
    </row>
    <row r="574" spans="1:16" ht="18" customHeight="1">
      <c r="A574" s="85"/>
      <c r="B574" s="93"/>
      <c r="C574" s="87"/>
      <c r="D574" s="161"/>
      <c r="E574" s="161"/>
      <c r="F574" s="89"/>
      <c r="G574" s="100"/>
      <c r="H574" s="101"/>
      <c r="I574" s="102"/>
      <c r="J574" s="121"/>
      <c r="L574" s="252"/>
      <c r="M574" s="252"/>
      <c r="N574" s="252"/>
      <c r="O574" s="252"/>
    </row>
    <row r="575" spans="1:16" ht="18" customHeight="1">
      <c r="A575" s="85"/>
      <c r="B575" s="23" t="s">
        <v>198</v>
      </c>
      <c r="C575" s="24">
        <v>22</v>
      </c>
      <c r="D575" s="88">
        <v>861</v>
      </c>
      <c r="E575" s="88">
        <v>1810</v>
      </c>
      <c r="F575" s="89">
        <f t="shared" ref="F575:F579" si="442">O575</f>
        <v>0</v>
      </c>
      <c r="G575" s="90">
        <f t="shared" ref="G575:G579" si="443">D575*E575/91809*F575</f>
        <v>0</v>
      </c>
      <c r="H575" s="90">
        <f t="shared" ref="H575:H579" si="444">(D575/1000)*4*F575+(E575/1000)*4*F575</f>
        <v>0</v>
      </c>
      <c r="I575" s="91" t="str">
        <f>I569</f>
        <v>11동4라인</v>
      </c>
      <c r="J575" s="92" t="s">
        <v>212</v>
      </c>
      <c r="L575" s="89">
        <v>1</v>
      </c>
      <c r="M575" s="78">
        <f>M569</f>
        <v>0</v>
      </c>
      <c r="N575" s="84"/>
      <c r="O575" s="78">
        <f>L575*M575-N575*L575</f>
        <v>0</v>
      </c>
    </row>
    <row r="576" spans="1:16" ht="18" customHeight="1">
      <c r="A576" s="85"/>
      <c r="B576" s="86"/>
      <c r="C576" s="87"/>
      <c r="D576" s="88">
        <v>2114</v>
      </c>
      <c r="E576" s="88">
        <v>1810</v>
      </c>
      <c r="F576" s="89">
        <f t="shared" si="442"/>
        <v>0</v>
      </c>
      <c r="G576" s="90">
        <f t="shared" si="443"/>
        <v>0</v>
      </c>
      <c r="H576" s="90">
        <f t="shared" si="444"/>
        <v>0</v>
      </c>
      <c r="I576" s="91" t="str">
        <f>I569</f>
        <v>11동4라인</v>
      </c>
      <c r="J576" s="92" t="s">
        <v>213</v>
      </c>
      <c r="L576" s="89">
        <v>1</v>
      </c>
      <c r="M576" s="78">
        <f>M575</f>
        <v>0</v>
      </c>
      <c r="N576" s="84"/>
      <c r="O576" s="78">
        <f>L576*M576-N576*L576</f>
        <v>0</v>
      </c>
    </row>
    <row r="577" spans="1:16" ht="18" customHeight="1">
      <c r="A577" s="104"/>
      <c r="B577" s="93"/>
      <c r="C577" s="87"/>
      <c r="D577" s="88">
        <v>738</v>
      </c>
      <c r="E577" s="88">
        <v>1310</v>
      </c>
      <c r="F577" s="89">
        <f t="shared" si="442"/>
        <v>0</v>
      </c>
      <c r="G577" s="90">
        <f t="shared" si="443"/>
        <v>0</v>
      </c>
      <c r="H577" s="90">
        <f t="shared" si="444"/>
        <v>0</v>
      </c>
      <c r="I577" s="91" t="str">
        <f>I576</f>
        <v>11동4라인</v>
      </c>
      <c r="J577" s="92" t="s">
        <v>214</v>
      </c>
      <c r="L577" s="89">
        <v>4</v>
      </c>
      <c r="M577" s="78">
        <f t="shared" ref="M577:M579" si="445">M576</f>
        <v>0</v>
      </c>
      <c r="N577" s="84"/>
      <c r="O577" s="78">
        <f t="shared" ref="O577:O579" si="446">L577*M577-N577*L577</f>
        <v>0</v>
      </c>
    </row>
    <row r="578" spans="1:16" ht="18" customHeight="1">
      <c r="A578" s="104"/>
      <c r="B578" s="93"/>
      <c r="C578" s="87"/>
      <c r="D578" s="88">
        <v>228</v>
      </c>
      <c r="E578" s="88">
        <v>910</v>
      </c>
      <c r="F578" s="89">
        <f t="shared" si="442"/>
        <v>0</v>
      </c>
      <c r="G578" s="90">
        <f t="shared" si="443"/>
        <v>0</v>
      </c>
      <c r="H578" s="90">
        <f t="shared" si="444"/>
        <v>0</v>
      </c>
      <c r="I578" s="91" t="str">
        <f t="shared" ref="I578:I579" si="447">I577</f>
        <v>11동4라인</v>
      </c>
      <c r="J578" s="92" t="s">
        <v>216</v>
      </c>
      <c r="L578" s="89">
        <v>2</v>
      </c>
      <c r="M578" s="78">
        <f t="shared" si="445"/>
        <v>0</v>
      </c>
      <c r="N578" s="78"/>
      <c r="O578" s="78">
        <f t="shared" si="446"/>
        <v>0</v>
      </c>
    </row>
    <row r="579" spans="1:16" ht="18" customHeight="1">
      <c r="A579" s="104"/>
      <c r="B579" s="93"/>
      <c r="C579" s="87"/>
      <c r="D579" s="88">
        <v>438</v>
      </c>
      <c r="E579" s="88">
        <v>270</v>
      </c>
      <c r="F579" s="89">
        <f t="shared" si="442"/>
        <v>0</v>
      </c>
      <c r="G579" s="90">
        <f t="shared" si="443"/>
        <v>0</v>
      </c>
      <c r="H579" s="90">
        <f t="shared" si="444"/>
        <v>0</v>
      </c>
      <c r="I579" s="91" t="str">
        <f t="shared" si="447"/>
        <v>11동4라인</v>
      </c>
      <c r="J579" s="92" t="s">
        <v>217</v>
      </c>
      <c r="L579" s="89">
        <v>2</v>
      </c>
      <c r="M579" s="78">
        <f t="shared" si="445"/>
        <v>0</v>
      </c>
      <c r="N579" s="78"/>
      <c r="O579" s="78">
        <f t="shared" si="446"/>
        <v>0</v>
      </c>
    </row>
    <row r="580" spans="1:16" ht="18" customHeight="1">
      <c r="A580" s="104"/>
      <c r="B580" s="87"/>
      <c r="C580" s="87"/>
      <c r="D580" s="325" t="s">
        <v>0</v>
      </c>
      <c r="E580" s="325"/>
      <c r="F580" s="171">
        <f>SUM(F575:F579)</f>
        <v>0</v>
      </c>
      <c r="G580" s="95">
        <f>SUM(G575:G579)</f>
        <v>0</v>
      </c>
      <c r="H580" s="95">
        <f>SUM(H575:H579)</f>
        <v>0</v>
      </c>
      <c r="I580" s="97"/>
      <c r="J580" s="98"/>
    </row>
    <row r="581" spans="1:16">
      <c r="A581" s="105"/>
      <c r="B581" s="9"/>
      <c r="C581" s="9"/>
      <c r="D581" s="51"/>
      <c r="E581" s="51"/>
      <c r="F581" s="51"/>
      <c r="G581" s="106"/>
      <c r="H581" s="106"/>
      <c r="I581" s="9"/>
      <c r="J581" s="107"/>
    </row>
    <row r="582" spans="1:16" ht="18" customHeight="1">
      <c r="A582" s="85"/>
      <c r="B582" s="23" t="s">
        <v>237</v>
      </c>
      <c r="C582" s="24">
        <v>22</v>
      </c>
      <c r="D582" s="88">
        <v>2114</v>
      </c>
      <c r="E582" s="88">
        <v>1810</v>
      </c>
      <c r="F582" s="89">
        <f t="shared" ref="F582" si="448">O582</f>
        <v>0</v>
      </c>
      <c r="G582" s="90">
        <f t="shared" ref="G582" si="449">D582*E582/91809*F582</f>
        <v>0</v>
      </c>
      <c r="H582" s="90">
        <f t="shared" ref="H582" si="450">(D582/1000)*4*F582+(E582/1000)*4*F582</f>
        <v>0</v>
      </c>
      <c r="I582" s="91" t="str">
        <f>I575</f>
        <v>11동4라인</v>
      </c>
      <c r="J582" s="92" t="s">
        <v>206</v>
      </c>
      <c r="L582" s="89">
        <v>1</v>
      </c>
      <c r="M582" s="78">
        <f>M569</f>
        <v>0</v>
      </c>
      <c r="N582" s="84"/>
      <c r="O582" s="78">
        <f>L582*M582-N582*L582</f>
        <v>0</v>
      </c>
    </row>
    <row r="583" spans="1:16" ht="18" customHeight="1">
      <c r="A583" s="85"/>
      <c r="B583" s="93"/>
      <c r="C583" s="87"/>
      <c r="D583" s="325" t="s">
        <v>0</v>
      </c>
      <c r="E583" s="325"/>
      <c r="F583" s="94">
        <f>SUM(F582:F582)</f>
        <v>0</v>
      </c>
      <c r="G583" s="95">
        <f>SUM(G582:G582)</f>
        <v>0</v>
      </c>
      <c r="H583" s="95">
        <f>SUM(H582:H582)</f>
        <v>0</v>
      </c>
      <c r="I583" s="97"/>
      <c r="J583" s="98"/>
    </row>
    <row r="584" spans="1:16" ht="18" customHeight="1">
      <c r="A584" s="218"/>
      <c r="B584" s="219"/>
      <c r="C584" s="220"/>
      <c r="D584" s="161"/>
      <c r="E584" s="161"/>
      <c r="F584" s="89"/>
      <c r="G584" s="100"/>
      <c r="H584" s="100"/>
      <c r="I584" s="102"/>
      <c r="J584" s="221"/>
    </row>
    <row r="585" spans="1:16" ht="18" customHeight="1">
      <c r="A585" s="85"/>
      <c r="B585" s="23" t="s">
        <v>203</v>
      </c>
      <c r="C585" s="24">
        <v>22</v>
      </c>
      <c r="D585" s="88">
        <v>738</v>
      </c>
      <c r="E585" s="88">
        <v>1810</v>
      </c>
      <c r="F585" s="89">
        <f t="shared" ref="F585:F586" si="451">O585</f>
        <v>0</v>
      </c>
      <c r="G585" s="90">
        <f t="shared" ref="G585:G586" si="452">D585*E585/91809*F585</f>
        <v>0</v>
      </c>
      <c r="H585" s="90">
        <f t="shared" ref="H585:H586" si="453">(D585/1000)*4*F585+(E585/1000)*4*F585</f>
        <v>0</v>
      </c>
      <c r="I585" s="91" t="str">
        <f>I582</f>
        <v>11동4라인</v>
      </c>
      <c r="J585" s="92" t="s">
        <v>219</v>
      </c>
      <c r="L585" s="89">
        <v>2</v>
      </c>
      <c r="M585" s="78">
        <f>M582</f>
        <v>0</v>
      </c>
      <c r="N585" s="84"/>
      <c r="O585" s="78">
        <f>L585*M585-N585*L585</f>
        <v>0</v>
      </c>
      <c r="P585" s="64"/>
    </row>
    <row r="586" spans="1:16" ht="18" customHeight="1">
      <c r="A586" s="85"/>
      <c r="B586" s="86"/>
      <c r="C586" s="87"/>
      <c r="D586" s="88">
        <v>250</v>
      </c>
      <c r="E586" s="88">
        <v>930</v>
      </c>
      <c r="F586" s="89">
        <f t="shared" si="451"/>
        <v>0</v>
      </c>
      <c r="G586" s="90">
        <f t="shared" si="452"/>
        <v>0</v>
      </c>
      <c r="H586" s="90">
        <f t="shared" si="453"/>
        <v>0</v>
      </c>
      <c r="I586" s="91" t="str">
        <f>I585</f>
        <v>11동4라인</v>
      </c>
      <c r="J586" s="92" t="s">
        <v>220</v>
      </c>
      <c r="L586" s="89">
        <v>2</v>
      </c>
      <c r="M586" s="78">
        <f>M585</f>
        <v>0</v>
      </c>
      <c r="N586" s="84"/>
      <c r="O586" s="78">
        <f t="shared" ref="O586" si="454">L586*M586-N586*L586</f>
        <v>0</v>
      </c>
    </row>
    <row r="587" spans="1:16" ht="18" customHeight="1">
      <c r="A587" s="85"/>
      <c r="B587" s="93"/>
      <c r="C587" s="87"/>
      <c r="D587" s="325" t="s">
        <v>0</v>
      </c>
      <c r="E587" s="325"/>
      <c r="F587" s="94">
        <f>SUM(F585:F586)</f>
        <v>0</v>
      </c>
      <c r="G587" s="95">
        <f>SUM(G585:G586)</f>
        <v>0</v>
      </c>
      <c r="H587" s="96">
        <f>SUM(H585:H586)</f>
        <v>0</v>
      </c>
      <c r="I587" s="97"/>
      <c r="J587" s="162"/>
    </row>
    <row r="588" spans="1:16">
      <c r="A588" s="253"/>
      <c r="B588" s="254"/>
      <c r="C588" s="255"/>
      <c r="D588" s="361"/>
      <c r="E588" s="361"/>
      <c r="F588" s="256"/>
      <c r="G588" s="257"/>
      <c r="H588" s="258"/>
      <c r="I588" s="259"/>
      <c r="J588" s="260"/>
    </row>
    <row r="589" spans="1:16">
      <c r="A589" s="9"/>
      <c r="B589" s="9"/>
      <c r="C589" s="9"/>
      <c r="D589" s="51"/>
      <c r="E589" s="51"/>
      <c r="F589" s="51"/>
      <c r="G589" s="106"/>
      <c r="H589" s="106"/>
      <c r="I589" s="9"/>
      <c r="J589" s="9"/>
    </row>
    <row r="590" spans="1:16">
      <c r="A590" s="9"/>
      <c r="B590" s="9"/>
      <c r="C590" s="9"/>
      <c r="D590" s="51"/>
      <c r="E590" s="51"/>
      <c r="F590" s="51"/>
      <c r="G590" s="106"/>
      <c r="H590" s="106"/>
      <c r="I590" s="9"/>
      <c r="J590" s="9"/>
    </row>
    <row r="591" spans="1:16">
      <c r="A591" s="9"/>
      <c r="B591" s="9"/>
      <c r="C591" s="9"/>
      <c r="D591" s="51"/>
      <c r="E591" s="51"/>
      <c r="F591" s="51"/>
      <c r="G591" s="106"/>
      <c r="H591" s="106"/>
      <c r="I591" s="9"/>
      <c r="J591" s="9"/>
    </row>
    <row r="592" spans="1:16">
      <c r="A592" s="9"/>
      <c r="B592" s="9"/>
      <c r="C592" s="9"/>
      <c r="D592" s="51"/>
      <c r="E592" s="51"/>
      <c r="F592" s="51"/>
      <c r="G592" s="106"/>
      <c r="H592" s="106"/>
      <c r="I592" s="9"/>
      <c r="J592" s="9"/>
    </row>
    <row r="593" spans="1:10">
      <c r="A593" s="9"/>
      <c r="B593" s="9"/>
      <c r="C593" s="9"/>
      <c r="D593" s="51"/>
      <c r="E593" s="51"/>
      <c r="F593" s="51"/>
      <c r="G593" s="106"/>
      <c r="H593" s="106"/>
      <c r="I593" s="9"/>
      <c r="J593" s="9"/>
    </row>
    <row r="594" spans="1:10">
      <c r="A594" s="44" t="s">
        <v>59</v>
      </c>
      <c r="B594" s="23" t="s">
        <v>201</v>
      </c>
      <c r="C594" s="24">
        <v>22</v>
      </c>
      <c r="D594" s="51"/>
      <c r="E594" s="51"/>
      <c r="F594" s="51">
        <f>F573+F555+F533+F510+F491+F468+F450+F428+F407+F386+F365+F343+F320+F301+F279+F257+F234+F213+F193+F171+F148+F127+F107+F86+F64+F41+F22</f>
        <v>3170</v>
      </c>
      <c r="G594" s="51">
        <f t="shared" ref="G594:H594" si="455">G573+G555+G533+G510+G491+G468+G450+G428+G407+G386+G365+G343+G320+G301+G279+G257+G234+G213+G193+G171+G148+G127+G107+G86+G64+G41+G22</f>
        <v>25307.005304490849</v>
      </c>
      <c r="H594" s="51">
        <f t="shared" si="455"/>
        <v>21105.78</v>
      </c>
      <c r="I594" s="9"/>
      <c r="J594" s="9"/>
    </row>
    <row r="595" spans="1:10">
      <c r="A595" s="44" t="s">
        <v>60</v>
      </c>
      <c r="B595" s="23" t="s">
        <v>198</v>
      </c>
      <c r="C595" s="24">
        <v>22</v>
      </c>
      <c r="D595" s="51"/>
      <c r="E595" s="51"/>
      <c r="F595" s="51">
        <f>F580+F564+F542+F517+F500+F475++F459+F437+F415+F394+F374+F352+F327+F310+F288+F266++F241+F221+F202+F180+F155+F135+F115+F95+F73+F48+F31</f>
        <v>3245</v>
      </c>
      <c r="G595" s="51">
        <f t="shared" ref="G595:H595" si="456">G580+G564+G542+G517+G500+G475++G459+G437+G415+G394+G374+G352+G327+G310+G288+G266++G241+G221+G202+G180+G155+G135+G115+G95+G73+G48+G31</f>
        <v>28432.793625897251</v>
      </c>
      <c r="H595" s="51">
        <f t="shared" si="456"/>
        <v>22282.979999999996</v>
      </c>
      <c r="I595" s="9"/>
      <c r="J595" s="9"/>
    </row>
    <row r="596" spans="1:10">
      <c r="A596" s="44" t="s">
        <v>109</v>
      </c>
      <c r="B596" s="23" t="s">
        <v>238</v>
      </c>
      <c r="C596" s="24">
        <v>22</v>
      </c>
      <c r="D596" s="51"/>
      <c r="E596" s="51"/>
      <c r="F596" s="51">
        <f>F583+F520+F478+F330+F244++F158+F51+F224++F138</f>
        <v>75</v>
      </c>
      <c r="G596" s="51">
        <f t="shared" ref="G596:H596" si="457">G583+G520+G478+G330+G244++G158+G51+G224++G138</f>
        <v>3125.7883214063982</v>
      </c>
      <c r="H596" s="51">
        <f t="shared" si="457"/>
        <v>1177.1999999999998</v>
      </c>
      <c r="I596" s="9"/>
      <c r="J596" s="9"/>
    </row>
    <row r="597" spans="1:10">
      <c r="A597" s="44" t="s">
        <v>110</v>
      </c>
      <c r="B597" s="23" t="s">
        <v>203</v>
      </c>
      <c r="C597" s="24">
        <v>22</v>
      </c>
      <c r="D597" s="51"/>
      <c r="E597" s="51"/>
      <c r="F597" s="51">
        <f>F587+F568+F546+F524+F504+F482+F463+F441+F420+F399+F378+F356+F334+F314+F292+F270+F248+F228+F206+F184+F162+F142+F120+F99+F77+F55+F35</f>
        <v>836</v>
      </c>
      <c r="G597" s="51">
        <f t="shared" ref="G597:H597" si="458">G587+G568+G546+G524+G504+G482+G463+G441+G420+G399+G378+G356+G334+G314+G292+G270+G248+G228+G206+G184+G162+G142+G120+G99+G77+G55+G35</f>
        <v>6332.1208160420001</v>
      </c>
      <c r="H597" s="51">
        <f t="shared" si="458"/>
        <v>5881.1520000000019</v>
      </c>
      <c r="I597" s="9"/>
      <c r="J597" s="9"/>
    </row>
    <row r="598" spans="1:10">
      <c r="A598" s="44" t="s">
        <v>111</v>
      </c>
      <c r="B598" s="23" t="s">
        <v>90</v>
      </c>
      <c r="C598" s="24">
        <v>22</v>
      </c>
      <c r="D598" s="51"/>
      <c r="E598" s="51"/>
      <c r="F598" s="51"/>
      <c r="G598" s="106"/>
      <c r="H598" s="106"/>
      <c r="I598" s="9"/>
      <c r="J598" s="9"/>
    </row>
    <row r="599" spans="1:10">
      <c r="A599" s="9"/>
      <c r="B599" s="9"/>
      <c r="C599" s="9"/>
      <c r="D599" s="51"/>
      <c r="E599" s="51"/>
      <c r="F599" s="47">
        <f>SUM(F594:F598)</f>
        <v>7326</v>
      </c>
      <c r="G599" s="106">
        <f t="shared" ref="G599:H599" si="459">SUM(G594:G598)</f>
        <v>63197.708067836502</v>
      </c>
      <c r="H599" s="307">
        <f t="shared" si="459"/>
        <v>50447.111999999994</v>
      </c>
      <c r="I599" s="9"/>
      <c r="J599" s="9"/>
    </row>
    <row r="600" spans="1:10">
      <c r="A600" s="9"/>
      <c r="B600" s="9"/>
      <c r="C600" s="9"/>
      <c r="D600" s="51"/>
      <c r="E600" s="51"/>
      <c r="F600" s="51"/>
      <c r="G600" s="106"/>
      <c r="H600" s="106"/>
      <c r="I600" s="9"/>
      <c r="J600" s="9"/>
    </row>
    <row r="601" spans="1:10">
      <c r="A601" s="9"/>
      <c r="B601" s="9"/>
      <c r="C601" s="9"/>
      <c r="D601" s="51"/>
      <c r="E601" s="51"/>
      <c r="F601" s="51"/>
      <c r="G601" s="106"/>
      <c r="H601" s="106"/>
      <c r="I601" s="9"/>
      <c r="J601" s="9"/>
    </row>
  </sheetData>
  <mergeCells count="118">
    <mergeCell ref="D573:E573"/>
    <mergeCell ref="D580:E580"/>
    <mergeCell ref="D583:E583"/>
    <mergeCell ref="D587:E587"/>
    <mergeCell ref="D588:E588"/>
    <mergeCell ref="D542:E542"/>
    <mergeCell ref="D546:E546"/>
    <mergeCell ref="D547:E547"/>
    <mergeCell ref="D555:E555"/>
    <mergeCell ref="D564:E564"/>
    <mergeCell ref="D568:E568"/>
    <mergeCell ref="D504:E504"/>
    <mergeCell ref="D510:E510"/>
    <mergeCell ref="D517:E517"/>
    <mergeCell ref="D520:E520"/>
    <mergeCell ref="D524:E524"/>
    <mergeCell ref="D533:E533"/>
    <mergeCell ref="D475:E475"/>
    <mergeCell ref="D478:E478"/>
    <mergeCell ref="D482:E482"/>
    <mergeCell ref="D483:E483"/>
    <mergeCell ref="D491:E491"/>
    <mergeCell ref="D500:E500"/>
    <mergeCell ref="D441:E441"/>
    <mergeCell ref="D442:E442"/>
    <mergeCell ref="D450:E450"/>
    <mergeCell ref="D459:E459"/>
    <mergeCell ref="D463:E463"/>
    <mergeCell ref="D468:E468"/>
    <mergeCell ref="D400:E400"/>
    <mergeCell ref="D407:E407"/>
    <mergeCell ref="D415:E415"/>
    <mergeCell ref="D420:E420"/>
    <mergeCell ref="D428:E428"/>
    <mergeCell ref="D437:E437"/>
    <mergeCell ref="D365:E365"/>
    <mergeCell ref="D374:E374"/>
    <mergeCell ref="D378:E378"/>
    <mergeCell ref="D386:E386"/>
    <mergeCell ref="D394:E394"/>
    <mergeCell ref="D399:E399"/>
    <mergeCell ref="D330:E330"/>
    <mergeCell ref="D334:E334"/>
    <mergeCell ref="D343:E343"/>
    <mergeCell ref="D352:E352"/>
    <mergeCell ref="D356:E356"/>
    <mergeCell ref="D357:E357"/>
    <mergeCell ref="D292:E292"/>
    <mergeCell ref="D301:E301"/>
    <mergeCell ref="D310:E310"/>
    <mergeCell ref="D314:E314"/>
    <mergeCell ref="D320:E320"/>
    <mergeCell ref="D327:E327"/>
    <mergeCell ref="D257:E257"/>
    <mergeCell ref="D266:E266"/>
    <mergeCell ref="D270:E270"/>
    <mergeCell ref="D271:E271"/>
    <mergeCell ref="D279:E279"/>
    <mergeCell ref="D288:E288"/>
    <mergeCell ref="D224:E224"/>
    <mergeCell ref="D228:E228"/>
    <mergeCell ref="D234:E234"/>
    <mergeCell ref="D241:E241"/>
    <mergeCell ref="D244:E244"/>
    <mergeCell ref="D248:E248"/>
    <mergeCell ref="D193:E193"/>
    <mergeCell ref="D202:E202"/>
    <mergeCell ref="D206:E206"/>
    <mergeCell ref="D207:E207"/>
    <mergeCell ref="D213:E213"/>
    <mergeCell ref="D221:E221"/>
    <mergeCell ref="D158:E158"/>
    <mergeCell ref="D162:E162"/>
    <mergeCell ref="D171:E171"/>
    <mergeCell ref="D180:E180"/>
    <mergeCell ref="D184:E184"/>
    <mergeCell ref="D185:E185"/>
    <mergeCell ref="D127:E127"/>
    <mergeCell ref="D135:E135"/>
    <mergeCell ref="D138:E138"/>
    <mergeCell ref="D142:E142"/>
    <mergeCell ref="D148:E148"/>
    <mergeCell ref="D155:E155"/>
    <mergeCell ref="D95:E95"/>
    <mergeCell ref="D99:E99"/>
    <mergeCell ref="D107:E107"/>
    <mergeCell ref="D115:E115"/>
    <mergeCell ref="D120:E120"/>
    <mergeCell ref="D121:E121"/>
    <mergeCell ref="D55:E55"/>
    <mergeCell ref="D64:E64"/>
    <mergeCell ref="D73:E73"/>
    <mergeCell ref="D77:E77"/>
    <mergeCell ref="D78:E78"/>
    <mergeCell ref="D86:E86"/>
    <mergeCell ref="D35:E35"/>
    <mergeCell ref="D41:E41"/>
    <mergeCell ref="D48:E48"/>
    <mergeCell ref="D51:E51"/>
    <mergeCell ref="B7:E7"/>
    <mergeCell ref="G7:J7"/>
    <mergeCell ref="A10:J10"/>
    <mergeCell ref="A13:A14"/>
    <mergeCell ref="B13:B14"/>
    <mergeCell ref="C13:E13"/>
    <mergeCell ref="F13:F14"/>
    <mergeCell ref="G13:G14"/>
    <mergeCell ref="H13:H14"/>
    <mergeCell ref="I13:J14"/>
    <mergeCell ref="A1:G3"/>
    <mergeCell ref="B4:F4"/>
    <mergeCell ref="H4:J4"/>
    <mergeCell ref="B5:E5"/>
    <mergeCell ref="G5:J5"/>
    <mergeCell ref="B6:E6"/>
    <mergeCell ref="G6:J6"/>
    <mergeCell ref="D22:E22"/>
    <mergeCell ref="D31:E31"/>
  </mergeCells>
  <phoneticPr fontId="4" type="noConversion"/>
  <pageMargins left="0.17" right="0.17" top="0.75" bottom="0.75" header="0.3" footer="0.3"/>
  <pageSetup paperSize="9" scale="87" fitToHeight="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  <pageSetUpPr fitToPage="1"/>
  </sheetPr>
  <dimension ref="A1:P601"/>
  <sheetViews>
    <sheetView topLeftCell="A384" workbookViewId="0">
      <selection activeCell="J400" sqref="A1:J400"/>
    </sheetView>
  </sheetViews>
  <sheetFormatPr defaultRowHeight="16.5"/>
  <cols>
    <col min="1" max="1" width="11" customWidth="1"/>
    <col min="2" max="2" width="18.625" customWidth="1"/>
    <col min="3" max="3" width="8.125" customWidth="1"/>
    <col min="4" max="4" width="11" style="122" customWidth="1"/>
    <col min="5" max="5" width="11.5" style="122" customWidth="1"/>
    <col min="6" max="6" width="6.875" style="122" customWidth="1"/>
    <col min="7" max="8" width="10.375" style="13" customWidth="1"/>
    <col min="9" max="10" width="9.375" customWidth="1"/>
  </cols>
  <sheetData>
    <row r="1" spans="1:16" ht="15" customHeight="1">
      <c r="A1" s="350" t="s">
        <v>28</v>
      </c>
      <c r="B1" s="350"/>
      <c r="C1" s="350"/>
      <c r="D1" s="350"/>
      <c r="E1" s="350"/>
      <c r="F1" s="350"/>
      <c r="G1" s="350"/>
      <c r="H1" s="55" t="s">
        <v>29</v>
      </c>
      <c r="I1" s="56"/>
      <c r="J1" s="57"/>
    </row>
    <row r="2" spans="1:16" ht="15" customHeight="1">
      <c r="A2" s="350"/>
      <c r="B2" s="350"/>
      <c r="C2" s="350"/>
      <c r="D2" s="350"/>
      <c r="E2" s="350"/>
      <c r="F2" s="350"/>
      <c r="G2" s="350"/>
      <c r="H2" s="58" t="s">
        <v>388</v>
      </c>
      <c r="I2" s="59"/>
      <c r="J2" s="57"/>
    </row>
    <row r="3" spans="1:16" ht="15" customHeight="1" thickBot="1">
      <c r="A3" s="351"/>
      <c r="B3" s="351"/>
      <c r="C3" s="351"/>
      <c r="D3" s="351"/>
      <c r="E3" s="351"/>
      <c r="F3" s="351"/>
      <c r="G3" s="351"/>
      <c r="H3" s="60"/>
      <c r="I3" s="61"/>
      <c r="J3" s="61"/>
    </row>
    <row r="4" spans="1:16" ht="23.1" customHeight="1">
      <c r="A4" s="62" t="s">
        <v>30</v>
      </c>
      <c r="B4" s="352" t="s">
        <v>113</v>
      </c>
      <c r="C4" s="353"/>
      <c r="D4" s="353"/>
      <c r="E4" s="353"/>
      <c r="F4" s="354"/>
      <c r="G4" s="63" t="s">
        <v>31</v>
      </c>
      <c r="H4" s="355" t="s">
        <v>228</v>
      </c>
      <c r="I4" s="356"/>
      <c r="J4" s="357"/>
      <c r="K4" s="64"/>
    </row>
    <row r="5" spans="1:16" ht="23.1" customHeight="1">
      <c r="A5" s="65" t="s">
        <v>32</v>
      </c>
      <c r="B5" s="358"/>
      <c r="C5" s="359"/>
      <c r="D5" s="359"/>
      <c r="E5" s="360"/>
      <c r="F5" s="66" t="s">
        <v>33</v>
      </c>
      <c r="G5" s="347"/>
      <c r="H5" s="348"/>
      <c r="I5" s="348"/>
      <c r="J5" s="349"/>
    </row>
    <row r="6" spans="1:16" ht="23.1" customHeight="1">
      <c r="A6" s="65" t="s">
        <v>34</v>
      </c>
      <c r="B6" s="346" t="s">
        <v>382</v>
      </c>
      <c r="C6" s="346"/>
      <c r="D6" s="346"/>
      <c r="E6" s="346"/>
      <c r="F6" s="67" t="s">
        <v>35</v>
      </c>
      <c r="G6" s="347"/>
      <c r="H6" s="348"/>
      <c r="I6" s="348"/>
      <c r="J6" s="349"/>
    </row>
    <row r="7" spans="1:16" ht="23.1" customHeight="1" thickBot="1">
      <c r="A7" s="68" t="s">
        <v>36</v>
      </c>
      <c r="B7" s="326" t="s">
        <v>387</v>
      </c>
      <c r="C7" s="326"/>
      <c r="D7" s="326"/>
      <c r="E7" s="326"/>
      <c r="F7" s="69" t="s">
        <v>37</v>
      </c>
      <c r="G7" s="327" t="s">
        <v>226</v>
      </c>
      <c r="H7" s="328"/>
      <c r="I7" s="328"/>
      <c r="J7" s="329"/>
    </row>
    <row r="8" spans="1:16" ht="3" customHeight="1">
      <c r="A8" s="70"/>
      <c r="B8" s="70"/>
      <c r="C8" s="70"/>
      <c r="D8" s="71"/>
      <c r="E8" s="71"/>
      <c r="F8" s="71"/>
      <c r="G8" s="72"/>
      <c r="H8" s="72"/>
      <c r="I8" s="70"/>
      <c r="J8" s="70"/>
    </row>
    <row r="9" spans="1:16" ht="0.75" customHeight="1" thickBot="1">
      <c r="A9" s="70"/>
      <c r="B9" s="70"/>
      <c r="C9" s="70"/>
      <c r="D9" s="71"/>
      <c r="E9" s="71"/>
      <c r="F9" s="71"/>
      <c r="G9" s="72"/>
      <c r="H9" s="72"/>
      <c r="I9" s="70"/>
      <c r="J9" s="70"/>
    </row>
    <row r="10" spans="1:16" ht="30.75" customHeight="1">
      <c r="A10" s="330" t="s">
        <v>38</v>
      </c>
      <c r="B10" s="331"/>
      <c r="C10" s="331"/>
      <c r="D10" s="331"/>
      <c r="E10" s="331"/>
      <c r="F10" s="331"/>
      <c r="G10" s="331"/>
      <c r="H10" s="331"/>
      <c r="I10" s="331"/>
      <c r="J10" s="332"/>
    </row>
    <row r="11" spans="1:16" ht="30.75" customHeight="1">
      <c r="A11" s="274" t="s">
        <v>384</v>
      </c>
      <c r="B11" s="275"/>
      <c r="C11" s="275"/>
      <c r="D11" s="275"/>
      <c r="E11" s="275"/>
      <c r="F11" s="275"/>
      <c r="G11" s="275"/>
      <c r="H11" s="275"/>
      <c r="I11" s="275"/>
      <c r="J11" s="289" t="s">
        <v>309</v>
      </c>
    </row>
    <row r="12" spans="1:16" ht="30.75" customHeight="1" thickBot="1">
      <c r="A12" s="73" t="s">
        <v>232</v>
      </c>
      <c r="B12" s="74"/>
      <c r="C12" s="74"/>
      <c r="D12" s="74"/>
      <c r="E12" s="74"/>
      <c r="F12" s="74"/>
      <c r="G12" s="75"/>
      <c r="H12" s="75"/>
      <c r="I12" s="74"/>
      <c r="J12" s="179" t="s">
        <v>115</v>
      </c>
    </row>
    <row r="13" spans="1:16" ht="18" customHeight="1">
      <c r="A13" s="333" t="s">
        <v>39</v>
      </c>
      <c r="B13" s="335" t="s">
        <v>40</v>
      </c>
      <c r="C13" s="337" t="s">
        <v>7</v>
      </c>
      <c r="D13" s="337"/>
      <c r="E13" s="337"/>
      <c r="F13" s="338" t="s">
        <v>41</v>
      </c>
      <c r="G13" s="340" t="s">
        <v>42</v>
      </c>
      <c r="H13" s="340" t="s">
        <v>43</v>
      </c>
      <c r="I13" s="342" t="s">
        <v>44</v>
      </c>
      <c r="J13" s="343"/>
    </row>
    <row r="14" spans="1:16" ht="18" customHeight="1" thickBot="1">
      <c r="A14" s="334"/>
      <c r="B14" s="336"/>
      <c r="C14" s="76" t="s">
        <v>45</v>
      </c>
      <c r="D14" s="304" t="s">
        <v>46</v>
      </c>
      <c r="E14" s="304" t="s">
        <v>47</v>
      </c>
      <c r="F14" s="339"/>
      <c r="G14" s="341"/>
      <c r="H14" s="341"/>
      <c r="I14" s="344"/>
      <c r="J14" s="345"/>
      <c r="L14" s="306" t="s">
        <v>48</v>
      </c>
      <c r="M14" s="306" t="s">
        <v>49</v>
      </c>
      <c r="N14" s="306" t="s">
        <v>50</v>
      </c>
      <c r="O14" s="306" t="s">
        <v>51</v>
      </c>
    </row>
    <row r="15" spans="1:16" ht="18" hidden="1" customHeight="1">
      <c r="A15" s="79" t="s">
        <v>234</v>
      </c>
      <c r="B15" s="23" t="s">
        <v>195</v>
      </c>
      <c r="C15" s="24">
        <v>22</v>
      </c>
      <c r="D15" s="80">
        <v>761</v>
      </c>
      <c r="E15" s="80">
        <v>1810</v>
      </c>
      <c r="F15" s="89">
        <f>O15</f>
        <v>0</v>
      </c>
      <c r="G15" s="81">
        <f t="shared" ref="G15:G21" si="0">D15*E15/91809*F15</f>
        <v>0</v>
      </c>
      <c r="H15" s="81">
        <f t="shared" ref="H15:H21" si="1">(D15/1000)*4*F15+(E15/1000)*4*F15</f>
        <v>0</v>
      </c>
      <c r="I15" s="91" t="s">
        <v>233</v>
      </c>
      <c r="J15" s="92" t="s">
        <v>205</v>
      </c>
      <c r="L15" s="89">
        <v>2</v>
      </c>
      <c r="M15" s="306"/>
      <c r="N15" s="84"/>
      <c r="O15" s="306">
        <f>L15*M15-N15*L15</f>
        <v>0</v>
      </c>
      <c r="P15" s="64"/>
    </row>
    <row r="16" spans="1:16" ht="18" hidden="1" customHeight="1">
      <c r="A16" s="85"/>
      <c r="B16" s="86"/>
      <c r="C16" s="87"/>
      <c r="D16" s="88">
        <v>1688</v>
      </c>
      <c r="E16" s="88">
        <v>1810</v>
      </c>
      <c r="F16" s="89">
        <f t="shared" ref="F16:F21" si="2">O16</f>
        <v>0</v>
      </c>
      <c r="G16" s="90">
        <f t="shared" si="0"/>
        <v>0</v>
      </c>
      <c r="H16" s="90">
        <f t="shared" si="1"/>
        <v>0</v>
      </c>
      <c r="I16" s="91" t="str">
        <f>I15</f>
        <v>1동1,2라인</v>
      </c>
      <c r="J16" s="92" t="s">
        <v>206</v>
      </c>
      <c r="L16" s="89">
        <v>1</v>
      </c>
      <c r="M16" s="306">
        <f>M15</f>
        <v>0</v>
      </c>
      <c r="N16" s="84"/>
      <c r="O16" s="306">
        <f t="shared" ref="O16:O21" si="3">L16*M16-N16*L16</f>
        <v>0</v>
      </c>
    </row>
    <row r="17" spans="1:15" ht="18" hidden="1" customHeight="1">
      <c r="A17" s="85"/>
      <c r="B17" s="86"/>
      <c r="C17" s="87"/>
      <c r="D17" s="88">
        <v>738</v>
      </c>
      <c r="E17" s="88">
        <v>1310</v>
      </c>
      <c r="F17" s="89">
        <f t="shared" si="2"/>
        <v>0</v>
      </c>
      <c r="G17" s="90">
        <f t="shared" si="0"/>
        <v>0</v>
      </c>
      <c r="H17" s="90">
        <f t="shared" si="1"/>
        <v>0</v>
      </c>
      <c r="I17" s="91" t="str">
        <f t="shared" ref="I17:I21" si="4">I16</f>
        <v>1동1,2라인</v>
      </c>
      <c r="J17" s="92" t="s">
        <v>207</v>
      </c>
      <c r="L17" s="89">
        <v>4</v>
      </c>
      <c r="M17" s="306">
        <f t="shared" ref="M17:M20" si="5">M16</f>
        <v>0</v>
      </c>
      <c r="N17" s="306"/>
      <c r="O17" s="306">
        <f t="shared" si="3"/>
        <v>0</v>
      </c>
    </row>
    <row r="18" spans="1:15" ht="18" hidden="1" customHeight="1">
      <c r="A18" s="85"/>
      <c r="B18" s="86"/>
      <c r="C18" s="87"/>
      <c r="D18" s="88">
        <v>288</v>
      </c>
      <c r="E18" s="88">
        <v>910</v>
      </c>
      <c r="F18" s="89">
        <f t="shared" si="2"/>
        <v>0</v>
      </c>
      <c r="G18" s="90">
        <f t="shared" si="0"/>
        <v>0</v>
      </c>
      <c r="H18" s="90">
        <f t="shared" si="1"/>
        <v>0</v>
      </c>
      <c r="I18" s="91" t="str">
        <f t="shared" si="4"/>
        <v>1동1,2라인</v>
      </c>
      <c r="J18" s="92" t="s">
        <v>208</v>
      </c>
      <c r="L18" s="89">
        <v>2</v>
      </c>
      <c r="M18" s="306">
        <f t="shared" si="5"/>
        <v>0</v>
      </c>
      <c r="N18" s="306"/>
      <c r="O18" s="306">
        <f t="shared" si="3"/>
        <v>0</v>
      </c>
    </row>
    <row r="19" spans="1:15" ht="18" hidden="1" customHeight="1">
      <c r="A19" s="85"/>
      <c r="B19" s="86"/>
      <c r="C19" s="87"/>
      <c r="D19" s="88">
        <v>228</v>
      </c>
      <c r="E19" s="88">
        <v>910</v>
      </c>
      <c r="F19" s="89">
        <f t="shared" si="2"/>
        <v>0</v>
      </c>
      <c r="G19" s="90">
        <f t="shared" si="0"/>
        <v>0</v>
      </c>
      <c r="H19" s="90">
        <f t="shared" si="1"/>
        <v>0</v>
      </c>
      <c r="I19" s="91" t="str">
        <f t="shared" si="4"/>
        <v>1동1,2라인</v>
      </c>
      <c r="J19" s="92" t="s">
        <v>209</v>
      </c>
      <c r="L19" s="89">
        <v>2</v>
      </c>
      <c r="M19" s="306">
        <f t="shared" si="5"/>
        <v>0</v>
      </c>
      <c r="N19" s="306"/>
      <c r="O19" s="306">
        <f t="shared" si="3"/>
        <v>0</v>
      </c>
    </row>
    <row r="20" spans="1:15" ht="18" hidden="1" customHeight="1">
      <c r="A20" s="85"/>
      <c r="B20" s="86"/>
      <c r="C20" s="87"/>
      <c r="D20" s="88">
        <v>438</v>
      </c>
      <c r="E20" s="88">
        <v>270</v>
      </c>
      <c r="F20" s="89">
        <f t="shared" si="2"/>
        <v>0</v>
      </c>
      <c r="G20" s="90">
        <f t="shared" si="0"/>
        <v>0</v>
      </c>
      <c r="H20" s="90">
        <f t="shared" si="1"/>
        <v>0</v>
      </c>
      <c r="I20" s="91" t="str">
        <f t="shared" si="4"/>
        <v>1동1,2라인</v>
      </c>
      <c r="J20" s="92" t="s">
        <v>210</v>
      </c>
      <c r="L20" s="89">
        <v>2</v>
      </c>
      <c r="M20" s="306">
        <f t="shared" si="5"/>
        <v>0</v>
      </c>
      <c r="N20" s="306"/>
      <c r="O20" s="306">
        <f t="shared" si="3"/>
        <v>0</v>
      </c>
    </row>
    <row r="21" spans="1:15" ht="18" hidden="1" customHeight="1">
      <c r="A21" s="85"/>
      <c r="B21" s="86"/>
      <c r="C21" s="87"/>
      <c r="D21" s="88">
        <v>208</v>
      </c>
      <c r="E21" s="88">
        <v>910</v>
      </c>
      <c r="F21" s="89">
        <f t="shared" si="2"/>
        <v>0</v>
      </c>
      <c r="G21" s="90">
        <f t="shared" si="0"/>
        <v>0</v>
      </c>
      <c r="H21" s="90">
        <f t="shared" si="1"/>
        <v>0</v>
      </c>
      <c r="I21" s="91" t="str">
        <f t="shared" si="4"/>
        <v>1동1,2라인</v>
      </c>
      <c r="J21" s="92" t="s">
        <v>211</v>
      </c>
      <c r="L21" s="89">
        <v>2</v>
      </c>
      <c r="M21" s="306">
        <f>M20</f>
        <v>0</v>
      </c>
      <c r="N21" s="306"/>
      <c r="O21" s="306">
        <f t="shared" si="3"/>
        <v>0</v>
      </c>
    </row>
    <row r="22" spans="1:15" ht="18" hidden="1" customHeight="1">
      <c r="A22" s="85"/>
      <c r="B22" s="93"/>
      <c r="C22" s="87"/>
      <c r="D22" s="325" t="s">
        <v>0</v>
      </c>
      <c r="E22" s="325"/>
      <c r="F22" s="94">
        <f>SUM(F15:F21)</f>
        <v>0</v>
      </c>
      <c r="G22" s="95">
        <f>SUM(G15:G21)</f>
        <v>0</v>
      </c>
      <c r="H22" s="96">
        <f>SUM(H15:H21)</f>
        <v>0</v>
      </c>
      <c r="I22" s="97"/>
      <c r="J22" s="162"/>
    </row>
    <row r="23" spans="1:15" ht="18" hidden="1" customHeight="1">
      <c r="A23" s="85"/>
      <c r="B23" s="93"/>
      <c r="C23" s="87"/>
      <c r="D23" s="161"/>
      <c r="E23" s="161"/>
      <c r="F23" s="89"/>
      <c r="G23" s="100"/>
      <c r="H23" s="101"/>
      <c r="I23" s="102"/>
      <c r="J23" s="121"/>
      <c r="L23" s="306" t="s">
        <v>48</v>
      </c>
      <c r="M23" s="306" t="s">
        <v>54</v>
      </c>
      <c r="N23" s="306" t="s">
        <v>50</v>
      </c>
      <c r="O23" s="306" t="s">
        <v>55</v>
      </c>
    </row>
    <row r="24" spans="1:15" ht="18" hidden="1" customHeight="1">
      <c r="A24" s="85"/>
      <c r="B24" s="23" t="s">
        <v>197</v>
      </c>
      <c r="C24" s="24">
        <v>22</v>
      </c>
      <c r="D24" s="88">
        <v>761</v>
      </c>
      <c r="E24" s="88">
        <v>1810</v>
      </c>
      <c r="F24" s="89">
        <f t="shared" ref="F24:F30" si="6">O24</f>
        <v>0</v>
      </c>
      <c r="G24" s="90">
        <f t="shared" ref="G24:G30" si="7">D24*E24/91809*F24</f>
        <v>0</v>
      </c>
      <c r="H24" s="90">
        <f t="shared" ref="H24:H30" si="8">(D24/1000)*4*F24+(E24/1000)*4*F24</f>
        <v>0</v>
      </c>
      <c r="I24" s="91" t="str">
        <f t="shared" ref="I24:I30" si="9">I15</f>
        <v>1동1,2라인</v>
      </c>
      <c r="J24" s="92" t="s">
        <v>212</v>
      </c>
      <c r="L24" s="89">
        <v>2</v>
      </c>
      <c r="M24" s="306">
        <f>M15</f>
        <v>0</v>
      </c>
      <c r="N24" s="84"/>
      <c r="O24" s="306">
        <f>L24*M24-N24*L24</f>
        <v>0</v>
      </c>
    </row>
    <row r="25" spans="1:15" ht="18" hidden="1" customHeight="1">
      <c r="A25" s="85"/>
      <c r="B25" s="86"/>
      <c r="C25" s="87"/>
      <c r="D25" s="88">
        <v>1688</v>
      </c>
      <c r="E25" s="88">
        <v>1810</v>
      </c>
      <c r="F25" s="89">
        <f t="shared" si="6"/>
        <v>0</v>
      </c>
      <c r="G25" s="90">
        <f t="shared" si="7"/>
        <v>0</v>
      </c>
      <c r="H25" s="90">
        <f t="shared" si="8"/>
        <v>0</v>
      </c>
      <c r="I25" s="91" t="str">
        <f t="shared" si="9"/>
        <v>1동1,2라인</v>
      </c>
      <c r="J25" s="92" t="s">
        <v>213</v>
      </c>
      <c r="L25" s="89">
        <v>1</v>
      </c>
      <c r="M25" s="306">
        <f>M24</f>
        <v>0</v>
      </c>
      <c r="N25" s="84"/>
      <c r="O25" s="306">
        <f>L25*M25-N25*L25</f>
        <v>0</v>
      </c>
    </row>
    <row r="26" spans="1:15" ht="18" hidden="1" customHeight="1">
      <c r="A26" s="104"/>
      <c r="B26" s="93"/>
      <c r="C26" s="87"/>
      <c r="D26" s="88">
        <v>738</v>
      </c>
      <c r="E26" s="88">
        <v>1310</v>
      </c>
      <c r="F26" s="89">
        <f t="shared" si="6"/>
        <v>0</v>
      </c>
      <c r="G26" s="90">
        <f t="shared" si="7"/>
        <v>0</v>
      </c>
      <c r="H26" s="90">
        <f t="shared" si="8"/>
        <v>0</v>
      </c>
      <c r="I26" s="91" t="str">
        <f t="shared" si="9"/>
        <v>1동1,2라인</v>
      </c>
      <c r="J26" s="92" t="s">
        <v>214</v>
      </c>
      <c r="L26" s="89">
        <v>4</v>
      </c>
      <c r="M26" s="306">
        <f t="shared" ref="M26:M30" si="10">M25</f>
        <v>0</v>
      </c>
      <c r="N26" s="84"/>
      <c r="O26" s="306">
        <f t="shared" ref="O26:O30" si="11">L26*M26-N26*L26</f>
        <v>0</v>
      </c>
    </row>
    <row r="27" spans="1:15" ht="18" hidden="1" customHeight="1">
      <c r="A27" s="104"/>
      <c r="B27" s="93"/>
      <c r="C27" s="87"/>
      <c r="D27" s="88">
        <v>288</v>
      </c>
      <c r="E27" s="88">
        <v>910</v>
      </c>
      <c r="F27" s="89">
        <f t="shared" si="6"/>
        <v>0</v>
      </c>
      <c r="G27" s="90">
        <f t="shared" si="7"/>
        <v>0</v>
      </c>
      <c r="H27" s="90">
        <f t="shared" si="8"/>
        <v>0</v>
      </c>
      <c r="I27" s="91" t="str">
        <f t="shared" si="9"/>
        <v>1동1,2라인</v>
      </c>
      <c r="J27" s="92" t="s">
        <v>215</v>
      </c>
      <c r="L27" s="89">
        <v>2</v>
      </c>
      <c r="M27" s="306">
        <f t="shared" si="10"/>
        <v>0</v>
      </c>
      <c r="N27" s="306"/>
      <c r="O27" s="306">
        <f t="shared" si="11"/>
        <v>0</v>
      </c>
    </row>
    <row r="28" spans="1:15" ht="18" hidden="1" customHeight="1">
      <c r="A28" s="104"/>
      <c r="B28" s="93"/>
      <c r="C28" s="87"/>
      <c r="D28" s="88">
        <v>228</v>
      </c>
      <c r="E28" s="88">
        <v>910</v>
      </c>
      <c r="F28" s="89">
        <f t="shared" si="6"/>
        <v>0</v>
      </c>
      <c r="G28" s="90">
        <f t="shared" si="7"/>
        <v>0</v>
      </c>
      <c r="H28" s="90">
        <f t="shared" si="8"/>
        <v>0</v>
      </c>
      <c r="I28" s="91" t="str">
        <f t="shared" si="9"/>
        <v>1동1,2라인</v>
      </c>
      <c r="J28" s="92" t="s">
        <v>216</v>
      </c>
      <c r="L28" s="89">
        <v>2</v>
      </c>
      <c r="M28" s="306">
        <f t="shared" si="10"/>
        <v>0</v>
      </c>
      <c r="N28" s="306"/>
      <c r="O28" s="306">
        <f t="shared" si="11"/>
        <v>0</v>
      </c>
    </row>
    <row r="29" spans="1:15" ht="18" hidden="1" customHeight="1">
      <c r="A29" s="104"/>
      <c r="B29" s="93"/>
      <c r="C29" s="87"/>
      <c r="D29" s="88">
        <v>438</v>
      </c>
      <c r="E29" s="88">
        <v>270</v>
      </c>
      <c r="F29" s="89">
        <f t="shared" si="6"/>
        <v>0</v>
      </c>
      <c r="G29" s="90">
        <f t="shared" si="7"/>
        <v>0</v>
      </c>
      <c r="H29" s="90">
        <f t="shared" si="8"/>
        <v>0</v>
      </c>
      <c r="I29" s="91" t="str">
        <f t="shared" si="9"/>
        <v>1동1,2라인</v>
      </c>
      <c r="J29" s="92" t="s">
        <v>217</v>
      </c>
      <c r="L29" s="89">
        <v>2</v>
      </c>
      <c r="M29" s="306">
        <f t="shared" si="10"/>
        <v>0</v>
      </c>
      <c r="N29" s="306"/>
      <c r="O29" s="306">
        <f t="shared" si="11"/>
        <v>0</v>
      </c>
    </row>
    <row r="30" spans="1:15" ht="18" hidden="1" customHeight="1">
      <c r="A30" s="104"/>
      <c r="B30" s="93"/>
      <c r="C30" s="87"/>
      <c r="D30" s="88">
        <v>208</v>
      </c>
      <c r="E30" s="88">
        <v>910</v>
      </c>
      <c r="F30" s="89">
        <f t="shared" si="6"/>
        <v>0</v>
      </c>
      <c r="G30" s="90">
        <f t="shared" si="7"/>
        <v>0</v>
      </c>
      <c r="H30" s="90">
        <f t="shared" si="8"/>
        <v>0</v>
      </c>
      <c r="I30" s="91" t="str">
        <f t="shared" si="9"/>
        <v>1동1,2라인</v>
      </c>
      <c r="J30" s="92" t="s">
        <v>218</v>
      </c>
      <c r="L30" s="89">
        <v>2</v>
      </c>
      <c r="M30" s="306">
        <f t="shared" si="10"/>
        <v>0</v>
      </c>
      <c r="N30" s="306"/>
      <c r="O30" s="306">
        <f t="shared" si="11"/>
        <v>0</v>
      </c>
    </row>
    <row r="31" spans="1:15" ht="18" hidden="1" customHeight="1">
      <c r="A31" s="104"/>
      <c r="B31" s="87"/>
      <c r="C31" s="87"/>
      <c r="D31" s="325" t="s">
        <v>0</v>
      </c>
      <c r="E31" s="325"/>
      <c r="F31" s="171">
        <f>SUM(F24:F30)</f>
        <v>0</v>
      </c>
      <c r="G31" s="95">
        <f>SUM(G24:G30)</f>
        <v>0</v>
      </c>
      <c r="H31" s="95">
        <f>SUM(H24:H30)</f>
        <v>0</v>
      </c>
      <c r="I31" s="97"/>
      <c r="J31" s="98"/>
    </row>
    <row r="32" spans="1:15" hidden="1">
      <c r="A32" s="105"/>
      <c r="B32" s="9"/>
      <c r="C32" s="9"/>
      <c r="D32" s="51"/>
      <c r="E32" s="51"/>
      <c r="F32" s="51"/>
      <c r="G32" s="106"/>
      <c r="H32" s="106"/>
      <c r="I32" s="9"/>
      <c r="J32" s="107"/>
    </row>
    <row r="33" spans="1:16" ht="18" hidden="1" customHeight="1">
      <c r="A33" s="85"/>
      <c r="B33" s="163" t="s">
        <v>199</v>
      </c>
      <c r="C33" s="163">
        <v>22</v>
      </c>
      <c r="D33" s="88">
        <v>738</v>
      </c>
      <c r="E33" s="88">
        <v>1810</v>
      </c>
      <c r="F33" s="89">
        <f t="shared" ref="F33:F34" si="12">O33</f>
        <v>0</v>
      </c>
      <c r="G33" s="90">
        <f t="shared" ref="G33:G34" si="13">D33*E33/91809*F33</f>
        <v>0</v>
      </c>
      <c r="H33" s="90">
        <f t="shared" ref="H33:H34" si="14">(D33/1000)*4*F33+(E33/1000)*4*F33</f>
        <v>0</v>
      </c>
      <c r="I33" s="91" t="str">
        <f>I24</f>
        <v>1동1,2라인</v>
      </c>
      <c r="J33" s="92" t="s">
        <v>219</v>
      </c>
      <c r="L33" s="89">
        <v>2</v>
      </c>
      <c r="M33" s="306">
        <f>M15</f>
        <v>0</v>
      </c>
      <c r="N33" s="84"/>
      <c r="O33" s="306">
        <f>L33*M33-N33*L33</f>
        <v>0</v>
      </c>
      <c r="P33" s="64" t="s">
        <v>244</v>
      </c>
    </row>
    <row r="34" spans="1:16" ht="18" hidden="1" customHeight="1">
      <c r="A34" s="85"/>
      <c r="B34" s="86"/>
      <c r="C34" s="87"/>
      <c r="D34" s="88">
        <v>250</v>
      </c>
      <c r="E34" s="88">
        <v>930</v>
      </c>
      <c r="F34" s="89">
        <f t="shared" si="12"/>
        <v>0</v>
      </c>
      <c r="G34" s="90">
        <f t="shared" si="13"/>
        <v>0</v>
      </c>
      <c r="H34" s="90">
        <f t="shared" si="14"/>
        <v>0</v>
      </c>
      <c r="I34" s="91" t="str">
        <f>I33</f>
        <v>1동1,2라인</v>
      </c>
      <c r="J34" s="92" t="s">
        <v>220</v>
      </c>
      <c r="L34" s="89">
        <v>2</v>
      </c>
      <c r="M34" s="306">
        <f>M33</f>
        <v>0</v>
      </c>
      <c r="N34" s="84"/>
      <c r="O34" s="306">
        <f t="shared" ref="O34" si="15">L34*M34-N34*L34</f>
        <v>0</v>
      </c>
    </row>
    <row r="35" spans="1:16" ht="18" hidden="1" customHeight="1">
      <c r="A35" s="85"/>
      <c r="B35" s="93"/>
      <c r="C35" s="87"/>
      <c r="D35" s="325" t="s">
        <v>0</v>
      </c>
      <c r="E35" s="325"/>
      <c r="F35" s="94">
        <f>SUM(F33:F34)</f>
        <v>0</v>
      </c>
      <c r="G35" s="95">
        <f>SUM(G33:G34)</f>
        <v>0</v>
      </c>
      <c r="H35" s="95">
        <f>SUM(H33:H34)</f>
        <v>0</v>
      </c>
      <c r="I35" s="97"/>
      <c r="J35" s="98"/>
    </row>
    <row r="36" spans="1:16" ht="18" hidden="1" customHeight="1">
      <c r="A36" s="108"/>
      <c r="B36" s="164"/>
      <c r="C36" s="109"/>
      <c r="D36" s="305"/>
      <c r="E36" s="305"/>
      <c r="F36" s="110"/>
      <c r="G36" s="111"/>
      <c r="H36" s="111"/>
      <c r="I36" s="112"/>
      <c r="J36" s="113"/>
    </row>
    <row r="37" spans="1:16" ht="18" hidden="1" customHeight="1">
      <c r="A37" s="85" t="s">
        <v>235</v>
      </c>
      <c r="B37" s="23" t="s">
        <v>196</v>
      </c>
      <c r="C37" s="24">
        <v>22</v>
      </c>
      <c r="D37" s="88">
        <v>861</v>
      </c>
      <c r="E37" s="88">
        <v>1810</v>
      </c>
      <c r="F37" s="89">
        <f t="shared" ref="F37:F40" si="16">O37</f>
        <v>0</v>
      </c>
      <c r="G37" s="90">
        <f t="shared" ref="G37:G40" si="17">D37*E37/91809*F37</f>
        <v>0</v>
      </c>
      <c r="H37" s="90">
        <f t="shared" ref="H37:H40" si="18">(D37/1000)*4*F37+(E37/1000)*4*F37</f>
        <v>0</v>
      </c>
      <c r="I37" s="91" t="s">
        <v>239</v>
      </c>
      <c r="J37" s="92" t="s">
        <v>205</v>
      </c>
      <c r="L37" s="89">
        <v>1</v>
      </c>
      <c r="M37" s="306"/>
      <c r="N37" s="84"/>
      <c r="O37" s="306">
        <f>L37*M37-N37*L37</f>
        <v>0</v>
      </c>
      <c r="P37" s="64"/>
    </row>
    <row r="38" spans="1:16" ht="18" hidden="1" customHeight="1">
      <c r="A38" s="85"/>
      <c r="B38" s="86"/>
      <c r="C38" s="87"/>
      <c r="D38" s="88">
        <v>738</v>
      </c>
      <c r="E38" s="88">
        <v>1310</v>
      </c>
      <c r="F38" s="89">
        <f t="shared" si="16"/>
        <v>0</v>
      </c>
      <c r="G38" s="90">
        <f t="shared" si="17"/>
        <v>0</v>
      </c>
      <c r="H38" s="90">
        <f t="shared" si="18"/>
        <v>0</v>
      </c>
      <c r="I38" s="91" t="str">
        <f>I37</f>
        <v>1동3라인</v>
      </c>
      <c r="J38" s="92" t="s">
        <v>207</v>
      </c>
      <c r="L38" s="89">
        <v>4</v>
      </c>
      <c r="M38" s="306"/>
      <c r="N38" s="84"/>
      <c r="O38" s="306">
        <f t="shared" ref="O38:O40" si="19">L38*M38-N38*L38</f>
        <v>0</v>
      </c>
    </row>
    <row r="39" spans="1:16" ht="18" hidden="1" customHeight="1">
      <c r="A39" s="85"/>
      <c r="B39" s="86"/>
      <c r="C39" s="87"/>
      <c r="D39" s="88">
        <v>228</v>
      </c>
      <c r="E39" s="88">
        <v>910</v>
      </c>
      <c r="F39" s="89">
        <f t="shared" si="16"/>
        <v>0</v>
      </c>
      <c r="G39" s="90">
        <f t="shared" si="17"/>
        <v>0</v>
      </c>
      <c r="H39" s="90">
        <f t="shared" si="18"/>
        <v>0</v>
      </c>
      <c r="I39" s="91" t="str">
        <f t="shared" ref="I39:I40" si="20">I38</f>
        <v>1동3라인</v>
      </c>
      <c r="J39" s="92" t="s">
        <v>209</v>
      </c>
      <c r="L39" s="89">
        <v>2</v>
      </c>
      <c r="M39" s="306">
        <f t="shared" ref="M39:M40" si="21">M38</f>
        <v>0</v>
      </c>
      <c r="N39" s="306"/>
      <c r="O39" s="306">
        <f t="shared" si="19"/>
        <v>0</v>
      </c>
    </row>
    <row r="40" spans="1:16" ht="18" hidden="1" customHeight="1">
      <c r="A40" s="85"/>
      <c r="B40" s="86"/>
      <c r="C40" s="87"/>
      <c r="D40" s="88">
        <v>438</v>
      </c>
      <c r="E40" s="88">
        <v>270</v>
      </c>
      <c r="F40" s="89">
        <f t="shared" si="16"/>
        <v>0</v>
      </c>
      <c r="G40" s="90">
        <f t="shared" si="17"/>
        <v>0</v>
      </c>
      <c r="H40" s="90">
        <f t="shared" si="18"/>
        <v>0</v>
      </c>
      <c r="I40" s="91" t="str">
        <f t="shared" si="20"/>
        <v>1동3라인</v>
      </c>
      <c r="J40" s="92" t="s">
        <v>210</v>
      </c>
      <c r="L40" s="89">
        <v>2</v>
      </c>
      <c r="M40" s="306">
        <f t="shared" si="21"/>
        <v>0</v>
      </c>
      <c r="N40" s="306"/>
      <c r="O40" s="306">
        <f t="shared" si="19"/>
        <v>0</v>
      </c>
    </row>
    <row r="41" spans="1:16" ht="18" hidden="1" customHeight="1">
      <c r="A41" s="85"/>
      <c r="B41" s="93"/>
      <c r="C41" s="87"/>
      <c r="D41" s="325" t="s">
        <v>0</v>
      </c>
      <c r="E41" s="325"/>
      <c r="F41" s="94">
        <f>SUM(F37:F40)</f>
        <v>0</v>
      </c>
      <c r="G41" s="95">
        <f>SUM(G37:G40)</f>
        <v>0</v>
      </c>
      <c r="H41" s="96">
        <f>SUM(H37:H40)</f>
        <v>0</v>
      </c>
      <c r="I41" s="97"/>
      <c r="J41" s="162"/>
    </row>
    <row r="42" spans="1:16" ht="18" hidden="1" customHeight="1">
      <c r="A42" s="85"/>
      <c r="B42" s="93"/>
      <c r="C42" s="87"/>
      <c r="D42" s="161"/>
      <c r="E42" s="161"/>
      <c r="F42" s="89"/>
      <c r="G42" s="100"/>
      <c r="H42" s="101"/>
      <c r="I42" s="102"/>
      <c r="J42" s="121"/>
      <c r="L42" s="252"/>
      <c r="M42" s="252"/>
      <c r="N42" s="252"/>
      <c r="O42" s="252"/>
    </row>
    <row r="43" spans="1:16" ht="18" hidden="1" customHeight="1">
      <c r="A43" s="85"/>
      <c r="B43" s="23" t="s">
        <v>198</v>
      </c>
      <c r="C43" s="24">
        <v>22</v>
      </c>
      <c r="D43" s="88">
        <v>861</v>
      </c>
      <c r="E43" s="88">
        <v>1810</v>
      </c>
      <c r="F43" s="89">
        <f t="shared" ref="F43:F47" si="22">O43</f>
        <v>0</v>
      </c>
      <c r="G43" s="90">
        <f t="shared" ref="G43:G47" si="23">D43*E43/91809*F43</f>
        <v>0</v>
      </c>
      <c r="H43" s="90">
        <f t="shared" ref="H43:H47" si="24">(D43/1000)*4*F43+(E43/1000)*4*F43</f>
        <v>0</v>
      </c>
      <c r="I43" s="103" t="str">
        <f>I37</f>
        <v>1동3라인</v>
      </c>
      <c r="J43" s="92" t="s">
        <v>212</v>
      </c>
      <c r="L43" s="89">
        <v>1</v>
      </c>
      <c r="M43" s="306">
        <f>M37</f>
        <v>0</v>
      </c>
      <c r="N43" s="84"/>
      <c r="O43" s="306">
        <f>L43*M43-N43*L43</f>
        <v>0</v>
      </c>
    </row>
    <row r="44" spans="1:16" ht="18" hidden="1" customHeight="1">
      <c r="A44" s="85"/>
      <c r="B44" s="86"/>
      <c r="C44" s="87"/>
      <c r="D44" s="88">
        <v>2114</v>
      </c>
      <c r="E44" s="88">
        <v>1810</v>
      </c>
      <c r="F44" s="89">
        <f t="shared" si="22"/>
        <v>0</v>
      </c>
      <c r="G44" s="90">
        <f t="shared" si="23"/>
        <v>0</v>
      </c>
      <c r="H44" s="90">
        <f t="shared" si="24"/>
        <v>0</v>
      </c>
      <c r="I44" s="91" t="str">
        <f>I37</f>
        <v>1동3라인</v>
      </c>
      <c r="J44" s="92" t="s">
        <v>213</v>
      </c>
      <c r="L44" s="89">
        <v>1</v>
      </c>
      <c r="M44" s="306">
        <f>M43</f>
        <v>0</v>
      </c>
      <c r="N44" s="84"/>
      <c r="O44" s="306">
        <f>L44*M44-N44*L44</f>
        <v>0</v>
      </c>
    </row>
    <row r="45" spans="1:16" ht="18" hidden="1" customHeight="1">
      <c r="A45" s="104"/>
      <c r="B45" s="93"/>
      <c r="C45" s="87"/>
      <c r="D45" s="88">
        <v>738</v>
      </c>
      <c r="E45" s="88">
        <v>1310</v>
      </c>
      <c r="F45" s="89">
        <f t="shared" si="22"/>
        <v>0</v>
      </c>
      <c r="G45" s="90">
        <f t="shared" si="23"/>
        <v>0</v>
      </c>
      <c r="H45" s="90">
        <f t="shared" si="24"/>
        <v>0</v>
      </c>
      <c r="I45" s="91" t="str">
        <f>I44</f>
        <v>1동3라인</v>
      </c>
      <c r="J45" s="92" t="s">
        <v>214</v>
      </c>
      <c r="L45" s="89">
        <v>4</v>
      </c>
      <c r="M45" s="306">
        <f t="shared" ref="M45:M47" si="25">M44</f>
        <v>0</v>
      </c>
      <c r="N45" s="84"/>
      <c r="O45" s="306">
        <f t="shared" ref="O45:O47" si="26">L45*M45-N45*L45</f>
        <v>0</v>
      </c>
    </row>
    <row r="46" spans="1:16" ht="18" hidden="1" customHeight="1">
      <c r="A46" s="104"/>
      <c r="B46" s="93"/>
      <c r="C46" s="87"/>
      <c r="D46" s="88">
        <v>228</v>
      </c>
      <c r="E46" s="88">
        <v>910</v>
      </c>
      <c r="F46" s="89">
        <f t="shared" si="22"/>
        <v>0</v>
      </c>
      <c r="G46" s="90">
        <f t="shared" si="23"/>
        <v>0</v>
      </c>
      <c r="H46" s="90">
        <f t="shared" si="24"/>
        <v>0</v>
      </c>
      <c r="I46" s="91" t="str">
        <f t="shared" ref="I46:I47" si="27">I45</f>
        <v>1동3라인</v>
      </c>
      <c r="J46" s="92" t="s">
        <v>216</v>
      </c>
      <c r="L46" s="89">
        <v>2</v>
      </c>
      <c r="M46" s="306">
        <f t="shared" si="25"/>
        <v>0</v>
      </c>
      <c r="N46" s="306"/>
      <c r="O46" s="306">
        <f t="shared" si="26"/>
        <v>0</v>
      </c>
    </row>
    <row r="47" spans="1:16" ht="18" hidden="1" customHeight="1">
      <c r="A47" s="104"/>
      <c r="B47" s="93"/>
      <c r="C47" s="87"/>
      <c r="D47" s="88">
        <v>438</v>
      </c>
      <c r="E47" s="88">
        <v>270</v>
      </c>
      <c r="F47" s="89">
        <f t="shared" si="22"/>
        <v>0</v>
      </c>
      <c r="G47" s="90">
        <f t="shared" si="23"/>
        <v>0</v>
      </c>
      <c r="H47" s="90">
        <f t="shared" si="24"/>
        <v>0</v>
      </c>
      <c r="I47" s="91" t="str">
        <f t="shared" si="27"/>
        <v>1동3라인</v>
      </c>
      <c r="J47" s="92" t="s">
        <v>217</v>
      </c>
      <c r="L47" s="89">
        <v>2</v>
      </c>
      <c r="M47" s="306">
        <f t="shared" si="25"/>
        <v>0</v>
      </c>
      <c r="N47" s="306"/>
      <c r="O47" s="306">
        <f t="shared" si="26"/>
        <v>0</v>
      </c>
    </row>
    <row r="48" spans="1:16" ht="18" hidden="1" customHeight="1">
      <c r="A48" s="104"/>
      <c r="B48" s="87"/>
      <c r="C48" s="87"/>
      <c r="D48" s="325" t="s">
        <v>0</v>
      </c>
      <c r="E48" s="325"/>
      <c r="F48" s="171">
        <f>SUM(F43:F47)</f>
        <v>0</v>
      </c>
      <c r="G48" s="95">
        <f>SUM(G43:G47)</f>
        <v>0</v>
      </c>
      <c r="H48" s="95">
        <f>SUM(H43:H47)</f>
        <v>0</v>
      </c>
      <c r="I48" s="97"/>
      <c r="J48" s="98"/>
    </row>
    <row r="49" spans="1:16" hidden="1">
      <c r="A49" s="105"/>
      <c r="B49" s="9"/>
      <c r="C49" s="9"/>
      <c r="D49" s="51"/>
      <c r="E49" s="51"/>
      <c r="F49" s="51"/>
      <c r="G49" s="106"/>
      <c r="H49" s="106"/>
      <c r="I49" s="9"/>
      <c r="J49" s="107"/>
    </row>
    <row r="50" spans="1:16" ht="18" hidden="1" customHeight="1">
      <c r="A50" s="85"/>
      <c r="B50" s="23" t="s">
        <v>237</v>
      </c>
      <c r="C50" s="24">
        <v>22</v>
      </c>
      <c r="D50" s="88">
        <v>2114</v>
      </c>
      <c r="E50" s="88">
        <v>1810</v>
      </c>
      <c r="F50" s="89">
        <f t="shared" ref="F50" si="28">O50</f>
        <v>0</v>
      </c>
      <c r="G50" s="90">
        <f t="shared" ref="G50" si="29">D50*E50/91809*F50</f>
        <v>0</v>
      </c>
      <c r="H50" s="90">
        <f t="shared" ref="H50" si="30">(D50/1000)*4*F50+(E50/1000)*4*F50</f>
        <v>0</v>
      </c>
      <c r="I50" s="91" t="str">
        <f>I43</f>
        <v>1동3라인</v>
      </c>
      <c r="J50" s="92" t="s">
        <v>206</v>
      </c>
      <c r="L50" s="89">
        <v>1</v>
      </c>
      <c r="M50" s="306">
        <f>M37</f>
        <v>0</v>
      </c>
      <c r="N50" s="84"/>
      <c r="O50" s="306">
        <f>L50*M50-N50*L50</f>
        <v>0</v>
      </c>
    </row>
    <row r="51" spans="1:16" ht="18" hidden="1" customHeight="1">
      <c r="A51" s="85"/>
      <c r="B51" s="93"/>
      <c r="C51" s="87"/>
      <c r="D51" s="325" t="s">
        <v>0</v>
      </c>
      <c r="E51" s="325"/>
      <c r="F51" s="94">
        <f>SUM(F50:F50)</f>
        <v>0</v>
      </c>
      <c r="G51" s="95">
        <f>SUM(G50:G50)</f>
        <v>0</v>
      </c>
      <c r="H51" s="95">
        <f>SUM(H50:H50)</f>
        <v>0</v>
      </c>
      <c r="I51" s="97"/>
      <c r="J51" s="98"/>
    </row>
    <row r="52" spans="1:16" ht="18" hidden="1" customHeight="1">
      <c r="A52" s="218"/>
      <c r="B52" s="219"/>
      <c r="C52" s="220"/>
      <c r="D52" s="161"/>
      <c r="E52" s="161"/>
      <c r="F52" s="89"/>
      <c r="G52" s="100"/>
      <c r="H52" s="100"/>
      <c r="I52" s="102"/>
      <c r="J52" s="221"/>
    </row>
    <row r="53" spans="1:16" ht="18" hidden="1" customHeight="1">
      <c r="A53" s="85"/>
      <c r="B53" s="23" t="s">
        <v>200</v>
      </c>
      <c r="C53" s="24">
        <v>22</v>
      </c>
      <c r="D53" s="88">
        <v>738</v>
      </c>
      <c r="E53" s="88">
        <v>1810</v>
      </c>
      <c r="F53" s="89">
        <f t="shared" ref="F53:F54" si="31">O53</f>
        <v>0</v>
      </c>
      <c r="G53" s="90">
        <f t="shared" ref="G53:G54" si="32">D53*E53/91809*F53</f>
        <v>0</v>
      </c>
      <c r="H53" s="90">
        <f t="shared" ref="H53:H54" si="33">(D53/1000)*4*F53+(E53/1000)*4*F53</f>
        <v>0</v>
      </c>
      <c r="I53" s="91" t="str">
        <f>I50</f>
        <v>1동3라인</v>
      </c>
      <c r="J53" s="92" t="s">
        <v>219</v>
      </c>
      <c r="L53" s="89">
        <v>2</v>
      </c>
      <c r="M53" s="306">
        <f>M50</f>
        <v>0</v>
      </c>
      <c r="N53" s="84"/>
      <c r="O53" s="306">
        <f>L53*M53-N53*L53</f>
        <v>0</v>
      </c>
      <c r="P53" s="64"/>
    </row>
    <row r="54" spans="1:16" ht="18" hidden="1" customHeight="1">
      <c r="A54" s="85"/>
      <c r="B54" s="86"/>
      <c r="C54" s="87"/>
      <c r="D54" s="88">
        <v>250</v>
      </c>
      <c r="E54" s="88">
        <v>930</v>
      </c>
      <c r="F54" s="89">
        <f t="shared" si="31"/>
        <v>0</v>
      </c>
      <c r="G54" s="90">
        <f t="shared" si="32"/>
        <v>0</v>
      </c>
      <c r="H54" s="90">
        <f t="shared" si="33"/>
        <v>0</v>
      </c>
      <c r="I54" s="91" t="str">
        <f>I53</f>
        <v>1동3라인</v>
      </c>
      <c r="J54" s="92" t="s">
        <v>220</v>
      </c>
      <c r="L54" s="89">
        <v>2</v>
      </c>
      <c r="M54" s="306">
        <f>M53</f>
        <v>0</v>
      </c>
      <c r="N54" s="84"/>
      <c r="O54" s="306">
        <f t="shared" ref="O54" si="34">L54*M54-N54*L54</f>
        <v>0</v>
      </c>
    </row>
    <row r="55" spans="1:16" ht="18" hidden="1" customHeight="1">
      <c r="A55" s="85"/>
      <c r="B55" s="93"/>
      <c r="C55" s="87"/>
      <c r="D55" s="325" t="s">
        <v>0</v>
      </c>
      <c r="E55" s="325"/>
      <c r="F55" s="94">
        <f>SUM(F53:F54)</f>
        <v>0</v>
      </c>
      <c r="G55" s="95">
        <f>SUM(G53:G54)</f>
        <v>0</v>
      </c>
      <c r="H55" s="96">
        <f>SUM(H53:H54)</f>
        <v>0</v>
      </c>
      <c r="I55" s="97"/>
      <c r="J55" s="162"/>
    </row>
    <row r="56" spans="1:16" ht="18" hidden="1" customHeight="1" thickBot="1">
      <c r="A56" s="222"/>
      <c r="B56" s="223"/>
      <c r="C56" s="224"/>
      <c r="D56" s="225"/>
      <c r="E56" s="225"/>
      <c r="F56" s="226"/>
      <c r="G56" s="227"/>
      <c r="H56" s="228"/>
      <c r="I56" s="229"/>
      <c r="J56" s="230"/>
      <c r="L56" s="306" t="s">
        <v>48</v>
      </c>
      <c r="M56" s="306" t="s">
        <v>49</v>
      </c>
      <c r="N56" s="306" t="s">
        <v>50</v>
      </c>
      <c r="O56" s="306" t="s">
        <v>55</v>
      </c>
    </row>
    <row r="57" spans="1:16" ht="18" hidden="1" customHeight="1">
      <c r="A57" s="79" t="s">
        <v>234</v>
      </c>
      <c r="B57" s="231" t="s">
        <v>195</v>
      </c>
      <c r="C57" s="232">
        <v>22</v>
      </c>
      <c r="D57" s="80">
        <v>761</v>
      </c>
      <c r="E57" s="80">
        <v>1810</v>
      </c>
      <c r="F57" s="233">
        <f>O57</f>
        <v>0</v>
      </c>
      <c r="G57" s="81">
        <f t="shared" ref="G57:G63" si="35">D57*E57/91809*F57</f>
        <v>0</v>
      </c>
      <c r="H57" s="81">
        <f t="shared" ref="H57:H63" si="36">(D57/1000)*4*F57+(E57/1000)*4*F57</f>
        <v>0</v>
      </c>
      <c r="I57" s="82" t="s">
        <v>240</v>
      </c>
      <c r="J57" s="83" t="s">
        <v>205</v>
      </c>
      <c r="L57" s="89">
        <v>2</v>
      </c>
      <c r="M57" s="306"/>
      <c r="N57" s="84"/>
      <c r="O57" s="306">
        <f>L57*M57-N57*L57</f>
        <v>0</v>
      </c>
      <c r="P57" s="64"/>
    </row>
    <row r="58" spans="1:16" ht="18" hidden="1" customHeight="1">
      <c r="A58" s="85"/>
      <c r="B58" s="86"/>
      <c r="C58" s="87"/>
      <c r="D58" s="88">
        <v>1688</v>
      </c>
      <c r="E58" s="88">
        <v>1810</v>
      </c>
      <c r="F58" s="89">
        <f t="shared" ref="F58:F63" si="37">O58</f>
        <v>0</v>
      </c>
      <c r="G58" s="90">
        <f t="shared" si="35"/>
        <v>0</v>
      </c>
      <c r="H58" s="90">
        <f t="shared" si="36"/>
        <v>0</v>
      </c>
      <c r="I58" s="91" t="str">
        <f>I57</f>
        <v>1동4라인</v>
      </c>
      <c r="J58" s="92" t="s">
        <v>206</v>
      </c>
      <c r="L58" s="89">
        <v>1</v>
      </c>
      <c r="M58" s="306">
        <f>M57</f>
        <v>0</v>
      </c>
      <c r="N58" s="84"/>
      <c r="O58" s="306">
        <f t="shared" ref="O58:O63" si="38">L58*M58-N58*L58</f>
        <v>0</v>
      </c>
    </row>
    <row r="59" spans="1:16" ht="18" hidden="1" customHeight="1">
      <c r="A59" s="85"/>
      <c r="B59" s="86"/>
      <c r="C59" s="87"/>
      <c r="D59" s="88">
        <v>738</v>
      </c>
      <c r="E59" s="88">
        <v>1310</v>
      </c>
      <c r="F59" s="89">
        <f t="shared" si="37"/>
        <v>0</v>
      </c>
      <c r="G59" s="90">
        <f t="shared" si="35"/>
        <v>0</v>
      </c>
      <c r="H59" s="90">
        <f t="shared" si="36"/>
        <v>0</v>
      </c>
      <c r="I59" s="91" t="str">
        <f t="shared" ref="I59:I63" si="39">I58</f>
        <v>1동4라인</v>
      </c>
      <c r="J59" s="92" t="s">
        <v>207</v>
      </c>
      <c r="L59" s="89">
        <v>4</v>
      </c>
      <c r="M59" s="306">
        <f t="shared" ref="M59:M62" si="40">M58</f>
        <v>0</v>
      </c>
      <c r="N59" s="306"/>
      <c r="O59" s="306">
        <f t="shared" si="38"/>
        <v>0</v>
      </c>
    </row>
    <row r="60" spans="1:16" ht="18" hidden="1" customHeight="1">
      <c r="A60" s="85"/>
      <c r="B60" s="86"/>
      <c r="C60" s="87"/>
      <c r="D60" s="88">
        <v>288</v>
      </c>
      <c r="E60" s="88">
        <v>910</v>
      </c>
      <c r="F60" s="89">
        <f t="shared" si="37"/>
        <v>0</v>
      </c>
      <c r="G60" s="90">
        <f t="shared" si="35"/>
        <v>0</v>
      </c>
      <c r="H60" s="90">
        <f t="shared" si="36"/>
        <v>0</v>
      </c>
      <c r="I60" s="91" t="str">
        <f t="shared" si="39"/>
        <v>1동4라인</v>
      </c>
      <c r="J60" s="92" t="s">
        <v>208</v>
      </c>
      <c r="L60" s="89">
        <v>2</v>
      </c>
      <c r="M60" s="306">
        <f t="shared" si="40"/>
        <v>0</v>
      </c>
      <c r="N60" s="306"/>
      <c r="O60" s="306">
        <f t="shared" si="38"/>
        <v>0</v>
      </c>
    </row>
    <row r="61" spans="1:16" ht="18" hidden="1" customHeight="1">
      <c r="A61" s="85"/>
      <c r="B61" s="86"/>
      <c r="C61" s="87"/>
      <c r="D61" s="88">
        <v>228</v>
      </c>
      <c r="E61" s="88">
        <v>910</v>
      </c>
      <c r="F61" s="89">
        <f t="shared" si="37"/>
        <v>0</v>
      </c>
      <c r="G61" s="90">
        <f t="shared" si="35"/>
        <v>0</v>
      </c>
      <c r="H61" s="90">
        <f t="shared" si="36"/>
        <v>0</v>
      </c>
      <c r="I61" s="91" t="str">
        <f t="shared" si="39"/>
        <v>1동4라인</v>
      </c>
      <c r="J61" s="92" t="s">
        <v>209</v>
      </c>
      <c r="L61" s="89">
        <v>2</v>
      </c>
      <c r="M61" s="306">
        <f t="shared" si="40"/>
        <v>0</v>
      </c>
      <c r="N61" s="306"/>
      <c r="O61" s="306">
        <f t="shared" si="38"/>
        <v>0</v>
      </c>
    </row>
    <row r="62" spans="1:16" ht="18" hidden="1" customHeight="1">
      <c r="A62" s="85"/>
      <c r="B62" s="86"/>
      <c r="C62" s="87"/>
      <c r="D62" s="88">
        <v>438</v>
      </c>
      <c r="E62" s="88">
        <v>270</v>
      </c>
      <c r="F62" s="89">
        <f t="shared" si="37"/>
        <v>0</v>
      </c>
      <c r="G62" s="90">
        <f t="shared" si="35"/>
        <v>0</v>
      </c>
      <c r="H62" s="90">
        <f t="shared" si="36"/>
        <v>0</v>
      </c>
      <c r="I62" s="91" t="str">
        <f t="shared" si="39"/>
        <v>1동4라인</v>
      </c>
      <c r="J62" s="92" t="s">
        <v>210</v>
      </c>
      <c r="L62" s="89">
        <v>2</v>
      </c>
      <c r="M62" s="306">
        <f t="shared" si="40"/>
        <v>0</v>
      </c>
      <c r="N62" s="306"/>
      <c r="O62" s="306">
        <f t="shared" si="38"/>
        <v>0</v>
      </c>
    </row>
    <row r="63" spans="1:16" ht="18" hidden="1" customHeight="1">
      <c r="A63" s="85"/>
      <c r="B63" s="86"/>
      <c r="C63" s="87"/>
      <c r="D63" s="88">
        <v>208</v>
      </c>
      <c r="E63" s="88">
        <v>910</v>
      </c>
      <c r="F63" s="89">
        <f t="shared" si="37"/>
        <v>0</v>
      </c>
      <c r="G63" s="90">
        <f t="shared" si="35"/>
        <v>0</v>
      </c>
      <c r="H63" s="90">
        <f t="shared" si="36"/>
        <v>0</v>
      </c>
      <c r="I63" s="91" t="str">
        <f t="shared" si="39"/>
        <v>1동4라인</v>
      </c>
      <c r="J63" s="92" t="s">
        <v>211</v>
      </c>
      <c r="L63" s="89">
        <v>2</v>
      </c>
      <c r="M63" s="306">
        <f>M62</f>
        <v>0</v>
      </c>
      <c r="N63" s="306"/>
      <c r="O63" s="306">
        <f t="shared" si="38"/>
        <v>0</v>
      </c>
    </row>
    <row r="64" spans="1:16" ht="18" hidden="1" customHeight="1">
      <c r="A64" s="85"/>
      <c r="B64" s="93"/>
      <c r="C64" s="87"/>
      <c r="D64" s="325" t="s">
        <v>0</v>
      </c>
      <c r="E64" s="325"/>
      <c r="F64" s="94">
        <f>SUM(F57:F63)</f>
        <v>0</v>
      </c>
      <c r="G64" s="95">
        <f>SUM(G57:G63)</f>
        <v>0</v>
      </c>
      <c r="H64" s="96">
        <f>SUM(H57:H63)</f>
        <v>0</v>
      </c>
      <c r="I64" s="97"/>
      <c r="J64" s="162"/>
    </row>
    <row r="65" spans="1:16" ht="18" hidden="1" customHeight="1">
      <c r="A65" s="85"/>
      <c r="B65" s="93"/>
      <c r="C65" s="87"/>
      <c r="D65" s="161"/>
      <c r="E65" s="161"/>
      <c r="F65" s="89"/>
      <c r="G65" s="100"/>
      <c r="H65" s="101"/>
      <c r="I65" s="102"/>
      <c r="J65" s="121"/>
      <c r="L65" s="306" t="s">
        <v>48</v>
      </c>
      <c r="M65" s="306" t="s">
        <v>54</v>
      </c>
      <c r="N65" s="306" t="s">
        <v>50</v>
      </c>
      <c r="O65" s="306" t="s">
        <v>55</v>
      </c>
    </row>
    <row r="66" spans="1:16" ht="18" hidden="1" customHeight="1">
      <c r="A66" s="85"/>
      <c r="B66" s="23" t="s">
        <v>197</v>
      </c>
      <c r="C66" s="24">
        <v>22</v>
      </c>
      <c r="D66" s="88">
        <v>761</v>
      </c>
      <c r="E66" s="88">
        <v>1810</v>
      </c>
      <c r="F66" s="89">
        <f t="shared" ref="F66:F72" si="41">O66</f>
        <v>0</v>
      </c>
      <c r="G66" s="90">
        <f t="shared" ref="G66:G72" si="42">D66*E66/91809*F66</f>
        <v>0</v>
      </c>
      <c r="H66" s="90">
        <f t="shared" ref="H66:H72" si="43">(D66/1000)*4*F66+(E66/1000)*4*F66</f>
        <v>0</v>
      </c>
      <c r="I66" s="91" t="str">
        <f t="shared" ref="I66:I72" si="44">I57</f>
        <v>1동4라인</v>
      </c>
      <c r="J66" s="92" t="s">
        <v>212</v>
      </c>
      <c r="L66" s="89">
        <v>2</v>
      </c>
      <c r="M66" s="306">
        <f>M57</f>
        <v>0</v>
      </c>
      <c r="N66" s="84"/>
      <c r="O66" s="306">
        <f>L66*M66-N66*L66</f>
        <v>0</v>
      </c>
    </row>
    <row r="67" spans="1:16" ht="18" hidden="1" customHeight="1">
      <c r="A67" s="85"/>
      <c r="B67" s="86"/>
      <c r="C67" s="87"/>
      <c r="D67" s="88">
        <v>1688</v>
      </c>
      <c r="E67" s="88">
        <v>1810</v>
      </c>
      <c r="F67" s="89">
        <f t="shared" si="41"/>
        <v>0</v>
      </c>
      <c r="G67" s="90">
        <f t="shared" si="42"/>
        <v>0</v>
      </c>
      <c r="H67" s="90">
        <f t="shared" si="43"/>
        <v>0</v>
      </c>
      <c r="I67" s="91" t="str">
        <f t="shared" si="44"/>
        <v>1동4라인</v>
      </c>
      <c r="J67" s="92" t="s">
        <v>213</v>
      </c>
      <c r="L67" s="89">
        <v>1</v>
      </c>
      <c r="M67" s="306">
        <f>M66</f>
        <v>0</v>
      </c>
      <c r="N67" s="84"/>
      <c r="O67" s="306">
        <f>L67*M67-N67*L67</f>
        <v>0</v>
      </c>
    </row>
    <row r="68" spans="1:16" ht="18" hidden="1" customHeight="1">
      <c r="A68" s="104"/>
      <c r="B68" s="93"/>
      <c r="C68" s="87"/>
      <c r="D68" s="88">
        <v>738</v>
      </c>
      <c r="E68" s="88">
        <v>1310</v>
      </c>
      <c r="F68" s="89">
        <f t="shared" si="41"/>
        <v>0</v>
      </c>
      <c r="G68" s="90">
        <f t="shared" si="42"/>
        <v>0</v>
      </c>
      <c r="H68" s="90">
        <f t="shared" si="43"/>
        <v>0</v>
      </c>
      <c r="I68" s="91" t="str">
        <f t="shared" si="44"/>
        <v>1동4라인</v>
      </c>
      <c r="J68" s="92" t="s">
        <v>214</v>
      </c>
      <c r="L68" s="89">
        <v>4</v>
      </c>
      <c r="M68" s="306">
        <f t="shared" ref="M68:M72" si="45">M67</f>
        <v>0</v>
      </c>
      <c r="N68" s="84"/>
      <c r="O68" s="306">
        <f t="shared" ref="O68:O72" si="46">L68*M68-N68*L68</f>
        <v>0</v>
      </c>
    </row>
    <row r="69" spans="1:16" ht="18" hidden="1" customHeight="1">
      <c r="A69" s="104"/>
      <c r="B69" s="93"/>
      <c r="C69" s="87"/>
      <c r="D69" s="88">
        <v>288</v>
      </c>
      <c r="E69" s="88">
        <v>910</v>
      </c>
      <c r="F69" s="89">
        <f t="shared" si="41"/>
        <v>0</v>
      </c>
      <c r="G69" s="90">
        <f t="shared" si="42"/>
        <v>0</v>
      </c>
      <c r="H69" s="90">
        <f t="shared" si="43"/>
        <v>0</v>
      </c>
      <c r="I69" s="91" t="str">
        <f t="shared" si="44"/>
        <v>1동4라인</v>
      </c>
      <c r="J69" s="92" t="s">
        <v>215</v>
      </c>
      <c r="L69" s="89">
        <v>2</v>
      </c>
      <c r="M69" s="306">
        <f t="shared" si="45"/>
        <v>0</v>
      </c>
      <c r="N69" s="306"/>
      <c r="O69" s="306">
        <f t="shared" si="46"/>
        <v>0</v>
      </c>
    </row>
    <row r="70" spans="1:16" ht="18" hidden="1" customHeight="1">
      <c r="A70" s="104"/>
      <c r="B70" s="93"/>
      <c r="C70" s="87"/>
      <c r="D70" s="88">
        <v>228</v>
      </c>
      <c r="E70" s="88">
        <v>910</v>
      </c>
      <c r="F70" s="89">
        <f t="shared" si="41"/>
        <v>0</v>
      </c>
      <c r="G70" s="90">
        <f t="shared" si="42"/>
        <v>0</v>
      </c>
      <c r="H70" s="90">
        <f t="shared" si="43"/>
        <v>0</v>
      </c>
      <c r="I70" s="91" t="str">
        <f t="shared" si="44"/>
        <v>1동4라인</v>
      </c>
      <c r="J70" s="92" t="s">
        <v>216</v>
      </c>
      <c r="L70" s="89">
        <v>2</v>
      </c>
      <c r="M70" s="306">
        <f t="shared" si="45"/>
        <v>0</v>
      </c>
      <c r="N70" s="306"/>
      <c r="O70" s="306">
        <f t="shared" si="46"/>
        <v>0</v>
      </c>
    </row>
    <row r="71" spans="1:16" ht="18" hidden="1" customHeight="1">
      <c r="A71" s="104"/>
      <c r="B71" s="93"/>
      <c r="C71" s="87"/>
      <c r="D71" s="88">
        <v>438</v>
      </c>
      <c r="E71" s="88">
        <v>270</v>
      </c>
      <c r="F71" s="89">
        <f t="shared" si="41"/>
        <v>0</v>
      </c>
      <c r="G71" s="90">
        <f t="shared" si="42"/>
        <v>0</v>
      </c>
      <c r="H71" s="90">
        <f t="shared" si="43"/>
        <v>0</v>
      </c>
      <c r="I71" s="91" t="str">
        <f t="shared" si="44"/>
        <v>1동4라인</v>
      </c>
      <c r="J71" s="92" t="s">
        <v>217</v>
      </c>
      <c r="L71" s="89">
        <v>2</v>
      </c>
      <c r="M71" s="306">
        <f t="shared" si="45"/>
        <v>0</v>
      </c>
      <c r="N71" s="306"/>
      <c r="O71" s="306">
        <f t="shared" si="46"/>
        <v>0</v>
      </c>
    </row>
    <row r="72" spans="1:16" ht="18" hidden="1" customHeight="1">
      <c r="A72" s="104"/>
      <c r="B72" s="93"/>
      <c r="C72" s="87"/>
      <c r="D72" s="88">
        <v>208</v>
      </c>
      <c r="E72" s="88">
        <v>910</v>
      </c>
      <c r="F72" s="89">
        <f t="shared" si="41"/>
        <v>0</v>
      </c>
      <c r="G72" s="90">
        <f t="shared" si="42"/>
        <v>0</v>
      </c>
      <c r="H72" s="90">
        <f t="shared" si="43"/>
        <v>0</v>
      </c>
      <c r="I72" s="91" t="str">
        <f t="shared" si="44"/>
        <v>1동4라인</v>
      </c>
      <c r="J72" s="92" t="s">
        <v>218</v>
      </c>
      <c r="L72" s="89">
        <v>2</v>
      </c>
      <c r="M72" s="306">
        <f t="shared" si="45"/>
        <v>0</v>
      </c>
      <c r="N72" s="306"/>
      <c r="O72" s="306">
        <f t="shared" si="46"/>
        <v>0</v>
      </c>
    </row>
    <row r="73" spans="1:16" ht="18" hidden="1" customHeight="1">
      <c r="A73" s="104"/>
      <c r="B73" s="87"/>
      <c r="C73" s="87"/>
      <c r="D73" s="325" t="s">
        <v>0</v>
      </c>
      <c r="E73" s="325"/>
      <c r="F73" s="171">
        <f>SUM(F66:F72)</f>
        <v>0</v>
      </c>
      <c r="G73" s="95">
        <f>SUM(G66:G72)</f>
        <v>0</v>
      </c>
      <c r="H73" s="95">
        <f>SUM(H66:H72)</f>
        <v>0</v>
      </c>
      <c r="I73" s="97"/>
      <c r="J73" s="98"/>
    </row>
    <row r="74" spans="1:16" hidden="1">
      <c r="A74" s="105"/>
      <c r="B74" s="9"/>
      <c r="C74" s="9"/>
      <c r="D74" s="51"/>
      <c r="E74" s="51"/>
      <c r="F74" s="51"/>
      <c r="G74" s="106"/>
      <c r="H74" s="106"/>
      <c r="I74" s="9"/>
      <c r="J74" s="107"/>
    </row>
    <row r="75" spans="1:16" ht="18" hidden="1" customHeight="1">
      <c r="A75" s="85"/>
      <c r="B75" s="163" t="s">
        <v>199</v>
      </c>
      <c r="C75" s="163">
        <v>22</v>
      </c>
      <c r="D75" s="88">
        <v>738</v>
      </c>
      <c r="E75" s="88">
        <v>1810</v>
      </c>
      <c r="F75" s="89">
        <f t="shared" ref="F75:F76" si="47">O75</f>
        <v>0</v>
      </c>
      <c r="G75" s="90">
        <f t="shared" ref="G75:G76" si="48">D75*E75/91809*F75</f>
        <v>0</v>
      </c>
      <c r="H75" s="90">
        <f t="shared" ref="H75:H76" si="49">(D75/1000)*4*F75+(E75/1000)*4*F75</f>
        <v>0</v>
      </c>
      <c r="I75" s="91" t="str">
        <f>I66</f>
        <v>1동4라인</v>
      </c>
      <c r="J75" s="92" t="s">
        <v>219</v>
      </c>
      <c r="L75" s="89">
        <v>2</v>
      </c>
      <c r="M75" s="306">
        <f>M57</f>
        <v>0</v>
      </c>
      <c r="N75" s="84"/>
      <c r="O75" s="306">
        <f>L75*M75-N75*L75</f>
        <v>0</v>
      </c>
      <c r="P75" s="64"/>
    </row>
    <row r="76" spans="1:16" ht="18" hidden="1" customHeight="1">
      <c r="A76" s="85"/>
      <c r="B76" s="86"/>
      <c r="C76" s="87"/>
      <c r="D76" s="88">
        <v>250</v>
      </c>
      <c r="E76" s="88">
        <v>930</v>
      </c>
      <c r="F76" s="89">
        <f t="shared" si="47"/>
        <v>0</v>
      </c>
      <c r="G76" s="90">
        <f t="shared" si="48"/>
        <v>0</v>
      </c>
      <c r="H76" s="90">
        <f t="shared" si="49"/>
        <v>0</v>
      </c>
      <c r="I76" s="91" t="str">
        <f>I75</f>
        <v>1동4라인</v>
      </c>
      <c r="J76" s="92" t="s">
        <v>220</v>
      </c>
      <c r="L76" s="89">
        <v>2</v>
      </c>
      <c r="M76" s="306">
        <f>M75</f>
        <v>0</v>
      </c>
      <c r="N76" s="84"/>
      <c r="O76" s="306">
        <f t="shared" ref="O76" si="50">L76*M76-N76*L76</f>
        <v>0</v>
      </c>
    </row>
    <row r="77" spans="1:16" ht="18" hidden="1" customHeight="1">
      <c r="A77" s="85"/>
      <c r="B77" s="93"/>
      <c r="C77" s="87"/>
      <c r="D77" s="325" t="s">
        <v>0</v>
      </c>
      <c r="E77" s="325"/>
      <c r="F77" s="94">
        <f>SUM(F75:F76)</f>
        <v>0</v>
      </c>
      <c r="G77" s="95">
        <f>SUM(G75:G76)</f>
        <v>0</v>
      </c>
      <c r="H77" s="95">
        <f>SUM(H75:H76)</f>
        <v>0</v>
      </c>
      <c r="I77" s="97"/>
      <c r="J77" s="98"/>
    </row>
    <row r="78" spans="1:16" ht="18" hidden="1" customHeight="1">
      <c r="A78" s="236"/>
      <c r="B78" s="237"/>
      <c r="C78" s="238"/>
      <c r="D78" s="362"/>
      <c r="E78" s="362"/>
      <c r="F78" s="239"/>
      <c r="G78" s="240"/>
      <c r="H78" s="241"/>
      <c r="I78" s="242"/>
      <c r="J78" s="243"/>
    </row>
    <row r="79" spans="1:16" ht="18" hidden="1" customHeight="1">
      <c r="A79" s="244" t="s">
        <v>234</v>
      </c>
      <c r="B79" s="23" t="s">
        <v>195</v>
      </c>
      <c r="C79" s="24">
        <v>22</v>
      </c>
      <c r="D79" s="88">
        <v>761</v>
      </c>
      <c r="E79" s="88">
        <v>1810</v>
      </c>
      <c r="F79" s="89">
        <f>O79</f>
        <v>0</v>
      </c>
      <c r="G79" s="90">
        <f t="shared" ref="G79:G85" si="51">D79*E79/91809*F79</f>
        <v>0</v>
      </c>
      <c r="H79" s="90">
        <f t="shared" ref="H79:H85" si="52">(D79/1000)*4*F79+(E79/1000)*4*F79</f>
        <v>0</v>
      </c>
      <c r="I79" s="91" t="s">
        <v>241</v>
      </c>
      <c r="J79" s="163" t="s">
        <v>205</v>
      </c>
      <c r="L79" s="89">
        <v>2</v>
      </c>
      <c r="M79" s="306"/>
      <c r="N79" s="84"/>
      <c r="O79" s="306">
        <f>L79*M79-N79*L79</f>
        <v>0</v>
      </c>
      <c r="P79" s="64"/>
    </row>
    <row r="80" spans="1:16" ht="18" hidden="1" customHeight="1">
      <c r="A80" s="85"/>
      <c r="B80" s="86"/>
      <c r="C80" s="87"/>
      <c r="D80" s="88">
        <v>1688</v>
      </c>
      <c r="E80" s="88">
        <v>1810</v>
      </c>
      <c r="F80" s="89">
        <f t="shared" ref="F80:F85" si="53">O80</f>
        <v>0</v>
      </c>
      <c r="G80" s="90">
        <f t="shared" si="51"/>
        <v>0</v>
      </c>
      <c r="H80" s="90">
        <f t="shared" si="52"/>
        <v>0</v>
      </c>
      <c r="I80" s="91" t="str">
        <f>I79</f>
        <v>1동5라인</v>
      </c>
      <c r="J80" s="92" t="s">
        <v>206</v>
      </c>
      <c r="L80" s="89">
        <v>1</v>
      </c>
      <c r="M80" s="306">
        <f>M79</f>
        <v>0</v>
      </c>
      <c r="N80" s="84"/>
      <c r="O80" s="306">
        <f t="shared" ref="O80:O85" si="54">L80*M80-N80*L80</f>
        <v>0</v>
      </c>
    </row>
    <row r="81" spans="1:15" ht="18" hidden="1" customHeight="1">
      <c r="A81" s="85"/>
      <c r="B81" s="86"/>
      <c r="C81" s="87"/>
      <c r="D81" s="88">
        <v>738</v>
      </c>
      <c r="E81" s="88">
        <v>1310</v>
      </c>
      <c r="F81" s="89">
        <f t="shared" si="53"/>
        <v>0</v>
      </c>
      <c r="G81" s="90">
        <f t="shared" si="51"/>
        <v>0</v>
      </c>
      <c r="H81" s="90">
        <f t="shared" si="52"/>
        <v>0</v>
      </c>
      <c r="I81" s="91" t="str">
        <f t="shared" ref="I81:I85" si="55">I80</f>
        <v>1동5라인</v>
      </c>
      <c r="J81" s="92" t="s">
        <v>207</v>
      </c>
      <c r="L81" s="89">
        <v>4</v>
      </c>
      <c r="M81" s="306">
        <f t="shared" ref="M81:M84" si="56">M80</f>
        <v>0</v>
      </c>
      <c r="N81" s="306"/>
      <c r="O81" s="306">
        <f t="shared" si="54"/>
        <v>0</v>
      </c>
    </row>
    <row r="82" spans="1:15" ht="18" hidden="1" customHeight="1">
      <c r="A82" s="85"/>
      <c r="B82" s="86"/>
      <c r="C82" s="87"/>
      <c r="D82" s="88">
        <v>288</v>
      </c>
      <c r="E82" s="88">
        <v>910</v>
      </c>
      <c r="F82" s="89">
        <f t="shared" si="53"/>
        <v>0</v>
      </c>
      <c r="G82" s="90">
        <f t="shared" si="51"/>
        <v>0</v>
      </c>
      <c r="H82" s="90">
        <f t="shared" si="52"/>
        <v>0</v>
      </c>
      <c r="I82" s="91" t="str">
        <f t="shared" si="55"/>
        <v>1동5라인</v>
      </c>
      <c r="J82" s="92" t="s">
        <v>208</v>
      </c>
      <c r="L82" s="89">
        <v>2</v>
      </c>
      <c r="M82" s="306">
        <f t="shared" si="56"/>
        <v>0</v>
      </c>
      <c r="N82" s="306"/>
      <c r="O82" s="306">
        <f t="shared" si="54"/>
        <v>0</v>
      </c>
    </row>
    <row r="83" spans="1:15" ht="18" hidden="1" customHeight="1">
      <c r="A83" s="85"/>
      <c r="B83" s="86"/>
      <c r="C83" s="87"/>
      <c r="D83" s="88">
        <v>228</v>
      </c>
      <c r="E83" s="88">
        <v>910</v>
      </c>
      <c r="F83" s="89">
        <f t="shared" si="53"/>
        <v>0</v>
      </c>
      <c r="G83" s="90">
        <f t="shared" si="51"/>
        <v>0</v>
      </c>
      <c r="H83" s="90">
        <f t="shared" si="52"/>
        <v>0</v>
      </c>
      <c r="I83" s="91" t="str">
        <f t="shared" si="55"/>
        <v>1동5라인</v>
      </c>
      <c r="J83" s="92" t="s">
        <v>209</v>
      </c>
      <c r="L83" s="89">
        <v>2</v>
      </c>
      <c r="M83" s="306">
        <f t="shared" si="56"/>
        <v>0</v>
      </c>
      <c r="N83" s="306"/>
      <c r="O83" s="306">
        <f t="shared" si="54"/>
        <v>0</v>
      </c>
    </row>
    <row r="84" spans="1:15" ht="18" hidden="1" customHeight="1">
      <c r="A84" s="85"/>
      <c r="B84" s="86"/>
      <c r="C84" s="87"/>
      <c r="D84" s="88">
        <v>438</v>
      </c>
      <c r="E84" s="88">
        <v>270</v>
      </c>
      <c r="F84" s="89">
        <f t="shared" si="53"/>
        <v>0</v>
      </c>
      <c r="G84" s="90">
        <f t="shared" si="51"/>
        <v>0</v>
      </c>
      <c r="H84" s="90">
        <f t="shared" si="52"/>
        <v>0</v>
      </c>
      <c r="I84" s="91" t="str">
        <f t="shared" si="55"/>
        <v>1동5라인</v>
      </c>
      <c r="J84" s="92" t="s">
        <v>210</v>
      </c>
      <c r="L84" s="89">
        <v>2</v>
      </c>
      <c r="M84" s="306">
        <f t="shared" si="56"/>
        <v>0</v>
      </c>
      <c r="N84" s="306"/>
      <c r="O84" s="306">
        <f t="shared" si="54"/>
        <v>0</v>
      </c>
    </row>
    <row r="85" spans="1:15" ht="18" hidden="1" customHeight="1">
      <c r="A85" s="85"/>
      <c r="B85" s="86"/>
      <c r="C85" s="87"/>
      <c r="D85" s="88">
        <v>208</v>
      </c>
      <c r="E85" s="88">
        <v>910</v>
      </c>
      <c r="F85" s="89">
        <f t="shared" si="53"/>
        <v>0</v>
      </c>
      <c r="G85" s="90">
        <f t="shared" si="51"/>
        <v>0</v>
      </c>
      <c r="H85" s="90">
        <f t="shared" si="52"/>
        <v>0</v>
      </c>
      <c r="I85" s="91" t="str">
        <f t="shared" si="55"/>
        <v>1동5라인</v>
      </c>
      <c r="J85" s="92" t="s">
        <v>211</v>
      </c>
      <c r="L85" s="89">
        <v>2</v>
      </c>
      <c r="M85" s="306">
        <f>M84</f>
        <v>0</v>
      </c>
      <c r="N85" s="306"/>
      <c r="O85" s="306">
        <f t="shared" si="54"/>
        <v>0</v>
      </c>
    </row>
    <row r="86" spans="1:15" ht="18" hidden="1" customHeight="1">
      <c r="A86" s="85"/>
      <c r="B86" s="93"/>
      <c r="C86" s="87"/>
      <c r="D86" s="325" t="s">
        <v>0</v>
      </c>
      <c r="E86" s="325"/>
      <c r="F86" s="94">
        <f>SUM(F79:F85)</f>
        <v>0</v>
      </c>
      <c r="G86" s="95">
        <f>SUM(G79:G85)</f>
        <v>0</v>
      </c>
      <c r="H86" s="96">
        <f>SUM(H79:H85)</f>
        <v>0</v>
      </c>
      <c r="I86" s="97"/>
      <c r="J86" s="162"/>
    </row>
    <row r="87" spans="1:15" ht="18" hidden="1" customHeight="1">
      <c r="A87" s="85"/>
      <c r="B87" s="93"/>
      <c r="C87" s="87"/>
      <c r="D87" s="161"/>
      <c r="E87" s="161"/>
      <c r="F87" s="89"/>
      <c r="G87" s="100"/>
      <c r="H87" s="101"/>
      <c r="I87" s="102"/>
      <c r="J87" s="121"/>
      <c r="L87" s="306" t="s">
        <v>48</v>
      </c>
      <c r="M87" s="306" t="s">
        <v>54</v>
      </c>
      <c r="N87" s="306" t="s">
        <v>50</v>
      </c>
      <c r="O87" s="306" t="s">
        <v>55</v>
      </c>
    </row>
    <row r="88" spans="1:15" ht="18" hidden="1" customHeight="1">
      <c r="A88" s="85"/>
      <c r="B88" s="23" t="s">
        <v>197</v>
      </c>
      <c r="C88" s="24">
        <v>22</v>
      </c>
      <c r="D88" s="88">
        <v>761</v>
      </c>
      <c r="E88" s="88">
        <v>1810</v>
      </c>
      <c r="F88" s="89">
        <f t="shared" ref="F88:F94" si="57">O88</f>
        <v>0</v>
      </c>
      <c r="G88" s="90">
        <f t="shared" ref="G88:G94" si="58">D88*E88/91809*F88</f>
        <v>0</v>
      </c>
      <c r="H88" s="90">
        <f t="shared" ref="H88:H94" si="59">(D88/1000)*4*F88+(E88/1000)*4*F88</f>
        <v>0</v>
      </c>
      <c r="I88" s="91" t="str">
        <f t="shared" ref="I88:I94" si="60">I79</f>
        <v>1동5라인</v>
      </c>
      <c r="J88" s="92" t="s">
        <v>212</v>
      </c>
      <c r="L88" s="89">
        <v>2</v>
      </c>
      <c r="M88" s="306">
        <f>M79</f>
        <v>0</v>
      </c>
      <c r="N88" s="84"/>
      <c r="O88" s="306">
        <f>L88*M88-N88*L88</f>
        <v>0</v>
      </c>
    </row>
    <row r="89" spans="1:15" ht="18" hidden="1" customHeight="1">
      <c r="A89" s="85"/>
      <c r="B89" s="86"/>
      <c r="C89" s="87"/>
      <c r="D89" s="88">
        <v>1688</v>
      </c>
      <c r="E89" s="88">
        <v>1810</v>
      </c>
      <c r="F89" s="89">
        <f t="shared" si="57"/>
        <v>0</v>
      </c>
      <c r="G89" s="90">
        <f t="shared" si="58"/>
        <v>0</v>
      </c>
      <c r="H89" s="90">
        <f t="shared" si="59"/>
        <v>0</v>
      </c>
      <c r="I89" s="91" t="str">
        <f t="shared" si="60"/>
        <v>1동5라인</v>
      </c>
      <c r="J89" s="92" t="s">
        <v>213</v>
      </c>
      <c r="L89" s="89">
        <v>1</v>
      </c>
      <c r="M89" s="306">
        <f>M88</f>
        <v>0</v>
      </c>
      <c r="N89" s="84"/>
      <c r="O89" s="306">
        <f>L89*M89-N89*L89</f>
        <v>0</v>
      </c>
    </row>
    <row r="90" spans="1:15" ht="18" hidden="1" customHeight="1">
      <c r="A90" s="104"/>
      <c r="B90" s="93"/>
      <c r="C90" s="87"/>
      <c r="D90" s="88">
        <v>738</v>
      </c>
      <c r="E90" s="88">
        <v>1310</v>
      </c>
      <c r="F90" s="89">
        <f t="shared" si="57"/>
        <v>0</v>
      </c>
      <c r="G90" s="90">
        <f t="shared" si="58"/>
        <v>0</v>
      </c>
      <c r="H90" s="90">
        <f t="shared" si="59"/>
        <v>0</v>
      </c>
      <c r="I90" s="91" t="str">
        <f t="shared" si="60"/>
        <v>1동5라인</v>
      </c>
      <c r="J90" s="92" t="s">
        <v>214</v>
      </c>
      <c r="L90" s="89">
        <v>4</v>
      </c>
      <c r="M90" s="306">
        <f t="shared" ref="M90:M94" si="61">M89</f>
        <v>0</v>
      </c>
      <c r="N90" s="84"/>
      <c r="O90" s="306">
        <f t="shared" ref="O90:O94" si="62">L90*M90-N90*L90</f>
        <v>0</v>
      </c>
    </row>
    <row r="91" spans="1:15" ht="18" hidden="1" customHeight="1">
      <c r="A91" s="104"/>
      <c r="B91" s="93"/>
      <c r="C91" s="87"/>
      <c r="D91" s="88">
        <v>288</v>
      </c>
      <c r="E91" s="88">
        <v>910</v>
      </c>
      <c r="F91" s="89">
        <f t="shared" si="57"/>
        <v>0</v>
      </c>
      <c r="G91" s="90">
        <f t="shared" si="58"/>
        <v>0</v>
      </c>
      <c r="H91" s="90">
        <f t="shared" si="59"/>
        <v>0</v>
      </c>
      <c r="I91" s="91" t="str">
        <f t="shared" si="60"/>
        <v>1동5라인</v>
      </c>
      <c r="J91" s="92" t="s">
        <v>215</v>
      </c>
      <c r="L91" s="89">
        <v>2</v>
      </c>
      <c r="M91" s="306">
        <f t="shared" si="61"/>
        <v>0</v>
      </c>
      <c r="N91" s="306"/>
      <c r="O91" s="306">
        <f t="shared" si="62"/>
        <v>0</v>
      </c>
    </row>
    <row r="92" spans="1:15" ht="18" hidden="1" customHeight="1">
      <c r="A92" s="104"/>
      <c r="B92" s="93"/>
      <c r="C92" s="87"/>
      <c r="D92" s="88">
        <v>228</v>
      </c>
      <c r="E92" s="88">
        <v>910</v>
      </c>
      <c r="F92" s="89">
        <f t="shared" si="57"/>
        <v>0</v>
      </c>
      <c r="G92" s="90">
        <f t="shared" si="58"/>
        <v>0</v>
      </c>
      <c r="H92" s="90">
        <f t="shared" si="59"/>
        <v>0</v>
      </c>
      <c r="I92" s="91" t="str">
        <f t="shared" si="60"/>
        <v>1동5라인</v>
      </c>
      <c r="J92" s="92" t="s">
        <v>216</v>
      </c>
      <c r="L92" s="89">
        <v>2</v>
      </c>
      <c r="M92" s="306">
        <f t="shared" si="61"/>
        <v>0</v>
      </c>
      <c r="N92" s="306"/>
      <c r="O92" s="306">
        <f t="shared" si="62"/>
        <v>0</v>
      </c>
    </row>
    <row r="93" spans="1:15" ht="18" hidden="1" customHeight="1">
      <c r="A93" s="104"/>
      <c r="B93" s="93"/>
      <c r="C93" s="87"/>
      <c r="D93" s="88">
        <v>438</v>
      </c>
      <c r="E93" s="88">
        <v>270</v>
      </c>
      <c r="F93" s="89">
        <f t="shared" si="57"/>
        <v>0</v>
      </c>
      <c r="G93" s="90">
        <f t="shared" si="58"/>
        <v>0</v>
      </c>
      <c r="H93" s="90">
        <f t="shared" si="59"/>
        <v>0</v>
      </c>
      <c r="I93" s="91" t="str">
        <f t="shared" si="60"/>
        <v>1동5라인</v>
      </c>
      <c r="J93" s="92" t="s">
        <v>217</v>
      </c>
      <c r="L93" s="89">
        <v>2</v>
      </c>
      <c r="M93" s="306">
        <f t="shared" si="61"/>
        <v>0</v>
      </c>
      <c r="N93" s="306"/>
      <c r="O93" s="306">
        <f t="shared" si="62"/>
        <v>0</v>
      </c>
    </row>
    <row r="94" spans="1:15" ht="18" hidden="1" customHeight="1">
      <c r="A94" s="104"/>
      <c r="B94" s="93"/>
      <c r="C94" s="87"/>
      <c r="D94" s="88">
        <v>208</v>
      </c>
      <c r="E94" s="88">
        <v>910</v>
      </c>
      <c r="F94" s="89">
        <f t="shared" si="57"/>
        <v>0</v>
      </c>
      <c r="G94" s="90">
        <f t="shared" si="58"/>
        <v>0</v>
      </c>
      <c r="H94" s="90">
        <f t="shared" si="59"/>
        <v>0</v>
      </c>
      <c r="I94" s="91" t="str">
        <f t="shared" si="60"/>
        <v>1동5라인</v>
      </c>
      <c r="J94" s="92" t="s">
        <v>218</v>
      </c>
      <c r="L94" s="89">
        <v>2</v>
      </c>
      <c r="M94" s="306">
        <f t="shared" si="61"/>
        <v>0</v>
      </c>
      <c r="N94" s="306"/>
      <c r="O94" s="306">
        <f t="shared" si="62"/>
        <v>0</v>
      </c>
    </row>
    <row r="95" spans="1:15" ht="18" hidden="1" customHeight="1">
      <c r="A95" s="104"/>
      <c r="B95" s="87"/>
      <c r="C95" s="87"/>
      <c r="D95" s="325" t="s">
        <v>0</v>
      </c>
      <c r="E95" s="325"/>
      <c r="F95" s="171">
        <f>SUM(F88:F94)</f>
        <v>0</v>
      </c>
      <c r="G95" s="95">
        <f>SUM(G88:G94)</f>
        <v>0</v>
      </c>
      <c r="H95" s="95">
        <f>SUM(H88:H94)</f>
        <v>0</v>
      </c>
      <c r="I95" s="97"/>
      <c r="J95" s="98"/>
    </row>
    <row r="96" spans="1:15" hidden="1">
      <c r="A96" s="105"/>
      <c r="B96" s="9"/>
      <c r="C96" s="9"/>
      <c r="D96" s="51"/>
      <c r="E96" s="51"/>
      <c r="F96" s="51"/>
      <c r="G96" s="106"/>
      <c r="H96" s="106"/>
      <c r="I96" s="9"/>
      <c r="J96" s="107"/>
    </row>
    <row r="97" spans="1:16" ht="18" hidden="1" customHeight="1">
      <c r="A97" s="85"/>
      <c r="B97" s="163" t="s">
        <v>199</v>
      </c>
      <c r="C97" s="163">
        <v>22</v>
      </c>
      <c r="D97" s="88">
        <v>738</v>
      </c>
      <c r="E97" s="88">
        <v>1810</v>
      </c>
      <c r="F97" s="89">
        <f t="shared" ref="F97:F98" si="63">O97</f>
        <v>0</v>
      </c>
      <c r="G97" s="90">
        <f t="shared" ref="G97:G98" si="64">D97*E97/91809*F97</f>
        <v>0</v>
      </c>
      <c r="H97" s="90">
        <f t="shared" ref="H97:H98" si="65">(D97/1000)*4*F97+(E97/1000)*4*F97</f>
        <v>0</v>
      </c>
      <c r="I97" s="91" t="str">
        <f>I88</f>
        <v>1동5라인</v>
      </c>
      <c r="J97" s="92" t="s">
        <v>219</v>
      </c>
      <c r="L97" s="89">
        <v>2</v>
      </c>
      <c r="M97" s="306">
        <f>M79</f>
        <v>0</v>
      </c>
      <c r="N97" s="84"/>
      <c r="O97" s="306">
        <f>L97*M97-N97*L97</f>
        <v>0</v>
      </c>
      <c r="P97" s="64"/>
    </row>
    <row r="98" spans="1:16" ht="18" hidden="1" customHeight="1">
      <c r="A98" s="85"/>
      <c r="B98" s="86"/>
      <c r="C98" s="87"/>
      <c r="D98" s="88">
        <v>250</v>
      </c>
      <c r="E98" s="88">
        <v>930</v>
      </c>
      <c r="F98" s="89">
        <f t="shared" si="63"/>
        <v>0</v>
      </c>
      <c r="G98" s="90">
        <f t="shared" si="64"/>
        <v>0</v>
      </c>
      <c r="H98" s="90">
        <f t="shared" si="65"/>
        <v>0</v>
      </c>
      <c r="I98" s="91" t="str">
        <f>I97</f>
        <v>1동5라인</v>
      </c>
      <c r="J98" s="92" t="s">
        <v>220</v>
      </c>
      <c r="L98" s="89">
        <v>2</v>
      </c>
      <c r="M98" s="306">
        <f>M97</f>
        <v>0</v>
      </c>
      <c r="N98" s="84"/>
      <c r="O98" s="306">
        <f t="shared" ref="O98" si="66">L98*M98-N98*L98</f>
        <v>0</v>
      </c>
    </row>
    <row r="99" spans="1:16" ht="18" hidden="1" customHeight="1">
      <c r="A99" s="85"/>
      <c r="B99" s="93"/>
      <c r="C99" s="87"/>
      <c r="D99" s="325" t="s">
        <v>0</v>
      </c>
      <c r="E99" s="325"/>
      <c r="F99" s="94">
        <f>SUM(F97:F98)</f>
        <v>0</v>
      </c>
      <c r="G99" s="95">
        <f>SUM(G97:G98)</f>
        <v>0</v>
      </c>
      <c r="H99" s="95">
        <f>SUM(H97:H98)</f>
        <v>0</v>
      </c>
      <c r="I99" s="97"/>
      <c r="J99" s="98"/>
    </row>
    <row r="100" spans="1:16" ht="18" hidden="1" customHeight="1" thickBot="1">
      <c r="A100" s="222"/>
      <c r="B100" s="245"/>
      <c r="C100" s="224"/>
      <c r="D100" s="246"/>
      <c r="E100" s="246"/>
      <c r="F100" s="226"/>
      <c r="G100" s="247"/>
      <c r="H100" s="247"/>
      <c r="I100" s="248"/>
      <c r="J100" s="249"/>
      <c r="L100" s="250"/>
      <c r="M100" s="250"/>
      <c r="N100" s="250"/>
      <c r="O100" s="250"/>
    </row>
    <row r="101" spans="1:16" ht="18" hidden="1" customHeight="1">
      <c r="A101" s="79" t="s">
        <v>242</v>
      </c>
      <c r="B101" s="231" t="s">
        <v>195</v>
      </c>
      <c r="C101" s="232">
        <v>22</v>
      </c>
      <c r="D101" s="80">
        <v>761</v>
      </c>
      <c r="E101" s="80">
        <v>1810</v>
      </c>
      <c r="F101" s="233">
        <f t="shared" ref="F101:F106" si="67">O101</f>
        <v>0</v>
      </c>
      <c r="G101" s="81">
        <f t="shared" ref="G101:G106" si="68">D101*E101/91809*F101</f>
        <v>0</v>
      </c>
      <c r="H101" s="81">
        <f t="shared" ref="H101:H106" si="69">(D101/1000)*4*F101+(E101/1000)*4*F101</f>
        <v>0</v>
      </c>
      <c r="I101" s="82" t="s">
        <v>243</v>
      </c>
      <c r="J101" s="83" t="s">
        <v>205</v>
      </c>
      <c r="L101" s="89">
        <v>2</v>
      </c>
      <c r="M101" s="306"/>
      <c r="N101" s="306"/>
      <c r="O101" s="306">
        <f t="shared" ref="O101:O106" si="70">L101*M101-N101*L101</f>
        <v>0</v>
      </c>
    </row>
    <row r="102" spans="1:16" ht="18" hidden="1" customHeight="1">
      <c r="A102" s="85"/>
      <c r="B102" s="86"/>
      <c r="C102" s="87"/>
      <c r="D102" s="88">
        <v>1688</v>
      </c>
      <c r="E102" s="88">
        <v>1810</v>
      </c>
      <c r="F102" s="89">
        <f t="shared" si="67"/>
        <v>0</v>
      </c>
      <c r="G102" s="90">
        <f t="shared" si="68"/>
        <v>0</v>
      </c>
      <c r="H102" s="90">
        <f t="shared" si="69"/>
        <v>0</v>
      </c>
      <c r="I102" s="91" t="str">
        <f>I101</f>
        <v>1동6라인</v>
      </c>
      <c r="J102" s="92" t="s">
        <v>206</v>
      </c>
      <c r="L102" s="89">
        <v>1</v>
      </c>
      <c r="M102" s="306">
        <f t="shared" ref="M102:M118" si="71">M101</f>
        <v>0</v>
      </c>
      <c r="N102" s="306"/>
      <c r="O102" s="306">
        <f t="shared" si="70"/>
        <v>0</v>
      </c>
    </row>
    <row r="103" spans="1:16" ht="18" hidden="1" customHeight="1">
      <c r="A103" s="85"/>
      <c r="B103" s="86"/>
      <c r="C103" s="87"/>
      <c r="D103" s="88">
        <v>738</v>
      </c>
      <c r="E103" s="88">
        <v>1310</v>
      </c>
      <c r="F103" s="89">
        <f t="shared" si="67"/>
        <v>0</v>
      </c>
      <c r="G103" s="90">
        <f t="shared" si="68"/>
        <v>0</v>
      </c>
      <c r="H103" s="90">
        <f t="shared" si="69"/>
        <v>0</v>
      </c>
      <c r="I103" s="91" t="str">
        <f t="shared" ref="I103:I106" si="72">I102</f>
        <v>1동6라인</v>
      </c>
      <c r="J103" s="92" t="s">
        <v>207</v>
      </c>
      <c r="L103" s="89">
        <v>4</v>
      </c>
      <c r="M103" s="306">
        <f t="shared" si="71"/>
        <v>0</v>
      </c>
      <c r="N103" s="306"/>
      <c r="O103" s="306">
        <f t="shared" si="70"/>
        <v>0</v>
      </c>
    </row>
    <row r="104" spans="1:16" ht="18" hidden="1" customHeight="1">
      <c r="A104" s="85"/>
      <c r="B104" s="86"/>
      <c r="C104" s="87"/>
      <c r="D104" s="88">
        <v>438</v>
      </c>
      <c r="E104" s="88">
        <v>910</v>
      </c>
      <c r="F104" s="89">
        <f t="shared" si="67"/>
        <v>0</v>
      </c>
      <c r="G104" s="90">
        <f t="shared" si="68"/>
        <v>0</v>
      </c>
      <c r="H104" s="90">
        <f t="shared" si="69"/>
        <v>0</v>
      </c>
      <c r="I104" s="91" t="str">
        <f t="shared" si="72"/>
        <v>1동6라인</v>
      </c>
      <c r="J104" s="92" t="s">
        <v>223</v>
      </c>
      <c r="L104" s="89">
        <v>2</v>
      </c>
      <c r="M104" s="306">
        <f t="shared" si="71"/>
        <v>0</v>
      </c>
      <c r="N104" s="306"/>
      <c r="O104" s="306">
        <f t="shared" si="70"/>
        <v>0</v>
      </c>
    </row>
    <row r="105" spans="1:16" ht="18" hidden="1" customHeight="1">
      <c r="A105" s="85"/>
      <c r="B105" s="86"/>
      <c r="C105" s="87"/>
      <c r="D105" s="88">
        <v>228</v>
      </c>
      <c r="E105" s="88">
        <v>910</v>
      </c>
      <c r="F105" s="89">
        <f t="shared" si="67"/>
        <v>0</v>
      </c>
      <c r="G105" s="90">
        <f t="shared" si="68"/>
        <v>0</v>
      </c>
      <c r="H105" s="90">
        <f t="shared" si="69"/>
        <v>0</v>
      </c>
      <c r="I105" s="91" t="str">
        <f t="shared" si="72"/>
        <v>1동6라인</v>
      </c>
      <c r="J105" s="92" t="s">
        <v>209</v>
      </c>
      <c r="L105" s="89">
        <v>2</v>
      </c>
      <c r="M105" s="306">
        <f t="shared" si="71"/>
        <v>0</v>
      </c>
      <c r="N105" s="306"/>
      <c r="O105" s="306">
        <f t="shared" si="70"/>
        <v>0</v>
      </c>
    </row>
    <row r="106" spans="1:16" ht="18" hidden="1" customHeight="1">
      <c r="A106" s="85"/>
      <c r="B106" s="86"/>
      <c r="C106" s="87"/>
      <c r="D106" s="88">
        <v>438</v>
      </c>
      <c r="E106" s="88">
        <v>270</v>
      </c>
      <c r="F106" s="89">
        <f t="shared" si="67"/>
        <v>0</v>
      </c>
      <c r="G106" s="90">
        <f t="shared" si="68"/>
        <v>0</v>
      </c>
      <c r="H106" s="90">
        <f t="shared" si="69"/>
        <v>0</v>
      </c>
      <c r="I106" s="91" t="str">
        <f t="shared" si="72"/>
        <v>1동6라인</v>
      </c>
      <c r="J106" s="92" t="s">
        <v>210</v>
      </c>
      <c r="L106" s="89">
        <v>2</v>
      </c>
      <c r="M106" s="306">
        <f t="shared" si="71"/>
        <v>0</v>
      </c>
      <c r="N106" s="306"/>
      <c r="O106" s="306">
        <f t="shared" si="70"/>
        <v>0</v>
      </c>
    </row>
    <row r="107" spans="1:16" ht="18" hidden="1" customHeight="1">
      <c r="A107" s="85"/>
      <c r="B107" s="93"/>
      <c r="C107" s="87"/>
      <c r="D107" s="325" t="s">
        <v>0</v>
      </c>
      <c r="E107" s="325"/>
      <c r="F107" s="94">
        <f>SUM(F101:F106)</f>
        <v>0</v>
      </c>
      <c r="G107" s="95">
        <f>SUM(G101:G106)</f>
        <v>0</v>
      </c>
      <c r="H107" s="96">
        <f>SUM(H101:H106)</f>
        <v>0</v>
      </c>
      <c r="I107" s="97"/>
      <c r="J107" s="162"/>
      <c r="L107" s="250"/>
      <c r="M107" s="250"/>
      <c r="N107" s="250"/>
      <c r="O107" s="250"/>
    </row>
    <row r="108" spans="1:16" ht="18" hidden="1" customHeight="1">
      <c r="A108" s="85"/>
      <c r="B108" s="93"/>
      <c r="C108" s="87"/>
      <c r="D108" s="161"/>
      <c r="E108" s="161"/>
      <c r="F108" s="89"/>
      <c r="G108" s="100"/>
      <c r="H108" s="101"/>
      <c r="I108" s="102"/>
      <c r="J108" s="121"/>
      <c r="L108" s="250"/>
      <c r="M108" s="250"/>
      <c r="N108" s="250"/>
      <c r="O108" s="250"/>
    </row>
    <row r="109" spans="1:16" ht="18" hidden="1" customHeight="1">
      <c r="A109" s="85"/>
      <c r="B109" s="23" t="s">
        <v>197</v>
      </c>
      <c r="C109" s="24">
        <v>22</v>
      </c>
      <c r="D109" s="88">
        <v>761</v>
      </c>
      <c r="E109" s="88">
        <v>1810</v>
      </c>
      <c r="F109" s="89">
        <f t="shared" ref="F109:F114" si="73">O109</f>
        <v>0</v>
      </c>
      <c r="G109" s="90">
        <f t="shared" ref="G109:G114" si="74">D109*E109/91809*F109</f>
        <v>0</v>
      </c>
      <c r="H109" s="90">
        <f t="shared" ref="H109:H114" si="75">(D109/1000)*4*F109+(E109/1000)*4*F109</f>
        <v>0</v>
      </c>
      <c r="I109" s="91" t="str">
        <f>I101</f>
        <v>1동6라인</v>
      </c>
      <c r="J109" s="92" t="s">
        <v>212</v>
      </c>
      <c r="L109" s="89">
        <v>2</v>
      </c>
      <c r="M109" s="306">
        <f>M106</f>
        <v>0</v>
      </c>
      <c r="N109" s="306"/>
      <c r="O109" s="306">
        <f t="shared" ref="O109:O118" si="76">L109*M109-N109*L109</f>
        <v>0</v>
      </c>
    </row>
    <row r="110" spans="1:16" ht="18" hidden="1" customHeight="1">
      <c r="A110" s="85"/>
      <c r="B110" s="86"/>
      <c r="C110" s="87"/>
      <c r="D110" s="88">
        <v>1688</v>
      </c>
      <c r="E110" s="88">
        <v>1810</v>
      </c>
      <c r="F110" s="89">
        <f t="shared" si="73"/>
        <v>0</v>
      </c>
      <c r="G110" s="90">
        <f t="shared" si="74"/>
        <v>0</v>
      </c>
      <c r="H110" s="90">
        <f t="shared" si="75"/>
        <v>0</v>
      </c>
      <c r="I110" s="91" t="str">
        <f>I101</f>
        <v>1동6라인</v>
      </c>
      <c r="J110" s="92" t="s">
        <v>213</v>
      </c>
      <c r="L110" s="89">
        <v>1</v>
      </c>
      <c r="M110" s="306">
        <f t="shared" si="71"/>
        <v>0</v>
      </c>
      <c r="N110" s="306"/>
      <c r="O110" s="306">
        <f t="shared" si="76"/>
        <v>0</v>
      </c>
    </row>
    <row r="111" spans="1:16" hidden="1">
      <c r="A111" s="104"/>
      <c r="B111" s="93"/>
      <c r="C111" s="87"/>
      <c r="D111" s="88">
        <v>738</v>
      </c>
      <c r="E111" s="88">
        <v>1310</v>
      </c>
      <c r="F111" s="89">
        <f t="shared" si="73"/>
        <v>0</v>
      </c>
      <c r="G111" s="90">
        <f t="shared" si="74"/>
        <v>0</v>
      </c>
      <c r="H111" s="90">
        <f t="shared" si="75"/>
        <v>0</v>
      </c>
      <c r="I111" s="91" t="str">
        <f>I110</f>
        <v>1동6라인</v>
      </c>
      <c r="J111" s="92" t="s">
        <v>214</v>
      </c>
      <c r="L111" s="89">
        <v>4</v>
      </c>
      <c r="M111" s="306">
        <f t="shared" si="71"/>
        <v>0</v>
      </c>
      <c r="N111" s="306"/>
      <c r="O111" s="306">
        <f t="shared" si="76"/>
        <v>0</v>
      </c>
    </row>
    <row r="112" spans="1:16" ht="18" hidden="1" customHeight="1">
      <c r="A112" s="104"/>
      <c r="B112" s="93"/>
      <c r="C112" s="87"/>
      <c r="D112" s="88">
        <v>438</v>
      </c>
      <c r="E112" s="88">
        <v>910</v>
      </c>
      <c r="F112" s="89">
        <f t="shared" si="73"/>
        <v>0</v>
      </c>
      <c r="G112" s="90">
        <f t="shared" si="74"/>
        <v>0</v>
      </c>
      <c r="H112" s="90">
        <f t="shared" si="75"/>
        <v>0</v>
      </c>
      <c r="I112" s="91" t="str">
        <f t="shared" ref="I112:I114" si="77">I111</f>
        <v>1동6라인</v>
      </c>
      <c r="J112" s="92" t="s">
        <v>225</v>
      </c>
      <c r="L112" s="89">
        <v>2</v>
      </c>
      <c r="M112" s="306">
        <f t="shared" si="71"/>
        <v>0</v>
      </c>
      <c r="N112" s="306"/>
      <c r="O112" s="306">
        <f t="shared" si="76"/>
        <v>0</v>
      </c>
      <c r="P112" s="64"/>
    </row>
    <row r="113" spans="1:16" ht="18" hidden="1" customHeight="1">
      <c r="A113" s="104"/>
      <c r="B113" s="93"/>
      <c r="C113" s="87"/>
      <c r="D113" s="88">
        <v>228</v>
      </c>
      <c r="E113" s="88">
        <v>910</v>
      </c>
      <c r="F113" s="89">
        <f t="shared" si="73"/>
        <v>0</v>
      </c>
      <c r="G113" s="90">
        <f t="shared" si="74"/>
        <v>0</v>
      </c>
      <c r="H113" s="90">
        <f t="shared" si="75"/>
        <v>0</v>
      </c>
      <c r="I113" s="91" t="str">
        <f t="shared" si="77"/>
        <v>1동6라인</v>
      </c>
      <c r="J113" s="92" t="s">
        <v>216</v>
      </c>
      <c r="L113" s="89">
        <v>2</v>
      </c>
      <c r="M113" s="306">
        <f t="shared" si="71"/>
        <v>0</v>
      </c>
      <c r="N113" s="306"/>
      <c r="O113" s="306">
        <f t="shared" si="76"/>
        <v>0</v>
      </c>
    </row>
    <row r="114" spans="1:16" ht="18" hidden="1" customHeight="1">
      <c r="A114" s="104"/>
      <c r="B114" s="93"/>
      <c r="C114" s="87"/>
      <c r="D114" s="88">
        <v>438</v>
      </c>
      <c r="E114" s="88">
        <v>270</v>
      </c>
      <c r="F114" s="89">
        <f t="shared" si="73"/>
        <v>0</v>
      </c>
      <c r="G114" s="90">
        <f t="shared" si="74"/>
        <v>0</v>
      </c>
      <c r="H114" s="90">
        <f t="shared" si="75"/>
        <v>0</v>
      </c>
      <c r="I114" s="91" t="str">
        <f t="shared" si="77"/>
        <v>1동6라인</v>
      </c>
      <c r="J114" s="92" t="s">
        <v>217</v>
      </c>
      <c r="L114" s="89">
        <v>2</v>
      </c>
      <c r="M114" s="306">
        <f t="shared" si="71"/>
        <v>0</v>
      </c>
      <c r="N114" s="306"/>
      <c r="O114" s="306">
        <f t="shared" si="76"/>
        <v>0</v>
      </c>
    </row>
    <row r="115" spans="1:16" hidden="1">
      <c r="A115" s="104"/>
      <c r="B115" s="87"/>
      <c r="C115" s="87"/>
      <c r="D115" s="325" t="s">
        <v>0</v>
      </c>
      <c r="E115" s="325"/>
      <c r="F115" s="171">
        <f>SUM(F109:F114)</f>
        <v>0</v>
      </c>
      <c r="G115" s="95">
        <f>SUM(G109:G114)</f>
        <v>0</v>
      </c>
      <c r="H115" s="95">
        <f>SUM(H109:H114)</f>
        <v>0</v>
      </c>
      <c r="I115" s="97"/>
      <c r="J115" s="98"/>
      <c r="L115" s="250"/>
      <c r="M115" s="250"/>
      <c r="N115" s="250"/>
      <c r="O115" s="250"/>
    </row>
    <row r="116" spans="1:16" hidden="1">
      <c r="A116" s="105"/>
      <c r="B116" s="9"/>
      <c r="C116" s="9"/>
      <c r="D116" s="51"/>
      <c r="E116" s="51"/>
      <c r="F116" s="51"/>
      <c r="G116" s="106"/>
      <c r="H116" s="106"/>
      <c r="I116" s="9"/>
      <c r="J116" s="107"/>
      <c r="L116" s="250"/>
      <c r="M116" s="250"/>
      <c r="N116" s="250"/>
      <c r="O116" s="250"/>
    </row>
    <row r="117" spans="1:16" ht="18" hidden="1" customHeight="1">
      <c r="A117" s="85"/>
      <c r="B117" s="163" t="s">
        <v>199</v>
      </c>
      <c r="C117" s="163">
        <v>22</v>
      </c>
      <c r="D117" s="88">
        <v>738</v>
      </c>
      <c r="E117" s="88">
        <v>1810</v>
      </c>
      <c r="F117" s="89">
        <f t="shared" ref="F117:F118" si="78">O117</f>
        <v>0</v>
      </c>
      <c r="G117" s="90">
        <f t="shared" ref="G117:G119" si="79">D117*E117/91809*F117</f>
        <v>0</v>
      </c>
      <c r="H117" s="90">
        <f t="shared" ref="H117:H119" si="80">(D117/1000)*4*F117+(E117/1000)*4*F117</f>
        <v>0</v>
      </c>
      <c r="I117" s="91" t="str">
        <f>I109</f>
        <v>1동6라인</v>
      </c>
      <c r="J117" s="92" t="s">
        <v>219</v>
      </c>
      <c r="L117" s="89">
        <v>2</v>
      </c>
      <c r="M117" s="306">
        <f>M114</f>
        <v>0</v>
      </c>
      <c r="N117" s="84"/>
      <c r="O117" s="306">
        <f t="shared" si="76"/>
        <v>0</v>
      </c>
      <c r="P117" s="64" t="s">
        <v>245</v>
      </c>
    </row>
    <row r="118" spans="1:16" ht="18" hidden="1" customHeight="1">
      <c r="A118" s="85"/>
      <c r="B118" s="86"/>
      <c r="C118" s="87"/>
      <c r="D118" s="88">
        <v>250</v>
      </c>
      <c r="E118" s="88">
        <v>930</v>
      </c>
      <c r="F118" s="89">
        <f t="shared" si="78"/>
        <v>0</v>
      </c>
      <c r="G118" s="90">
        <f t="shared" si="79"/>
        <v>0</v>
      </c>
      <c r="H118" s="90">
        <f t="shared" si="80"/>
        <v>0</v>
      </c>
      <c r="I118" s="91" t="str">
        <f>I117</f>
        <v>1동6라인</v>
      </c>
      <c r="J118" s="92" t="s">
        <v>220</v>
      </c>
      <c r="L118" s="89">
        <v>2</v>
      </c>
      <c r="M118" s="306">
        <f t="shared" si="71"/>
        <v>0</v>
      </c>
      <c r="N118" s="306"/>
      <c r="O118" s="306">
        <f t="shared" si="76"/>
        <v>0</v>
      </c>
    </row>
    <row r="119" spans="1:16" ht="18" hidden="1" customHeight="1">
      <c r="A119" s="85"/>
      <c r="B119" s="86"/>
      <c r="C119" s="87"/>
      <c r="D119" s="88"/>
      <c r="E119" s="88"/>
      <c r="F119" s="89"/>
      <c r="G119" s="90">
        <f t="shared" si="79"/>
        <v>0</v>
      </c>
      <c r="H119" s="90">
        <f t="shared" si="80"/>
        <v>0</v>
      </c>
      <c r="I119" s="91"/>
      <c r="J119" s="92"/>
      <c r="L119" s="250"/>
      <c r="M119" s="250"/>
      <c r="N119" s="250"/>
      <c r="O119" s="250"/>
    </row>
    <row r="120" spans="1:16" ht="18" hidden="1" customHeight="1">
      <c r="A120" s="85"/>
      <c r="B120" s="93"/>
      <c r="C120" s="87"/>
      <c r="D120" s="325" t="s">
        <v>0</v>
      </c>
      <c r="E120" s="325"/>
      <c r="F120" s="94">
        <f>SUM(F117:F119)</f>
        <v>0</v>
      </c>
      <c r="G120" s="95">
        <f>SUM(G117:G119)</f>
        <v>0</v>
      </c>
      <c r="H120" s="95">
        <f>SUM(H117:H119)</f>
        <v>0</v>
      </c>
      <c r="I120" s="97"/>
      <c r="J120" s="98"/>
      <c r="L120" s="250"/>
      <c r="M120" s="250"/>
      <c r="N120" s="250"/>
      <c r="O120" s="250"/>
    </row>
    <row r="121" spans="1:16" ht="18" hidden="1" customHeight="1">
      <c r="A121" s="253"/>
      <c r="B121" s="254"/>
      <c r="C121" s="255"/>
      <c r="D121" s="361"/>
      <c r="E121" s="361"/>
      <c r="F121" s="256"/>
      <c r="G121" s="257"/>
      <c r="H121" s="258"/>
      <c r="I121" s="259"/>
      <c r="J121" s="260"/>
      <c r="L121" s="250"/>
      <c r="M121" s="250"/>
      <c r="N121" s="250"/>
      <c r="O121" s="250"/>
    </row>
    <row r="122" spans="1:16" ht="18" customHeight="1">
      <c r="A122" s="85">
        <v>74</v>
      </c>
      <c r="B122" s="23" t="s">
        <v>196</v>
      </c>
      <c r="C122" s="24">
        <v>22</v>
      </c>
      <c r="D122" s="88">
        <v>861</v>
      </c>
      <c r="E122" s="88">
        <v>1810</v>
      </c>
      <c r="F122" s="89">
        <f t="shared" ref="F122:F126" si="81">O122</f>
        <v>10</v>
      </c>
      <c r="G122" s="90">
        <f t="shared" ref="G122:G126" si="82">D122*E122/91809*F122</f>
        <v>169.7447962618044</v>
      </c>
      <c r="H122" s="90">
        <f t="shared" ref="H122:H126" si="83">(D122/1000)*4*F122+(E122/1000)*4*F122</f>
        <v>106.84</v>
      </c>
      <c r="I122" s="91" t="s">
        <v>246</v>
      </c>
      <c r="J122" s="92" t="s">
        <v>205</v>
      </c>
      <c r="L122" s="89">
        <v>1</v>
      </c>
      <c r="M122" s="306">
        <v>10</v>
      </c>
      <c r="N122" s="84"/>
      <c r="O122" s="306">
        <f>L122*M122-N122*L122</f>
        <v>10</v>
      </c>
      <c r="P122" s="64"/>
    </row>
    <row r="123" spans="1:16" ht="18" customHeight="1">
      <c r="A123" s="85"/>
      <c r="B123" s="86"/>
      <c r="C123" s="87"/>
      <c r="D123" s="88">
        <v>738</v>
      </c>
      <c r="E123" s="88">
        <v>1310</v>
      </c>
      <c r="F123" s="89">
        <f t="shared" si="81"/>
        <v>40</v>
      </c>
      <c r="G123" s="90">
        <f t="shared" si="82"/>
        <v>421.2136065091658</v>
      </c>
      <c r="H123" s="90">
        <f t="shared" si="83"/>
        <v>327.68</v>
      </c>
      <c r="I123" s="91" t="str">
        <f>I122</f>
        <v>2동1,2라인</v>
      </c>
      <c r="J123" s="92" t="s">
        <v>207</v>
      </c>
      <c r="L123" s="89">
        <v>4</v>
      </c>
      <c r="M123" s="306">
        <f>M122</f>
        <v>10</v>
      </c>
      <c r="N123" s="84"/>
      <c r="O123" s="306">
        <f t="shared" ref="O123:O126" si="84">L123*M123-N123*L123</f>
        <v>40</v>
      </c>
    </row>
    <row r="124" spans="1:16" ht="18" customHeight="1">
      <c r="A124" s="85"/>
      <c r="B124" s="86"/>
      <c r="C124" s="87"/>
      <c r="D124" s="88">
        <v>288</v>
      </c>
      <c r="E124" s="88">
        <v>910</v>
      </c>
      <c r="F124" s="89">
        <f t="shared" si="81"/>
        <v>20</v>
      </c>
      <c r="G124" s="90">
        <f t="shared" si="82"/>
        <v>57.09244191745907</v>
      </c>
      <c r="H124" s="90">
        <f t="shared" si="83"/>
        <v>95.84</v>
      </c>
      <c r="I124" s="91" t="str">
        <f t="shared" ref="I124:I125" si="85">I123</f>
        <v>2동1,2라인</v>
      </c>
      <c r="J124" s="92" t="s">
        <v>208</v>
      </c>
      <c r="L124" s="89">
        <v>2</v>
      </c>
      <c r="M124" s="306">
        <f t="shared" ref="M124" si="86">M123</f>
        <v>10</v>
      </c>
      <c r="N124" s="306"/>
      <c r="O124" s="306">
        <f t="shared" si="84"/>
        <v>20</v>
      </c>
    </row>
    <row r="125" spans="1:16" ht="18" customHeight="1">
      <c r="A125" s="85"/>
      <c r="B125" s="86"/>
      <c r="C125" s="87"/>
      <c r="D125" s="88">
        <v>228</v>
      </c>
      <c r="E125" s="88">
        <v>910</v>
      </c>
      <c r="F125" s="89">
        <f t="shared" si="81"/>
        <v>20</v>
      </c>
      <c r="G125" s="90">
        <f t="shared" si="82"/>
        <v>45.1981831846551</v>
      </c>
      <c r="H125" s="90">
        <f t="shared" si="83"/>
        <v>91.039999999999992</v>
      </c>
      <c r="I125" s="91" t="str">
        <f t="shared" si="85"/>
        <v>2동1,2라인</v>
      </c>
      <c r="J125" s="92" t="s">
        <v>209</v>
      </c>
      <c r="L125" s="89">
        <v>2</v>
      </c>
      <c r="M125" s="306">
        <f>M124</f>
        <v>10</v>
      </c>
      <c r="N125" s="306"/>
      <c r="O125" s="306">
        <f t="shared" si="84"/>
        <v>20</v>
      </c>
    </row>
    <row r="126" spans="1:16" ht="18" customHeight="1">
      <c r="A126" s="85"/>
      <c r="B126" s="86"/>
      <c r="C126" s="87"/>
      <c r="D126" s="88">
        <v>438</v>
      </c>
      <c r="E126" s="88">
        <v>270</v>
      </c>
      <c r="F126" s="89">
        <f t="shared" si="81"/>
        <v>20</v>
      </c>
      <c r="G126" s="90">
        <f t="shared" si="82"/>
        <v>25.762180178413882</v>
      </c>
      <c r="H126" s="90">
        <f t="shared" si="83"/>
        <v>56.64</v>
      </c>
      <c r="I126" s="91" t="str">
        <f>I124</f>
        <v>2동1,2라인</v>
      </c>
      <c r="J126" s="92" t="s">
        <v>210</v>
      </c>
      <c r="L126" s="89">
        <v>2</v>
      </c>
      <c r="M126" s="306">
        <f>M124</f>
        <v>10</v>
      </c>
      <c r="N126" s="306"/>
      <c r="O126" s="306">
        <f t="shared" si="84"/>
        <v>20</v>
      </c>
    </row>
    <row r="127" spans="1:16" ht="18" customHeight="1">
      <c r="A127" s="85"/>
      <c r="B127" s="93"/>
      <c r="C127" s="87"/>
      <c r="D127" s="325" t="s">
        <v>0</v>
      </c>
      <c r="E127" s="325"/>
      <c r="F127" s="94">
        <f>SUM(F122:F126)</f>
        <v>110</v>
      </c>
      <c r="G127" s="95">
        <f>SUM(G122:G126)</f>
        <v>719.01120805149833</v>
      </c>
      <c r="H127" s="96">
        <f>SUM(H122:H126)</f>
        <v>678.04</v>
      </c>
      <c r="I127" s="97"/>
      <c r="J127" s="162"/>
    </row>
    <row r="128" spans="1:16" ht="18" customHeight="1">
      <c r="A128" s="85"/>
      <c r="B128" s="93"/>
      <c r="C128" s="87"/>
      <c r="D128" s="161"/>
      <c r="E128" s="161"/>
      <c r="F128" s="89"/>
      <c r="G128" s="100"/>
      <c r="H128" s="101"/>
      <c r="I128" s="102"/>
      <c r="J128" s="121"/>
      <c r="L128" s="252"/>
      <c r="M128" s="252"/>
      <c r="N128" s="252"/>
      <c r="O128" s="252"/>
    </row>
    <row r="129" spans="1:16" ht="18" customHeight="1">
      <c r="A129" s="85"/>
      <c r="B129" s="23" t="s">
        <v>198</v>
      </c>
      <c r="C129" s="24">
        <v>22</v>
      </c>
      <c r="D129" s="88">
        <v>861</v>
      </c>
      <c r="E129" s="88">
        <v>1810</v>
      </c>
      <c r="F129" s="89">
        <f t="shared" ref="F129:F134" si="87">O129</f>
        <v>10</v>
      </c>
      <c r="G129" s="90">
        <f t="shared" ref="G129:G134" si="88">D129*E129/91809*F129</f>
        <v>169.7447962618044</v>
      </c>
      <c r="H129" s="90">
        <f t="shared" ref="H129:H134" si="89">(D129/1000)*4*F129+(E129/1000)*4*F129</f>
        <v>106.84</v>
      </c>
      <c r="I129" s="91" t="str">
        <f>I122</f>
        <v>2동1,2라인</v>
      </c>
      <c r="J129" s="92" t="s">
        <v>212</v>
      </c>
      <c r="L129" s="89">
        <v>1</v>
      </c>
      <c r="M129" s="306">
        <f>M122</f>
        <v>10</v>
      </c>
      <c r="N129" s="84"/>
      <c r="O129" s="306">
        <f>L129*M129-N129*L129</f>
        <v>10</v>
      </c>
    </row>
    <row r="130" spans="1:16" ht="18" customHeight="1">
      <c r="A130" s="85"/>
      <c r="B130" s="86"/>
      <c r="C130" s="87"/>
      <c r="D130" s="88">
        <v>2114</v>
      </c>
      <c r="E130" s="88">
        <v>1810</v>
      </c>
      <c r="F130" s="89">
        <f t="shared" si="87"/>
        <v>10</v>
      </c>
      <c r="G130" s="90">
        <f t="shared" si="88"/>
        <v>416.77177618751978</v>
      </c>
      <c r="H130" s="90">
        <f t="shared" si="89"/>
        <v>156.96</v>
      </c>
      <c r="I130" s="91" t="str">
        <f>I122</f>
        <v>2동1,2라인</v>
      </c>
      <c r="J130" s="92" t="s">
        <v>213</v>
      </c>
      <c r="L130" s="89">
        <v>1</v>
      </c>
      <c r="M130" s="306">
        <f>M129</f>
        <v>10</v>
      </c>
      <c r="N130" s="84"/>
      <c r="O130" s="306">
        <f>L130*M130-N130*L130</f>
        <v>10</v>
      </c>
    </row>
    <row r="131" spans="1:16" ht="18" customHeight="1">
      <c r="A131" s="104"/>
      <c r="B131" s="93"/>
      <c r="C131" s="87"/>
      <c r="D131" s="88">
        <v>738</v>
      </c>
      <c r="E131" s="88">
        <v>1310</v>
      </c>
      <c r="F131" s="89">
        <f t="shared" si="87"/>
        <v>40</v>
      </c>
      <c r="G131" s="90">
        <f t="shared" si="88"/>
        <v>421.2136065091658</v>
      </c>
      <c r="H131" s="90">
        <f t="shared" si="89"/>
        <v>327.68</v>
      </c>
      <c r="I131" s="91" t="str">
        <f>I130</f>
        <v>2동1,2라인</v>
      </c>
      <c r="J131" s="92" t="s">
        <v>214</v>
      </c>
      <c r="L131" s="89">
        <v>4</v>
      </c>
      <c r="M131" s="306">
        <f t="shared" ref="M131:M134" si="90">M130</f>
        <v>10</v>
      </c>
      <c r="N131" s="84"/>
      <c r="O131" s="306">
        <f t="shared" ref="O131:O134" si="91">L131*M131-N131*L131</f>
        <v>40</v>
      </c>
    </row>
    <row r="132" spans="1:16" ht="18" customHeight="1">
      <c r="A132" s="104"/>
      <c r="B132" s="93"/>
      <c r="C132" s="87"/>
      <c r="D132" s="88">
        <v>288</v>
      </c>
      <c r="E132" s="88">
        <v>910</v>
      </c>
      <c r="F132" s="89">
        <f t="shared" si="87"/>
        <v>20</v>
      </c>
      <c r="G132" s="90">
        <f t="shared" si="88"/>
        <v>57.09244191745907</v>
      </c>
      <c r="H132" s="90">
        <f t="shared" si="89"/>
        <v>95.84</v>
      </c>
      <c r="I132" s="91" t="str">
        <f>I131</f>
        <v>2동1,2라인</v>
      </c>
      <c r="J132" s="92" t="s">
        <v>215</v>
      </c>
      <c r="L132" s="89">
        <v>2</v>
      </c>
      <c r="M132" s="306">
        <f>M131</f>
        <v>10</v>
      </c>
      <c r="N132" s="84"/>
      <c r="O132" s="306">
        <f t="shared" si="91"/>
        <v>20</v>
      </c>
    </row>
    <row r="133" spans="1:16" ht="18" customHeight="1">
      <c r="A133" s="104"/>
      <c r="B133" s="93"/>
      <c r="C133" s="87"/>
      <c r="D133" s="88">
        <v>228</v>
      </c>
      <c r="E133" s="88">
        <v>910</v>
      </c>
      <c r="F133" s="89">
        <f t="shared" si="87"/>
        <v>20</v>
      </c>
      <c r="G133" s="90">
        <f t="shared" si="88"/>
        <v>45.1981831846551</v>
      </c>
      <c r="H133" s="90">
        <f t="shared" si="89"/>
        <v>91.039999999999992</v>
      </c>
      <c r="I133" s="91" t="str">
        <f>I131</f>
        <v>2동1,2라인</v>
      </c>
      <c r="J133" s="92" t="s">
        <v>216</v>
      </c>
      <c r="L133" s="89">
        <v>2</v>
      </c>
      <c r="M133" s="306">
        <f>M131</f>
        <v>10</v>
      </c>
      <c r="N133" s="306"/>
      <c r="O133" s="306">
        <f t="shared" si="91"/>
        <v>20</v>
      </c>
    </row>
    <row r="134" spans="1:16" ht="18" customHeight="1">
      <c r="A134" s="104"/>
      <c r="B134" s="93"/>
      <c r="C134" s="87"/>
      <c r="D134" s="88">
        <v>438</v>
      </c>
      <c r="E134" s="88">
        <v>270</v>
      </c>
      <c r="F134" s="89">
        <f t="shared" si="87"/>
        <v>20</v>
      </c>
      <c r="G134" s="90">
        <f t="shared" si="88"/>
        <v>25.762180178413882</v>
      </c>
      <c r="H134" s="90">
        <f t="shared" si="89"/>
        <v>56.64</v>
      </c>
      <c r="I134" s="91" t="str">
        <f t="shared" ref="I134" si="92">I133</f>
        <v>2동1,2라인</v>
      </c>
      <c r="J134" s="92" t="s">
        <v>217</v>
      </c>
      <c r="L134" s="89">
        <v>2</v>
      </c>
      <c r="M134" s="306">
        <f t="shared" si="90"/>
        <v>10</v>
      </c>
      <c r="N134" s="306"/>
      <c r="O134" s="306">
        <f t="shared" si="91"/>
        <v>20</v>
      </c>
    </row>
    <row r="135" spans="1:16" ht="18" customHeight="1">
      <c r="A135" s="104"/>
      <c r="B135" s="87"/>
      <c r="C135" s="87"/>
      <c r="D135" s="325" t="s">
        <v>0</v>
      </c>
      <c r="E135" s="325"/>
      <c r="F135" s="171">
        <f>SUM(F129:F134)</f>
        <v>120</v>
      </c>
      <c r="G135" s="95">
        <f>SUM(G129:G134)</f>
        <v>1135.7829842390181</v>
      </c>
      <c r="H135" s="95">
        <f>SUM(H129:H134)</f>
        <v>835</v>
      </c>
      <c r="I135" s="97"/>
      <c r="J135" s="98"/>
    </row>
    <row r="136" spans="1:16">
      <c r="A136" s="105"/>
      <c r="B136" s="9"/>
      <c r="C136" s="9"/>
      <c r="D136" s="51"/>
      <c r="E136" s="51"/>
      <c r="F136" s="51"/>
      <c r="G136" s="106"/>
      <c r="H136" s="106"/>
      <c r="I136" s="9"/>
      <c r="J136" s="107"/>
    </row>
    <row r="137" spans="1:16" ht="18" customHeight="1">
      <c r="A137" s="85"/>
      <c r="B137" s="23" t="s">
        <v>237</v>
      </c>
      <c r="C137" s="24">
        <v>22</v>
      </c>
      <c r="D137" s="88">
        <v>2114</v>
      </c>
      <c r="E137" s="88">
        <v>1810</v>
      </c>
      <c r="F137" s="89">
        <f t="shared" ref="F137" si="93">O137</f>
        <v>10</v>
      </c>
      <c r="G137" s="90">
        <f t="shared" ref="G137" si="94">D137*E137/91809*F137</f>
        <v>416.77177618751978</v>
      </c>
      <c r="H137" s="90">
        <f t="shared" ref="H137" si="95">(D137/1000)*4*F137+(E137/1000)*4*F137</f>
        <v>156.96</v>
      </c>
      <c r="I137" s="91" t="str">
        <f>I129</f>
        <v>2동1,2라인</v>
      </c>
      <c r="J137" s="92" t="s">
        <v>206</v>
      </c>
      <c r="L137" s="89">
        <v>1</v>
      </c>
      <c r="M137" s="306">
        <f>M122</f>
        <v>10</v>
      </c>
      <c r="N137" s="84"/>
      <c r="O137" s="306">
        <f>L137*M137-N137*L137</f>
        <v>10</v>
      </c>
    </row>
    <row r="138" spans="1:16" ht="18" customHeight="1">
      <c r="A138" s="85"/>
      <c r="B138" s="93"/>
      <c r="C138" s="87"/>
      <c r="D138" s="325" t="s">
        <v>0</v>
      </c>
      <c r="E138" s="325"/>
      <c r="F138" s="94">
        <f>SUM(F137:F137)</f>
        <v>10</v>
      </c>
      <c r="G138" s="95">
        <f>SUM(G137:G137)</f>
        <v>416.77177618751978</v>
      </c>
      <c r="H138" s="95">
        <f>SUM(H137:H137)</f>
        <v>156.96</v>
      </c>
      <c r="I138" s="97"/>
      <c r="J138" s="98"/>
    </row>
    <row r="139" spans="1:16" ht="18" customHeight="1">
      <c r="A139" s="218"/>
      <c r="B139" s="219"/>
      <c r="C139" s="220"/>
      <c r="D139" s="161"/>
      <c r="E139" s="161"/>
      <c r="F139" s="89"/>
      <c r="G139" s="100"/>
      <c r="H139" s="100"/>
      <c r="I139" s="102"/>
      <c r="J139" s="221"/>
    </row>
    <row r="140" spans="1:16" ht="18" customHeight="1">
      <c r="A140" s="85"/>
      <c r="B140" s="23" t="s">
        <v>200</v>
      </c>
      <c r="C140" s="24">
        <v>22</v>
      </c>
      <c r="D140" s="88">
        <v>638</v>
      </c>
      <c r="E140" s="88">
        <v>1810</v>
      </c>
      <c r="F140" s="89">
        <f t="shared" ref="F140:F141" si="96">O140</f>
        <v>10</v>
      </c>
      <c r="G140" s="90">
        <f t="shared" ref="G140:G141" si="97">D140*E140/91809*F140</f>
        <v>125.78069688156936</v>
      </c>
      <c r="H140" s="90">
        <f t="shared" ref="H140:H141" si="98">(D140/1000)*4*F140+(E140/1000)*4*F140</f>
        <v>97.92</v>
      </c>
      <c r="I140" s="91" t="str">
        <f>I137</f>
        <v>2동1,2라인</v>
      </c>
      <c r="J140" s="92" t="s">
        <v>219</v>
      </c>
      <c r="L140" s="89">
        <v>2</v>
      </c>
      <c r="M140" s="306">
        <f>M137</f>
        <v>10</v>
      </c>
      <c r="N140" s="84">
        <v>5</v>
      </c>
      <c r="O140" s="306">
        <f>L140*M140-N140*L140</f>
        <v>10</v>
      </c>
      <c r="P140" s="64" t="s">
        <v>247</v>
      </c>
    </row>
    <row r="141" spans="1:16" ht="18" customHeight="1">
      <c r="A141" s="85"/>
      <c r="B141" s="86"/>
      <c r="C141" s="87"/>
      <c r="D141" s="88">
        <v>250</v>
      </c>
      <c r="E141" s="88">
        <v>930</v>
      </c>
      <c r="F141" s="89">
        <f t="shared" si="96"/>
        <v>20</v>
      </c>
      <c r="G141" s="90">
        <f t="shared" si="97"/>
        <v>50.648629219357574</v>
      </c>
      <c r="H141" s="90">
        <f t="shared" si="98"/>
        <v>94.4</v>
      </c>
      <c r="I141" s="91" t="str">
        <f>I140</f>
        <v>2동1,2라인</v>
      </c>
      <c r="J141" s="92" t="s">
        <v>220</v>
      </c>
      <c r="L141" s="89">
        <v>2</v>
      </c>
      <c r="M141" s="306">
        <f>M140</f>
        <v>10</v>
      </c>
      <c r="N141" s="84"/>
      <c r="O141" s="306">
        <f t="shared" ref="O141" si="99">L141*M141-N141*L141</f>
        <v>20</v>
      </c>
    </row>
    <row r="142" spans="1:16" ht="18" customHeight="1">
      <c r="A142" s="85"/>
      <c r="B142" s="93"/>
      <c r="C142" s="87"/>
      <c r="D142" s="325" t="s">
        <v>0</v>
      </c>
      <c r="E142" s="325"/>
      <c r="F142" s="94">
        <f>SUM(F140:F141)</f>
        <v>30</v>
      </c>
      <c r="G142" s="95">
        <f>SUM(G140:G141)</f>
        <v>176.42932610092691</v>
      </c>
      <c r="H142" s="96">
        <f>SUM(H140:H141)</f>
        <v>192.32</v>
      </c>
      <c r="I142" s="97"/>
      <c r="J142" s="162"/>
    </row>
    <row r="143" spans="1:16">
      <c r="A143" s="16"/>
      <c r="B143" s="16"/>
      <c r="C143" s="16"/>
      <c r="D143" s="261"/>
      <c r="E143" s="261"/>
      <c r="F143" s="261"/>
      <c r="G143" s="19"/>
      <c r="H143" s="19"/>
      <c r="I143" s="16"/>
      <c r="J143" s="16"/>
    </row>
    <row r="144" spans="1:16" ht="18" customHeight="1">
      <c r="A144" s="85" t="s">
        <v>235</v>
      </c>
      <c r="B144" s="23" t="s">
        <v>196</v>
      </c>
      <c r="C144" s="24">
        <v>22</v>
      </c>
      <c r="D144" s="88">
        <v>861</v>
      </c>
      <c r="E144" s="88">
        <v>1810</v>
      </c>
      <c r="F144" s="89">
        <f t="shared" ref="F144:F147" si="100">O144</f>
        <v>5</v>
      </c>
      <c r="G144" s="90">
        <f t="shared" ref="G144:G147" si="101">D144*E144/91809*F144</f>
        <v>84.872398130902198</v>
      </c>
      <c r="H144" s="90">
        <f t="shared" ref="H144:H147" si="102">(D144/1000)*4*F144+(E144/1000)*4*F144</f>
        <v>53.42</v>
      </c>
      <c r="I144" s="91" t="s">
        <v>248</v>
      </c>
      <c r="J144" s="92" t="s">
        <v>205</v>
      </c>
      <c r="L144" s="89">
        <v>1</v>
      </c>
      <c r="M144" s="306">
        <v>5</v>
      </c>
      <c r="N144" s="84"/>
      <c r="O144" s="306">
        <f>L144*M144-N144*L144</f>
        <v>5</v>
      </c>
      <c r="P144" s="64"/>
    </row>
    <row r="145" spans="1:16" ht="18" customHeight="1">
      <c r="A145" s="85"/>
      <c r="B145" s="86"/>
      <c r="C145" s="87"/>
      <c r="D145" s="88">
        <v>738</v>
      </c>
      <c r="E145" s="88">
        <v>1310</v>
      </c>
      <c r="F145" s="89">
        <f t="shared" si="100"/>
        <v>20</v>
      </c>
      <c r="G145" s="90">
        <f t="shared" si="101"/>
        <v>210.6068032545829</v>
      </c>
      <c r="H145" s="90">
        <f t="shared" si="102"/>
        <v>163.84</v>
      </c>
      <c r="I145" s="91" t="str">
        <f>I144</f>
        <v>2동3라인</v>
      </c>
      <c r="J145" s="92" t="s">
        <v>207</v>
      </c>
      <c r="L145" s="89">
        <v>4</v>
      </c>
      <c r="M145" s="306">
        <f>M144</f>
        <v>5</v>
      </c>
      <c r="N145" s="84"/>
      <c r="O145" s="306">
        <f t="shared" ref="O145:O147" si="103">L145*M145-N145*L145</f>
        <v>20</v>
      </c>
    </row>
    <row r="146" spans="1:16" ht="18" customHeight="1">
      <c r="A146" s="85"/>
      <c r="B146" s="86"/>
      <c r="C146" s="87"/>
      <c r="D146" s="88">
        <v>228</v>
      </c>
      <c r="E146" s="88">
        <v>910</v>
      </c>
      <c r="F146" s="89">
        <f t="shared" si="100"/>
        <v>10</v>
      </c>
      <c r="G146" s="90">
        <f t="shared" si="101"/>
        <v>22.59909159232755</v>
      </c>
      <c r="H146" s="90">
        <f t="shared" si="102"/>
        <v>45.519999999999996</v>
      </c>
      <c r="I146" s="91" t="str">
        <f t="shared" ref="I146:I147" si="104">I145</f>
        <v>2동3라인</v>
      </c>
      <c r="J146" s="92" t="s">
        <v>209</v>
      </c>
      <c r="L146" s="89">
        <v>2</v>
      </c>
      <c r="M146" s="306">
        <f t="shared" ref="M146:M147" si="105">M145</f>
        <v>5</v>
      </c>
      <c r="N146" s="306"/>
      <c r="O146" s="306">
        <f t="shared" si="103"/>
        <v>10</v>
      </c>
    </row>
    <row r="147" spans="1:16" ht="18" customHeight="1">
      <c r="A147" s="85"/>
      <c r="B147" s="86"/>
      <c r="C147" s="87"/>
      <c r="D147" s="88">
        <v>438</v>
      </c>
      <c r="E147" s="88">
        <v>270</v>
      </c>
      <c r="F147" s="89">
        <f t="shared" si="100"/>
        <v>10</v>
      </c>
      <c r="G147" s="90">
        <f t="shared" si="101"/>
        <v>12.881090089206941</v>
      </c>
      <c r="H147" s="90">
        <f t="shared" si="102"/>
        <v>28.32</v>
      </c>
      <c r="I147" s="91" t="str">
        <f t="shared" si="104"/>
        <v>2동3라인</v>
      </c>
      <c r="J147" s="92" t="s">
        <v>210</v>
      </c>
      <c r="L147" s="89">
        <v>2</v>
      </c>
      <c r="M147" s="306">
        <f t="shared" si="105"/>
        <v>5</v>
      </c>
      <c r="N147" s="306"/>
      <c r="O147" s="306">
        <f t="shared" si="103"/>
        <v>10</v>
      </c>
    </row>
    <row r="148" spans="1:16" ht="18" customHeight="1">
      <c r="A148" s="85"/>
      <c r="B148" s="93"/>
      <c r="C148" s="87"/>
      <c r="D148" s="325" t="s">
        <v>0</v>
      </c>
      <c r="E148" s="325"/>
      <c r="F148" s="94">
        <f>SUM(F144:F147)</f>
        <v>45</v>
      </c>
      <c r="G148" s="95">
        <f>SUM(G144:G147)</f>
        <v>330.95938306701964</v>
      </c>
      <c r="H148" s="96">
        <f>SUM(H144:H147)</f>
        <v>291.09999999999997</v>
      </c>
      <c r="I148" s="97"/>
      <c r="J148" s="162"/>
    </row>
    <row r="149" spans="1:16" ht="18" customHeight="1">
      <c r="A149" s="85"/>
      <c r="B149" s="93"/>
      <c r="C149" s="87"/>
      <c r="D149" s="161"/>
      <c r="E149" s="161"/>
      <c r="F149" s="89"/>
      <c r="G149" s="100"/>
      <c r="H149" s="101"/>
      <c r="I149" s="102"/>
      <c r="J149" s="121"/>
      <c r="L149" s="252"/>
      <c r="M149" s="252"/>
      <c r="N149" s="252"/>
      <c r="O149" s="252"/>
    </row>
    <row r="150" spans="1:16" ht="18" customHeight="1">
      <c r="A150" s="85"/>
      <c r="B150" s="23" t="s">
        <v>198</v>
      </c>
      <c r="C150" s="24">
        <v>22</v>
      </c>
      <c r="D150" s="88">
        <v>861</v>
      </c>
      <c r="E150" s="88">
        <v>1810</v>
      </c>
      <c r="F150" s="89">
        <f t="shared" ref="F150:F154" si="106">O150</f>
        <v>5</v>
      </c>
      <c r="G150" s="90">
        <f t="shared" ref="G150:G154" si="107">D150*E150/91809*F150</f>
        <v>84.872398130902198</v>
      </c>
      <c r="H150" s="90">
        <f t="shared" ref="H150:H154" si="108">(D150/1000)*4*F150+(E150/1000)*4*F150</f>
        <v>53.42</v>
      </c>
      <c r="I150" s="91" t="str">
        <f>I144</f>
        <v>2동3라인</v>
      </c>
      <c r="J150" s="92" t="s">
        <v>212</v>
      </c>
      <c r="L150" s="89">
        <v>1</v>
      </c>
      <c r="M150" s="306">
        <f>M144</f>
        <v>5</v>
      </c>
      <c r="N150" s="84"/>
      <c r="O150" s="306">
        <f>L150*M150-N150*L150</f>
        <v>5</v>
      </c>
    </row>
    <row r="151" spans="1:16" ht="18" customHeight="1">
      <c r="A151" s="85"/>
      <c r="B151" s="86"/>
      <c r="C151" s="87"/>
      <c r="D151" s="88">
        <v>2114</v>
      </c>
      <c r="E151" s="88">
        <v>1810</v>
      </c>
      <c r="F151" s="89">
        <f t="shared" si="106"/>
        <v>5</v>
      </c>
      <c r="G151" s="90">
        <f t="shared" si="107"/>
        <v>208.38588809375989</v>
      </c>
      <c r="H151" s="90">
        <f t="shared" si="108"/>
        <v>78.48</v>
      </c>
      <c r="I151" s="91" t="str">
        <f>I144</f>
        <v>2동3라인</v>
      </c>
      <c r="J151" s="92" t="s">
        <v>213</v>
      </c>
      <c r="L151" s="89">
        <v>1</v>
      </c>
      <c r="M151" s="306">
        <f>M150</f>
        <v>5</v>
      </c>
      <c r="N151" s="84"/>
      <c r="O151" s="306">
        <f>L151*M151-N151*L151</f>
        <v>5</v>
      </c>
    </row>
    <row r="152" spans="1:16" ht="18" customHeight="1">
      <c r="A152" s="104"/>
      <c r="B152" s="93"/>
      <c r="C152" s="87"/>
      <c r="D152" s="88">
        <v>738</v>
      </c>
      <c r="E152" s="88">
        <v>1310</v>
      </c>
      <c r="F152" s="89">
        <f t="shared" si="106"/>
        <v>20</v>
      </c>
      <c r="G152" s="90">
        <f t="shared" si="107"/>
        <v>210.6068032545829</v>
      </c>
      <c r="H152" s="90">
        <f t="shared" si="108"/>
        <v>163.84</v>
      </c>
      <c r="I152" s="91" t="str">
        <f>I151</f>
        <v>2동3라인</v>
      </c>
      <c r="J152" s="92" t="s">
        <v>214</v>
      </c>
      <c r="L152" s="89">
        <v>4</v>
      </c>
      <c r="M152" s="306">
        <f t="shared" ref="M152:M154" si="109">M151</f>
        <v>5</v>
      </c>
      <c r="N152" s="84"/>
      <c r="O152" s="306">
        <f t="shared" ref="O152:O154" si="110">L152*M152-N152*L152</f>
        <v>20</v>
      </c>
    </row>
    <row r="153" spans="1:16" ht="18" customHeight="1">
      <c r="A153" s="104"/>
      <c r="B153" s="93"/>
      <c r="C153" s="87"/>
      <c r="D153" s="88">
        <v>228</v>
      </c>
      <c r="E153" s="88">
        <v>910</v>
      </c>
      <c r="F153" s="89">
        <f t="shared" si="106"/>
        <v>10</v>
      </c>
      <c r="G153" s="90">
        <f t="shared" si="107"/>
        <v>22.59909159232755</v>
      </c>
      <c r="H153" s="90">
        <f t="shared" si="108"/>
        <v>45.519999999999996</v>
      </c>
      <c r="I153" s="91" t="str">
        <f t="shared" ref="I153:I154" si="111">I152</f>
        <v>2동3라인</v>
      </c>
      <c r="J153" s="92" t="s">
        <v>216</v>
      </c>
      <c r="L153" s="89">
        <v>2</v>
      </c>
      <c r="M153" s="306">
        <f t="shared" si="109"/>
        <v>5</v>
      </c>
      <c r="N153" s="306"/>
      <c r="O153" s="306">
        <f t="shared" si="110"/>
        <v>10</v>
      </c>
    </row>
    <row r="154" spans="1:16" ht="18" customHeight="1">
      <c r="A154" s="104"/>
      <c r="B154" s="93"/>
      <c r="C154" s="87"/>
      <c r="D154" s="88">
        <v>438</v>
      </c>
      <c r="E154" s="88">
        <v>270</v>
      </c>
      <c r="F154" s="89">
        <f t="shared" si="106"/>
        <v>10</v>
      </c>
      <c r="G154" s="90">
        <f t="shared" si="107"/>
        <v>12.881090089206941</v>
      </c>
      <c r="H154" s="90">
        <f t="shared" si="108"/>
        <v>28.32</v>
      </c>
      <c r="I154" s="91" t="str">
        <f t="shared" si="111"/>
        <v>2동3라인</v>
      </c>
      <c r="J154" s="92" t="s">
        <v>217</v>
      </c>
      <c r="L154" s="89">
        <v>2</v>
      </c>
      <c r="M154" s="306">
        <f t="shared" si="109"/>
        <v>5</v>
      </c>
      <c r="N154" s="306"/>
      <c r="O154" s="306">
        <f t="shared" si="110"/>
        <v>10</v>
      </c>
    </row>
    <row r="155" spans="1:16" ht="18" customHeight="1">
      <c r="A155" s="104"/>
      <c r="B155" s="87"/>
      <c r="C155" s="87"/>
      <c r="D155" s="325" t="s">
        <v>0</v>
      </c>
      <c r="E155" s="325"/>
      <c r="F155" s="171">
        <f>SUM(F150:F154)</f>
        <v>50</v>
      </c>
      <c r="G155" s="95">
        <f>SUM(G150:G154)</f>
        <v>539.34527116077948</v>
      </c>
      <c r="H155" s="95">
        <f>SUM(H150:H154)</f>
        <v>369.58</v>
      </c>
      <c r="I155" s="97"/>
      <c r="J155" s="98"/>
    </row>
    <row r="156" spans="1:16">
      <c r="A156" s="105"/>
      <c r="B156" s="9"/>
      <c r="C156" s="9"/>
      <c r="D156" s="51"/>
      <c r="E156" s="51"/>
      <c r="F156" s="51"/>
      <c r="G156" s="106"/>
      <c r="H156" s="106"/>
      <c r="I156" s="9"/>
      <c r="J156" s="107"/>
    </row>
    <row r="157" spans="1:16" ht="18" customHeight="1">
      <c r="A157" s="85"/>
      <c r="B157" s="23" t="s">
        <v>237</v>
      </c>
      <c r="C157" s="24">
        <v>22</v>
      </c>
      <c r="D157" s="88">
        <v>2114</v>
      </c>
      <c r="E157" s="88">
        <v>1810</v>
      </c>
      <c r="F157" s="89">
        <f t="shared" ref="F157" si="112">O157</f>
        <v>5</v>
      </c>
      <c r="G157" s="90">
        <f t="shared" ref="G157" si="113">D157*E157/91809*F157</f>
        <v>208.38588809375989</v>
      </c>
      <c r="H157" s="90">
        <f t="shared" ref="H157" si="114">(D157/1000)*4*F157+(E157/1000)*4*F157</f>
        <v>78.48</v>
      </c>
      <c r="I157" s="91" t="str">
        <f>I150</f>
        <v>2동3라인</v>
      </c>
      <c r="J157" s="92" t="s">
        <v>206</v>
      </c>
      <c r="L157" s="89">
        <v>1</v>
      </c>
      <c r="M157" s="306">
        <f>M144</f>
        <v>5</v>
      </c>
      <c r="N157" s="84"/>
      <c r="O157" s="306">
        <f>L157*M157-N157*L157</f>
        <v>5</v>
      </c>
    </row>
    <row r="158" spans="1:16" ht="18" customHeight="1">
      <c r="A158" s="85"/>
      <c r="B158" s="93"/>
      <c r="C158" s="87"/>
      <c r="D158" s="325" t="s">
        <v>0</v>
      </c>
      <c r="E158" s="325"/>
      <c r="F158" s="94">
        <f>SUM(F157:F157)</f>
        <v>5</v>
      </c>
      <c r="G158" s="95">
        <f>SUM(G157:G157)</f>
        <v>208.38588809375989</v>
      </c>
      <c r="H158" s="95">
        <f>SUM(H157:H157)</f>
        <v>78.48</v>
      </c>
      <c r="I158" s="97"/>
      <c r="J158" s="98"/>
    </row>
    <row r="159" spans="1:16" ht="18" customHeight="1">
      <c r="A159" s="218"/>
      <c r="B159" s="219"/>
      <c r="C159" s="220"/>
      <c r="D159" s="161"/>
      <c r="E159" s="161"/>
      <c r="F159" s="89"/>
      <c r="G159" s="100"/>
      <c r="H159" s="100"/>
      <c r="I159" s="102"/>
      <c r="J159" s="221"/>
    </row>
    <row r="160" spans="1:16" ht="18" customHeight="1">
      <c r="A160" s="85"/>
      <c r="B160" s="23" t="s">
        <v>200</v>
      </c>
      <c r="C160" s="24">
        <v>22</v>
      </c>
      <c r="D160" s="88">
        <v>738</v>
      </c>
      <c r="E160" s="88">
        <v>1810</v>
      </c>
      <c r="F160" s="89">
        <f t="shared" ref="F160:F161" si="115">O160</f>
        <v>0</v>
      </c>
      <c r="G160" s="90">
        <f t="shared" ref="G160:G161" si="116">D160*E160/91809*F160</f>
        <v>0</v>
      </c>
      <c r="H160" s="90">
        <f t="shared" ref="H160:H161" si="117">(D160/1000)*4*F160+(E160/1000)*4*F160</f>
        <v>0</v>
      </c>
      <c r="I160" s="91" t="str">
        <f>I157</f>
        <v>2동3라인</v>
      </c>
      <c r="J160" s="92" t="s">
        <v>219</v>
      </c>
      <c r="L160" s="89">
        <v>2</v>
      </c>
      <c r="M160" s="306">
        <f>M157</f>
        <v>5</v>
      </c>
      <c r="N160" s="84">
        <v>5</v>
      </c>
      <c r="O160" s="306">
        <f>L160*M160-N160*L160</f>
        <v>0</v>
      </c>
      <c r="P160" s="64" t="s">
        <v>279</v>
      </c>
    </row>
    <row r="161" spans="1:16" ht="18" customHeight="1">
      <c r="A161" s="85"/>
      <c r="B161" s="86"/>
      <c r="C161" s="87"/>
      <c r="D161" s="88">
        <v>250</v>
      </c>
      <c r="E161" s="88">
        <v>930</v>
      </c>
      <c r="F161" s="89">
        <f t="shared" si="115"/>
        <v>10</v>
      </c>
      <c r="G161" s="90">
        <f t="shared" si="116"/>
        <v>25.324314609678787</v>
      </c>
      <c r="H161" s="90">
        <f t="shared" si="117"/>
        <v>47.2</v>
      </c>
      <c r="I161" s="91" t="str">
        <f>I160</f>
        <v>2동3라인</v>
      </c>
      <c r="J161" s="92" t="s">
        <v>220</v>
      </c>
      <c r="L161" s="89">
        <v>2</v>
      </c>
      <c r="M161" s="306">
        <f>M160</f>
        <v>5</v>
      </c>
      <c r="N161" s="84"/>
      <c r="O161" s="306">
        <f t="shared" ref="O161" si="118">L161*M161-N161*L161</f>
        <v>10</v>
      </c>
    </row>
    <row r="162" spans="1:16" ht="18" customHeight="1">
      <c r="A162" s="85"/>
      <c r="B162" s="93"/>
      <c r="C162" s="87"/>
      <c r="D162" s="325" t="s">
        <v>0</v>
      </c>
      <c r="E162" s="325"/>
      <c r="F162" s="94">
        <f>SUM(F160:F161)</f>
        <v>10</v>
      </c>
      <c r="G162" s="95">
        <f>SUM(G160:G161)</f>
        <v>25.324314609678787</v>
      </c>
      <c r="H162" s="96">
        <f>SUM(H160:H161)</f>
        <v>47.2</v>
      </c>
      <c r="I162" s="97"/>
      <c r="J162" s="162"/>
    </row>
    <row r="163" spans="1:16" ht="18" customHeight="1" thickBot="1">
      <c r="A163" s="222"/>
      <c r="B163" s="223"/>
      <c r="C163" s="224"/>
      <c r="D163" s="225"/>
      <c r="E163" s="225"/>
      <c r="F163" s="226"/>
      <c r="G163" s="227"/>
      <c r="H163" s="228"/>
      <c r="I163" s="229"/>
      <c r="J163" s="230"/>
      <c r="L163" s="306" t="s">
        <v>48</v>
      </c>
      <c r="M163" s="306" t="s">
        <v>49</v>
      </c>
      <c r="N163" s="306" t="s">
        <v>50</v>
      </c>
      <c r="O163" s="306" t="s">
        <v>55</v>
      </c>
    </row>
    <row r="164" spans="1:16" ht="18" customHeight="1">
      <c r="A164" s="79" t="s">
        <v>234</v>
      </c>
      <c r="B164" s="231" t="s">
        <v>195</v>
      </c>
      <c r="C164" s="232">
        <v>22</v>
      </c>
      <c r="D164" s="80">
        <v>761</v>
      </c>
      <c r="E164" s="80">
        <v>1810</v>
      </c>
      <c r="F164" s="233">
        <f>O164</f>
        <v>10</v>
      </c>
      <c r="G164" s="81">
        <f t="shared" ref="G164:G170" si="119">D164*E164/91809*F164</f>
        <v>150.02995349039855</v>
      </c>
      <c r="H164" s="81">
        <f t="shared" ref="H164:H170" si="120">(D164/1000)*4*F164+(E164/1000)*4*F164</f>
        <v>102.84</v>
      </c>
      <c r="I164" s="82" t="s">
        <v>249</v>
      </c>
      <c r="J164" s="83" t="s">
        <v>205</v>
      </c>
      <c r="L164" s="89">
        <v>2</v>
      </c>
      <c r="M164" s="306">
        <v>5</v>
      </c>
      <c r="N164" s="84"/>
      <c r="O164" s="306">
        <f>L164*M164-N164*L164</f>
        <v>10</v>
      </c>
      <c r="P164" s="64"/>
    </row>
    <row r="165" spans="1:16" ht="18" customHeight="1">
      <c r="A165" s="85"/>
      <c r="B165" s="86"/>
      <c r="C165" s="87"/>
      <c r="D165" s="88">
        <v>1688</v>
      </c>
      <c r="E165" s="88">
        <v>1810</v>
      </c>
      <c r="F165" s="89">
        <f t="shared" ref="F165:F170" si="121">O165</f>
        <v>5</v>
      </c>
      <c r="G165" s="90">
        <f t="shared" si="119"/>
        <v>166.39327299066539</v>
      </c>
      <c r="H165" s="90">
        <f t="shared" si="120"/>
        <v>69.960000000000008</v>
      </c>
      <c r="I165" s="91" t="str">
        <f>I164</f>
        <v>2동4라인</v>
      </c>
      <c r="J165" s="92" t="s">
        <v>206</v>
      </c>
      <c r="L165" s="89">
        <v>1</v>
      </c>
      <c r="M165" s="306">
        <f>M164</f>
        <v>5</v>
      </c>
      <c r="N165" s="84"/>
      <c r="O165" s="306">
        <f t="shared" ref="O165:O170" si="122">L165*M165-N165*L165</f>
        <v>5</v>
      </c>
    </row>
    <row r="166" spans="1:16" ht="18" customHeight="1">
      <c r="A166" s="85"/>
      <c r="B166" s="86"/>
      <c r="C166" s="87"/>
      <c r="D166" s="88">
        <v>738</v>
      </c>
      <c r="E166" s="88">
        <v>1310</v>
      </c>
      <c r="F166" s="89">
        <f t="shared" si="121"/>
        <v>20</v>
      </c>
      <c r="G166" s="90">
        <f t="shared" si="119"/>
        <v>210.6068032545829</v>
      </c>
      <c r="H166" s="90">
        <f t="shared" si="120"/>
        <v>163.84</v>
      </c>
      <c r="I166" s="91" t="str">
        <f t="shared" ref="I166:I170" si="123">I165</f>
        <v>2동4라인</v>
      </c>
      <c r="J166" s="92" t="s">
        <v>207</v>
      </c>
      <c r="L166" s="89">
        <v>4</v>
      </c>
      <c r="M166" s="306">
        <f t="shared" ref="M166:M169" si="124">M165</f>
        <v>5</v>
      </c>
      <c r="N166" s="306"/>
      <c r="O166" s="306">
        <f t="shared" si="122"/>
        <v>20</v>
      </c>
    </row>
    <row r="167" spans="1:16" ht="18" customHeight="1">
      <c r="A167" s="85"/>
      <c r="B167" s="86"/>
      <c r="C167" s="87"/>
      <c r="D167" s="88">
        <v>288</v>
      </c>
      <c r="E167" s="88">
        <v>910</v>
      </c>
      <c r="F167" s="89">
        <f t="shared" si="121"/>
        <v>10</v>
      </c>
      <c r="G167" s="90">
        <f t="shared" si="119"/>
        <v>28.546220958729535</v>
      </c>
      <c r="H167" s="90">
        <f t="shared" si="120"/>
        <v>47.92</v>
      </c>
      <c r="I167" s="91" t="str">
        <f t="shared" si="123"/>
        <v>2동4라인</v>
      </c>
      <c r="J167" s="92" t="s">
        <v>208</v>
      </c>
      <c r="L167" s="89">
        <v>2</v>
      </c>
      <c r="M167" s="306">
        <f t="shared" si="124"/>
        <v>5</v>
      </c>
      <c r="N167" s="306"/>
      <c r="O167" s="306">
        <f t="shared" si="122"/>
        <v>10</v>
      </c>
    </row>
    <row r="168" spans="1:16" ht="18" customHeight="1">
      <c r="A168" s="85"/>
      <c r="B168" s="86"/>
      <c r="C168" s="87"/>
      <c r="D168" s="88">
        <v>228</v>
      </c>
      <c r="E168" s="88">
        <v>910</v>
      </c>
      <c r="F168" s="89">
        <f t="shared" si="121"/>
        <v>10</v>
      </c>
      <c r="G168" s="90">
        <f t="shared" si="119"/>
        <v>22.59909159232755</v>
      </c>
      <c r="H168" s="90">
        <f t="shared" si="120"/>
        <v>45.519999999999996</v>
      </c>
      <c r="I168" s="91" t="str">
        <f t="shared" si="123"/>
        <v>2동4라인</v>
      </c>
      <c r="J168" s="92" t="s">
        <v>209</v>
      </c>
      <c r="L168" s="89">
        <v>2</v>
      </c>
      <c r="M168" s="306">
        <f t="shared" si="124"/>
        <v>5</v>
      </c>
      <c r="N168" s="306"/>
      <c r="O168" s="306">
        <f t="shared" si="122"/>
        <v>10</v>
      </c>
    </row>
    <row r="169" spans="1:16" ht="18" customHeight="1">
      <c r="A169" s="85"/>
      <c r="B169" s="86"/>
      <c r="C169" s="87"/>
      <c r="D169" s="88">
        <v>438</v>
      </c>
      <c r="E169" s="88">
        <v>270</v>
      </c>
      <c r="F169" s="89">
        <f t="shared" si="121"/>
        <v>10</v>
      </c>
      <c r="G169" s="90">
        <f t="shared" si="119"/>
        <v>12.881090089206941</v>
      </c>
      <c r="H169" s="90">
        <f t="shared" si="120"/>
        <v>28.32</v>
      </c>
      <c r="I169" s="91" t="str">
        <f t="shared" si="123"/>
        <v>2동4라인</v>
      </c>
      <c r="J169" s="92" t="s">
        <v>210</v>
      </c>
      <c r="L169" s="89">
        <v>2</v>
      </c>
      <c r="M169" s="306">
        <f t="shared" si="124"/>
        <v>5</v>
      </c>
      <c r="N169" s="306"/>
      <c r="O169" s="306">
        <f t="shared" si="122"/>
        <v>10</v>
      </c>
    </row>
    <row r="170" spans="1:16" ht="18" customHeight="1">
      <c r="A170" s="85"/>
      <c r="B170" s="86"/>
      <c r="C170" s="87"/>
      <c r="D170" s="88">
        <v>208</v>
      </c>
      <c r="E170" s="88">
        <v>910</v>
      </c>
      <c r="F170" s="89">
        <f t="shared" si="121"/>
        <v>10</v>
      </c>
      <c r="G170" s="90">
        <f t="shared" si="119"/>
        <v>20.616715136860222</v>
      </c>
      <c r="H170" s="90">
        <f t="shared" si="120"/>
        <v>44.72</v>
      </c>
      <c r="I170" s="91" t="str">
        <f t="shared" si="123"/>
        <v>2동4라인</v>
      </c>
      <c r="J170" s="92" t="s">
        <v>211</v>
      </c>
      <c r="L170" s="89">
        <v>2</v>
      </c>
      <c r="M170" s="306">
        <f>M169</f>
        <v>5</v>
      </c>
      <c r="N170" s="306"/>
      <c r="O170" s="306">
        <f t="shared" si="122"/>
        <v>10</v>
      </c>
    </row>
    <row r="171" spans="1:16" ht="18" customHeight="1">
      <c r="A171" s="85"/>
      <c r="B171" s="93"/>
      <c r="C171" s="87"/>
      <c r="D171" s="325" t="s">
        <v>0</v>
      </c>
      <c r="E171" s="325"/>
      <c r="F171" s="94">
        <f>SUM(F164:F170)</f>
        <v>75</v>
      </c>
      <c r="G171" s="95">
        <f>SUM(G164:G170)</f>
        <v>611.67314751277115</v>
      </c>
      <c r="H171" s="96">
        <f>SUM(H164:H170)</f>
        <v>503.12</v>
      </c>
      <c r="I171" s="97"/>
      <c r="J171" s="162"/>
    </row>
    <row r="172" spans="1:16" ht="18" customHeight="1">
      <c r="A172" s="85"/>
      <c r="B172" s="93"/>
      <c r="C172" s="87"/>
      <c r="D172" s="161"/>
      <c r="E172" s="161"/>
      <c r="F172" s="89"/>
      <c r="G172" s="100"/>
      <c r="H172" s="101"/>
      <c r="I172" s="102"/>
      <c r="J172" s="121"/>
      <c r="L172" s="306" t="s">
        <v>48</v>
      </c>
      <c r="M172" s="306" t="s">
        <v>54</v>
      </c>
      <c r="N172" s="306" t="s">
        <v>50</v>
      </c>
      <c r="O172" s="306" t="s">
        <v>55</v>
      </c>
    </row>
    <row r="173" spans="1:16" ht="18" customHeight="1">
      <c r="A173" s="85"/>
      <c r="B173" s="23" t="s">
        <v>197</v>
      </c>
      <c r="C173" s="24">
        <v>22</v>
      </c>
      <c r="D173" s="88">
        <v>761</v>
      </c>
      <c r="E173" s="88">
        <v>1810</v>
      </c>
      <c r="F173" s="89">
        <f t="shared" ref="F173:F179" si="125">O173</f>
        <v>10</v>
      </c>
      <c r="G173" s="90">
        <f t="shared" ref="G173:G179" si="126">D173*E173/91809*F173</f>
        <v>150.02995349039855</v>
      </c>
      <c r="H173" s="90">
        <f t="shared" ref="H173:H179" si="127">(D173/1000)*4*F173+(E173/1000)*4*F173</f>
        <v>102.84</v>
      </c>
      <c r="I173" s="91" t="str">
        <f t="shared" ref="I173:I179" si="128">I164</f>
        <v>2동4라인</v>
      </c>
      <c r="J173" s="92" t="s">
        <v>212</v>
      </c>
      <c r="L173" s="89">
        <v>2</v>
      </c>
      <c r="M173" s="306">
        <f>M164</f>
        <v>5</v>
      </c>
      <c r="N173" s="84"/>
      <c r="O173" s="306">
        <f>L173*M173-N173*L173</f>
        <v>10</v>
      </c>
    </row>
    <row r="174" spans="1:16" ht="18" customHeight="1">
      <c r="A174" s="85"/>
      <c r="B174" s="86"/>
      <c r="C174" s="87"/>
      <c r="D174" s="88">
        <v>1688</v>
      </c>
      <c r="E174" s="88">
        <v>1810</v>
      </c>
      <c r="F174" s="89">
        <f t="shared" si="125"/>
        <v>5</v>
      </c>
      <c r="G174" s="90">
        <f t="shared" si="126"/>
        <v>166.39327299066539</v>
      </c>
      <c r="H174" s="90">
        <f t="shared" si="127"/>
        <v>69.960000000000008</v>
      </c>
      <c r="I174" s="91" t="str">
        <f t="shared" si="128"/>
        <v>2동4라인</v>
      </c>
      <c r="J174" s="92" t="s">
        <v>213</v>
      </c>
      <c r="L174" s="89">
        <v>1</v>
      </c>
      <c r="M174" s="306">
        <f>M173</f>
        <v>5</v>
      </c>
      <c r="N174" s="84"/>
      <c r="O174" s="306">
        <f>L174*M174-N174*L174</f>
        <v>5</v>
      </c>
    </row>
    <row r="175" spans="1:16" ht="18" customHeight="1">
      <c r="A175" s="104"/>
      <c r="B175" s="93"/>
      <c r="C175" s="87"/>
      <c r="D175" s="88">
        <v>738</v>
      </c>
      <c r="E175" s="88">
        <v>1310</v>
      </c>
      <c r="F175" s="89">
        <f t="shared" si="125"/>
        <v>20</v>
      </c>
      <c r="G175" s="90">
        <f t="shared" si="126"/>
        <v>210.6068032545829</v>
      </c>
      <c r="H175" s="90">
        <f t="shared" si="127"/>
        <v>163.84</v>
      </c>
      <c r="I175" s="91" t="str">
        <f t="shared" si="128"/>
        <v>2동4라인</v>
      </c>
      <c r="J175" s="92" t="s">
        <v>214</v>
      </c>
      <c r="L175" s="89">
        <v>4</v>
      </c>
      <c r="M175" s="306">
        <f t="shared" ref="M175:M179" si="129">M174</f>
        <v>5</v>
      </c>
      <c r="N175" s="84"/>
      <c r="O175" s="306">
        <f t="shared" ref="O175:O179" si="130">L175*M175-N175*L175</f>
        <v>20</v>
      </c>
    </row>
    <row r="176" spans="1:16" ht="18" customHeight="1">
      <c r="A176" s="104"/>
      <c r="B176" s="93"/>
      <c r="C176" s="87"/>
      <c r="D176" s="88">
        <v>288</v>
      </c>
      <c r="E176" s="88">
        <v>910</v>
      </c>
      <c r="F176" s="89">
        <f t="shared" si="125"/>
        <v>10</v>
      </c>
      <c r="G176" s="90">
        <f t="shared" si="126"/>
        <v>28.546220958729535</v>
      </c>
      <c r="H176" s="90">
        <f t="shared" si="127"/>
        <v>47.92</v>
      </c>
      <c r="I176" s="91" t="str">
        <f t="shared" si="128"/>
        <v>2동4라인</v>
      </c>
      <c r="J176" s="92" t="s">
        <v>215</v>
      </c>
      <c r="L176" s="89">
        <v>2</v>
      </c>
      <c r="M176" s="306">
        <f t="shared" si="129"/>
        <v>5</v>
      </c>
      <c r="N176" s="306"/>
      <c r="O176" s="306">
        <f t="shared" si="130"/>
        <v>10</v>
      </c>
    </row>
    <row r="177" spans="1:16" ht="18" customHeight="1">
      <c r="A177" s="104"/>
      <c r="B177" s="93"/>
      <c r="C177" s="87"/>
      <c r="D177" s="88">
        <v>228</v>
      </c>
      <c r="E177" s="88">
        <v>910</v>
      </c>
      <c r="F177" s="89">
        <f t="shared" si="125"/>
        <v>10</v>
      </c>
      <c r="G177" s="90">
        <f t="shared" si="126"/>
        <v>22.59909159232755</v>
      </c>
      <c r="H177" s="90">
        <f t="shared" si="127"/>
        <v>45.519999999999996</v>
      </c>
      <c r="I177" s="91" t="str">
        <f t="shared" si="128"/>
        <v>2동4라인</v>
      </c>
      <c r="J177" s="92" t="s">
        <v>216</v>
      </c>
      <c r="L177" s="89">
        <v>2</v>
      </c>
      <c r="M177" s="306">
        <f t="shared" si="129"/>
        <v>5</v>
      </c>
      <c r="N177" s="306"/>
      <c r="O177" s="306">
        <f t="shared" si="130"/>
        <v>10</v>
      </c>
    </row>
    <row r="178" spans="1:16" ht="18" customHeight="1">
      <c r="A178" s="104"/>
      <c r="B178" s="93"/>
      <c r="C178" s="87"/>
      <c r="D178" s="88">
        <v>438</v>
      </c>
      <c r="E178" s="88">
        <v>270</v>
      </c>
      <c r="F178" s="89">
        <f t="shared" si="125"/>
        <v>10</v>
      </c>
      <c r="G178" s="90">
        <f t="shared" si="126"/>
        <v>12.881090089206941</v>
      </c>
      <c r="H178" s="90">
        <f t="shared" si="127"/>
        <v>28.32</v>
      </c>
      <c r="I178" s="91" t="str">
        <f t="shared" si="128"/>
        <v>2동4라인</v>
      </c>
      <c r="J178" s="92" t="s">
        <v>217</v>
      </c>
      <c r="L178" s="89">
        <v>2</v>
      </c>
      <c r="M178" s="306">
        <f t="shared" si="129"/>
        <v>5</v>
      </c>
      <c r="N178" s="306"/>
      <c r="O178" s="306">
        <f t="shared" si="130"/>
        <v>10</v>
      </c>
    </row>
    <row r="179" spans="1:16" ht="18" customHeight="1">
      <c r="A179" s="104"/>
      <c r="B179" s="93"/>
      <c r="C179" s="87"/>
      <c r="D179" s="88">
        <v>208</v>
      </c>
      <c r="E179" s="88">
        <v>910</v>
      </c>
      <c r="F179" s="89">
        <f t="shared" si="125"/>
        <v>10</v>
      </c>
      <c r="G179" s="90">
        <f t="shared" si="126"/>
        <v>20.616715136860222</v>
      </c>
      <c r="H179" s="90">
        <f t="shared" si="127"/>
        <v>44.72</v>
      </c>
      <c r="I179" s="91" t="str">
        <f t="shared" si="128"/>
        <v>2동4라인</v>
      </c>
      <c r="J179" s="92" t="s">
        <v>218</v>
      </c>
      <c r="L179" s="89">
        <v>2</v>
      </c>
      <c r="M179" s="306">
        <f t="shared" si="129"/>
        <v>5</v>
      </c>
      <c r="N179" s="306"/>
      <c r="O179" s="306">
        <f t="shared" si="130"/>
        <v>10</v>
      </c>
    </row>
    <row r="180" spans="1:16" ht="18" customHeight="1">
      <c r="A180" s="104"/>
      <c r="B180" s="87"/>
      <c r="C180" s="87"/>
      <c r="D180" s="325" t="s">
        <v>0</v>
      </c>
      <c r="E180" s="325"/>
      <c r="F180" s="171">
        <f>SUM(F173:F179)</f>
        <v>75</v>
      </c>
      <c r="G180" s="95">
        <f>SUM(G173:G179)</f>
        <v>611.67314751277115</v>
      </c>
      <c r="H180" s="95">
        <f>SUM(H173:H179)</f>
        <v>503.12</v>
      </c>
      <c r="I180" s="97"/>
      <c r="J180" s="98"/>
    </row>
    <row r="181" spans="1:16">
      <c r="A181" s="105"/>
      <c r="B181" s="9"/>
      <c r="C181" s="9"/>
      <c r="D181" s="51"/>
      <c r="E181" s="51"/>
      <c r="F181" s="51"/>
      <c r="G181" s="106"/>
      <c r="H181" s="106"/>
      <c r="I181" s="9"/>
      <c r="J181" s="107"/>
    </row>
    <row r="182" spans="1:16" ht="18" customHeight="1">
      <c r="A182" s="85"/>
      <c r="B182" s="163" t="s">
        <v>199</v>
      </c>
      <c r="C182" s="163">
        <v>22</v>
      </c>
      <c r="D182" s="88">
        <v>738</v>
      </c>
      <c r="E182" s="88">
        <v>1810</v>
      </c>
      <c r="F182" s="89">
        <f t="shared" ref="F182:F183" si="131">O182</f>
        <v>10</v>
      </c>
      <c r="G182" s="90">
        <f t="shared" ref="G182:G183" si="132">D182*E182/91809*F182</f>
        <v>145.4955396529752</v>
      </c>
      <c r="H182" s="90">
        <f t="shared" ref="H182:H183" si="133">(D182/1000)*4*F182+(E182/1000)*4*F182</f>
        <v>101.92</v>
      </c>
      <c r="I182" s="91" t="str">
        <f>I173</f>
        <v>2동4라인</v>
      </c>
      <c r="J182" s="92" t="s">
        <v>219</v>
      </c>
      <c r="L182" s="89">
        <v>2</v>
      </c>
      <c r="M182" s="306">
        <f>M164</f>
        <v>5</v>
      </c>
      <c r="N182" s="84"/>
      <c r="O182" s="306">
        <f>L182*M182-N182*L182</f>
        <v>10</v>
      </c>
      <c r="P182" s="64"/>
    </row>
    <row r="183" spans="1:16" ht="18" customHeight="1">
      <c r="A183" s="85"/>
      <c r="B183" s="86"/>
      <c r="C183" s="87"/>
      <c r="D183" s="88">
        <v>250</v>
      </c>
      <c r="E183" s="88">
        <v>930</v>
      </c>
      <c r="F183" s="89">
        <f t="shared" si="131"/>
        <v>10</v>
      </c>
      <c r="G183" s="90">
        <f t="shared" si="132"/>
        <v>25.324314609678787</v>
      </c>
      <c r="H183" s="90">
        <f t="shared" si="133"/>
        <v>47.2</v>
      </c>
      <c r="I183" s="91" t="str">
        <f>I182</f>
        <v>2동4라인</v>
      </c>
      <c r="J183" s="92" t="s">
        <v>220</v>
      </c>
      <c r="L183" s="89">
        <v>2</v>
      </c>
      <c r="M183" s="306">
        <f>M182</f>
        <v>5</v>
      </c>
      <c r="N183" s="84"/>
      <c r="O183" s="306">
        <f t="shared" ref="O183" si="134">L183*M183-N183*L183</f>
        <v>10</v>
      </c>
    </row>
    <row r="184" spans="1:16" ht="18" customHeight="1">
      <c r="A184" s="85"/>
      <c r="B184" s="93"/>
      <c r="C184" s="87"/>
      <c r="D184" s="325" t="s">
        <v>0</v>
      </c>
      <c r="E184" s="325"/>
      <c r="F184" s="94">
        <f>SUM(F182:F183)</f>
        <v>20</v>
      </c>
      <c r="G184" s="95">
        <f>SUM(G182:G183)</f>
        <v>170.81985426265399</v>
      </c>
      <c r="H184" s="95">
        <f>SUM(H182:H183)</f>
        <v>149.12</v>
      </c>
      <c r="I184" s="97"/>
      <c r="J184" s="98"/>
    </row>
    <row r="185" spans="1:16" ht="18" customHeight="1">
      <c r="A185" s="108"/>
      <c r="B185" s="164"/>
      <c r="C185" s="109"/>
      <c r="D185" s="363"/>
      <c r="E185" s="363"/>
      <c r="F185" s="110"/>
      <c r="G185" s="111"/>
      <c r="H185" s="234"/>
      <c r="I185" s="112"/>
      <c r="J185" s="235"/>
    </row>
    <row r="186" spans="1:16" ht="18" customHeight="1">
      <c r="A186" s="262" t="s">
        <v>234</v>
      </c>
      <c r="B186" s="263" t="s">
        <v>195</v>
      </c>
      <c r="C186" s="264">
        <v>22</v>
      </c>
      <c r="D186" s="265">
        <v>761</v>
      </c>
      <c r="E186" s="265">
        <v>1810</v>
      </c>
      <c r="F186" s="251">
        <f>O186</f>
        <v>20</v>
      </c>
      <c r="G186" s="266">
        <f t="shared" ref="G186:G192" si="135">D186*E186/91809*F186</f>
        <v>300.05990698079711</v>
      </c>
      <c r="H186" s="266">
        <f t="shared" ref="H186:H192" si="136">(D186/1000)*4*F186+(E186/1000)*4*F186</f>
        <v>205.68</v>
      </c>
      <c r="I186" s="267" t="s">
        <v>250</v>
      </c>
      <c r="J186" s="268" t="s">
        <v>205</v>
      </c>
      <c r="L186" s="89">
        <v>2</v>
      </c>
      <c r="M186" s="306">
        <v>10</v>
      </c>
      <c r="N186" s="84"/>
      <c r="O186" s="306">
        <f>L186*M186-N186*L186</f>
        <v>20</v>
      </c>
      <c r="P186" s="64"/>
    </row>
    <row r="187" spans="1:16" ht="18" customHeight="1">
      <c r="A187" s="85"/>
      <c r="B187" s="86"/>
      <c r="C187" s="87"/>
      <c r="D187" s="88">
        <v>1688</v>
      </c>
      <c r="E187" s="88">
        <v>1810</v>
      </c>
      <c r="F187" s="89">
        <f t="shared" ref="F187:F192" si="137">O187</f>
        <v>10</v>
      </c>
      <c r="G187" s="90">
        <f t="shared" si="135"/>
        <v>332.78654598133079</v>
      </c>
      <c r="H187" s="90">
        <f t="shared" si="136"/>
        <v>139.92000000000002</v>
      </c>
      <c r="I187" s="91" t="str">
        <f>I186</f>
        <v>2동5,6라인</v>
      </c>
      <c r="J187" s="92" t="s">
        <v>206</v>
      </c>
      <c r="L187" s="89">
        <v>1</v>
      </c>
      <c r="M187" s="306">
        <f>M186</f>
        <v>10</v>
      </c>
      <c r="N187" s="84"/>
      <c r="O187" s="306">
        <f t="shared" ref="O187:O192" si="138">L187*M187-N187*L187</f>
        <v>10</v>
      </c>
    </row>
    <row r="188" spans="1:16" ht="18" customHeight="1">
      <c r="A188" s="85"/>
      <c r="B188" s="86"/>
      <c r="C188" s="87"/>
      <c r="D188" s="88">
        <v>738</v>
      </c>
      <c r="E188" s="88">
        <v>1310</v>
      </c>
      <c r="F188" s="89">
        <f t="shared" si="137"/>
        <v>40</v>
      </c>
      <c r="G188" s="90">
        <f t="shared" si="135"/>
        <v>421.2136065091658</v>
      </c>
      <c r="H188" s="90">
        <f t="shared" si="136"/>
        <v>327.68</v>
      </c>
      <c r="I188" s="91" t="str">
        <f t="shared" ref="I188:I192" si="139">I187</f>
        <v>2동5,6라인</v>
      </c>
      <c r="J188" s="92" t="s">
        <v>207</v>
      </c>
      <c r="L188" s="89">
        <v>4</v>
      </c>
      <c r="M188" s="306">
        <f t="shared" ref="M188:M191" si="140">M187</f>
        <v>10</v>
      </c>
      <c r="N188" s="306"/>
      <c r="O188" s="306">
        <f t="shared" si="138"/>
        <v>40</v>
      </c>
    </row>
    <row r="189" spans="1:16" ht="18" customHeight="1">
      <c r="A189" s="85"/>
      <c r="B189" s="86"/>
      <c r="C189" s="87"/>
      <c r="D189" s="88">
        <v>288</v>
      </c>
      <c r="E189" s="88">
        <v>910</v>
      </c>
      <c r="F189" s="89">
        <f t="shared" si="137"/>
        <v>20</v>
      </c>
      <c r="G189" s="90">
        <f t="shared" si="135"/>
        <v>57.09244191745907</v>
      </c>
      <c r="H189" s="90">
        <f t="shared" si="136"/>
        <v>95.84</v>
      </c>
      <c r="I189" s="91" t="str">
        <f t="shared" si="139"/>
        <v>2동5,6라인</v>
      </c>
      <c r="J189" s="92" t="s">
        <v>208</v>
      </c>
      <c r="L189" s="89">
        <v>2</v>
      </c>
      <c r="M189" s="306">
        <f t="shared" si="140"/>
        <v>10</v>
      </c>
      <c r="N189" s="306"/>
      <c r="O189" s="306">
        <f t="shared" si="138"/>
        <v>20</v>
      </c>
    </row>
    <row r="190" spans="1:16" ht="18" customHeight="1">
      <c r="A190" s="85"/>
      <c r="B190" s="86"/>
      <c r="C190" s="87"/>
      <c r="D190" s="88">
        <v>228</v>
      </c>
      <c r="E190" s="88">
        <v>910</v>
      </c>
      <c r="F190" s="89">
        <f t="shared" si="137"/>
        <v>20</v>
      </c>
      <c r="G190" s="90">
        <f t="shared" si="135"/>
        <v>45.1981831846551</v>
      </c>
      <c r="H190" s="90">
        <f t="shared" si="136"/>
        <v>91.039999999999992</v>
      </c>
      <c r="I190" s="91" t="str">
        <f t="shared" si="139"/>
        <v>2동5,6라인</v>
      </c>
      <c r="J190" s="92" t="s">
        <v>209</v>
      </c>
      <c r="L190" s="89">
        <v>2</v>
      </c>
      <c r="M190" s="306">
        <f t="shared" si="140"/>
        <v>10</v>
      </c>
      <c r="N190" s="306"/>
      <c r="O190" s="306">
        <f t="shared" si="138"/>
        <v>20</v>
      </c>
    </row>
    <row r="191" spans="1:16" ht="18" customHeight="1">
      <c r="A191" s="85"/>
      <c r="B191" s="86"/>
      <c r="C191" s="87"/>
      <c r="D191" s="88">
        <v>438</v>
      </c>
      <c r="E191" s="88">
        <v>270</v>
      </c>
      <c r="F191" s="89">
        <f t="shared" si="137"/>
        <v>20</v>
      </c>
      <c r="G191" s="90">
        <f t="shared" si="135"/>
        <v>25.762180178413882</v>
      </c>
      <c r="H191" s="90">
        <f t="shared" si="136"/>
        <v>56.64</v>
      </c>
      <c r="I191" s="91" t="str">
        <f t="shared" si="139"/>
        <v>2동5,6라인</v>
      </c>
      <c r="J191" s="92" t="s">
        <v>210</v>
      </c>
      <c r="L191" s="89">
        <v>2</v>
      </c>
      <c r="M191" s="306">
        <f t="shared" si="140"/>
        <v>10</v>
      </c>
      <c r="N191" s="306"/>
      <c r="O191" s="306">
        <f t="shared" si="138"/>
        <v>20</v>
      </c>
    </row>
    <row r="192" spans="1:16" ht="18" customHeight="1">
      <c r="A192" s="85"/>
      <c r="B192" s="86"/>
      <c r="C192" s="87"/>
      <c r="D192" s="88">
        <v>208</v>
      </c>
      <c r="E192" s="88">
        <v>910</v>
      </c>
      <c r="F192" s="89">
        <f t="shared" si="137"/>
        <v>20</v>
      </c>
      <c r="G192" s="90">
        <f t="shared" si="135"/>
        <v>41.233430273720444</v>
      </c>
      <c r="H192" s="90">
        <f t="shared" si="136"/>
        <v>89.44</v>
      </c>
      <c r="I192" s="91" t="str">
        <f t="shared" si="139"/>
        <v>2동5,6라인</v>
      </c>
      <c r="J192" s="92" t="s">
        <v>211</v>
      </c>
      <c r="L192" s="89">
        <v>2</v>
      </c>
      <c r="M192" s="306">
        <f>M191</f>
        <v>10</v>
      </c>
      <c r="N192" s="306"/>
      <c r="O192" s="306">
        <f t="shared" si="138"/>
        <v>20</v>
      </c>
    </row>
    <row r="193" spans="1:16" ht="18" customHeight="1">
      <c r="A193" s="85"/>
      <c r="B193" s="93"/>
      <c r="C193" s="87"/>
      <c r="D193" s="325" t="s">
        <v>0</v>
      </c>
      <c r="E193" s="325"/>
      <c r="F193" s="94">
        <f>SUM(F186:F192)</f>
        <v>150</v>
      </c>
      <c r="G193" s="95">
        <f>SUM(G186:G192)</f>
        <v>1223.3462950255423</v>
      </c>
      <c r="H193" s="96">
        <f>SUM(H186:H192)</f>
        <v>1006.24</v>
      </c>
      <c r="I193" s="97"/>
      <c r="J193" s="162"/>
    </row>
    <row r="194" spans="1:16" ht="18" customHeight="1">
      <c r="A194" s="85"/>
      <c r="B194" s="93"/>
      <c r="C194" s="87"/>
      <c r="D194" s="161"/>
      <c r="E194" s="161"/>
      <c r="F194" s="89"/>
      <c r="G194" s="100"/>
      <c r="H194" s="101"/>
      <c r="I194" s="102"/>
      <c r="J194" s="121"/>
      <c r="L194" s="306" t="s">
        <v>48</v>
      </c>
      <c r="M194" s="306" t="s">
        <v>54</v>
      </c>
      <c r="N194" s="306" t="s">
        <v>50</v>
      </c>
      <c r="O194" s="306" t="s">
        <v>55</v>
      </c>
    </row>
    <row r="195" spans="1:16" ht="18" customHeight="1">
      <c r="A195" s="85"/>
      <c r="B195" s="23" t="s">
        <v>197</v>
      </c>
      <c r="C195" s="24">
        <v>22</v>
      </c>
      <c r="D195" s="88">
        <v>761</v>
      </c>
      <c r="E195" s="88">
        <v>1810</v>
      </c>
      <c r="F195" s="89">
        <f t="shared" ref="F195:F201" si="141">O195</f>
        <v>20</v>
      </c>
      <c r="G195" s="90">
        <f t="shared" ref="G195:G201" si="142">D195*E195/91809*F195</f>
        <v>300.05990698079711</v>
      </c>
      <c r="H195" s="90">
        <f t="shared" ref="H195:H201" si="143">(D195/1000)*4*F195+(E195/1000)*4*F195</f>
        <v>205.68</v>
      </c>
      <c r="I195" s="91" t="str">
        <f t="shared" ref="I195:I201" si="144">I186</f>
        <v>2동5,6라인</v>
      </c>
      <c r="J195" s="92" t="s">
        <v>212</v>
      </c>
      <c r="L195" s="89">
        <v>2</v>
      </c>
      <c r="M195" s="306">
        <f>M186</f>
        <v>10</v>
      </c>
      <c r="N195" s="84"/>
      <c r="O195" s="306">
        <f>L195*M195-N195*L195</f>
        <v>20</v>
      </c>
    </row>
    <row r="196" spans="1:16" ht="18" customHeight="1">
      <c r="A196" s="85"/>
      <c r="B196" s="86"/>
      <c r="C196" s="87"/>
      <c r="D196" s="88">
        <v>1688</v>
      </c>
      <c r="E196" s="88">
        <v>1810</v>
      </c>
      <c r="F196" s="89">
        <f t="shared" si="141"/>
        <v>10</v>
      </c>
      <c r="G196" s="90">
        <f t="shared" si="142"/>
        <v>332.78654598133079</v>
      </c>
      <c r="H196" s="90">
        <f t="shared" si="143"/>
        <v>139.92000000000002</v>
      </c>
      <c r="I196" s="91" t="str">
        <f t="shared" si="144"/>
        <v>2동5,6라인</v>
      </c>
      <c r="J196" s="92" t="s">
        <v>213</v>
      </c>
      <c r="L196" s="89">
        <v>1</v>
      </c>
      <c r="M196" s="306">
        <f>M195</f>
        <v>10</v>
      </c>
      <c r="N196" s="84"/>
      <c r="O196" s="306">
        <f>L196*M196-N196*L196</f>
        <v>10</v>
      </c>
    </row>
    <row r="197" spans="1:16" ht="18" customHeight="1">
      <c r="A197" s="104"/>
      <c r="B197" s="93"/>
      <c r="C197" s="87"/>
      <c r="D197" s="88">
        <v>738</v>
      </c>
      <c r="E197" s="88">
        <v>1310</v>
      </c>
      <c r="F197" s="89">
        <f t="shared" si="141"/>
        <v>40</v>
      </c>
      <c r="G197" s="90">
        <f t="shared" si="142"/>
        <v>421.2136065091658</v>
      </c>
      <c r="H197" s="90">
        <f t="shared" si="143"/>
        <v>327.68</v>
      </c>
      <c r="I197" s="91" t="str">
        <f t="shared" si="144"/>
        <v>2동5,6라인</v>
      </c>
      <c r="J197" s="92" t="s">
        <v>214</v>
      </c>
      <c r="L197" s="89">
        <v>4</v>
      </c>
      <c r="M197" s="306">
        <f t="shared" ref="M197:M201" si="145">M196</f>
        <v>10</v>
      </c>
      <c r="N197" s="84"/>
      <c r="O197" s="306">
        <f t="shared" ref="O197:O201" si="146">L197*M197-N197*L197</f>
        <v>40</v>
      </c>
    </row>
    <row r="198" spans="1:16" ht="18" customHeight="1">
      <c r="A198" s="104"/>
      <c r="B198" s="93"/>
      <c r="C198" s="87"/>
      <c r="D198" s="88">
        <v>288</v>
      </c>
      <c r="E198" s="88">
        <v>910</v>
      </c>
      <c r="F198" s="89">
        <f t="shared" si="141"/>
        <v>20</v>
      </c>
      <c r="G198" s="90">
        <f t="shared" si="142"/>
        <v>57.09244191745907</v>
      </c>
      <c r="H198" s="90">
        <f t="shared" si="143"/>
        <v>95.84</v>
      </c>
      <c r="I198" s="91" t="str">
        <f t="shared" si="144"/>
        <v>2동5,6라인</v>
      </c>
      <c r="J198" s="92" t="s">
        <v>215</v>
      </c>
      <c r="L198" s="89">
        <v>2</v>
      </c>
      <c r="M198" s="306">
        <f t="shared" si="145"/>
        <v>10</v>
      </c>
      <c r="N198" s="306"/>
      <c r="O198" s="306">
        <f t="shared" si="146"/>
        <v>20</v>
      </c>
    </row>
    <row r="199" spans="1:16" ht="18" customHeight="1">
      <c r="A199" s="104"/>
      <c r="B199" s="93"/>
      <c r="C199" s="87"/>
      <c r="D199" s="88">
        <v>228</v>
      </c>
      <c r="E199" s="88">
        <v>910</v>
      </c>
      <c r="F199" s="89">
        <f t="shared" si="141"/>
        <v>20</v>
      </c>
      <c r="G199" s="90">
        <f t="shared" si="142"/>
        <v>45.1981831846551</v>
      </c>
      <c r="H199" s="90">
        <f t="shared" si="143"/>
        <v>91.039999999999992</v>
      </c>
      <c r="I199" s="91" t="str">
        <f t="shared" si="144"/>
        <v>2동5,6라인</v>
      </c>
      <c r="J199" s="92" t="s">
        <v>216</v>
      </c>
      <c r="L199" s="89">
        <v>2</v>
      </c>
      <c r="M199" s="306">
        <f t="shared" si="145"/>
        <v>10</v>
      </c>
      <c r="N199" s="306"/>
      <c r="O199" s="306">
        <f t="shared" si="146"/>
        <v>20</v>
      </c>
    </row>
    <row r="200" spans="1:16" ht="18" customHeight="1">
      <c r="A200" s="104"/>
      <c r="B200" s="93"/>
      <c r="C200" s="87"/>
      <c r="D200" s="88">
        <v>438</v>
      </c>
      <c r="E200" s="88">
        <v>270</v>
      </c>
      <c r="F200" s="89">
        <f t="shared" si="141"/>
        <v>20</v>
      </c>
      <c r="G200" s="90">
        <f t="shared" si="142"/>
        <v>25.762180178413882</v>
      </c>
      <c r="H200" s="90">
        <f t="shared" si="143"/>
        <v>56.64</v>
      </c>
      <c r="I200" s="91" t="str">
        <f t="shared" si="144"/>
        <v>2동5,6라인</v>
      </c>
      <c r="J200" s="92" t="s">
        <v>217</v>
      </c>
      <c r="L200" s="89">
        <v>2</v>
      </c>
      <c r="M200" s="306">
        <f t="shared" si="145"/>
        <v>10</v>
      </c>
      <c r="N200" s="306"/>
      <c r="O200" s="306">
        <f t="shared" si="146"/>
        <v>20</v>
      </c>
    </row>
    <row r="201" spans="1:16" ht="18" customHeight="1">
      <c r="A201" s="104"/>
      <c r="B201" s="93"/>
      <c r="C201" s="87"/>
      <c r="D201" s="88">
        <v>208</v>
      </c>
      <c r="E201" s="88">
        <v>910</v>
      </c>
      <c r="F201" s="89">
        <f t="shared" si="141"/>
        <v>20</v>
      </c>
      <c r="G201" s="90">
        <f t="shared" si="142"/>
        <v>41.233430273720444</v>
      </c>
      <c r="H201" s="90">
        <f t="shared" si="143"/>
        <v>89.44</v>
      </c>
      <c r="I201" s="91" t="str">
        <f t="shared" si="144"/>
        <v>2동5,6라인</v>
      </c>
      <c r="J201" s="92" t="s">
        <v>218</v>
      </c>
      <c r="L201" s="89">
        <v>2</v>
      </c>
      <c r="M201" s="306">
        <f t="shared" si="145"/>
        <v>10</v>
      </c>
      <c r="N201" s="306"/>
      <c r="O201" s="306">
        <f t="shared" si="146"/>
        <v>20</v>
      </c>
    </row>
    <row r="202" spans="1:16" ht="18" customHeight="1">
      <c r="A202" s="104"/>
      <c r="B202" s="87"/>
      <c r="C202" s="87"/>
      <c r="D202" s="325" t="s">
        <v>0</v>
      </c>
      <c r="E202" s="325"/>
      <c r="F202" s="171">
        <f>SUM(F195:F201)</f>
        <v>150</v>
      </c>
      <c r="G202" s="95">
        <f>SUM(G195:G201)</f>
        <v>1223.3462950255423</v>
      </c>
      <c r="H202" s="95">
        <f>SUM(H195:H201)</f>
        <v>1006.24</v>
      </c>
      <c r="I202" s="97"/>
      <c r="J202" s="98"/>
    </row>
    <row r="203" spans="1:16">
      <c r="A203" s="105"/>
      <c r="B203" s="9"/>
      <c r="C203" s="9"/>
      <c r="D203" s="51"/>
      <c r="E203" s="51"/>
      <c r="F203" s="51"/>
      <c r="G203" s="106"/>
      <c r="H203" s="106"/>
      <c r="I203" s="9"/>
      <c r="J203" s="107"/>
    </row>
    <row r="204" spans="1:16" ht="18" customHeight="1">
      <c r="A204" s="85"/>
      <c r="B204" s="163" t="s">
        <v>199</v>
      </c>
      <c r="C204" s="163">
        <v>22</v>
      </c>
      <c r="D204" s="88">
        <v>738</v>
      </c>
      <c r="E204" s="88">
        <v>1810</v>
      </c>
      <c r="F204" s="89">
        <f t="shared" ref="F204:F205" si="147">O204</f>
        <v>20</v>
      </c>
      <c r="G204" s="90">
        <f t="shared" ref="G204:G205" si="148">D204*E204/91809*F204</f>
        <v>290.99107930595039</v>
      </c>
      <c r="H204" s="90">
        <f t="shared" ref="H204:H205" si="149">(D204/1000)*4*F204+(E204/1000)*4*F204</f>
        <v>203.84</v>
      </c>
      <c r="I204" s="91" t="str">
        <f>I195</f>
        <v>2동5,6라인</v>
      </c>
      <c r="J204" s="92" t="s">
        <v>219</v>
      </c>
      <c r="L204" s="89">
        <v>2</v>
      </c>
      <c r="M204" s="306">
        <f>M186</f>
        <v>10</v>
      </c>
      <c r="N204" s="84"/>
      <c r="O204" s="306">
        <f>L204*M204-N204*L204</f>
        <v>20</v>
      </c>
      <c r="P204" s="64"/>
    </row>
    <row r="205" spans="1:16" ht="18" customHeight="1">
      <c r="A205" s="85"/>
      <c r="B205" s="86"/>
      <c r="C205" s="87"/>
      <c r="D205" s="88">
        <v>250</v>
      </c>
      <c r="E205" s="88">
        <v>930</v>
      </c>
      <c r="F205" s="89">
        <f t="shared" si="147"/>
        <v>20</v>
      </c>
      <c r="G205" s="90">
        <f t="shared" si="148"/>
        <v>50.648629219357574</v>
      </c>
      <c r="H205" s="90">
        <f t="shared" si="149"/>
        <v>94.4</v>
      </c>
      <c r="I205" s="91" t="str">
        <f>I204</f>
        <v>2동5,6라인</v>
      </c>
      <c r="J205" s="92" t="s">
        <v>220</v>
      </c>
      <c r="L205" s="89">
        <v>2</v>
      </c>
      <c r="M205" s="306">
        <f>M204</f>
        <v>10</v>
      </c>
      <c r="N205" s="84"/>
      <c r="O205" s="306">
        <f t="shared" ref="O205" si="150">L205*M205-N205*L205</f>
        <v>20</v>
      </c>
    </row>
    <row r="206" spans="1:16" ht="18" customHeight="1">
      <c r="A206" s="85"/>
      <c r="B206" s="93"/>
      <c r="C206" s="87"/>
      <c r="D206" s="325" t="s">
        <v>0</v>
      </c>
      <c r="E206" s="325"/>
      <c r="F206" s="94">
        <f>SUM(F204:F205)</f>
        <v>40</v>
      </c>
      <c r="G206" s="95">
        <f>SUM(G204:G205)</f>
        <v>341.63970852530798</v>
      </c>
      <c r="H206" s="95">
        <f>SUM(H204:H205)</f>
        <v>298.24</v>
      </c>
      <c r="I206" s="97"/>
      <c r="J206" s="98"/>
    </row>
    <row r="207" spans="1:16" ht="18" customHeight="1">
      <c r="A207" s="253"/>
      <c r="B207" s="254"/>
      <c r="C207" s="255"/>
      <c r="D207" s="361"/>
      <c r="E207" s="361"/>
      <c r="F207" s="256"/>
      <c r="G207" s="257"/>
      <c r="H207" s="258"/>
      <c r="I207" s="259"/>
      <c r="J207" s="260"/>
      <c r="L207" s="250"/>
      <c r="M207" s="250"/>
      <c r="N207" s="250"/>
      <c r="O207" s="250"/>
    </row>
    <row r="208" spans="1:16" ht="18" customHeight="1">
      <c r="A208" s="85">
        <v>74</v>
      </c>
      <c r="B208" s="23" t="s">
        <v>196</v>
      </c>
      <c r="C208" s="24">
        <v>22</v>
      </c>
      <c r="D208" s="88">
        <v>861</v>
      </c>
      <c r="E208" s="88">
        <v>1810</v>
      </c>
      <c r="F208" s="89">
        <f t="shared" ref="F208:F212" si="151">O208</f>
        <v>10</v>
      </c>
      <c r="G208" s="90">
        <f t="shared" ref="G208:G212" si="152">D208*E208/91809*F208</f>
        <v>169.7447962618044</v>
      </c>
      <c r="H208" s="90">
        <f t="shared" ref="H208:H212" si="153">(D208/1000)*4*F208+(E208/1000)*4*F208</f>
        <v>106.84</v>
      </c>
      <c r="I208" s="91" t="s">
        <v>251</v>
      </c>
      <c r="J208" s="92" t="s">
        <v>205</v>
      </c>
      <c r="L208" s="89">
        <v>1</v>
      </c>
      <c r="M208" s="306">
        <v>10</v>
      </c>
      <c r="N208" s="84"/>
      <c r="O208" s="306">
        <f>L208*M208-N208*L208</f>
        <v>10</v>
      </c>
      <c r="P208" s="64"/>
    </row>
    <row r="209" spans="1:15" ht="18" customHeight="1">
      <c r="A209" s="85"/>
      <c r="B209" s="86"/>
      <c r="C209" s="87"/>
      <c r="D209" s="88">
        <v>738</v>
      </c>
      <c r="E209" s="88">
        <v>1310</v>
      </c>
      <c r="F209" s="89">
        <f t="shared" si="151"/>
        <v>40</v>
      </c>
      <c r="G209" s="90">
        <f t="shared" si="152"/>
        <v>421.2136065091658</v>
      </c>
      <c r="H209" s="90">
        <f t="shared" si="153"/>
        <v>327.68</v>
      </c>
      <c r="I209" s="91" t="str">
        <f>I208</f>
        <v>3동1,2라인</v>
      </c>
      <c r="J209" s="92" t="s">
        <v>207</v>
      </c>
      <c r="L209" s="89">
        <v>4</v>
      </c>
      <c r="M209" s="306">
        <f>M208</f>
        <v>10</v>
      </c>
      <c r="N209" s="84"/>
      <c r="O209" s="306">
        <f t="shared" ref="O209:O212" si="154">L209*M209-N209*L209</f>
        <v>40</v>
      </c>
    </row>
    <row r="210" spans="1:15" ht="18" customHeight="1">
      <c r="A210" s="85"/>
      <c r="B210" s="86"/>
      <c r="C210" s="87"/>
      <c r="D210" s="88">
        <v>288</v>
      </c>
      <c r="E210" s="88">
        <v>910</v>
      </c>
      <c r="F210" s="89">
        <f t="shared" si="151"/>
        <v>20</v>
      </c>
      <c r="G210" s="90">
        <f t="shared" si="152"/>
        <v>57.09244191745907</v>
      </c>
      <c r="H210" s="90">
        <f t="shared" si="153"/>
        <v>95.84</v>
      </c>
      <c r="I210" s="91" t="str">
        <f t="shared" ref="I210:I211" si="155">I209</f>
        <v>3동1,2라인</v>
      </c>
      <c r="J210" s="92" t="s">
        <v>208</v>
      </c>
      <c r="L210" s="89">
        <v>2</v>
      </c>
      <c r="M210" s="306">
        <f t="shared" ref="M210" si="156">M209</f>
        <v>10</v>
      </c>
      <c r="N210" s="306"/>
      <c r="O210" s="306">
        <f t="shared" si="154"/>
        <v>20</v>
      </c>
    </row>
    <row r="211" spans="1:15" ht="18" customHeight="1">
      <c r="A211" s="85"/>
      <c r="B211" s="86"/>
      <c r="C211" s="87"/>
      <c r="D211" s="88">
        <v>228</v>
      </c>
      <c r="E211" s="88">
        <v>910</v>
      </c>
      <c r="F211" s="89">
        <f t="shared" si="151"/>
        <v>20</v>
      </c>
      <c r="G211" s="90">
        <f t="shared" si="152"/>
        <v>45.1981831846551</v>
      </c>
      <c r="H211" s="90">
        <f t="shared" si="153"/>
        <v>91.039999999999992</v>
      </c>
      <c r="I211" s="91" t="str">
        <f t="shared" si="155"/>
        <v>3동1,2라인</v>
      </c>
      <c r="J211" s="92" t="s">
        <v>209</v>
      </c>
      <c r="L211" s="89">
        <v>2</v>
      </c>
      <c r="M211" s="306">
        <f>M210</f>
        <v>10</v>
      </c>
      <c r="N211" s="306"/>
      <c r="O211" s="306">
        <f t="shared" si="154"/>
        <v>20</v>
      </c>
    </row>
    <row r="212" spans="1:15" ht="18" customHeight="1">
      <c r="A212" s="85"/>
      <c r="B212" s="86"/>
      <c r="C212" s="87"/>
      <c r="D212" s="88">
        <v>438</v>
      </c>
      <c r="E212" s="88">
        <v>270</v>
      </c>
      <c r="F212" s="89">
        <f t="shared" si="151"/>
        <v>20</v>
      </c>
      <c r="G212" s="90">
        <f t="shared" si="152"/>
        <v>25.762180178413882</v>
      </c>
      <c r="H212" s="90">
        <f t="shared" si="153"/>
        <v>56.64</v>
      </c>
      <c r="I212" s="91" t="str">
        <f>I210</f>
        <v>3동1,2라인</v>
      </c>
      <c r="J212" s="92" t="s">
        <v>210</v>
      </c>
      <c r="L212" s="89">
        <v>2</v>
      </c>
      <c r="M212" s="306">
        <f>M210</f>
        <v>10</v>
      </c>
      <c r="N212" s="306"/>
      <c r="O212" s="306">
        <f t="shared" si="154"/>
        <v>20</v>
      </c>
    </row>
    <row r="213" spans="1:15" ht="18" customHeight="1">
      <c r="A213" s="85"/>
      <c r="B213" s="93"/>
      <c r="C213" s="87"/>
      <c r="D213" s="325" t="s">
        <v>0</v>
      </c>
      <c r="E213" s="325"/>
      <c r="F213" s="94">
        <f>SUM(F208:F212)</f>
        <v>110</v>
      </c>
      <c r="G213" s="95">
        <f>SUM(G208:G212)</f>
        <v>719.01120805149833</v>
      </c>
      <c r="H213" s="96">
        <f>SUM(H208:H212)</f>
        <v>678.04</v>
      </c>
      <c r="I213" s="97"/>
      <c r="J213" s="162"/>
    </row>
    <row r="214" spans="1:15" ht="18" customHeight="1">
      <c r="A214" s="85"/>
      <c r="B214" s="93"/>
      <c r="C214" s="87"/>
      <c r="D214" s="161"/>
      <c r="E214" s="161"/>
      <c r="F214" s="89"/>
      <c r="G214" s="100"/>
      <c r="H214" s="101"/>
      <c r="I214" s="102"/>
      <c r="J214" s="121"/>
      <c r="L214" s="252"/>
      <c r="M214" s="252"/>
      <c r="N214" s="252"/>
      <c r="O214" s="252"/>
    </row>
    <row r="215" spans="1:15" ht="18" customHeight="1">
      <c r="A215" s="85"/>
      <c r="B215" s="23" t="s">
        <v>198</v>
      </c>
      <c r="C215" s="24">
        <v>22</v>
      </c>
      <c r="D215" s="88">
        <v>861</v>
      </c>
      <c r="E215" s="88">
        <v>1810</v>
      </c>
      <c r="F215" s="89">
        <f t="shared" ref="F215:F220" si="157">O215</f>
        <v>10</v>
      </c>
      <c r="G215" s="90">
        <f t="shared" ref="G215:G220" si="158">D215*E215/91809*F215</f>
        <v>169.7447962618044</v>
      </c>
      <c r="H215" s="90">
        <f t="shared" ref="H215:H220" si="159">(D215/1000)*4*F215+(E215/1000)*4*F215</f>
        <v>106.84</v>
      </c>
      <c r="I215" s="91" t="str">
        <f>I208</f>
        <v>3동1,2라인</v>
      </c>
      <c r="J215" s="92" t="s">
        <v>212</v>
      </c>
      <c r="L215" s="89">
        <v>1</v>
      </c>
      <c r="M215" s="306">
        <f>M208</f>
        <v>10</v>
      </c>
      <c r="N215" s="84"/>
      <c r="O215" s="306">
        <f>L215*M215-N215*L215</f>
        <v>10</v>
      </c>
    </row>
    <row r="216" spans="1:15" ht="18" customHeight="1">
      <c r="A216" s="85"/>
      <c r="B216" s="86"/>
      <c r="C216" s="87"/>
      <c r="D216" s="88">
        <v>2114</v>
      </c>
      <c r="E216" s="88">
        <v>1810</v>
      </c>
      <c r="F216" s="89">
        <f t="shared" si="157"/>
        <v>10</v>
      </c>
      <c r="G216" s="90">
        <f t="shared" si="158"/>
        <v>416.77177618751978</v>
      </c>
      <c r="H216" s="90">
        <f t="shared" si="159"/>
        <v>156.96</v>
      </c>
      <c r="I216" s="91" t="str">
        <f>I208</f>
        <v>3동1,2라인</v>
      </c>
      <c r="J216" s="92" t="s">
        <v>213</v>
      </c>
      <c r="L216" s="89">
        <v>1</v>
      </c>
      <c r="M216" s="306">
        <f>M215</f>
        <v>10</v>
      </c>
      <c r="N216" s="84"/>
      <c r="O216" s="306">
        <f>L216*M216-N216*L216</f>
        <v>10</v>
      </c>
    </row>
    <row r="217" spans="1:15" ht="18" customHeight="1">
      <c r="A217" s="104"/>
      <c r="B217" s="93"/>
      <c r="C217" s="87"/>
      <c r="D217" s="88">
        <v>738</v>
      </c>
      <c r="E217" s="88">
        <v>1310</v>
      </c>
      <c r="F217" s="89">
        <f t="shared" si="157"/>
        <v>40</v>
      </c>
      <c r="G217" s="90">
        <f t="shared" si="158"/>
        <v>421.2136065091658</v>
      </c>
      <c r="H217" s="90">
        <f t="shared" si="159"/>
        <v>327.68</v>
      </c>
      <c r="I217" s="91" t="str">
        <f>I216</f>
        <v>3동1,2라인</v>
      </c>
      <c r="J217" s="92" t="s">
        <v>214</v>
      </c>
      <c r="L217" s="89">
        <v>4</v>
      </c>
      <c r="M217" s="306">
        <f t="shared" ref="M217:M220" si="160">M216</f>
        <v>10</v>
      </c>
      <c r="N217" s="84"/>
      <c r="O217" s="306">
        <f t="shared" ref="O217:O220" si="161">L217*M217-N217*L217</f>
        <v>40</v>
      </c>
    </row>
    <row r="218" spans="1:15" ht="18" customHeight="1">
      <c r="A218" s="104"/>
      <c r="B218" s="93"/>
      <c r="C218" s="87"/>
      <c r="D218" s="88">
        <v>288</v>
      </c>
      <c r="E218" s="88">
        <v>910</v>
      </c>
      <c r="F218" s="89">
        <f t="shared" si="157"/>
        <v>20</v>
      </c>
      <c r="G218" s="90">
        <f t="shared" si="158"/>
        <v>57.09244191745907</v>
      </c>
      <c r="H218" s="90">
        <f t="shared" si="159"/>
        <v>95.84</v>
      </c>
      <c r="I218" s="91" t="str">
        <f>I217</f>
        <v>3동1,2라인</v>
      </c>
      <c r="J218" s="92" t="s">
        <v>215</v>
      </c>
      <c r="L218" s="89">
        <v>2</v>
      </c>
      <c r="M218" s="306">
        <f>M217</f>
        <v>10</v>
      </c>
      <c r="N218" s="84"/>
      <c r="O218" s="306">
        <f t="shared" si="161"/>
        <v>20</v>
      </c>
    </row>
    <row r="219" spans="1:15" ht="18" customHeight="1">
      <c r="A219" s="104"/>
      <c r="B219" s="93"/>
      <c r="C219" s="87"/>
      <c r="D219" s="88">
        <v>228</v>
      </c>
      <c r="E219" s="88">
        <v>910</v>
      </c>
      <c r="F219" s="89">
        <f t="shared" si="157"/>
        <v>20</v>
      </c>
      <c r="G219" s="90">
        <f t="shared" si="158"/>
        <v>45.1981831846551</v>
      </c>
      <c r="H219" s="90">
        <f t="shared" si="159"/>
        <v>91.039999999999992</v>
      </c>
      <c r="I219" s="91" t="str">
        <f>I217</f>
        <v>3동1,2라인</v>
      </c>
      <c r="J219" s="92" t="s">
        <v>216</v>
      </c>
      <c r="L219" s="89">
        <v>2</v>
      </c>
      <c r="M219" s="306">
        <f>M217</f>
        <v>10</v>
      </c>
      <c r="N219" s="306"/>
      <c r="O219" s="306">
        <f t="shared" si="161"/>
        <v>20</v>
      </c>
    </row>
    <row r="220" spans="1:15" ht="18" customHeight="1">
      <c r="A220" s="104"/>
      <c r="B220" s="93"/>
      <c r="C220" s="87"/>
      <c r="D220" s="88">
        <v>438</v>
      </c>
      <c r="E220" s="88">
        <v>270</v>
      </c>
      <c r="F220" s="89">
        <f t="shared" si="157"/>
        <v>20</v>
      </c>
      <c r="G220" s="90">
        <f t="shared" si="158"/>
        <v>25.762180178413882</v>
      </c>
      <c r="H220" s="90">
        <f t="shared" si="159"/>
        <v>56.64</v>
      </c>
      <c r="I220" s="91" t="str">
        <f t="shared" ref="I220" si="162">I219</f>
        <v>3동1,2라인</v>
      </c>
      <c r="J220" s="92" t="s">
        <v>217</v>
      </c>
      <c r="L220" s="89">
        <v>2</v>
      </c>
      <c r="M220" s="306">
        <f t="shared" si="160"/>
        <v>10</v>
      </c>
      <c r="N220" s="306"/>
      <c r="O220" s="306">
        <f t="shared" si="161"/>
        <v>20</v>
      </c>
    </row>
    <row r="221" spans="1:15" ht="18" customHeight="1">
      <c r="A221" s="104"/>
      <c r="B221" s="87"/>
      <c r="C221" s="87"/>
      <c r="D221" s="325" t="s">
        <v>0</v>
      </c>
      <c r="E221" s="325"/>
      <c r="F221" s="171">
        <f>SUM(F215:F220)</f>
        <v>120</v>
      </c>
      <c r="G221" s="95">
        <f>SUM(G215:G220)</f>
        <v>1135.7829842390181</v>
      </c>
      <c r="H221" s="95">
        <f>SUM(H215:H220)</f>
        <v>835</v>
      </c>
      <c r="I221" s="97"/>
      <c r="J221" s="98"/>
    </row>
    <row r="222" spans="1:15">
      <c r="A222" s="105"/>
      <c r="B222" s="9"/>
      <c r="C222" s="9"/>
      <c r="D222" s="51"/>
      <c r="E222" s="51"/>
      <c r="F222" s="51"/>
      <c r="G222" s="106"/>
      <c r="H222" s="106"/>
      <c r="I222" s="9"/>
      <c r="J222" s="107"/>
    </row>
    <row r="223" spans="1:15" ht="18" customHeight="1">
      <c r="A223" s="85"/>
      <c r="B223" s="23" t="s">
        <v>237</v>
      </c>
      <c r="C223" s="24">
        <v>22</v>
      </c>
      <c r="D223" s="88">
        <v>2114</v>
      </c>
      <c r="E223" s="88">
        <v>1810</v>
      </c>
      <c r="F223" s="89">
        <f t="shared" ref="F223" si="163">O223</f>
        <v>10</v>
      </c>
      <c r="G223" s="90">
        <f t="shared" ref="G223" si="164">D223*E223/91809*F223</f>
        <v>416.77177618751978</v>
      </c>
      <c r="H223" s="90">
        <f t="shared" ref="H223" si="165">(D223/1000)*4*F223+(E223/1000)*4*F223</f>
        <v>156.96</v>
      </c>
      <c r="I223" s="91" t="str">
        <f>I215</f>
        <v>3동1,2라인</v>
      </c>
      <c r="J223" s="92" t="s">
        <v>206</v>
      </c>
      <c r="L223" s="89">
        <v>1</v>
      </c>
      <c r="M223" s="306">
        <f>M208</f>
        <v>10</v>
      </c>
      <c r="N223" s="84"/>
      <c r="O223" s="306">
        <f>L223*M223-N223*L223</f>
        <v>10</v>
      </c>
    </row>
    <row r="224" spans="1:15" ht="18" customHeight="1">
      <c r="A224" s="85"/>
      <c r="B224" s="93"/>
      <c r="C224" s="87"/>
      <c r="D224" s="325" t="s">
        <v>0</v>
      </c>
      <c r="E224" s="325"/>
      <c r="F224" s="94">
        <f>SUM(F223:F223)</f>
        <v>10</v>
      </c>
      <c r="G224" s="95">
        <f>SUM(G223:G223)</f>
        <v>416.77177618751978</v>
      </c>
      <c r="H224" s="95">
        <f>SUM(H223:H223)</f>
        <v>156.96</v>
      </c>
      <c r="I224" s="97"/>
      <c r="J224" s="98"/>
    </row>
    <row r="225" spans="1:16" ht="18" customHeight="1">
      <c r="A225" s="218"/>
      <c r="B225" s="219"/>
      <c r="C225" s="220"/>
      <c r="D225" s="161"/>
      <c r="E225" s="161"/>
      <c r="F225" s="89"/>
      <c r="G225" s="100"/>
      <c r="H225" s="100"/>
      <c r="I225" s="102"/>
      <c r="J225" s="221"/>
    </row>
    <row r="226" spans="1:16" ht="18" customHeight="1">
      <c r="A226" s="85"/>
      <c r="B226" s="23" t="s">
        <v>200</v>
      </c>
      <c r="C226" s="24">
        <v>22</v>
      </c>
      <c r="D226" s="88">
        <v>638</v>
      </c>
      <c r="E226" s="88">
        <v>1810</v>
      </c>
      <c r="F226" s="89">
        <f t="shared" ref="F226:F227" si="166">O226</f>
        <v>10</v>
      </c>
      <c r="G226" s="90">
        <f t="shared" ref="G226:G227" si="167">D226*E226/91809*F226</f>
        <v>125.78069688156936</v>
      </c>
      <c r="H226" s="90">
        <f t="shared" ref="H226:H227" si="168">(D226/1000)*4*F226+(E226/1000)*4*F226</f>
        <v>97.92</v>
      </c>
      <c r="I226" s="91" t="str">
        <f>I223</f>
        <v>3동1,2라인</v>
      </c>
      <c r="J226" s="92" t="s">
        <v>219</v>
      </c>
      <c r="L226" s="89">
        <v>2</v>
      </c>
      <c r="M226" s="306">
        <f>M223</f>
        <v>10</v>
      </c>
      <c r="N226" s="84">
        <v>5</v>
      </c>
      <c r="O226" s="306">
        <f>L226*M226-N226*L226</f>
        <v>10</v>
      </c>
      <c r="P226" s="64" t="s">
        <v>247</v>
      </c>
    </row>
    <row r="227" spans="1:16" ht="18" customHeight="1">
      <c r="A227" s="85"/>
      <c r="B227" s="86"/>
      <c r="C227" s="87"/>
      <c r="D227" s="88">
        <v>250</v>
      </c>
      <c r="E227" s="88">
        <v>930</v>
      </c>
      <c r="F227" s="89">
        <f t="shared" si="166"/>
        <v>20</v>
      </c>
      <c r="G227" s="90">
        <f t="shared" si="167"/>
        <v>50.648629219357574</v>
      </c>
      <c r="H227" s="90">
        <f t="shared" si="168"/>
        <v>94.4</v>
      </c>
      <c r="I227" s="91" t="str">
        <f>I226</f>
        <v>3동1,2라인</v>
      </c>
      <c r="J227" s="92" t="s">
        <v>220</v>
      </c>
      <c r="L227" s="89">
        <v>2</v>
      </c>
      <c r="M227" s="306">
        <f>M226</f>
        <v>10</v>
      </c>
      <c r="N227" s="84"/>
      <c r="O227" s="306">
        <f t="shared" ref="O227" si="169">L227*M227-N227*L227</f>
        <v>20</v>
      </c>
    </row>
    <row r="228" spans="1:16" ht="18" customHeight="1">
      <c r="A228" s="85"/>
      <c r="B228" s="93"/>
      <c r="C228" s="87"/>
      <c r="D228" s="325" t="s">
        <v>0</v>
      </c>
      <c r="E228" s="325"/>
      <c r="F228" s="94">
        <f>SUM(F226:F227)</f>
        <v>30</v>
      </c>
      <c r="G228" s="95">
        <f>SUM(G226:G227)</f>
        <v>176.42932610092691</v>
      </c>
      <c r="H228" s="96">
        <f>SUM(H226:H227)</f>
        <v>192.32</v>
      </c>
      <c r="I228" s="97"/>
      <c r="J228" s="162"/>
    </row>
    <row r="229" spans="1:16">
      <c r="A229" s="16"/>
      <c r="B229" s="16"/>
      <c r="C229" s="16"/>
      <c r="D229" s="261"/>
      <c r="E229" s="261"/>
      <c r="F229" s="261"/>
      <c r="G229" s="19"/>
      <c r="H229" s="19"/>
      <c r="I229" s="16"/>
      <c r="J229" s="16"/>
    </row>
    <row r="230" spans="1:16" ht="18" customHeight="1">
      <c r="A230" s="85" t="s">
        <v>235</v>
      </c>
      <c r="B230" s="23" t="s">
        <v>196</v>
      </c>
      <c r="C230" s="24">
        <v>22</v>
      </c>
      <c r="D230" s="88">
        <v>861</v>
      </c>
      <c r="E230" s="88">
        <v>1810</v>
      </c>
      <c r="F230" s="89">
        <f t="shared" ref="F230:F233" si="170">O230</f>
        <v>5</v>
      </c>
      <c r="G230" s="90">
        <f t="shared" ref="G230:G233" si="171">D230*E230/91809*F230</f>
        <v>84.872398130902198</v>
      </c>
      <c r="H230" s="90">
        <f t="shared" ref="H230:H233" si="172">(D230/1000)*4*F230+(E230/1000)*4*F230</f>
        <v>53.42</v>
      </c>
      <c r="I230" s="91" t="s">
        <v>252</v>
      </c>
      <c r="J230" s="92" t="s">
        <v>205</v>
      </c>
      <c r="L230" s="89">
        <v>1</v>
      </c>
      <c r="M230" s="306">
        <v>5</v>
      </c>
      <c r="N230" s="84"/>
      <c r="O230" s="306">
        <f>L230*M230-N230*L230</f>
        <v>5</v>
      </c>
      <c r="P230" s="64"/>
    </row>
    <row r="231" spans="1:16" ht="18" customHeight="1">
      <c r="A231" s="85"/>
      <c r="B231" s="86"/>
      <c r="C231" s="87"/>
      <c r="D231" s="88">
        <v>738</v>
      </c>
      <c r="E231" s="88">
        <v>1310</v>
      </c>
      <c r="F231" s="89">
        <f t="shared" si="170"/>
        <v>20</v>
      </c>
      <c r="G231" s="90">
        <f t="shared" si="171"/>
        <v>210.6068032545829</v>
      </c>
      <c r="H231" s="90">
        <f t="shared" si="172"/>
        <v>163.84</v>
      </c>
      <c r="I231" s="91" t="str">
        <f>I230</f>
        <v>3동3라인</v>
      </c>
      <c r="J231" s="92" t="s">
        <v>207</v>
      </c>
      <c r="L231" s="89">
        <v>4</v>
      </c>
      <c r="M231" s="306">
        <v>5</v>
      </c>
      <c r="N231" s="84"/>
      <c r="O231" s="306">
        <f t="shared" ref="O231:O233" si="173">L231*M231-N231*L231</f>
        <v>20</v>
      </c>
    </row>
    <row r="232" spans="1:16" ht="18" customHeight="1">
      <c r="A232" s="85"/>
      <c r="B232" s="86"/>
      <c r="C232" s="87"/>
      <c r="D232" s="88">
        <v>228</v>
      </c>
      <c r="E232" s="88">
        <v>910</v>
      </c>
      <c r="F232" s="89">
        <f t="shared" si="170"/>
        <v>10</v>
      </c>
      <c r="G232" s="90">
        <f t="shared" si="171"/>
        <v>22.59909159232755</v>
      </c>
      <c r="H232" s="90">
        <f t="shared" si="172"/>
        <v>45.519999999999996</v>
      </c>
      <c r="I232" s="91" t="str">
        <f t="shared" ref="I232:I233" si="174">I231</f>
        <v>3동3라인</v>
      </c>
      <c r="J232" s="92" t="s">
        <v>209</v>
      </c>
      <c r="L232" s="89">
        <v>2</v>
      </c>
      <c r="M232" s="306">
        <f t="shared" ref="M232:M233" si="175">M231</f>
        <v>5</v>
      </c>
      <c r="N232" s="306"/>
      <c r="O232" s="306">
        <f t="shared" si="173"/>
        <v>10</v>
      </c>
    </row>
    <row r="233" spans="1:16" ht="18" customHeight="1">
      <c r="A233" s="85"/>
      <c r="B233" s="86"/>
      <c r="C233" s="87"/>
      <c r="D233" s="88">
        <v>438</v>
      </c>
      <c r="E233" s="88">
        <v>270</v>
      </c>
      <c r="F233" s="89">
        <f t="shared" si="170"/>
        <v>10</v>
      </c>
      <c r="G233" s="90">
        <f t="shared" si="171"/>
        <v>12.881090089206941</v>
      </c>
      <c r="H233" s="90">
        <f t="shared" si="172"/>
        <v>28.32</v>
      </c>
      <c r="I233" s="91" t="str">
        <f t="shared" si="174"/>
        <v>3동3라인</v>
      </c>
      <c r="J233" s="92" t="s">
        <v>210</v>
      </c>
      <c r="L233" s="89">
        <v>2</v>
      </c>
      <c r="M233" s="306">
        <f t="shared" si="175"/>
        <v>5</v>
      </c>
      <c r="N233" s="306"/>
      <c r="O233" s="306">
        <f t="shared" si="173"/>
        <v>10</v>
      </c>
    </row>
    <row r="234" spans="1:16" ht="18" customHeight="1">
      <c r="A234" s="85"/>
      <c r="B234" s="93"/>
      <c r="C234" s="87"/>
      <c r="D234" s="325" t="s">
        <v>0</v>
      </c>
      <c r="E234" s="325"/>
      <c r="F234" s="94">
        <f>SUM(F230:F233)</f>
        <v>45</v>
      </c>
      <c r="G234" s="95">
        <f>SUM(G230:G233)</f>
        <v>330.95938306701964</v>
      </c>
      <c r="H234" s="96">
        <f>SUM(H230:H233)</f>
        <v>291.09999999999997</v>
      </c>
      <c r="I234" s="97"/>
      <c r="J234" s="162"/>
    </row>
    <row r="235" spans="1:16" ht="18" customHeight="1">
      <c r="A235" s="85"/>
      <c r="B235" s="93"/>
      <c r="C235" s="87"/>
      <c r="D235" s="161"/>
      <c r="E235" s="161"/>
      <c r="F235" s="89"/>
      <c r="G235" s="100"/>
      <c r="H235" s="101"/>
      <c r="I235" s="102"/>
      <c r="J235" s="121"/>
      <c r="L235" s="252"/>
      <c r="M235" s="252"/>
      <c r="N235" s="252"/>
      <c r="O235" s="252"/>
    </row>
    <row r="236" spans="1:16" ht="18" customHeight="1">
      <c r="A236" s="85"/>
      <c r="B236" s="23" t="s">
        <v>198</v>
      </c>
      <c r="C236" s="24">
        <v>22</v>
      </c>
      <c r="D236" s="88">
        <v>861</v>
      </c>
      <c r="E236" s="88">
        <v>1810</v>
      </c>
      <c r="F236" s="89">
        <f t="shared" ref="F236:F240" si="176">O236</f>
        <v>5</v>
      </c>
      <c r="G236" s="90">
        <f t="shared" ref="G236:G240" si="177">D236*E236/91809*F236</f>
        <v>84.872398130902198</v>
      </c>
      <c r="H236" s="90">
        <f t="shared" ref="H236:H240" si="178">(D236/1000)*4*F236+(E236/1000)*4*F236</f>
        <v>53.42</v>
      </c>
      <c r="I236" s="91" t="str">
        <f>I230</f>
        <v>3동3라인</v>
      </c>
      <c r="J236" s="92" t="s">
        <v>212</v>
      </c>
      <c r="L236" s="89">
        <v>1</v>
      </c>
      <c r="M236" s="306">
        <f>M230</f>
        <v>5</v>
      </c>
      <c r="N236" s="84"/>
      <c r="O236" s="306">
        <f>L236*M236-N236*L236</f>
        <v>5</v>
      </c>
    </row>
    <row r="237" spans="1:16" ht="18" customHeight="1">
      <c r="A237" s="85"/>
      <c r="B237" s="86"/>
      <c r="C237" s="87"/>
      <c r="D237" s="88">
        <v>2114</v>
      </c>
      <c r="E237" s="88">
        <v>1810</v>
      </c>
      <c r="F237" s="89">
        <f t="shared" si="176"/>
        <v>5</v>
      </c>
      <c r="G237" s="90">
        <f t="shared" si="177"/>
        <v>208.38588809375989</v>
      </c>
      <c r="H237" s="90">
        <f t="shared" si="178"/>
        <v>78.48</v>
      </c>
      <c r="I237" s="91" t="str">
        <f>I230</f>
        <v>3동3라인</v>
      </c>
      <c r="J237" s="92" t="s">
        <v>213</v>
      </c>
      <c r="L237" s="89">
        <v>1</v>
      </c>
      <c r="M237" s="306">
        <f>M236</f>
        <v>5</v>
      </c>
      <c r="N237" s="84"/>
      <c r="O237" s="306">
        <f>L237*M237-N237*L237</f>
        <v>5</v>
      </c>
    </row>
    <row r="238" spans="1:16" ht="18" customHeight="1">
      <c r="A238" s="104"/>
      <c r="B238" s="93"/>
      <c r="C238" s="87"/>
      <c r="D238" s="88">
        <v>738</v>
      </c>
      <c r="E238" s="88">
        <v>1310</v>
      </c>
      <c r="F238" s="89">
        <f t="shared" si="176"/>
        <v>20</v>
      </c>
      <c r="G238" s="90">
        <f t="shared" si="177"/>
        <v>210.6068032545829</v>
      </c>
      <c r="H238" s="90">
        <f t="shared" si="178"/>
        <v>163.84</v>
      </c>
      <c r="I238" s="91" t="str">
        <f>I237</f>
        <v>3동3라인</v>
      </c>
      <c r="J238" s="92" t="s">
        <v>214</v>
      </c>
      <c r="L238" s="89">
        <v>4</v>
      </c>
      <c r="M238" s="306">
        <f t="shared" ref="M238:M240" si="179">M237</f>
        <v>5</v>
      </c>
      <c r="N238" s="84"/>
      <c r="O238" s="306">
        <f t="shared" ref="O238:O240" si="180">L238*M238-N238*L238</f>
        <v>20</v>
      </c>
    </row>
    <row r="239" spans="1:16" ht="18" customHeight="1">
      <c r="A239" s="104"/>
      <c r="B239" s="93"/>
      <c r="C239" s="87"/>
      <c r="D239" s="88">
        <v>228</v>
      </c>
      <c r="E239" s="88">
        <v>910</v>
      </c>
      <c r="F239" s="89">
        <f t="shared" si="176"/>
        <v>10</v>
      </c>
      <c r="G239" s="90">
        <f t="shared" si="177"/>
        <v>22.59909159232755</v>
      </c>
      <c r="H239" s="90">
        <f t="shared" si="178"/>
        <v>45.519999999999996</v>
      </c>
      <c r="I239" s="91" t="str">
        <f t="shared" ref="I239:I240" si="181">I238</f>
        <v>3동3라인</v>
      </c>
      <c r="J239" s="92" t="s">
        <v>216</v>
      </c>
      <c r="L239" s="89">
        <v>2</v>
      </c>
      <c r="M239" s="306">
        <f t="shared" si="179"/>
        <v>5</v>
      </c>
      <c r="N239" s="306"/>
      <c r="O239" s="306">
        <f t="shared" si="180"/>
        <v>10</v>
      </c>
    </row>
    <row r="240" spans="1:16" ht="18" customHeight="1">
      <c r="A240" s="104"/>
      <c r="B240" s="93"/>
      <c r="C240" s="87"/>
      <c r="D240" s="88">
        <v>438</v>
      </c>
      <c r="E240" s="88">
        <v>270</v>
      </c>
      <c r="F240" s="89">
        <f t="shared" si="176"/>
        <v>10</v>
      </c>
      <c r="G240" s="90">
        <f t="shared" si="177"/>
        <v>12.881090089206941</v>
      </c>
      <c r="H240" s="90">
        <f t="shared" si="178"/>
        <v>28.32</v>
      </c>
      <c r="I240" s="91" t="str">
        <f t="shared" si="181"/>
        <v>3동3라인</v>
      </c>
      <c r="J240" s="92" t="s">
        <v>217</v>
      </c>
      <c r="L240" s="89">
        <v>2</v>
      </c>
      <c r="M240" s="306">
        <f t="shared" si="179"/>
        <v>5</v>
      </c>
      <c r="N240" s="306"/>
      <c r="O240" s="306">
        <f t="shared" si="180"/>
        <v>10</v>
      </c>
    </row>
    <row r="241" spans="1:16" ht="18" customHeight="1">
      <c r="A241" s="104"/>
      <c r="B241" s="87"/>
      <c r="C241" s="87"/>
      <c r="D241" s="325" t="s">
        <v>0</v>
      </c>
      <c r="E241" s="325"/>
      <c r="F241" s="171">
        <f>SUM(F236:F240)</f>
        <v>50</v>
      </c>
      <c r="G241" s="95">
        <f>SUM(G236:G240)</f>
        <v>539.34527116077948</v>
      </c>
      <c r="H241" s="95">
        <f>SUM(H236:H240)</f>
        <v>369.58</v>
      </c>
      <c r="I241" s="97"/>
      <c r="J241" s="98"/>
    </row>
    <row r="242" spans="1:16">
      <c r="A242" s="105"/>
      <c r="B242" s="9"/>
      <c r="C242" s="9"/>
      <c r="D242" s="51"/>
      <c r="E242" s="51"/>
      <c r="F242" s="51"/>
      <c r="G242" s="106"/>
      <c r="H242" s="106"/>
      <c r="I242" s="9"/>
      <c r="J242" s="107"/>
    </row>
    <row r="243" spans="1:16" ht="18" customHeight="1">
      <c r="A243" s="85"/>
      <c r="B243" s="23" t="s">
        <v>237</v>
      </c>
      <c r="C243" s="24">
        <v>22</v>
      </c>
      <c r="D243" s="88">
        <v>2114</v>
      </c>
      <c r="E243" s="88">
        <v>1810</v>
      </c>
      <c r="F243" s="89">
        <f t="shared" ref="F243" si="182">O243</f>
        <v>5</v>
      </c>
      <c r="G243" s="90">
        <f t="shared" ref="G243" si="183">D243*E243/91809*F243</f>
        <v>208.38588809375989</v>
      </c>
      <c r="H243" s="90">
        <f t="shared" ref="H243" si="184">(D243/1000)*4*F243+(E243/1000)*4*F243</f>
        <v>78.48</v>
      </c>
      <c r="I243" s="91" t="str">
        <f>I236</f>
        <v>3동3라인</v>
      </c>
      <c r="J243" s="92" t="s">
        <v>206</v>
      </c>
      <c r="L243" s="89">
        <v>1</v>
      </c>
      <c r="M243" s="306">
        <f>M230</f>
        <v>5</v>
      </c>
      <c r="N243" s="84"/>
      <c r="O243" s="306">
        <f>L243*M243-N243*L243</f>
        <v>5</v>
      </c>
    </row>
    <row r="244" spans="1:16" ht="18" customHeight="1">
      <c r="A244" s="85"/>
      <c r="B244" s="93"/>
      <c r="C244" s="87"/>
      <c r="D244" s="325" t="s">
        <v>0</v>
      </c>
      <c r="E244" s="325"/>
      <c r="F244" s="94">
        <f>SUM(F243:F243)</f>
        <v>5</v>
      </c>
      <c r="G244" s="95">
        <f>SUM(G243:G243)</f>
        <v>208.38588809375989</v>
      </c>
      <c r="H244" s="95">
        <f>SUM(H243:H243)</f>
        <v>78.48</v>
      </c>
      <c r="I244" s="97"/>
      <c r="J244" s="98"/>
    </row>
    <row r="245" spans="1:16" ht="18" customHeight="1">
      <c r="A245" s="218"/>
      <c r="B245" s="219"/>
      <c r="C245" s="220"/>
      <c r="D245" s="161"/>
      <c r="E245" s="161"/>
      <c r="F245" s="89"/>
      <c r="G245" s="100"/>
      <c r="H245" s="100"/>
      <c r="I245" s="102"/>
      <c r="J245" s="221"/>
    </row>
    <row r="246" spans="1:16" ht="18" customHeight="1">
      <c r="A246" s="85"/>
      <c r="B246" s="23" t="s">
        <v>200</v>
      </c>
      <c r="C246" s="24">
        <v>22</v>
      </c>
      <c r="D246" s="88">
        <v>738</v>
      </c>
      <c r="E246" s="88">
        <v>1810</v>
      </c>
      <c r="F246" s="89">
        <f t="shared" ref="F246:F247" si="185">O246</f>
        <v>10</v>
      </c>
      <c r="G246" s="90">
        <f t="shared" ref="G246:G247" si="186">D246*E246/91809*F246</f>
        <v>145.4955396529752</v>
      </c>
      <c r="H246" s="90">
        <f t="shared" ref="H246:H247" si="187">(D246/1000)*4*F246+(E246/1000)*4*F246</f>
        <v>101.92</v>
      </c>
      <c r="I246" s="91" t="str">
        <f>I243</f>
        <v>3동3라인</v>
      </c>
      <c r="J246" s="92" t="s">
        <v>219</v>
      </c>
      <c r="L246" s="89">
        <v>2</v>
      </c>
      <c r="M246" s="306">
        <f>M243</f>
        <v>5</v>
      </c>
      <c r="N246" s="84"/>
      <c r="O246" s="306">
        <f>L246*M246-N246*L246</f>
        <v>10</v>
      </c>
      <c r="P246" s="64"/>
    </row>
    <row r="247" spans="1:16" ht="18" customHeight="1">
      <c r="A247" s="85"/>
      <c r="B247" s="86"/>
      <c r="C247" s="87"/>
      <c r="D247" s="88">
        <v>250</v>
      </c>
      <c r="E247" s="88">
        <v>930</v>
      </c>
      <c r="F247" s="89">
        <f t="shared" si="185"/>
        <v>10</v>
      </c>
      <c r="G247" s="90">
        <f t="shared" si="186"/>
        <v>25.324314609678787</v>
      </c>
      <c r="H247" s="90">
        <f t="shared" si="187"/>
        <v>47.2</v>
      </c>
      <c r="I247" s="91" t="str">
        <f>I246</f>
        <v>3동3라인</v>
      </c>
      <c r="J247" s="92" t="s">
        <v>220</v>
      </c>
      <c r="L247" s="89">
        <v>2</v>
      </c>
      <c r="M247" s="306">
        <f>M246</f>
        <v>5</v>
      </c>
      <c r="N247" s="84"/>
      <c r="O247" s="306">
        <f t="shared" ref="O247" si="188">L247*M247-N247*L247</f>
        <v>10</v>
      </c>
    </row>
    <row r="248" spans="1:16" ht="18" customHeight="1">
      <c r="A248" s="85"/>
      <c r="B248" s="93"/>
      <c r="C248" s="87"/>
      <c r="D248" s="325" t="s">
        <v>0</v>
      </c>
      <c r="E248" s="325"/>
      <c r="F248" s="94">
        <f>SUM(F246:F247)</f>
        <v>20</v>
      </c>
      <c r="G248" s="95">
        <f>SUM(G246:G247)</f>
        <v>170.81985426265399</v>
      </c>
      <c r="H248" s="96">
        <f>SUM(H246:H247)</f>
        <v>149.12</v>
      </c>
      <c r="I248" s="97"/>
      <c r="J248" s="162"/>
    </row>
    <row r="249" spans="1:16" ht="18" customHeight="1" thickBot="1">
      <c r="A249" s="222"/>
      <c r="B249" s="223"/>
      <c r="C249" s="224"/>
      <c r="D249" s="225"/>
      <c r="E249" s="225"/>
      <c r="F249" s="226"/>
      <c r="G249" s="227"/>
      <c r="H249" s="228"/>
      <c r="I249" s="229"/>
      <c r="J249" s="230"/>
      <c r="L249" s="306" t="s">
        <v>48</v>
      </c>
      <c r="M249" s="306" t="s">
        <v>49</v>
      </c>
      <c r="N249" s="306" t="s">
        <v>50</v>
      </c>
      <c r="O249" s="306" t="s">
        <v>55</v>
      </c>
    </row>
    <row r="250" spans="1:16" ht="18" customHeight="1">
      <c r="A250" s="79" t="s">
        <v>234</v>
      </c>
      <c r="B250" s="231" t="s">
        <v>195</v>
      </c>
      <c r="C250" s="232">
        <v>22</v>
      </c>
      <c r="D250" s="80">
        <v>761</v>
      </c>
      <c r="E250" s="80">
        <v>1810</v>
      </c>
      <c r="F250" s="233">
        <f>O250</f>
        <v>10</v>
      </c>
      <c r="G250" s="81">
        <f t="shared" ref="G250:G256" si="189">D250*E250/91809*F250</f>
        <v>150.02995349039855</v>
      </c>
      <c r="H250" s="81">
        <f t="shared" ref="H250:H256" si="190">(D250/1000)*4*F250+(E250/1000)*4*F250</f>
        <v>102.84</v>
      </c>
      <c r="I250" s="82" t="s">
        <v>253</v>
      </c>
      <c r="J250" s="83" t="s">
        <v>205</v>
      </c>
      <c r="L250" s="89">
        <v>2</v>
      </c>
      <c r="M250" s="306">
        <v>5</v>
      </c>
      <c r="N250" s="84"/>
      <c r="O250" s="306">
        <f>L250*M250-N250*L250</f>
        <v>10</v>
      </c>
      <c r="P250" s="64"/>
    </row>
    <row r="251" spans="1:16" ht="18" customHeight="1">
      <c r="A251" s="85"/>
      <c r="B251" s="86"/>
      <c r="C251" s="87"/>
      <c r="D251" s="88">
        <v>1688</v>
      </c>
      <c r="E251" s="88">
        <v>1810</v>
      </c>
      <c r="F251" s="89">
        <f t="shared" ref="F251:F256" si="191">O251</f>
        <v>5</v>
      </c>
      <c r="G251" s="90">
        <f t="shared" si="189"/>
        <v>166.39327299066539</v>
      </c>
      <c r="H251" s="90">
        <f t="shared" si="190"/>
        <v>69.960000000000008</v>
      </c>
      <c r="I251" s="91" t="str">
        <f>I250</f>
        <v>3동4라인</v>
      </c>
      <c r="J251" s="92" t="s">
        <v>206</v>
      </c>
      <c r="L251" s="89">
        <v>1</v>
      </c>
      <c r="M251" s="306">
        <f>M250</f>
        <v>5</v>
      </c>
      <c r="N251" s="84"/>
      <c r="O251" s="306">
        <f t="shared" ref="O251:O256" si="192">L251*M251-N251*L251</f>
        <v>5</v>
      </c>
    </row>
    <row r="252" spans="1:16" ht="18" customHeight="1">
      <c r="A252" s="85"/>
      <c r="B252" s="86"/>
      <c r="C252" s="87"/>
      <c r="D252" s="88">
        <v>738</v>
      </c>
      <c r="E252" s="88">
        <v>1310</v>
      </c>
      <c r="F252" s="89">
        <f t="shared" si="191"/>
        <v>20</v>
      </c>
      <c r="G252" s="90">
        <f t="shared" si="189"/>
        <v>210.6068032545829</v>
      </c>
      <c r="H252" s="90">
        <f t="shared" si="190"/>
        <v>163.84</v>
      </c>
      <c r="I252" s="91" t="str">
        <f t="shared" ref="I252:I256" si="193">I251</f>
        <v>3동4라인</v>
      </c>
      <c r="J252" s="92" t="s">
        <v>207</v>
      </c>
      <c r="L252" s="89">
        <v>4</v>
      </c>
      <c r="M252" s="306">
        <f t="shared" ref="M252:M255" si="194">M251</f>
        <v>5</v>
      </c>
      <c r="N252" s="306"/>
      <c r="O252" s="306">
        <f t="shared" si="192"/>
        <v>20</v>
      </c>
    </row>
    <row r="253" spans="1:16" ht="18" customHeight="1">
      <c r="A253" s="85"/>
      <c r="B253" s="86"/>
      <c r="C253" s="87"/>
      <c r="D253" s="88">
        <v>288</v>
      </c>
      <c r="E253" s="88">
        <v>910</v>
      </c>
      <c r="F253" s="89">
        <f t="shared" si="191"/>
        <v>10</v>
      </c>
      <c r="G253" s="90">
        <f t="shared" si="189"/>
        <v>28.546220958729535</v>
      </c>
      <c r="H253" s="90">
        <f t="shared" si="190"/>
        <v>47.92</v>
      </c>
      <c r="I253" s="91" t="str">
        <f t="shared" si="193"/>
        <v>3동4라인</v>
      </c>
      <c r="J253" s="92" t="s">
        <v>208</v>
      </c>
      <c r="L253" s="89">
        <v>2</v>
      </c>
      <c r="M253" s="306">
        <f t="shared" si="194"/>
        <v>5</v>
      </c>
      <c r="N253" s="306"/>
      <c r="O253" s="306">
        <f t="shared" si="192"/>
        <v>10</v>
      </c>
    </row>
    <row r="254" spans="1:16" ht="18" customHeight="1">
      <c r="A254" s="85"/>
      <c r="B254" s="86"/>
      <c r="C254" s="87"/>
      <c r="D254" s="88">
        <v>228</v>
      </c>
      <c r="E254" s="88">
        <v>910</v>
      </c>
      <c r="F254" s="89">
        <f t="shared" si="191"/>
        <v>10</v>
      </c>
      <c r="G254" s="90">
        <f t="shared" si="189"/>
        <v>22.59909159232755</v>
      </c>
      <c r="H254" s="90">
        <f t="shared" si="190"/>
        <v>45.519999999999996</v>
      </c>
      <c r="I254" s="91" t="str">
        <f t="shared" si="193"/>
        <v>3동4라인</v>
      </c>
      <c r="J254" s="92" t="s">
        <v>209</v>
      </c>
      <c r="L254" s="89">
        <v>2</v>
      </c>
      <c r="M254" s="306">
        <f t="shared" si="194"/>
        <v>5</v>
      </c>
      <c r="N254" s="306"/>
      <c r="O254" s="306">
        <f t="shared" si="192"/>
        <v>10</v>
      </c>
    </row>
    <row r="255" spans="1:16" ht="18" customHeight="1">
      <c r="A255" s="85"/>
      <c r="B255" s="86"/>
      <c r="C255" s="87"/>
      <c r="D255" s="88">
        <v>438</v>
      </c>
      <c r="E255" s="88">
        <v>270</v>
      </c>
      <c r="F255" s="89">
        <f t="shared" si="191"/>
        <v>10</v>
      </c>
      <c r="G255" s="90">
        <f t="shared" si="189"/>
        <v>12.881090089206941</v>
      </c>
      <c r="H255" s="90">
        <f t="shared" si="190"/>
        <v>28.32</v>
      </c>
      <c r="I255" s="91" t="str">
        <f t="shared" si="193"/>
        <v>3동4라인</v>
      </c>
      <c r="J255" s="92" t="s">
        <v>210</v>
      </c>
      <c r="L255" s="89">
        <v>2</v>
      </c>
      <c r="M255" s="306">
        <f t="shared" si="194"/>
        <v>5</v>
      </c>
      <c r="N255" s="306"/>
      <c r="O255" s="306">
        <f t="shared" si="192"/>
        <v>10</v>
      </c>
    </row>
    <row r="256" spans="1:16" ht="18" customHeight="1">
      <c r="A256" s="85"/>
      <c r="B256" s="86"/>
      <c r="C256" s="87"/>
      <c r="D256" s="88">
        <v>208</v>
      </c>
      <c r="E256" s="88">
        <v>910</v>
      </c>
      <c r="F256" s="89">
        <f t="shared" si="191"/>
        <v>10</v>
      </c>
      <c r="G256" s="90">
        <f t="shared" si="189"/>
        <v>20.616715136860222</v>
      </c>
      <c r="H256" s="90">
        <f t="shared" si="190"/>
        <v>44.72</v>
      </c>
      <c r="I256" s="91" t="str">
        <f t="shared" si="193"/>
        <v>3동4라인</v>
      </c>
      <c r="J256" s="92" t="s">
        <v>211</v>
      </c>
      <c r="L256" s="89">
        <v>2</v>
      </c>
      <c r="M256" s="306">
        <f>M255</f>
        <v>5</v>
      </c>
      <c r="N256" s="306"/>
      <c r="O256" s="306">
        <f t="shared" si="192"/>
        <v>10</v>
      </c>
    </row>
    <row r="257" spans="1:16" ht="18" customHeight="1">
      <c r="A257" s="85"/>
      <c r="B257" s="93"/>
      <c r="C257" s="87"/>
      <c r="D257" s="325" t="s">
        <v>0</v>
      </c>
      <c r="E257" s="325"/>
      <c r="F257" s="94">
        <f>SUM(F250:F256)</f>
        <v>75</v>
      </c>
      <c r="G257" s="95">
        <f>SUM(G250:G256)</f>
        <v>611.67314751277115</v>
      </c>
      <c r="H257" s="96">
        <f>SUM(H250:H256)</f>
        <v>503.12</v>
      </c>
      <c r="I257" s="97"/>
      <c r="J257" s="162"/>
    </row>
    <row r="258" spans="1:16" ht="18" customHeight="1">
      <c r="A258" s="85"/>
      <c r="B258" s="93"/>
      <c r="C258" s="87"/>
      <c r="D258" s="161"/>
      <c r="E258" s="161"/>
      <c r="F258" s="89"/>
      <c r="G258" s="100"/>
      <c r="H258" s="101"/>
      <c r="I258" s="102"/>
      <c r="J258" s="121"/>
      <c r="L258" s="306" t="s">
        <v>48</v>
      </c>
      <c r="M258" s="306" t="s">
        <v>54</v>
      </c>
      <c r="N258" s="306" t="s">
        <v>50</v>
      </c>
      <c r="O258" s="306" t="s">
        <v>55</v>
      </c>
    </row>
    <row r="259" spans="1:16" ht="18" customHeight="1">
      <c r="A259" s="85"/>
      <c r="B259" s="23" t="s">
        <v>197</v>
      </c>
      <c r="C259" s="24">
        <v>22</v>
      </c>
      <c r="D259" s="88">
        <v>761</v>
      </c>
      <c r="E259" s="88">
        <v>1810</v>
      </c>
      <c r="F259" s="89">
        <f t="shared" ref="F259:F265" si="195">O259</f>
        <v>10</v>
      </c>
      <c r="G259" s="90">
        <f t="shared" ref="G259:G265" si="196">D259*E259/91809*F259</f>
        <v>150.02995349039855</v>
      </c>
      <c r="H259" s="90">
        <f t="shared" ref="H259:H265" si="197">(D259/1000)*4*F259+(E259/1000)*4*F259</f>
        <v>102.84</v>
      </c>
      <c r="I259" s="91" t="str">
        <f t="shared" ref="I259:I265" si="198">I250</f>
        <v>3동4라인</v>
      </c>
      <c r="J259" s="92" t="s">
        <v>212</v>
      </c>
      <c r="L259" s="89">
        <v>2</v>
      </c>
      <c r="M259" s="306">
        <f>M250</f>
        <v>5</v>
      </c>
      <c r="N259" s="84"/>
      <c r="O259" s="306">
        <f>L259*M259-N259*L259</f>
        <v>10</v>
      </c>
    </row>
    <row r="260" spans="1:16" ht="18" customHeight="1">
      <c r="A260" s="85"/>
      <c r="B260" s="86"/>
      <c r="C260" s="87"/>
      <c r="D260" s="88">
        <v>1688</v>
      </c>
      <c r="E260" s="88">
        <v>1810</v>
      </c>
      <c r="F260" s="89">
        <f t="shared" si="195"/>
        <v>5</v>
      </c>
      <c r="G260" s="90">
        <f t="shared" si="196"/>
        <v>166.39327299066539</v>
      </c>
      <c r="H260" s="90">
        <f t="shared" si="197"/>
        <v>69.960000000000008</v>
      </c>
      <c r="I260" s="91" t="str">
        <f t="shared" si="198"/>
        <v>3동4라인</v>
      </c>
      <c r="J260" s="92" t="s">
        <v>213</v>
      </c>
      <c r="L260" s="89">
        <v>1</v>
      </c>
      <c r="M260" s="306">
        <f>M259</f>
        <v>5</v>
      </c>
      <c r="N260" s="84"/>
      <c r="O260" s="306">
        <f>L260*M260-N260*L260</f>
        <v>5</v>
      </c>
    </row>
    <row r="261" spans="1:16" ht="18" customHeight="1">
      <c r="A261" s="104"/>
      <c r="B261" s="93"/>
      <c r="C261" s="87"/>
      <c r="D261" s="88">
        <v>738</v>
      </c>
      <c r="E261" s="88">
        <v>1310</v>
      </c>
      <c r="F261" s="89">
        <f t="shared" si="195"/>
        <v>20</v>
      </c>
      <c r="G261" s="90">
        <f t="shared" si="196"/>
        <v>210.6068032545829</v>
      </c>
      <c r="H261" s="90">
        <f t="shared" si="197"/>
        <v>163.84</v>
      </c>
      <c r="I261" s="91" t="str">
        <f t="shared" si="198"/>
        <v>3동4라인</v>
      </c>
      <c r="J261" s="92" t="s">
        <v>214</v>
      </c>
      <c r="L261" s="89">
        <v>4</v>
      </c>
      <c r="M261" s="306">
        <f t="shared" ref="M261:M265" si="199">M260</f>
        <v>5</v>
      </c>
      <c r="N261" s="84"/>
      <c r="O261" s="306">
        <f t="shared" ref="O261:O265" si="200">L261*M261-N261*L261</f>
        <v>20</v>
      </c>
    </row>
    <row r="262" spans="1:16" ht="18" customHeight="1">
      <c r="A262" s="104"/>
      <c r="B262" s="93"/>
      <c r="C262" s="87"/>
      <c r="D262" s="88">
        <v>288</v>
      </c>
      <c r="E262" s="88">
        <v>910</v>
      </c>
      <c r="F262" s="89">
        <f t="shared" si="195"/>
        <v>10</v>
      </c>
      <c r="G262" s="90">
        <f t="shared" si="196"/>
        <v>28.546220958729535</v>
      </c>
      <c r="H262" s="90">
        <f t="shared" si="197"/>
        <v>47.92</v>
      </c>
      <c r="I262" s="91" t="str">
        <f t="shared" si="198"/>
        <v>3동4라인</v>
      </c>
      <c r="J262" s="92" t="s">
        <v>215</v>
      </c>
      <c r="L262" s="89">
        <v>2</v>
      </c>
      <c r="M262" s="306">
        <f t="shared" si="199"/>
        <v>5</v>
      </c>
      <c r="N262" s="306"/>
      <c r="O262" s="306">
        <f t="shared" si="200"/>
        <v>10</v>
      </c>
    </row>
    <row r="263" spans="1:16" ht="18" customHeight="1">
      <c r="A263" s="104"/>
      <c r="B263" s="93"/>
      <c r="C263" s="87"/>
      <c r="D263" s="88">
        <v>228</v>
      </c>
      <c r="E263" s="88">
        <v>910</v>
      </c>
      <c r="F263" s="89">
        <f t="shared" si="195"/>
        <v>10</v>
      </c>
      <c r="G263" s="90">
        <f t="shared" si="196"/>
        <v>22.59909159232755</v>
      </c>
      <c r="H263" s="90">
        <f t="shared" si="197"/>
        <v>45.519999999999996</v>
      </c>
      <c r="I263" s="91" t="str">
        <f t="shared" si="198"/>
        <v>3동4라인</v>
      </c>
      <c r="J263" s="92" t="s">
        <v>216</v>
      </c>
      <c r="L263" s="89">
        <v>2</v>
      </c>
      <c r="M263" s="306">
        <f t="shared" si="199"/>
        <v>5</v>
      </c>
      <c r="N263" s="306"/>
      <c r="O263" s="306">
        <f t="shared" si="200"/>
        <v>10</v>
      </c>
    </row>
    <row r="264" spans="1:16" ht="18" customHeight="1">
      <c r="A264" s="104"/>
      <c r="B264" s="93"/>
      <c r="C264" s="87"/>
      <c r="D264" s="88">
        <v>438</v>
      </c>
      <c r="E264" s="88">
        <v>270</v>
      </c>
      <c r="F264" s="89">
        <f t="shared" si="195"/>
        <v>10</v>
      </c>
      <c r="G264" s="90">
        <f t="shared" si="196"/>
        <v>12.881090089206941</v>
      </c>
      <c r="H264" s="90">
        <f t="shared" si="197"/>
        <v>28.32</v>
      </c>
      <c r="I264" s="91" t="str">
        <f t="shared" si="198"/>
        <v>3동4라인</v>
      </c>
      <c r="J264" s="92" t="s">
        <v>217</v>
      </c>
      <c r="L264" s="89">
        <v>2</v>
      </c>
      <c r="M264" s="306">
        <f t="shared" si="199"/>
        <v>5</v>
      </c>
      <c r="N264" s="306"/>
      <c r="O264" s="306">
        <f t="shared" si="200"/>
        <v>10</v>
      </c>
    </row>
    <row r="265" spans="1:16" ht="18" customHeight="1">
      <c r="A265" s="104"/>
      <c r="B265" s="93"/>
      <c r="C265" s="87"/>
      <c r="D265" s="88">
        <v>208</v>
      </c>
      <c r="E265" s="88">
        <v>910</v>
      </c>
      <c r="F265" s="89">
        <f t="shared" si="195"/>
        <v>10</v>
      </c>
      <c r="G265" s="90">
        <f t="shared" si="196"/>
        <v>20.616715136860222</v>
      </c>
      <c r="H265" s="90">
        <f t="shared" si="197"/>
        <v>44.72</v>
      </c>
      <c r="I265" s="91" t="str">
        <f t="shared" si="198"/>
        <v>3동4라인</v>
      </c>
      <c r="J265" s="92" t="s">
        <v>218</v>
      </c>
      <c r="L265" s="89">
        <v>2</v>
      </c>
      <c r="M265" s="306">
        <f t="shared" si="199"/>
        <v>5</v>
      </c>
      <c r="N265" s="306"/>
      <c r="O265" s="306">
        <f t="shared" si="200"/>
        <v>10</v>
      </c>
    </row>
    <row r="266" spans="1:16" ht="18" customHeight="1">
      <c r="A266" s="104"/>
      <c r="B266" s="87"/>
      <c r="C266" s="87"/>
      <c r="D266" s="325" t="s">
        <v>0</v>
      </c>
      <c r="E266" s="325"/>
      <c r="F266" s="171">
        <f>SUM(F259:F265)</f>
        <v>75</v>
      </c>
      <c r="G266" s="95">
        <f>SUM(G259:G265)</f>
        <v>611.67314751277115</v>
      </c>
      <c r="H266" s="95">
        <f>SUM(H259:H265)</f>
        <v>503.12</v>
      </c>
      <c r="I266" s="97"/>
      <c r="J266" s="98"/>
    </row>
    <row r="267" spans="1:16">
      <c r="A267" s="105"/>
      <c r="B267" s="9"/>
      <c r="C267" s="9"/>
      <c r="D267" s="51"/>
      <c r="E267" s="51"/>
      <c r="F267" s="51"/>
      <c r="G267" s="106"/>
      <c r="H267" s="106"/>
      <c r="I267" s="9"/>
      <c r="J267" s="107"/>
    </row>
    <row r="268" spans="1:16" ht="18" customHeight="1">
      <c r="A268" s="85"/>
      <c r="B268" s="163" t="s">
        <v>199</v>
      </c>
      <c r="C268" s="163">
        <v>22</v>
      </c>
      <c r="D268" s="88">
        <v>738</v>
      </c>
      <c r="E268" s="88">
        <v>1810</v>
      </c>
      <c r="F268" s="89">
        <f t="shared" ref="F268:F269" si="201">O268</f>
        <v>10</v>
      </c>
      <c r="G268" s="90">
        <f t="shared" ref="G268:G269" si="202">D268*E268/91809*F268</f>
        <v>145.4955396529752</v>
      </c>
      <c r="H268" s="90">
        <f t="shared" ref="H268:H269" si="203">(D268/1000)*4*F268+(E268/1000)*4*F268</f>
        <v>101.92</v>
      </c>
      <c r="I268" s="91" t="str">
        <f>I259</f>
        <v>3동4라인</v>
      </c>
      <c r="J268" s="92" t="s">
        <v>219</v>
      </c>
      <c r="L268" s="89">
        <v>2</v>
      </c>
      <c r="M268" s="306">
        <f>M250</f>
        <v>5</v>
      </c>
      <c r="N268" s="84"/>
      <c r="O268" s="306">
        <f>L268*M268-N268*L268</f>
        <v>10</v>
      </c>
      <c r="P268" s="64"/>
    </row>
    <row r="269" spans="1:16" ht="18" customHeight="1">
      <c r="A269" s="85"/>
      <c r="B269" s="86"/>
      <c r="C269" s="87"/>
      <c r="D269" s="88">
        <v>250</v>
      </c>
      <c r="E269" s="88">
        <v>930</v>
      </c>
      <c r="F269" s="89">
        <f t="shared" si="201"/>
        <v>10</v>
      </c>
      <c r="G269" s="90">
        <f t="shared" si="202"/>
        <v>25.324314609678787</v>
      </c>
      <c r="H269" s="90">
        <f t="shared" si="203"/>
        <v>47.2</v>
      </c>
      <c r="I269" s="91" t="str">
        <f>I268</f>
        <v>3동4라인</v>
      </c>
      <c r="J269" s="92" t="s">
        <v>220</v>
      </c>
      <c r="L269" s="89">
        <v>2</v>
      </c>
      <c r="M269" s="306">
        <f>M268</f>
        <v>5</v>
      </c>
      <c r="N269" s="84"/>
      <c r="O269" s="306">
        <f t="shared" ref="O269" si="204">L269*M269-N269*L269</f>
        <v>10</v>
      </c>
    </row>
    <row r="270" spans="1:16" ht="18" customHeight="1">
      <c r="A270" s="85"/>
      <c r="B270" s="93"/>
      <c r="C270" s="87"/>
      <c r="D270" s="325" t="s">
        <v>0</v>
      </c>
      <c r="E270" s="325"/>
      <c r="F270" s="94">
        <f>SUM(F268:F269)</f>
        <v>20</v>
      </c>
      <c r="G270" s="95">
        <f>SUM(G268:G269)</f>
        <v>170.81985426265399</v>
      </c>
      <c r="H270" s="95">
        <f>SUM(H268:H269)</f>
        <v>149.12</v>
      </c>
      <c r="I270" s="97"/>
      <c r="J270" s="98"/>
    </row>
    <row r="271" spans="1:16" ht="18" customHeight="1">
      <c r="A271" s="108"/>
      <c r="B271" s="164"/>
      <c r="C271" s="109"/>
      <c r="D271" s="363"/>
      <c r="E271" s="363"/>
      <c r="F271" s="110"/>
      <c r="G271" s="111"/>
      <c r="H271" s="234"/>
      <c r="I271" s="112"/>
      <c r="J271" s="235"/>
    </row>
    <row r="272" spans="1:16" ht="18" customHeight="1">
      <c r="A272" s="262" t="s">
        <v>234</v>
      </c>
      <c r="B272" s="263" t="s">
        <v>195</v>
      </c>
      <c r="C272" s="264">
        <v>22</v>
      </c>
      <c r="D272" s="265">
        <v>761</v>
      </c>
      <c r="E272" s="265">
        <v>1810</v>
      </c>
      <c r="F272" s="251">
        <f>O272</f>
        <v>20</v>
      </c>
      <c r="G272" s="266">
        <f t="shared" ref="G272:G278" si="205">D272*E272/91809*F272</f>
        <v>300.05990698079711</v>
      </c>
      <c r="H272" s="266">
        <f t="shared" ref="H272:H278" si="206">(D272/1000)*4*F272+(E272/1000)*4*F272</f>
        <v>205.68</v>
      </c>
      <c r="I272" s="267" t="s">
        <v>254</v>
      </c>
      <c r="J272" s="268" t="s">
        <v>205</v>
      </c>
      <c r="L272" s="89">
        <v>2</v>
      </c>
      <c r="M272" s="306">
        <v>10</v>
      </c>
      <c r="N272" s="84"/>
      <c r="O272" s="306">
        <f>L272*M272-N272*L272</f>
        <v>20</v>
      </c>
      <c r="P272" s="64"/>
    </row>
    <row r="273" spans="1:15" ht="18" customHeight="1">
      <c r="A273" s="85"/>
      <c r="B273" s="86"/>
      <c r="C273" s="87"/>
      <c r="D273" s="88">
        <v>1688</v>
      </c>
      <c r="E273" s="88">
        <v>1810</v>
      </c>
      <c r="F273" s="89">
        <f t="shared" ref="F273:F278" si="207">O273</f>
        <v>10</v>
      </c>
      <c r="G273" s="90">
        <f t="shared" si="205"/>
        <v>332.78654598133079</v>
      </c>
      <c r="H273" s="90">
        <f t="shared" si="206"/>
        <v>139.92000000000002</v>
      </c>
      <c r="I273" s="91" t="str">
        <f>I272</f>
        <v>3동5,6라인</v>
      </c>
      <c r="J273" s="92" t="s">
        <v>206</v>
      </c>
      <c r="L273" s="89">
        <v>1</v>
      </c>
      <c r="M273" s="306">
        <f>M272</f>
        <v>10</v>
      </c>
      <c r="N273" s="84"/>
      <c r="O273" s="306">
        <f t="shared" ref="O273:O278" si="208">L273*M273-N273*L273</f>
        <v>10</v>
      </c>
    </row>
    <row r="274" spans="1:15" ht="18" customHeight="1">
      <c r="A274" s="85"/>
      <c r="B274" s="86"/>
      <c r="C274" s="87"/>
      <c r="D274" s="88">
        <v>738</v>
      </c>
      <c r="E274" s="88">
        <v>1310</v>
      </c>
      <c r="F274" s="89">
        <f t="shared" si="207"/>
        <v>40</v>
      </c>
      <c r="G274" s="90">
        <f t="shared" si="205"/>
        <v>421.2136065091658</v>
      </c>
      <c r="H274" s="90">
        <f t="shared" si="206"/>
        <v>327.68</v>
      </c>
      <c r="I274" s="91" t="str">
        <f t="shared" ref="I274:I278" si="209">I273</f>
        <v>3동5,6라인</v>
      </c>
      <c r="J274" s="92" t="s">
        <v>207</v>
      </c>
      <c r="L274" s="89">
        <v>4</v>
      </c>
      <c r="M274" s="306">
        <f t="shared" ref="M274:M277" si="210">M273</f>
        <v>10</v>
      </c>
      <c r="N274" s="306"/>
      <c r="O274" s="306">
        <f t="shared" si="208"/>
        <v>40</v>
      </c>
    </row>
    <row r="275" spans="1:15" ht="18" customHeight="1">
      <c r="A275" s="85"/>
      <c r="B275" s="86"/>
      <c r="C275" s="87"/>
      <c r="D275" s="88">
        <v>288</v>
      </c>
      <c r="E275" s="88">
        <v>910</v>
      </c>
      <c r="F275" s="89">
        <f t="shared" si="207"/>
        <v>20</v>
      </c>
      <c r="G275" s="90">
        <f t="shared" si="205"/>
        <v>57.09244191745907</v>
      </c>
      <c r="H275" s="90">
        <f t="shared" si="206"/>
        <v>95.84</v>
      </c>
      <c r="I275" s="91" t="str">
        <f t="shared" si="209"/>
        <v>3동5,6라인</v>
      </c>
      <c r="J275" s="92" t="s">
        <v>208</v>
      </c>
      <c r="L275" s="89">
        <v>2</v>
      </c>
      <c r="M275" s="306">
        <f t="shared" si="210"/>
        <v>10</v>
      </c>
      <c r="N275" s="306"/>
      <c r="O275" s="306">
        <f t="shared" si="208"/>
        <v>20</v>
      </c>
    </row>
    <row r="276" spans="1:15" ht="18" customHeight="1">
      <c r="A276" s="85"/>
      <c r="B276" s="86"/>
      <c r="C276" s="87"/>
      <c r="D276" s="88">
        <v>228</v>
      </c>
      <c r="E276" s="88">
        <v>910</v>
      </c>
      <c r="F276" s="89">
        <f t="shared" si="207"/>
        <v>20</v>
      </c>
      <c r="G276" s="90">
        <f t="shared" si="205"/>
        <v>45.1981831846551</v>
      </c>
      <c r="H276" s="90">
        <f t="shared" si="206"/>
        <v>91.039999999999992</v>
      </c>
      <c r="I276" s="91" t="str">
        <f t="shared" si="209"/>
        <v>3동5,6라인</v>
      </c>
      <c r="J276" s="92" t="s">
        <v>209</v>
      </c>
      <c r="L276" s="89">
        <v>2</v>
      </c>
      <c r="M276" s="306">
        <f t="shared" si="210"/>
        <v>10</v>
      </c>
      <c r="N276" s="306"/>
      <c r="O276" s="306">
        <f t="shared" si="208"/>
        <v>20</v>
      </c>
    </row>
    <row r="277" spans="1:15" ht="18" customHeight="1">
      <c r="A277" s="85"/>
      <c r="B277" s="86"/>
      <c r="C277" s="87"/>
      <c r="D277" s="88">
        <v>438</v>
      </c>
      <c r="E277" s="88">
        <v>270</v>
      </c>
      <c r="F277" s="89">
        <f t="shared" si="207"/>
        <v>20</v>
      </c>
      <c r="G277" s="90">
        <f t="shared" si="205"/>
        <v>25.762180178413882</v>
      </c>
      <c r="H277" s="90">
        <f t="shared" si="206"/>
        <v>56.64</v>
      </c>
      <c r="I277" s="91" t="str">
        <f t="shared" si="209"/>
        <v>3동5,6라인</v>
      </c>
      <c r="J277" s="92" t="s">
        <v>210</v>
      </c>
      <c r="L277" s="89">
        <v>2</v>
      </c>
      <c r="M277" s="306">
        <f t="shared" si="210"/>
        <v>10</v>
      </c>
      <c r="N277" s="306"/>
      <c r="O277" s="306">
        <f t="shared" si="208"/>
        <v>20</v>
      </c>
    </row>
    <row r="278" spans="1:15" ht="18" customHeight="1">
      <c r="A278" s="85"/>
      <c r="B278" s="86"/>
      <c r="C278" s="87"/>
      <c r="D278" s="88">
        <v>208</v>
      </c>
      <c r="E278" s="88">
        <v>910</v>
      </c>
      <c r="F278" s="89">
        <f t="shared" si="207"/>
        <v>20</v>
      </c>
      <c r="G278" s="90">
        <f t="shared" si="205"/>
        <v>41.233430273720444</v>
      </c>
      <c r="H278" s="90">
        <f t="shared" si="206"/>
        <v>89.44</v>
      </c>
      <c r="I278" s="91" t="str">
        <f t="shared" si="209"/>
        <v>3동5,6라인</v>
      </c>
      <c r="J278" s="92" t="s">
        <v>211</v>
      </c>
      <c r="L278" s="89">
        <v>2</v>
      </c>
      <c r="M278" s="306">
        <f>M277</f>
        <v>10</v>
      </c>
      <c r="N278" s="306"/>
      <c r="O278" s="306">
        <f t="shared" si="208"/>
        <v>20</v>
      </c>
    </row>
    <row r="279" spans="1:15" ht="18" customHeight="1">
      <c r="A279" s="85"/>
      <c r="B279" s="93"/>
      <c r="C279" s="87"/>
      <c r="D279" s="325" t="s">
        <v>0</v>
      </c>
      <c r="E279" s="325"/>
      <c r="F279" s="94">
        <f>SUM(F272:F278)</f>
        <v>150</v>
      </c>
      <c r="G279" s="95">
        <f>SUM(G272:G278)</f>
        <v>1223.3462950255423</v>
      </c>
      <c r="H279" s="96">
        <f>SUM(H272:H278)</f>
        <v>1006.24</v>
      </c>
      <c r="I279" s="97"/>
      <c r="J279" s="162"/>
    </row>
    <row r="280" spans="1:15" ht="18" customHeight="1">
      <c r="A280" s="85"/>
      <c r="B280" s="93"/>
      <c r="C280" s="87"/>
      <c r="D280" s="161"/>
      <c r="E280" s="161"/>
      <c r="F280" s="89"/>
      <c r="G280" s="100"/>
      <c r="H280" s="101"/>
      <c r="I280" s="102"/>
      <c r="J280" s="121"/>
      <c r="L280" s="306" t="s">
        <v>48</v>
      </c>
      <c r="M280" s="306" t="s">
        <v>54</v>
      </c>
      <c r="N280" s="306" t="s">
        <v>50</v>
      </c>
      <c r="O280" s="306" t="s">
        <v>55</v>
      </c>
    </row>
    <row r="281" spans="1:15" ht="18" customHeight="1">
      <c r="A281" s="85"/>
      <c r="B281" s="23" t="s">
        <v>197</v>
      </c>
      <c r="C281" s="24">
        <v>22</v>
      </c>
      <c r="D281" s="88">
        <v>761</v>
      </c>
      <c r="E281" s="88">
        <v>1810</v>
      </c>
      <c r="F281" s="89">
        <f t="shared" ref="F281:F287" si="211">O281</f>
        <v>20</v>
      </c>
      <c r="G281" s="90">
        <f t="shared" ref="G281:G287" si="212">D281*E281/91809*F281</f>
        <v>300.05990698079711</v>
      </c>
      <c r="H281" s="90">
        <f t="shared" ref="H281:H287" si="213">(D281/1000)*4*F281+(E281/1000)*4*F281</f>
        <v>205.68</v>
      </c>
      <c r="I281" s="91" t="str">
        <f t="shared" ref="I281:I287" si="214">I272</f>
        <v>3동5,6라인</v>
      </c>
      <c r="J281" s="92" t="s">
        <v>212</v>
      </c>
      <c r="L281" s="89">
        <v>2</v>
      </c>
      <c r="M281" s="306">
        <f>M272</f>
        <v>10</v>
      </c>
      <c r="N281" s="84"/>
      <c r="O281" s="306">
        <f>L281*M281-N281*L281</f>
        <v>20</v>
      </c>
    </row>
    <row r="282" spans="1:15" ht="18" customHeight="1">
      <c r="A282" s="85"/>
      <c r="B282" s="86"/>
      <c r="C282" s="87"/>
      <c r="D282" s="88">
        <v>1688</v>
      </c>
      <c r="E282" s="88">
        <v>1810</v>
      </c>
      <c r="F282" s="89">
        <f t="shared" si="211"/>
        <v>10</v>
      </c>
      <c r="G282" s="90">
        <f t="shared" si="212"/>
        <v>332.78654598133079</v>
      </c>
      <c r="H282" s="90">
        <f t="shared" si="213"/>
        <v>139.92000000000002</v>
      </c>
      <c r="I282" s="91" t="str">
        <f t="shared" si="214"/>
        <v>3동5,6라인</v>
      </c>
      <c r="J282" s="92" t="s">
        <v>213</v>
      </c>
      <c r="L282" s="89">
        <v>1</v>
      </c>
      <c r="M282" s="306">
        <f>M281</f>
        <v>10</v>
      </c>
      <c r="N282" s="84"/>
      <c r="O282" s="306">
        <f>L282*M282-N282*L282</f>
        <v>10</v>
      </c>
    </row>
    <row r="283" spans="1:15" ht="18" customHeight="1">
      <c r="A283" s="104"/>
      <c r="B283" s="93"/>
      <c r="C283" s="87"/>
      <c r="D283" s="88">
        <v>738</v>
      </c>
      <c r="E283" s="88">
        <v>1310</v>
      </c>
      <c r="F283" s="89">
        <f t="shared" si="211"/>
        <v>40</v>
      </c>
      <c r="G283" s="90">
        <f t="shared" si="212"/>
        <v>421.2136065091658</v>
      </c>
      <c r="H283" s="90">
        <f t="shared" si="213"/>
        <v>327.68</v>
      </c>
      <c r="I283" s="91" t="str">
        <f t="shared" si="214"/>
        <v>3동5,6라인</v>
      </c>
      <c r="J283" s="92" t="s">
        <v>214</v>
      </c>
      <c r="L283" s="89">
        <v>4</v>
      </c>
      <c r="M283" s="306">
        <f t="shared" ref="M283:M287" si="215">M282</f>
        <v>10</v>
      </c>
      <c r="N283" s="84"/>
      <c r="O283" s="306">
        <f t="shared" ref="O283:O287" si="216">L283*M283-N283*L283</f>
        <v>40</v>
      </c>
    </row>
    <row r="284" spans="1:15" ht="18" customHeight="1">
      <c r="A284" s="104"/>
      <c r="B284" s="93"/>
      <c r="C284" s="87"/>
      <c r="D284" s="88">
        <v>288</v>
      </c>
      <c r="E284" s="88">
        <v>910</v>
      </c>
      <c r="F284" s="89">
        <f t="shared" si="211"/>
        <v>20</v>
      </c>
      <c r="G284" s="90">
        <f t="shared" si="212"/>
        <v>57.09244191745907</v>
      </c>
      <c r="H284" s="90">
        <f t="shared" si="213"/>
        <v>95.84</v>
      </c>
      <c r="I284" s="91" t="str">
        <f t="shared" si="214"/>
        <v>3동5,6라인</v>
      </c>
      <c r="J284" s="92" t="s">
        <v>215</v>
      </c>
      <c r="L284" s="89">
        <v>2</v>
      </c>
      <c r="M284" s="306">
        <f t="shared" si="215"/>
        <v>10</v>
      </c>
      <c r="N284" s="306"/>
      <c r="O284" s="306">
        <f t="shared" si="216"/>
        <v>20</v>
      </c>
    </row>
    <row r="285" spans="1:15" ht="18" customHeight="1">
      <c r="A285" s="104"/>
      <c r="B285" s="93"/>
      <c r="C285" s="87"/>
      <c r="D285" s="88">
        <v>228</v>
      </c>
      <c r="E285" s="88">
        <v>910</v>
      </c>
      <c r="F285" s="89">
        <f t="shared" si="211"/>
        <v>20</v>
      </c>
      <c r="G285" s="90">
        <f t="shared" si="212"/>
        <v>45.1981831846551</v>
      </c>
      <c r="H285" s="90">
        <f t="shared" si="213"/>
        <v>91.039999999999992</v>
      </c>
      <c r="I285" s="91" t="str">
        <f t="shared" si="214"/>
        <v>3동5,6라인</v>
      </c>
      <c r="J285" s="92" t="s">
        <v>216</v>
      </c>
      <c r="L285" s="89">
        <v>2</v>
      </c>
      <c r="M285" s="306">
        <f t="shared" si="215"/>
        <v>10</v>
      </c>
      <c r="N285" s="306"/>
      <c r="O285" s="306">
        <f t="shared" si="216"/>
        <v>20</v>
      </c>
    </row>
    <row r="286" spans="1:15" ht="18" customHeight="1">
      <c r="A286" s="104"/>
      <c r="B286" s="93"/>
      <c r="C286" s="87"/>
      <c r="D286" s="88">
        <v>438</v>
      </c>
      <c r="E286" s="88">
        <v>270</v>
      </c>
      <c r="F286" s="89">
        <f t="shared" si="211"/>
        <v>20</v>
      </c>
      <c r="G286" s="90">
        <f t="shared" si="212"/>
        <v>25.762180178413882</v>
      </c>
      <c r="H286" s="90">
        <f t="shared" si="213"/>
        <v>56.64</v>
      </c>
      <c r="I286" s="91" t="str">
        <f t="shared" si="214"/>
        <v>3동5,6라인</v>
      </c>
      <c r="J286" s="92" t="s">
        <v>217</v>
      </c>
      <c r="L286" s="89">
        <v>2</v>
      </c>
      <c r="M286" s="306">
        <f t="shared" si="215"/>
        <v>10</v>
      </c>
      <c r="N286" s="306"/>
      <c r="O286" s="306">
        <f t="shared" si="216"/>
        <v>20</v>
      </c>
    </row>
    <row r="287" spans="1:15" ht="18" customHeight="1">
      <c r="A287" s="104"/>
      <c r="B287" s="93"/>
      <c r="C287" s="87"/>
      <c r="D287" s="88">
        <v>208</v>
      </c>
      <c r="E287" s="88">
        <v>910</v>
      </c>
      <c r="F287" s="89">
        <f t="shared" si="211"/>
        <v>20</v>
      </c>
      <c r="G287" s="90">
        <f t="shared" si="212"/>
        <v>41.233430273720444</v>
      </c>
      <c r="H287" s="90">
        <f t="shared" si="213"/>
        <v>89.44</v>
      </c>
      <c r="I287" s="91" t="str">
        <f t="shared" si="214"/>
        <v>3동5,6라인</v>
      </c>
      <c r="J287" s="92" t="s">
        <v>218</v>
      </c>
      <c r="L287" s="89">
        <v>2</v>
      </c>
      <c r="M287" s="306">
        <f t="shared" si="215"/>
        <v>10</v>
      </c>
      <c r="N287" s="306"/>
      <c r="O287" s="306">
        <f t="shared" si="216"/>
        <v>20</v>
      </c>
    </row>
    <row r="288" spans="1:15" ht="18" customHeight="1">
      <c r="A288" s="104"/>
      <c r="B288" s="87"/>
      <c r="C288" s="87"/>
      <c r="D288" s="325" t="s">
        <v>0</v>
      </c>
      <c r="E288" s="325"/>
      <c r="F288" s="171">
        <f>SUM(F281:F287)</f>
        <v>150</v>
      </c>
      <c r="G288" s="95">
        <f>SUM(G281:G287)</f>
        <v>1223.3462950255423</v>
      </c>
      <c r="H288" s="95">
        <f>SUM(H281:H287)</f>
        <v>1006.24</v>
      </c>
      <c r="I288" s="97"/>
      <c r="J288" s="98"/>
    </row>
    <row r="289" spans="1:16">
      <c r="A289" s="105"/>
      <c r="B289" s="9"/>
      <c r="C289" s="9"/>
      <c r="D289" s="51"/>
      <c r="E289" s="51"/>
      <c r="F289" s="51"/>
      <c r="G289" s="106"/>
      <c r="H289" s="106"/>
      <c r="I289" s="9"/>
      <c r="J289" s="107"/>
    </row>
    <row r="290" spans="1:16" ht="18" customHeight="1">
      <c r="A290" s="85"/>
      <c r="B290" s="163" t="s">
        <v>199</v>
      </c>
      <c r="C290" s="163">
        <v>22</v>
      </c>
      <c r="D290" s="88">
        <v>738</v>
      </c>
      <c r="E290" s="88">
        <v>1810</v>
      </c>
      <c r="F290" s="89">
        <f t="shared" ref="F290:F291" si="217">O290</f>
        <v>20</v>
      </c>
      <c r="G290" s="90">
        <f t="shared" ref="G290:G291" si="218">D290*E290/91809*F290</f>
        <v>290.99107930595039</v>
      </c>
      <c r="H290" s="90">
        <f t="shared" ref="H290:H291" si="219">(D290/1000)*4*F290+(E290/1000)*4*F290</f>
        <v>203.84</v>
      </c>
      <c r="I290" s="91" t="str">
        <f>I281</f>
        <v>3동5,6라인</v>
      </c>
      <c r="J290" s="92" t="s">
        <v>219</v>
      </c>
      <c r="L290" s="89">
        <v>2</v>
      </c>
      <c r="M290" s="306">
        <f>M272</f>
        <v>10</v>
      </c>
      <c r="N290" s="84"/>
      <c r="O290" s="306">
        <f>L290*M290-N290*L290</f>
        <v>20</v>
      </c>
      <c r="P290" s="64"/>
    </row>
    <row r="291" spans="1:16" ht="18" customHeight="1">
      <c r="A291" s="85"/>
      <c r="B291" s="86"/>
      <c r="C291" s="87"/>
      <c r="D291" s="88">
        <v>250</v>
      </c>
      <c r="E291" s="88">
        <v>930</v>
      </c>
      <c r="F291" s="89">
        <f t="shared" si="217"/>
        <v>20</v>
      </c>
      <c r="G291" s="90">
        <f t="shared" si="218"/>
        <v>50.648629219357574</v>
      </c>
      <c r="H291" s="90">
        <f t="shared" si="219"/>
        <v>94.4</v>
      </c>
      <c r="I291" s="91" t="str">
        <f>I290</f>
        <v>3동5,6라인</v>
      </c>
      <c r="J291" s="92" t="s">
        <v>220</v>
      </c>
      <c r="L291" s="89">
        <v>2</v>
      </c>
      <c r="M291" s="306">
        <f>M290</f>
        <v>10</v>
      </c>
      <c r="N291" s="84"/>
      <c r="O291" s="306">
        <f t="shared" ref="O291" si="220">L291*M291-N291*L291</f>
        <v>20</v>
      </c>
    </row>
    <row r="292" spans="1:16" ht="18" customHeight="1">
      <c r="A292" s="85"/>
      <c r="B292" s="93"/>
      <c r="C292" s="87"/>
      <c r="D292" s="325" t="s">
        <v>0</v>
      </c>
      <c r="E292" s="325"/>
      <c r="F292" s="94">
        <f>SUM(F290:F291)</f>
        <v>40</v>
      </c>
      <c r="G292" s="95">
        <f>SUM(G290:G291)</f>
        <v>341.63970852530798</v>
      </c>
      <c r="H292" s="95">
        <f>SUM(H290:H291)</f>
        <v>298.24</v>
      </c>
      <c r="I292" s="97"/>
      <c r="J292" s="98"/>
    </row>
    <row r="293" spans="1:16" ht="18" customHeight="1">
      <c r="A293" s="114"/>
      <c r="B293" s="169"/>
      <c r="C293" s="115"/>
      <c r="D293" s="170"/>
      <c r="E293" s="170"/>
      <c r="F293" s="116"/>
      <c r="G293" s="117"/>
      <c r="H293" s="117"/>
      <c r="I293" s="118"/>
      <c r="J293" s="119"/>
    </row>
    <row r="294" spans="1:16" ht="18" customHeight="1">
      <c r="A294" s="262" t="s">
        <v>234</v>
      </c>
      <c r="B294" s="263" t="s">
        <v>195</v>
      </c>
      <c r="C294" s="264">
        <v>22</v>
      </c>
      <c r="D294" s="265">
        <v>761</v>
      </c>
      <c r="E294" s="265">
        <v>1810</v>
      </c>
      <c r="F294" s="251">
        <f>O294</f>
        <v>20</v>
      </c>
      <c r="G294" s="266">
        <f t="shared" ref="G294:G300" si="221">D294*E294/91809*F294</f>
        <v>300.05990698079711</v>
      </c>
      <c r="H294" s="266">
        <f t="shared" ref="H294:H300" si="222">(D294/1000)*4*F294+(E294/1000)*4*F294</f>
        <v>205.68</v>
      </c>
      <c r="I294" s="267" t="s">
        <v>255</v>
      </c>
      <c r="J294" s="268" t="s">
        <v>205</v>
      </c>
      <c r="L294" s="89">
        <v>2</v>
      </c>
      <c r="M294" s="306">
        <v>10</v>
      </c>
      <c r="N294" s="84"/>
      <c r="O294" s="306">
        <f>L294*M294-N294*L294</f>
        <v>20</v>
      </c>
      <c r="P294" s="64"/>
    </row>
    <row r="295" spans="1:16" ht="18" customHeight="1">
      <c r="A295" s="85"/>
      <c r="B295" s="86"/>
      <c r="C295" s="87"/>
      <c r="D295" s="88">
        <v>1688</v>
      </c>
      <c r="E295" s="88">
        <v>1810</v>
      </c>
      <c r="F295" s="89">
        <f t="shared" ref="F295:F300" si="223">O295</f>
        <v>10</v>
      </c>
      <c r="G295" s="90">
        <f t="shared" si="221"/>
        <v>332.78654598133079</v>
      </c>
      <c r="H295" s="90">
        <f t="shared" si="222"/>
        <v>139.92000000000002</v>
      </c>
      <c r="I295" s="91" t="str">
        <f>I294</f>
        <v>9동1,2라인</v>
      </c>
      <c r="J295" s="92" t="s">
        <v>206</v>
      </c>
      <c r="L295" s="89">
        <v>1</v>
      </c>
      <c r="M295" s="306">
        <f>M294</f>
        <v>10</v>
      </c>
      <c r="N295" s="84"/>
      <c r="O295" s="306">
        <f t="shared" ref="O295:O300" si="224">L295*M295-N295*L295</f>
        <v>10</v>
      </c>
    </row>
    <row r="296" spans="1:16" ht="18" customHeight="1">
      <c r="A296" s="85"/>
      <c r="B296" s="86"/>
      <c r="C296" s="87"/>
      <c r="D296" s="88">
        <v>738</v>
      </c>
      <c r="E296" s="88">
        <v>1310</v>
      </c>
      <c r="F296" s="89">
        <f t="shared" si="223"/>
        <v>40</v>
      </c>
      <c r="G296" s="90">
        <f t="shared" si="221"/>
        <v>421.2136065091658</v>
      </c>
      <c r="H296" s="90">
        <f t="shared" si="222"/>
        <v>327.68</v>
      </c>
      <c r="I296" s="91" t="str">
        <f t="shared" ref="I296:I300" si="225">I295</f>
        <v>9동1,2라인</v>
      </c>
      <c r="J296" s="92" t="s">
        <v>207</v>
      </c>
      <c r="L296" s="89">
        <v>4</v>
      </c>
      <c r="M296" s="306">
        <f t="shared" ref="M296:M299" si="226">M295</f>
        <v>10</v>
      </c>
      <c r="N296" s="306"/>
      <c r="O296" s="306">
        <f t="shared" si="224"/>
        <v>40</v>
      </c>
    </row>
    <row r="297" spans="1:16" ht="18" customHeight="1">
      <c r="A297" s="85"/>
      <c r="B297" s="86"/>
      <c r="C297" s="87"/>
      <c r="D297" s="88">
        <v>288</v>
      </c>
      <c r="E297" s="88">
        <v>910</v>
      </c>
      <c r="F297" s="89">
        <f t="shared" si="223"/>
        <v>20</v>
      </c>
      <c r="G297" s="90">
        <f t="shared" si="221"/>
        <v>57.09244191745907</v>
      </c>
      <c r="H297" s="90">
        <f t="shared" si="222"/>
        <v>95.84</v>
      </c>
      <c r="I297" s="91" t="str">
        <f t="shared" si="225"/>
        <v>9동1,2라인</v>
      </c>
      <c r="J297" s="92" t="s">
        <v>208</v>
      </c>
      <c r="L297" s="89">
        <v>2</v>
      </c>
      <c r="M297" s="306">
        <f t="shared" si="226"/>
        <v>10</v>
      </c>
      <c r="N297" s="306"/>
      <c r="O297" s="306">
        <f t="shared" si="224"/>
        <v>20</v>
      </c>
    </row>
    <row r="298" spans="1:16" ht="18" customHeight="1">
      <c r="A298" s="85"/>
      <c r="B298" s="86"/>
      <c r="C298" s="87"/>
      <c r="D298" s="88">
        <v>228</v>
      </c>
      <c r="E298" s="88">
        <v>910</v>
      </c>
      <c r="F298" s="89">
        <f t="shared" si="223"/>
        <v>20</v>
      </c>
      <c r="G298" s="90">
        <f t="shared" si="221"/>
        <v>45.1981831846551</v>
      </c>
      <c r="H298" s="90">
        <f t="shared" si="222"/>
        <v>91.039999999999992</v>
      </c>
      <c r="I298" s="91" t="str">
        <f t="shared" si="225"/>
        <v>9동1,2라인</v>
      </c>
      <c r="J298" s="92" t="s">
        <v>209</v>
      </c>
      <c r="L298" s="89">
        <v>2</v>
      </c>
      <c r="M298" s="306">
        <f t="shared" si="226"/>
        <v>10</v>
      </c>
      <c r="N298" s="306"/>
      <c r="O298" s="306">
        <f t="shared" si="224"/>
        <v>20</v>
      </c>
    </row>
    <row r="299" spans="1:16" ht="18" customHeight="1">
      <c r="A299" s="85"/>
      <c r="B299" s="86"/>
      <c r="C299" s="87"/>
      <c r="D299" s="88">
        <v>438</v>
      </c>
      <c r="E299" s="88">
        <v>270</v>
      </c>
      <c r="F299" s="89">
        <f t="shared" si="223"/>
        <v>20</v>
      </c>
      <c r="G299" s="90">
        <f t="shared" si="221"/>
        <v>25.762180178413882</v>
      </c>
      <c r="H299" s="90">
        <f t="shared" si="222"/>
        <v>56.64</v>
      </c>
      <c r="I299" s="91" t="str">
        <f t="shared" si="225"/>
        <v>9동1,2라인</v>
      </c>
      <c r="J299" s="92" t="s">
        <v>210</v>
      </c>
      <c r="L299" s="89">
        <v>2</v>
      </c>
      <c r="M299" s="306">
        <f t="shared" si="226"/>
        <v>10</v>
      </c>
      <c r="N299" s="306"/>
      <c r="O299" s="306">
        <f t="shared" si="224"/>
        <v>20</v>
      </c>
    </row>
    <row r="300" spans="1:16" ht="18" customHeight="1">
      <c r="A300" s="85"/>
      <c r="B300" s="86"/>
      <c r="C300" s="87"/>
      <c r="D300" s="88">
        <v>208</v>
      </c>
      <c r="E300" s="88">
        <v>910</v>
      </c>
      <c r="F300" s="89">
        <f t="shared" si="223"/>
        <v>20</v>
      </c>
      <c r="G300" s="90">
        <f t="shared" si="221"/>
        <v>41.233430273720444</v>
      </c>
      <c r="H300" s="90">
        <f t="shared" si="222"/>
        <v>89.44</v>
      </c>
      <c r="I300" s="91" t="str">
        <f t="shared" si="225"/>
        <v>9동1,2라인</v>
      </c>
      <c r="J300" s="92" t="s">
        <v>211</v>
      </c>
      <c r="L300" s="89">
        <v>2</v>
      </c>
      <c r="M300" s="306">
        <f>M299</f>
        <v>10</v>
      </c>
      <c r="N300" s="306"/>
      <c r="O300" s="306">
        <f t="shared" si="224"/>
        <v>20</v>
      </c>
    </row>
    <row r="301" spans="1:16" ht="18" customHeight="1">
      <c r="A301" s="85"/>
      <c r="B301" s="93"/>
      <c r="C301" s="87"/>
      <c r="D301" s="325" t="s">
        <v>0</v>
      </c>
      <c r="E301" s="325"/>
      <c r="F301" s="94">
        <f>SUM(F294:F300)</f>
        <v>150</v>
      </c>
      <c r="G301" s="95">
        <f>SUM(G294:G300)</f>
        <v>1223.3462950255423</v>
      </c>
      <c r="H301" s="96">
        <f>SUM(H294:H300)</f>
        <v>1006.24</v>
      </c>
      <c r="I301" s="97"/>
      <c r="J301" s="162"/>
    </row>
    <row r="302" spans="1:16" ht="18" customHeight="1">
      <c r="A302" s="85"/>
      <c r="B302" s="93"/>
      <c r="C302" s="87"/>
      <c r="D302" s="161"/>
      <c r="E302" s="161"/>
      <c r="F302" s="89"/>
      <c r="G302" s="100"/>
      <c r="H302" s="101"/>
      <c r="I302" s="102"/>
      <c r="J302" s="121"/>
      <c r="L302" s="306" t="s">
        <v>48</v>
      </c>
      <c r="M302" s="306" t="s">
        <v>54</v>
      </c>
      <c r="N302" s="306" t="s">
        <v>50</v>
      </c>
      <c r="O302" s="306" t="s">
        <v>55</v>
      </c>
    </row>
    <row r="303" spans="1:16" ht="18" customHeight="1">
      <c r="A303" s="85"/>
      <c r="B303" s="23" t="s">
        <v>197</v>
      </c>
      <c r="C303" s="24">
        <v>22</v>
      </c>
      <c r="D303" s="88">
        <v>761</v>
      </c>
      <c r="E303" s="88">
        <v>1810</v>
      </c>
      <c r="F303" s="89">
        <f t="shared" ref="F303:F309" si="227">O303</f>
        <v>20</v>
      </c>
      <c r="G303" s="90">
        <f t="shared" ref="G303:G309" si="228">D303*E303/91809*F303</f>
        <v>300.05990698079711</v>
      </c>
      <c r="H303" s="90">
        <f t="shared" ref="H303:H309" si="229">(D303/1000)*4*F303+(E303/1000)*4*F303</f>
        <v>205.68</v>
      </c>
      <c r="I303" s="91" t="str">
        <f t="shared" ref="I303:I309" si="230">I294</f>
        <v>9동1,2라인</v>
      </c>
      <c r="J303" s="92" t="s">
        <v>212</v>
      </c>
      <c r="L303" s="89">
        <v>2</v>
      </c>
      <c r="M303" s="306">
        <f>M294</f>
        <v>10</v>
      </c>
      <c r="N303" s="84"/>
      <c r="O303" s="306">
        <f>L303*M303-N303*L303</f>
        <v>20</v>
      </c>
    </row>
    <row r="304" spans="1:16" ht="18" customHeight="1">
      <c r="A304" s="85"/>
      <c r="B304" s="86"/>
      <c r="C304" s="87"/>
      <c r="D304" s="88">
        <v>1688</v>
      </c>
      <c r="E304" s="88">
        <v>1810</v>
      </c>
      <c r="F304" s="89">
        <f t="shared" si="227"/>
        <v>10</v>
      </c>
      <c r="G304" s="90">
        <f t="shared" si="228"/>
        <v>332.78654598133079</v>
      </c>
      <c r="H304" s="90">
        <f t="shared" si="229"/>
        <v>139.92000000000002</v>
      </c>
      <c r="I304" s="91" t="str">
        <f t="shared" si="230"/>
        <v>9동1,2라인</v>
      </c>
      <c r="J304" s="92" t="s">
        <v>213</v>
      </c>
      <c r="L304" s="89">
        <v>1</v>
      </c>
      <c r="M304" s="306">
        <f>M303</f>
        <v>10</v>
      </c>
      <c r="N304" s="84"/>
      <c r="O304" s="306">
        <f>L304*M304-N304*L304</f>
        <v>10</v>
      </c>
    </row>
    <row r="305" spans="1:16" ht="18" customHeight="1">
      <c r="A305" s="104"/>
      <c r="B305" s="93"/>
      <c r="C305" s="87"/>
      <c r="D305" s="88">
        <v>738</v>
      </c>
      <c r="E305" s="88">
        <v>1310</v>
      </c>
      <c r="F305" s="89">
        <f t="shared" si="227"/>
        <v>40</v>
      </c>
      <c r="G305" s="90">
        <f t="shared" si="228"/>
        <v>421.2136065091658</v>
      </c>
      <c r="H305" s="90">
        <f t="shared" si="229"/>
        <v>327.68</v>
      </c>
      <c r="I305" s="91" t="str">
        <f t="shared" si="230"/>
        <v>9동1,2라인</v>
      </c>
      <c r="J305" s="92" t="s">
        <v>214</v>
      </c>
      <c r="L305" s="89">
        <v>4</v>
      </c>
      <c r="M305" s="306">
        <f t="shared" ref="M305:M309" si="231">M304</f>
        <v>10</v>
      </c>
      <c r="N305" s="84"/>
      <c r="O305" s="306">
        <f t="shared" ref="O305:O309" si="232">L305*M305-N305*L305</f>
        <v>40</v>
      </c>
    </row>
    <row r="306" spans="1:16" ht="18" customHeight="1">
      <c r="A306" s="104"/>
      <c r="B306" s="93"/>
      <c r="C306" s="87"/>
      <c r="D306" s="88">
        <v>288</v>
      </c>
      <c r="E306" s="88">
        <v>910</v>
      </c>
      <c r="F306" s="89">
        <f t="shared" si="227"/>
        <v>20</v>
      </c>
      <c r="G306" s="90">
        <f t="shared" si="228"/>
        <v>57.09244191745907</v>
      </c>
      <c r="H306" s="90">
        <f t="shared" si="229"/>
        <v>95.84</v>
      </c>
      <c r="I306" s="91" t="str">
        <f t="shared" si="230"/>
        <v>9동1,2라인</v>
      </c>
      <c r="J306" s="92" t="s">
        <v>215</v>
      </c>
      <c r="L306" s="89">
        <v>2</v>
      </c>
      <c r="M306" s="306">
        <f t="shared" si="231"/>
        <v>10</v>
      </c>
      <c r="N306" s="306"/>
      <c r="O306" s="306">
        <f t="shared" si="232"/>
        <v>20</v>
      </c>
    </row>
    <row r="307" spans="1:16" ht="18" customHeight="1">
      <c r="A307" s="104"/>
      <c r="B307" s="93"/>
      <c r="C307" s="87"/>
      <c r="D307" s="88">
        <v>228</v>
      </c>
      <c r="E307" s="88">
        <v>910</v>
      </c>
      <c r="F307" s="89">
        <f t="shared" si="227"/>
        <v>20</v>
      </c>
      <c r="G307" s="90">
        <f t="shared" si="228"/>
        <v>45.1981831846551</v>
      </c>
      <c r="H307" s="90">
        <f t="shared" si="229"/>
        <v>91.039999999999992</v>
      </c>
      <c r="I307" s="91" t="str">
        <f t="shared" si="230"/>
        <v>9동1,2라인</v>
      </c>
      <c r="J307" s="92" t="s">
        <v>216</v>
      </c>
      <c r="L307" s="89">
        <v>2</v>
      </c>
      <c r="M307" s="306">
        <f t="shared" si="231"/>
        <v>10</v>
      </c>
      <c r="N307" s="306"/>
      <c r="O307" s="306">
        <f t="shared" si="232"/>
        <v>20</v>
      </c>
    </row>
    <row r="308" spans="1:16" ht="18" customHeight="1">
      <c r="A308" s="104"/>
      <c r="B308" s="93"/>
      <c r="C308" s="87"/>
      <c r="D308" s="88">
        <v>438</v>
      </c>
      <c r="E308" s="88">
        <v>270</v>
      </c>
      <c r="F308" s="89">
        <f t="shared" si="227"/>
        <v>20</v>
      </c>
      <c r="G308" s="90">
        <f t="shared" si="228"/>
        <v>25.762180178413882</v>
      </c>
      <c r="H308" s="90">
        <f t="shared" si="229"/>
        <v>56.64</v>
      </c>
      <c r="I308" s="91" t="str">
        <f t="shared" si="230"/>
        <v>9동1,2라인</v>
      </c>
      <c r="J308" s="92" t="s">
        <v>217</v>
      </c>
      <c r="L308" s="89">
        <v>2</v>
      </c>
      <c r="M308" s="306">
        <f t="shared" si="231"/>
        <v>10</v>
      </c>
      <c r="N308" s="306"/>
      <c r="O308" s="306">
        <f t="shared" si="232"/>
        <v>20</v>
      </c>
    </row>
    <row r="309" spans="1:16" ht="18" customHeight="1">
      <c r="A309" s="104"/>
      <c r="B309" s="93"/>
      <c r="C309" s="87"/>
      <c r="D309" s="88">
        <v>208</v>
      </c>
      <c r="E309" s="88">
        <v>910</v>
      </c>
      <c r="F309" s="89">
        <f t="shared" si="227"/>
        <v>20</v>
      </c>
      <c r="G309" s="90">
        <f t="shared" si="228"/>
        <v>41.233430273720444</v>
      </c>
      <c r="H309" s="90">
        <f t="shared" si="229"/>
        <v>89.44</v>
      </c>
      <c r="I309" s="91" t="str">
        <f t="shared" si="230"/>
        <v>9동1,2라인</v>
      </c>
      <c r="J309" s="92" t="s">
        <v>218</v>
      </c>
      <c r="L309" s="89">
        <v>2</v>
      </c>
      <c r="M309" s="306">
        <f t="shared" si="231"/>
        <v>10</v>
      </c>
      <c r="N309" s="306"/>
      <c r="O309" s="306">
        <f t="shared" si="232"/>
        <v>20</v>
      </c>
    </row>
    <row r="310" spans="1:16" ht="18" customHeight="1">
      <c r="A310" s="104"/>
      <c r="B310" s="87"/>
      <c r="C310" s="87"/>
      <c r="D310" s="325" t="s">
        <v>0</v>
      </c>
      <c r="E310" s="325"/>
      <c r="F310" s="171">
        <f>SUM(F303:F309)</f>
        <v>150</v>
      </c>
      <c r="G310" s="95">
        <f>SUM(G303:G309)</f>
        <v>1223.3462950255423</v>
      </c>
      <c r="H310" s="95">
        <f>SUM(H303:H309)</f>
        <v>1006.24</v>
      </c>
      <c r="I310" s="97"/>
      <c r="J310" s="98"/>
    </row>
    <row r="311" spans="1:16">
      <c r="A311" s="105"/>
      <c r="B311" s="9"/>
      <c r="C311" s="9"/>
      <c r="D311" s="51"/>
      <c r="E311" s="51"/>
      <c r="F311" s="51"/>
      <c r="G311" s="106"/>
      <c r="H311" s="106"/>
      <c r="I311" s="9"/>
      <c r="J311" s="107"/>
    </row>
    <row r="312" spans="1:16" ht="18" customHeight="1">
      <c r="A312" s="85"/>
      <c r="B312" s="163" t="s">
        <v>199</v>
      </c>
      <c r="C312" s="163">
        <v>22</v>
      </c>
      <c r="D312" s="88">
        <v>738</v>
      </c>
      <c r="E312" s="88">
        <v>1810</v>
      </c>
      <c r="F312" s="89">
        <f t="shared" ref="F312:F313" si="233">O312</f>
        <v>10</v>
      </c>
      <c r="G312" s="90">
        <f t="shared" ref="G312:G313" si="234">D312*E312/91809*F312</f>
        <v>145.4955396529752</v>
      </c>
      <c r="H312" s="90">
        <f t="shared" ref="H312:H313" si="235">(D312/1000)*4*F312+(E312/1000)*4*F312</f>
        <v>101.92</v>
      </c>
      <c r="I312" s="91" t="str">
        <f>I303</f>
        <v>9동1,2라인</v>
      </c>
      <c r="J312" s="92" t="s">
        <v>219</v>
      </c>
      <c r="L312" s="89">
        <v>2</v>
      </c>
      <c r="M312" s="306">
        <f>M294</f>
        <v>10</v>
      </c>
      <c r="N312" s="84">
        <v>5</v>
      </c>
      <c r="O312" s="306">
        <f>L312*M312-N312*L312</f>
        <v>10</v>
      </c>
      <c r="P312" s="64" t="s">
        <v>244</v>
      </c>
    </row>
    <row r="313" spans="1:16" ht="18" customHeight="1">
      <c r="A313" s="85"/>
      <c r="B313" s="86"/>
      <c r="C313" s="87"/>
      <c r="D313" s="88">
        <v>250</v>
      </c>
      <c r="E313" s="88">
        <v>930</v>
      </c>
      <c r="F313" s="89">
        <f t="shared" si="233"/>
        <v>20</v>
      </c>
      <c r="G313" s="90">
        <f t="shared" si="234"/>
        <v>50.648629219357574</v>
      </c>
      <c r="H313" s="90">
        <f t="shared" si="235"/>
        <v>94.4</v>
      </c>
      <c r="I313" s="91" t="str">
        <f>I312</f>
        <v>9동1,2라인</v>
      </c>
      <c r="J313" s="92" t="s">
        <v>220</v>
      </c>
      <c r="L313" s="89">
        <v>2</v>
      </c>
      <c r="M313" s="306">
        <f>M312</f>
        <v>10</v>
      </c>
      <c r="N313" s="84"/>
      <c r="O313" s="306">
        <f t="shared" ref="O313" si="236">L313*M313-N313*L313</f>
        <v>20</v>
      </c>
    </row>
    <row r="314" spans="1:16" ht="18" customHeight="1">
      <c r="A314" s="85"/>
      <c r="B314" s="93"/>
      <c r="C314" s="87"/>
      <c r="D314" s="325" t="s">
        <v>0</v>
      </c>
      <c r="E314" s="325"/>
      <c r="F314" s="94">
        <f>SUM(F312:F313)</f>
        <v>30</v>
      </c>
      <c r="G314" s="95">
        <f>SUM(G312:G313)</f>
        <v>196.14416887233278</v>
      </c>
      <c r="H314" s="95">
        <f>SUM(H312:H313)</f>
        <v>196.32</v>
      </c>
      <c r="I314" s="97"/>
      <c r="J314" s="98"/>
    </row>
    <row r="315" spans="1:16" ht="18" customHeight="1">
      <c r="A315" s="108"/>
      <c r="B315" s="164"/>
      <c r="C315" s="109"/>
      <c r="D315" s="305"/>
      <c r="E315" s="305"/>
      <c r="F315" s="110"/>
      <c r="G315" s="111"/>
      <c r="H315" s="111"/>
      <c r="I315" s="112"/>
      <c r="J315" s="113"/>
    </row>
    <row r="316" spans="1:16" ht="18" customHeight="1">
      <c r="A316" s="85" t="s">
        <v>235</v>
      </c>
      <c r="B316" s="23" t="s">
        <v>196</v>
      </c>
      <c r="C316" s="24">
        <v>22</v>
      </c>
      <c r="D316" s="88">
        <v>861</v>
      </c>
      <c r="E316" s="88">
        <v>1810</v>
      </c>
      <c r="F316" s="89">
        <f t="shared" ref="F316:F319" si="237">O316</f>
        <v>5</v>
      </c>
      <c r="G316" s="90">
        <f t="shared" ref="G316:G319" si="238">D316*E316/91809*F316</f>
        <v>84.872398130902198</v>
      </c>
      <c r="H316" s="90">
        <f t="shared" ref="H316:H319" si="239">(D316/1000)*4*F316+(E316/1000)*4*F316</f>
        <v>53.42</v>
      </c>
      <c r="I316" s="91" t="s">
        <v>256</v>
      </c>
      <c r="J316" s="92" t="s">
        <v>205</v>
      </c>
      <c r="L316" s="89">
        <v>1</v>
      </c>
      <c r="M316" s="306">
        <v>5</v>
      </c>
      <c r="N316" s="84"/>
      <c r="O316" s="306">
        <f>L316*M316-N316*L316</f>
        <v>5</v>
      </c>
      <c r="P316" s="64"/>
    </row>
    <row r="317" spans="1:16" ht="18" customHeight="1">
      <c r="A317" s="85"/>
      <c r="B317" s="86"/>
      <c r="C317" s="87"/>
      <c r="D317" s="88">
        <v>738</v>
      </c>
      <c r="E317" s="88">
        <v>1310</v>
      </c>
      <c r="F317" s="89">
        <f t="shared" si="237"/>
        <v>20</v>
      </c>
      <c r="G317" s="90">
        <f t="shared" si="238"/>
        <v>210.6068032545829</v>
      </c>
      <c r="H317" s="90">
        <f t="shared" si="239"/>
        <v>163.84</v>
      </c>
      <c r="I317" s="91" t="str">
        <f>I316</f>
        <v>9동3라인</v>
      </c>
      <c r="J317" s="92" t="s">
        <v>207</v>
      </c>
      <c r="L317" s="89">
        <v>4</v>
      </c>
      <c r="M317" s="306">
        <f>M316</f>
        <v>5</v>
      </c>
      <c r="N317" s="84"/>
      <c r="O317" s="306">
        <f t="shared" ref="O317:O319" si="240">L317*M317-N317*L317</f>
        <v>20</v>
      </c>
    </row>
    <row r="318" spans="1:16" ht="18" customHeight="1">
      <c r="A318" s="85"/>
      <c r="B318" s="86"/>
      <c r="C318" s="87"/>
      <c r="D318" s="88">
        <v>228</v>
      </c>
      <c r="E318" s="88">
        <v>910</v>
      </c>
      <c r="F318" s="89">
        <f t="shared" si="237"/>
        <v>10</v>
      </c>
      <c r="G318" s="90">
        <f t="shared" si="238"/>
        <v>22.59909159232755</v>
      </c>
      <c r="H318" s="90">
        <f t="shared" si="239"/>
        <v>45.519999999999996</v>
      </c>
      <c r="I318" s="91" t="str">
        <f t="shared" ref="I318:I319" si="241">I317</f>
        <v>9동3라인</v>
      </c>
      <c r="J318" s="92" t="s">
        <v>209</v>
      </c>
      <c r="L318" s="89">
        <v>2</v>
      </c>
      <c r="M318" s="306">
        <f t="shared" ref="M318:M319" si="242">M317</f>
        <v>5</v>
      </c>
      <c r="N318" s="306"/>
      <c r="O318" s="306">
        <f t="shared" si="240"/>
        <v>10</v>
      </c>
    </row>
    <row r="319" spans="1:16" ht="18" customHeight="1">
      <c r="A319" s="85"/>
      <c r="B319" s="86"/>
      <c r="C319" s="87"/>
      <c r="D319" s="88">
        <v>438</v>
      </c>
      <c r="E319" s="88">
        <v>270</v>
      </c>
      <c r="F319" s="89">
        <f t="shared" si="237"/>
        <v>10</v>
      </c>
      <c r="G319" s="90">
        <f t="shared" si="238"/>
        <v>12.881090089206941</v>
      </c>
      <c r="H319" s="90">
        <f t="shared" si="239"/>
        <v>28.32</v>
      </c>
      <c r="I319" s="91" t="str">
        <f t="shared" si="241"/>
        <v>9동3라인</v>
      </c>
      <c r="J319" s="92" t="s">
        <v>210</v>
      </c>
      <c r="L319" s="89">
        <v>2</v>
      </c>
      <c r="M319" s="306">
        <f t="shared" si="242"/>
        <v>5</v>
      </c>
      <c r="N319" s="306"/>
      <c r="O319" s="306">
        <f t="shared" si="240"/>
        <v>10</v>
      </c>
    </row>
    <row r="320" spans="1:16" ht="18" customHeight="1">
      <c r="A320" s="85"/>
      <c r="B320" s="93"/>
      <c r="C320" s="87"/>
      <c r="D320" s="325" t="s">
        <v>0</v>
      </c>
      <c r="E320" s="325"/>
      <c r="F320" s="94">
        <f>SUM(F316:F319)</f>
        <v>45</v>
      </c>
      <c r="G320" s="95">
        <f>SUM(G316:G319)</f>
        <v>330.95938306701964</v>
      </c>
      <c r="H320" s="96">
        <f>SUM(H316:H319)</f>
        <v>291.09999999999997</v>
      </c>
      <c r="I320" s="97"/>
      <c r="J320" s="162"/>
    </row>
    <row r="321" spans="1:16" ht="18" customHeight="1">
      <c r="A321" s="85"/>
      <c r="B321" s="93"/>
      <c r="C321" s="87"/>
      <c r="D321" s="161"/>
      <c r="E321" s="161"/>
      <c r="F321" s="89"/>
      <c r="G321" s="100"/>
      <c r="H321" s="101"/>
      <c r="I321" s="102"/>
      <c r="J321" s="121"/>
      <c r="L321" s="252"/>
      <c r="M321" s="252"/>
      <c r="N321" s="252"/>
      <c r="O321" s="252"/>
    </row>
    <row r="322" spans="1:16" ht="18" customHeight="1">
      <c r="A322" s="85"/>
      <c r="B322" s="23" t="s">
        <v>198</v>
      </c>
      <c r="C322" s="24">
        <v>22</v>
      </c>
      <c r="D322" s="88">
        <v>861</v>
      </c>
      <c r="E322" s="88">
        <v>1810</v>
      </c>
      <c r="F322" s="89">
        <f t="shared" ref="F322:F326" si="243">O322</f>
        <v>5</v>
      </c>
      <c r="G322" s="90">
        <f t="shared" ref="G322:G326" si="244">D322*E322/91809*F322</f>
        <v>84.872398130902198</v>
      </c>
      <c r="H322" s="90">
        <f t="shared" ref="H322:H326" si="245">(D322/1000)*4*F322+(E322/1000)*4*F322</f>
        <v>53.42</v>
      </c>
      <c r="I322" s="103" t="str">
        <f>I316</f>
        <v>9동3라인</v>
      </c>
      <c r="J322" s="92" t="s">
        <v>212</v>
      </c>
      <c r="L322" s="89">
        <v>1</v>
      </c>
      <c r="M322" s="306">
        <f>M316</f>
        <v>5</v>
      </c>
      <c r="N322" s="84"/>
      <c r="O322" s="306">
        <f>L322*M322-N322*L322</f>
        <v>5</v>
      </c>
    </row>
    <row r="323" spans="1:16" ht="18" customHeight="1">
      <c r="A323" s="85"/>
      <c r="B323" s="86"/>
      <c r="C323" s="87"/>
      <c r="D323" s="88">
        <v>2114</v>
      </c>
      <c r="E323" s="88">
        <v>1810</v>
      </c>
      <c r="F323" s="89">
        <f t="shared" si="243"/>
        <v>5</v>
      </c>
      <c r="G323" s="90">
        <f t="shared" si="244"/>
        <v>208.38588809375989</v>
      </c>
      <c r="H323" s="90">
        <f t="shared" si="245"/>
        <v>78.48</v>
      </c>
      <c r="I323" s="91" t="str">
        <f>I316</f>
        <v>9동3라인</v>
      </c>
      <c r="J323" s="92" t="s">
        <v>213</v>
      </c>
      <c r="L323" s="89">
        <v>1</v>
      </c>
      <c r="M323" s="306">
        <f>M322</f>
        <v>5</v>
      </c>
      <c r="N323" s="84"/>
      <c r="O323" s="306">
        <f>L323*M323-N323*L323</f>
        <v>5</v>
      </c>
    </row>
    <row r="324" spans="1:16" ht="18" customHeight="1">
      <c r="A324" s="104"/>
      <c r="B324" s="93"/>
      <c r="C324" s="87"/>
      <c r="D324" s="88">
        <v>738</v>
      </c>
      <c r="E324" s="88">
        <v>1310</v>
      </c>
      <c r="F324" s="89">
        <f t="shared" si="243"/>
        <v>20</v>
      </c>
      <c r="G324" s="90">
        <f t="shared" si="244"/>
        <v>210.6068032545829</v>
      </c>
      <c r="H324" s="90">
        <f t="shared" si="245"/>
        <v>163.84</v>
      </c>
      <c r="I324" s="91" t="str">
        <f>I323</f>
        <v>9동3라인</v>
      </c>
      <c r="J324" s="92" t="s">
        <v>214</v>
      </c>
      <c r="L324" s="89">
        <v>4</v>
      </c>
      <c r="M324" s="306">
        <f t="shared" ref="M324:M326" si="246">M323</f>
        <v>5</v>
      </c>
      <c r="N324" s="84"/>
      <c r="O324" s="306">
        <f t="shared" ref="O324:O326" si="247">L324*M324-N324*L324</f>
        <v>20</v>
      </c>
    </row>
    <row r="325" spans="1:16" ht="18" customHeight="1">
      <c r="A325" s="104"/>
      <c r="B325" s="93"/>
      <c r="C325" s="87"/>
      <c r="D325" s="88">
        <v>228</v>
      </c>
      <c r="E325" s="88">
        <v>910</v>
      </c>
      <c r="F325" s="89">
        <f t="shared" si="243"/>
        <v>10</v>
      </c>
      <c r="G325" s="90">
        <f t="shared" si="244"/>
        <v>22.59909159232755</v>
      </c>
      <c r="H325" s="90">
        <f t="shared" si="245"/>
        <v>45.519999999999996</v>
      </c>
      <c r="I325" s="91" t="str">
        <f t="shared" ref="I325:I326" si="248">I324</f>
        <v>9동3라인</v>
      </c>
      <c r="J325" s="92" t="s">
        <v>216</v>
      </c>
      <c r="L325" s="89">
        <v>2</v>
      </c>
      <c r="M325" s="306">
        <f t="shared" si="246"/>
        <v>5</v>
      </c>
      <c r="N325" s="306"/>
      <c r="O325" s="306">
        <f t="shared" si="247"/>
        <v>10</v>
      </c>
    </row>
    <row r="326" spans="1:16" ht="18" customHeight="1">
      <c r="A326" s="104"/>
      <c r="B326" s="93"/>
      <c r="C326" s="87"/>
      <c r="D326" s="88">
        <v>438</v>
      </c>
      <c r="E326" s="88">
        <v>270</v>
      </c>
      <c r="F326" s="89">
        <f t="shared" si="243"/>
        <v>10</v>
      </c>
      <c r="G326" s="90">
        <f t="shared" si="244"/>
        <v>12.881090089206941</v>
      </c>
      <c r="H326" s="90">
        <f t="shared" si="245"/>
        <v>28.32</v>
      </c>
      <c r="I326" s="91" t="str">
        <f t="shared" si="248"/>
        <v>9동3라인</v>
      </c>
      <c r="J326" s="92" t="s">
        <v>217</v>
      </c>
      <c r="L326" s="89">
        <v>2</v>
      </c>
      <c r="M326" s="306">
        <f t="shared" si="246"/>
        <v>5</v>
      </c>
      <c r="N326" s="306"/>
      <c r="O326" s="306">
        <f t="shared" si="247"/>
        <v>10</v>
      </c>
    </row>
    <row r="327" spans="1:16" ht="18" customHeight="1">
      <c r="A327" s="104"/>
      <c r="B327" s="87"/>
      <c r="C327" s="87"/>
      <c r="D327" s="325" t="s">
        <v>0</v>
      </c>
      <c r="E327" s="325"/>
      <c r="F327" s="171">
        <f>SUM(F322:F326)</f>
        <v>50</v>
      </c>
      <c r="G327" s="95">
        <f>SUM(G322:G326)</f>
        <v>539.34527116077948</v>
      </c>
      <c r="H327" s="95">
        <f>SUM(H322:H326)</f>
        <v>369.58</v>
      </c>
      <c r="I327" s="97"/>
      <c r="J327" s="98"/>
    </row>
    <row r="328" spans="1:16">
      <c r="A328" s="105"/>
      <c r="B328" s="9"/>
      <c r="C328" s="9"/>
      <c r="D328" s="51"/>
      <c r="E328" s="51"/>
      <c r="F328" s="51"/>
      <c r="G328" s="106"/>
      <c r="H328" s="106"/>
      <c r="I328" s="9"/>
      <c r="J328" s="107"/>
    </row>
    <row r="329" spans="1:16" ht="18" customHeight="1">
      <c r="A329" s="85"/>
      <c r="B329" s="23" t="s">
        <v>237</v>
      </c>
      <c r="C329" s="24">
        <v>22</v>
      </c>
      <c r="D329" s="88">
        <v>2114</v>
      </c>
      <c r="E329" s="88">
        <v>1810</v>
      </c>
      <c r="F329" s="89">
        <f t="shared" ref="F329" si="249">O329</f>
        <v>5</v>
      </c>
      <c r="G329" s="90">
        <f t="shared" ref="G329" si="250">D329*E329/91809*F329</f>
        <v>208.38588809375989</v>
      </c>
      <c r="H329" s="90">
        <f t="shared" ref="H329" si="251">(D329/1000)*4*F329+(E329/1000)*4*F329</f>
        <v>78.48</v>
      </c>
      <c r="I329" s="91" t="str">
        <f>I322</f>
        <v>9동3라인</v>
      </c>
      <c r="J329" s="92" t="s">
        <v>206</v>
      </c>
      <c r="L329" s="89">
        <v>1</v>
      </c>
      <c r="M329" s="306">
        <f>M316</f>
        <v>5</v>
      </c>
      <c r="N329" s="84"/>
      <c r="O329" s="306">
        <f>L329*M329-N329*L329</f>
        <v>5</v>
      </c>
    </row>
    <row r="330" spans="1:16" ht="18" customHeight="1">
      <c r="A330" s="85"/>
      <c r="B330" s="93"/>
      <c r="C330" s="87"/>
      <c r="D330" s="325" t="s">
        <v>0</v>
      </c>
      <c r="E330" s="325"/>
      <c r="F330" s="94">
        <f>SUM(F329:F329)</f>
        <v>5</v>
      </c>
      <c r="G330" s="95">
        <f>SUM(G329:G329)</f>
        <v>208.38588809375989</v>
      </c>
      <c r="H330" s="95">
        <f>SUM(H329:H329)</f>
        <v>78.48</v>
      </c>
      <c r="I330" s="97"/>
      <c r="J330" s="98"/>
    </row>
    <row r="331" spans="1:16" ht="18" customHeight="1">
      <c r="A331" s="218"/>
      <c r="B331" s="219"/>
      <c r="C331" s="220"/>
      <c r="D331" s="161"/>
      <c r="E331" s="161"/>
      <c r="F331" s="89"/>
      <c r="G331" s="100"/>
      <c r="H331" s="100"/>
      <c r="I331" s="102"/>
      <c r="J331" s="221"/>
    </row>
    <row r="332" spans="1:16" ht="18" customHeight="1">
      <c r="A332" s="85"/>
      <c r="B332" s="23" t="s">
        <v>200</v>
      </c>
      <c r="C332" s="24">
        <v>22</v>
      </c>
      <c r="D332" s="88">
        <v>738</v>
      </c>
      <c r="E332" s="88">
        <v>1810</v>
      </c>
      <c r="F332" s="89">
        <f t="shared" ref="F332:F333" si="252">O332</f>
        <v>10</v>
      </c>
      <c r="G332" s="90">
        <f t="shared" ref="G332:G333" si="253">D332*E332/91809*F332</f>
        <v>145.4955396529752</v>
      </c>
      <c r="H332" s="90">
        <f t="shared" ref="H332:H333" si="254">(D332/1000)*4*F332+(E332/1000)*4*F332</f>
        <v>101.92</v>
      </c>
      <c r="I332" s="91" t="str">
        <f>I329</f>
        <v>9동3라인</v>
      </c>
      <c r="J332" s="92" t="s">
        <v>219</v>
      </c>
      <c r="L332" s="89">
        <v>2</v>
      </c>
      <c r="M332" s="306">
        <f>M329</f>
        <v>5</v>
      </c>
      <c r="N332" s="84"/>
      <c r="O332" s="306">
        <f>L332*M332-N332*L332</f>
        <v>10</v>
      </c>
      <c r="P332" s="64"/>
    </row>
    <row r="333" spans="1:16" ht="18" customHeight="1">
      <c r="A333" s="85"/>
      <c r="B333" s="86"/>
      <c r="C333" s="87"/>
      <c r="D333" s="88">
        <v>250</v>
      </c>
      <c r="E333" s="88">
        <v>930</v>
      </c>
      <c r="F333" s="89">
        <f t="shared" si="252"/>
        <v>10</v>
      </c>
      <c r="G333" s="90">
        <f t="shared" si="253"/>
        <v>25.324314609678787</v>
      </c>
      <c r="H333" s="90">
        <f t="shared" si="254"/>
        <v>47.2</v>
      </c>
      <c r="I333" s="91" t="str">
        <f>I332</f>
        <v>9동3라인</v>
      </c>
      <c r="J333" s="92" t="s">
        <v>220</v>
      </c>
      <c r="L333" s="89">
        <v>2</v>
      </c>
      <c r="M333" s="306">
        <f>M332</f>
        <v>5</v>
      </c>
      <c r="N333" s="84"/>
      <c r="O333" s="306">
        <f t="shared" ref="O333" si="255">L333*M333-N333*L333</f>
        <v>10</v>
      </c>
    </row>
    <row r="334" spans="1:16" ht="18" customHeight="1">
      <c r="A334" s="85"/>
      <c r="B334" s="93"/>
      <c r="C334" s="87"/>
      <c r="D334" s="325" t="s">
        <v>0</v>
      </c>
      <c r="E334" s="325"/>
      <c r="F334" s="94">
        <f>SUM(F332:F333)</f>
        <v>20</v>
      </c>
      <c r="G334" s="95">
        <f>SUM(G332:G333)</f>
        <v>170.81985426265399</v>
      </c>
      <c r="H334" s="96">
        <f>SUM(H332:H333)</f>
        <v>149.12</v>
      </c>
      <c r="I334" s="97"/>
      <c r="J334" s="162"/>
    </row>
    <row r="335" spans="1:16" ht="18" customHeight="1" thickBot="1">
      <c r="A335" s="222"/>
      <c r="B335" s="223"/>
      <c r="C335" s="224"/>
      <c r="D335" s="225"/>
      <c r="E335" s="225"/>
      <c r="F335" s="226"/>
      <c r="G335" s="227"/>
      <c r="H335" s="228"/>
      <c r="I335" s="229"/>
      <c r="J335" s="230"/>
      <c r="L335" s="306" t="s">
        <v>48</v>
      </c>
      <c r="M335" s="306" t="s">
        <v>49</v>
      </c>
      <c r="N335" s="306" t="s">
        <v>50</v>
      </c>
      <c r="O335" s="306" t="s">
        <v>55</v>
      </c>
    </row>
    <row r="336" spans="1:16" ht="18" customHeight="1">
      <c r="A336" s="79" t="s">
        <v>234</v>
      </c>
      <c r="B336" s="231" t="s">
        <v>195</v>
      </c>
      <c r="C336" s="232">
        <v>22</v>
      </c>
      <c r="D336" s="80">
        <v>761</v>
      </c>
      <c r="E336" s="80">
        <v>1810</v>
      </c>
      <c r="F336" s="233">
        <f>O336</f>
        <v>10</v>
      </c>
      <c r="G336" s="81">
        <f t="shared" ref="G336:G342" si="256">D336*E336/91809*F336</f>
        <v>150.02995349039855</v>
      </c>
      <c r="H336" s="81">
        <f t="shared" ref="H336:H342" si="257">(D336/1000)*4*F336+(E336/1000)*4*F336</f>
        <v>102.84</v>
      </c>
      <c r="I336" s="82" t="s">
        <v>257</v>
      </c>
      <c r="J336" s="83" t="s">
        <v>205</v>
      </c>
      <c r="L336" s="89">
        <v>2</v>
      </c>
      <c r="M336" s="306">
        <v>5</v>
      </c>
      <c r="N336" s="84"/>
      <c r="O336" s="306">
        <f>L336*M336-N336*L336</f>
        <v>10</v>
      </c>
      <c r="P336" s="64"/>
    </row>
    <row r="337" spans="1:15" ht="18" customHeight="1">
      <c r="A337" s="85"/>
      <c r="B337" s="86"/>
      <c r="C337" s="87"/>
      <c r="D337" s="88">
        <v>1688</v>
      </c>
      <c r="E337" s="88">
        <v>1810</v>
      </c>
      <c r="F337" s="89">
        <f t="shared" ref="F337:F342" si="258">O337</f>
        <v>5</v>
      </c>
      <c r="G337" s="90">
        <f t="shared" si="256"/>
        <v>166.39327299066539</v>
      </c>
      <c r="H337" s="90">
        <f t="shared" si="257"/>
        <v>69.960000000000008</v>
      </c>
      <c r="I337" s="91" t="str">
        <f>I336</f>
        <v>9동4라인</v>
      </c>
      <c r="J337" s="92" t="s">
        <v>206</v>
      </c>
      <c r="L337" s="89">
        <v>1</v>
      </c>
      <c r="M337" s="306">
        <f>M336</f>
        <v>5</v>
      </c>
      <c r="N337" s="84"/>
      <c r="O337" s="306">
        <f t="shared" ref="O337:O342" si="259">L337*M337-N337*L337</f>
        <v>5</v>
      </c>
    </row>
    <row r="338" spans="1:15" ht="18" customHeight="1">
      <c r="A338" s="85"/>
      <c r="B338" s="86"/>
      <c r="C338" s="87"/>
      <c r="D338" s="88">
        <v>738</v>
      </c>
      <c r="E338" s="88">
        <v>1310</v>
      </c>
      <c r="F338" s="89">
        <f t="shared" si="258"/>
        <v>20</v>
      </c>
      <c r="G338" s="90">
        <f t="shared" si="256"/>
        <v>210.6068032545829</v>
      </c>
      <c r="H338" s="90">
        <f t="shared" si="257"/>
        <v>163.84</v>
      </c>
      <c r="I338" s="91" t="str">
        <f t="shared" ref="I338:I342" si="260">I337</f>
        <v>9동4라인</v>
      </c>
      <c r="J338" s="92" t="s">
        <v>207</v>
      </c>
      <c r="L338" s="89">
        <v>4</v>
      </c>
      <c r="M338" s="306">
        <f t="shared" ref="M338:M341" si="261">M337</f>
        <v>5</v>
      </c>
      <c r="N338" s="306"/>
      <c r="O338" s="306">
        <f t="shared" si="259"/>
        <v>20</v>
      </c>
    </row>
    <row r="339" spans="1:15" ht="18" customHeight="1">
      <c r="A339" s="85"/>
      <c r="B339" s="86"/>
      <c r="C339" s="87"/>
      <c r="D339" s="88">
        <v>288</v>
      </c>
      <c r="E339" s="88">
        <v>910</v>
      </c>
      <c r="F339" s="89">
        <f t="shared" si="258"/>
        <v>10</v>
      </c>
      <c r="G339" s="90">
        <f t="shared" si="256"/>
        <v>28.546220958729535</v>
      </c>
      <c r="H339" s="90">
        <f t="shared" si="257"/>
        <v>47.92</v>
      </c>
      <c r="I339" s="91" t="str">
        <f t="shared" si="260"/>
        <v>9동4라인</v>
      </c>
      <c r="J339" s="92" t="s">
        <v>208</v>
      </c>
      <c r="L339" s="89">
        <v>2</v>
      </c>
      <c r="M339" s="306">
        <f t="shared" si="261"/>
        <v>5</v>
      </c>
      <c r="N339" s="306"/>
      <c r="O339" s="306">
        <f t="shared" si="259"/>
        <v>10</v>
      </c>
    </row>
    <row r="340" spans="1:15" ht="18" customHeight="1">
      <c r="A340" s="85"/>
      <c r="B340" s="86"/>
      <c r="C340" s="87"/>
      <c r="D340" s="88">
        <v>228</v>
      </c>
      <c r="E340" s="88">
        <v>910</v>
      </c>
      <c r="F340" s="89">
        <f t="shared" si="258"/>
        <v>10</v>
      </c>
      <c r="G340" s="90">
        <f t="shared" si="256"/>
        <v>22.59909159232755</v>
      </c>
      <c r="H340" s="90">
        <f t="shared" si="257"/>
        <v>45.519999999999996</v>
      </c>
      <c r="I340" s="91" t="str">
        <f t="shared" si="260"/>
        <v>9동4라인</v>
      </c>
      <c r="J340" s="92" t="s">
        <v>209</v>
      </c>
      <c r="L340" s="89">
        <v>2</v>
      </c>
      <c r="M340" s="306">
        <f t="shared" si="261"/>
        <v>5</v>
      </c>
      <c r="N340" s="306"/>
      <c r="O340" s="306">
        <f t="shared" si="259"/>
        <v>10</v>
      </c>
    </row>
    <row r="341" spans="1:15" ht="18" customHeight="1">
      <c r="A341" s="85"/>
      <c r="B341" s="86"/>
      <c r="C341" s="87"/>
      <c r="D341" s="88">
        <v>438</v>
      </c>
      <c r="E341" s="88">
        <v>270</v>
      </c>
      <c r="F341" s="89">
        <f t="shared" si="258"/>
        <v>10</v>
      </c>
      <c r="G341" s="90">
        <f t="shared" si="256"/>
        <v>12.881090089206941</v>
      </c>
      <c r="H341" s="90">
        <f t="shared" si="257"/>
        <v>28.32</v>
      </c>
      <c r="I341" s="91" t="str">
        <f t="shared" si="260"/>
        <v>9동4라인</v>
      </c>
      <c r="J341" s="92" t="s">
        <v>210</v>
      </c>
      <c r="L341" s="89">
        <v>2</v>
      </c>
      <c r="M341" s="306">
        <f t="shared" si="261"/>
        <v>5</v>
      </c>
      <c r="N341" s="306"/>
      <c r="O341" s="306">
        <f t="shared" si="259"/>
        <v>10</v>
      </c>
    </row>
    <row r="342" spans="1:15" ht="18" customHeight="1">
      <c r="A342" s="85"/>
      <c r="B342" s="86"/>
      <c r="C342" s="87"/>
      <c r="D342" s="88">
        <v>208</v>
      </c>
      <c r="E342" s="88">
        <v>910</v>
      </c>
      <c r="F342" s="89">
        <f t="shared" si="258"/>
        <v>10</v>
      </c>
      <c r="G342" s="90">
        <f t="shared" si="256"/>
        <v>20.616715136860222</v>
      </c>
      <c r="H342" s="90">
        <f t="shared" si="257"/>
        <v>44.72</v>
      </c>
      <c r="I342" s="91" t="str">
        <f t="shared" si="260"/>
        <v>9동4라인</v>
      </c>
      <c r="J342" s="92" t="s">
        <v>211</v>
      </c>
      <c r="L342" s="89">
        <v>2</v>
      </c>
      <c r="M342" s="306">
        <f>M341</f>
        <v>5</v>
      </c>
      <c r="N342" s="306"/>
      <c r="O342" s="306">
        <f t="shared" si="259"/>
        <v>10</v>
      </c>
    </row>
    <row r="343" spans="1:15" ht="18" customHeight="1">
      <c r="A343" s="85"/>
      <c r="B343" s="93"/>
      <c r="C343" s="87"/>
      <c r="D343" s="325" t="s">
        <v>0</v>
      </c>
      <c r="E343" s="325"/>
      <c r="F343" s="94">
        <f>SUM(F336:F342)</f>
        <v>75</v>
      </c>
      <c r="G343" s="95">
        <f>SUM(G336:G342)</f>
        <v>611.67314751277115</v>
      </c>
      <c r="H343" s="96">
        <f>SUM(H336:H342)</f>
        <v>503.12</v>
      </c>
      <c r="I343" s="97"/>
      <c r="J343" s="162"/>
    </row>
    <row r="344" spans="1:15" ht="18" customHeight="1">
      <c r="A344" s="85"/>
      <c r="B344" s="93"/>
      <c r="C344" s="87"/>
      <c r="D344" s="161"/>
      <c r="E344" s="161"/>
      <c r="F344" s="89"/>
      <c r="G344" s="100"/>
      <c r="H344" s="101"/>
      <c r="I344" s="102"/>
      <c r="J344" s="121"/>
      <c r="L344" s="306" t="s">
        <v>48</v>
      </c>
      <c r="M344" s="306" t="s">
        <v>54</v>
      </c>
      <c r="N344" s="306" t="s">
        <v>50</v>
      </c>
      <c r="O344" s="306" t="s">
        <v>55</v>
      </c>
    </row>
    <row r="345" spans="1:15" ht="18" customHeight="1">
      <c r="A345" s="85"/>
      <c r="B345" s="23" t="s">
        <v>197</v>
      </c>
      <c r="C345" s="24">
        <v>22</v>
      </c>
      <c r="D345" s="88">
        <v>761</v>
      </c>
      <c r="E345" s="88">
        <v>1810</v>
      </c>
      <c r="F345" s="89">
        <f t="shared" ref="F345:F351" si="262">O345</f>
        <v>10</v>
      </c>
      <c r="G345" s="90">
        <f t="shared" ref="G345:G351" si="263">D345*E345/91809*F345</f>
        <v>150.02995349039855</v>
      </c>
      <c r="H345" s="90">
        <f t="shared" ref="H345:H351" si="264">(D345/1000)*4*F345+(E345/1000)*4*F345</f>
        <v>102.84</v>
      </c>
      <c r="I345" s="91" t="str">
        <f t="shared" ref="I345:I351" si="265">I336</f>
        <v>9동4라인</v>
      </c>
      <c r="J345" s="92" t="s">
        <v>212</v>
      </c>
      <c r="L345" s="89">
        <v>2</v>
      </c>
      <c r="M345" s="306">
        <f>M336</f>
        <v>5</v>
      </c>
      <c r="N345" s="84"/>
      <c r="O345" s="306">
        <f>L345*M345-N345*L345</f>
        <v>10</v>
      </c>
    </row>
    <row r="346" spans="1:15" ht="18" customHeight="1">
      <c r="A346" s="85"/>
      <c r="B346" s="86"/>
      <c r="C346" s="87"/>
      <c r="D346" s="88">
        <v>1688</v>
      </c>
      <c r="E346" s="88">
        <v>1810</v>
      </c>
      <c r="F346" s="89">
        <f t="shared" si="262"/>
        <v>5</v>
      </c>
      <c r="G346" s="90">
        <f t="shared" si="263"/>
        <v>166.39327299066539</v>
      </c>
      <c r="H346" s="90">
        <f t="shared" si="264"/>
        <v>69.960000000000008</v>
      </c>
      <c r="I346" s="91" t="str">
        <f t="shared" si="265"/>
        <v>9동4라인</v>
      </c>
      <c r="J346" s="92" t="s">
        <v>213</v>
      </c>
      <c r="L346" s="89">
        <v>1</v>
      </c>
      <c r="M346" s="306">
        <f>M345</f>
        <v>5</v>
      </c>
      <c r="N346" s="84"/>
      <c r="O346" s="306">
        <f>L346*M346-N346*L346</f>
        <v>5</v>
      </c>
    </row>
    <row r="347" spans="1:15" ht="18" customHeight="1">
      <c r="A347" s="104"/>
      <c r="B347" s="93"/>
      <c r="C347" s="87"/>
      <c r="D347" s="88">
        <v>738</v>
      </c>
      <c r="E347" s="88">
        <v>1310</v>
      </c>
      <c r="F347" s="89">
        <f t="shared" si="262"/>
        <v>20</v>
      </c>
      <c r="G347" s="90">
        <f t="shared" si="263"/>
        <v>210.6068032545829</v>
      </c>
      <c r="H347" s="90">
        <f t="shared" si="264"/>
        <v>163.84</v>
      </c>
      <c r="I347" s="91" t="str">
        <f t="shared" si="265"/>
        <v>9동4라인</v>
      </c>
      <c r="J347" s="92" t="s">
        <v>214</v>
      </c>
      <c r="L347" s="89">
        <v>4</v>
      </c>
      <c r="M347" s="306">
        <f t="shared" ref="M347:M351" si="266">M346</f>
        <v>5</v>
      </c>
      <c r="N347" s="84"/>
      <c r="O347" s="306">
        <f t="shared" ref="O347:O351" si="267">L347*M347-N347*L347</f>
        <v>20</v>
      </c>
    </row>
    <row r="348" spans="1:15" ht="18" customHeight="1">
      <c r="A348" s="104"/>
      <c r="B348" s="93"/>
      <c r="C348" s="87"/>
      <c r="D348" s="88">
        <v>288</v>
      </c>
      <c r="E348" s="88">
        <v>910</v>
      </c>
      <c r="F348" s="89">
        <f t="shared" si="262"/>
        <v>10</v>
      </c>
      <c r="G348" s="90">
        <f t="shared" si="263"/>
        <v>28.546220958729535</v>
      </c>
      <c r="H348" s="90">
        <f t="shared" si="264"/>
        <v>47.92</v>
      </c>
      <c r="I348" s="91" t="str">
        <f t="shared" si="265"/>
        <v>9동4라인</v>
      </c>
      <c r="J348" s="92" t="s">
        <v>215</v>
      </c>
      <c r="L348" s="89">
        <v>2</v>
      </c>
      <c r="M348" s="306">
        <f t="shared" si="266"/>
        <v>5</v>
      </c>
      <c r="N348" s="306"/>
      <c r="O348" s="306">
        <f t="shared" si="267"/>
        <v>10</v>
      </c>
    </row>
    <row r="349" spans="1:15" ht="18" customHeight="1">
      <c r="A349" s="104"/>
      <c r="B349" s="93"/>
      <c r="C349" s="87"/>
      <c r="D349" s="88">
        <v>228</v>
      </c>
      <c r="E349" s="88">
        <v>910</v>
      </c>
      <c r="F349" s="89">
        <f t="shared" si="262"/>
        <v>10</v>
      </c>
      <c r="G349" s="90">
        <f t="shared" si="263"/>
        <v>22.59909159232755</v>
      </c>
      <c r="H349" s="90">
        <f t="shared" si="264"/>
        <v>45.519999999999996</v>
      </c>
      <c r="I349" s="91" t="str">
        <f t="shared" si="265"/>
        <v>9동4라인</v>
      </c>
      <c r="J349" s="92" t="s">
        <v>216</v>
      </c>
      <c r="L349" s="89">
        <v>2</v>
      </c>
      <c r="M349" s="306">
        <f t="shared" si="266"/>
        <v>5</v>
      </c>
      <c r="N349" s="306"/>
      <c r="O349" s="306">
        <f t="shared" si="267"/>
        <v>10</v>
      </c>
    </row>
    <row r="350" spans="1:15" ht="18" customHeight="1">
      <c r="A350" s="104"/>
      <c r="B350" s="93"/>
      <c r="C350" s="87"/>
      <c r="D350" s="88">
        <v>438</v>
      </c>
      <c r="E350" s="88">
        <v>270</v>
      </c>
      <c r="F350" s="89">
        <f t="shared" si="262"/>
        <v>10</v>
      </c>
      <c r="G350" s="90">
        <f t="shared" si="263"/>
        <v>12.881090089206941</v>
      </c>
      <c r="H350" s="90">
        <f t="shared" si="264"/>
        <v>28.32</v>
      </c>
      <c r="I350" s="91" t="str">
        <f t="shared" si="265"/>
        <v>9동4라인</v>
      </c>
      <c r="J350" s="92" t="s">
        <v>217</v>
      </c>
      <c r="L350" s="89">
        <v>2</v>
      </c>
      <c r="M350" s="306">
        <f t="shared" si="266"/>
        <v>5</v>
      </c>
      <c r="N350" s="306"/>
      <c r="O350" s="306">
        <f t="shared" si="267"/>
        <v>10</v>
      </c>
    </row>
    <row r="351" spans="1:15" ht="18" customHeight="1">
      <c r="A351" s="104"/>
      <c r="B351" s="93"/>
      <c r="C351" s="87"/>
      <c r="D351" s="88">
        <v>208</v>
      </c>
      <c r="E351" s="88">
        <v>910</v>
      </c>
      <c r="F351" s="89">
        <f t="shared" si="262"/>
        <v>10</v>
      </c>
      <c r="G351" s="90">
        <f t="shared" si="263"/>
        <v>20.616715136860222</v>
      </c>
      <c r="H351" s="90">
        <f t="shared" si="264"/>
        <v>44.72</v>
      </c>
      <c r="I351" s="91" t="str">
        <f t="shared" si="265"/>
        <v>9동4라인</v>
      </c>
      <c r="J351" s="92" t="s">
        <v>218</v>
      </c>
      <c r="L351" s="89">
        <v>2</v>
      </c>
      <c r="M351" s="306">
        <f t="shared" si="266"/>
        <v>5</v>
      </c>
      <c r="N351" s="306"/>
      <c r="O351" s="306">
        <f t="shared" si="267"/>
        <v>10</v>
      </c>
    </row>
    <row r="352" spans="1:15" ht="18" customHeight="1">
      <c r="A352" s="104"/>
      <c r="B352" s="87"/>
      <c r="C352" s="87"/>
      <c r="D352" s="325" t="s">
        <v>0</v>
      </c>
      <c r="E352" s="325"/>
      <c r="F352" s="171">
        <f>SUM(F345:F351)</f>
        <v>75</v>
      </c>
      <c r="G352" s="95">
        <f>SUM(G345:G351)</f>
        <v>611.67314751277115</v>
      </c>
      <c r="H352" s="95">
        <f>SUM(H345:H351)</f>
        <v>503.12</v>
      </c>
      <c r="I352" s="97"/>
      <c r="J352" s="98"/>
    </row>
    <row r="353" spans="1:16">
      <c r="A353" s="105"/>
      <c r="B353" s="9"/>
      <c r="C353" s="9"/>
      <c r="D353" s="51"/>
      <c r="E353" s="51"/>
      <c r="F353" s="51"/>
      <c r="G353" s="106"/>
      <c r="H353" s="106"/>
      <c r="I353" s="9"/>
      <c r="J353" s="107"/>
    </row>
    <row r="354" spans="1:16" ht="18" customHeight="1">
      <c r="A354" s="85"/>
      <c r="B354" s="163" t="s">
        <v>199</v>
      </c>
      <c r="C354" s="163">
        <v>22</v>
      </c>
      <c r="D354" s="88">
        <v>738</v>
      </c>
      <c r="E354" s="88">
        <v>1810</v>
      </c>
      <c r="F354" s="89">
        <f t="shared" ref="F354:F355" si="268">O354</f>
        <v>10</v>
      </c>
      <c r="G354" s="90">
        <f t="shared" ref="G354:G355" si="269">D354*E354/91809*F354</f>
        <v>145.4955396529752</v>
      </c>
      <c r="H354" s="90">
        <f t="shared" ref="H354:H355" si="270">(D354/1000)*4*F354+(E354/1000)*4*F354</f>
        <v>101.92</v>
      </c>
      <c r="I354" s="91" t="str">
        <f>I345</f>
        <v>9동4라인</v>
      </c>
      <c r="J354" s="92" t="s">
        <v>219</v>
      </c>
      <c r="L354" s="89">
        <v>2</v>
      </c>
      <c r="M354" s="306">
        <f>M336</f>
        <v>5</v>
      </c>
      <c r="N354" s="84"/>
      <c r="O354" s="306">
        <f>L354*M354-N354*L354</f>
        <v>10</v>
      </c>
      <c r="P354" s="64"/>
    </row>
    <row r="355" spans="1:16" ht="18" customHeight="1">
      <c r="A355" s="85"/>
      <c r="B355" s="86"/>
      <c r="C355" s="87"/>
      <c r="D355" s="88">
        <v>250</v>
      </c>
      <c r="E355" s="88">
        <v>930</v>
      </c>
      <c r="F355" s="89">
        <f t="shared" si="268"/>
        <v>10</v>
      </c>
      <c r="G355" s="90">
        <f t="shared" si="269"/>
        <v>25.324314609678787</v>
      </c>
      <c r="H355" s="90">
        <f t="shared" si="270"/>
        <v>47.2</v>
      </c>
      <c r="I355" s="91" t="str">
        <f>I354</f>
        <v>9동4라인</v>
      </c>
      <c r="J355" s="92" t="s">
        <v>220</v>
      </c>
      <c r="L355" s="89">
        <v>2</v>
      </c>
      <c r="M355" s="306">
        <f>M354</f>
        <v>5</v>
      </c>
      <c r="N355" s="84"/>
      <c r="O355" s="306">
        <f t="shared" ref="O355" si="271">L355*M355-N355*L355</f>
        <v>10</v>
      </c>
    </row>
    <row r="356" spans="1:16" ht="18" customHeight="1">
      <c r="A356" s="85"/>
      <c r="B356" s="93"/>
      <c r="C356" s="87"/>
      <c r="D356" s="325" t="s">
        <v>0</v>
      </c>
      <c r="E356" s="325"/>
      <c r="F356" s="94">
        <f>SUM(F354:F355)</f>
        <v>20</v>
      </c>
      <c r="G356" s="95">
        <f>SUM(G354:G355)</f>
        <v>170.81985426265399</v>
      </c>
      <c r="H356" s="95">
        <f>SUM(H354:H355)</f>
        <v>149.12</v>
      </c>
      <c r="I356" s="97"/>
      <c r="J356" s="98"/>
    </row>
    <row r="357" spans="1:16" ht="18" customHeight="1">
      <c r="A357" s="236"/>
      <c r="B357" s="237"/>
      <c r="C357" s="238"/>
      <c r="D357" s="362"/>
      <c r="E357" s="362"/>
      <c r="F357" s="239"/>
      <c r="G357" s="240"/>
      <c r="H357" s="241"/>
      <c r="I357" s="242"/>
      <c r="J357" s="243"/>
    </row>
    <row r="358" spans="1:16" ht="18" customHeight="1">
      <c r="A358" s="244" t="s">
        <v>234</v>
      </c>
      <c r="B358" s="23" t="s">
        <v>195</v>
      </c>
      <c r="C358" s="24">
        <v>22</v>
      </c>
      <c r="D358" s="88">
        <v>761</v>
      </c>
      <c r="E358" s="88">
        <v>1810</v>
      </c>
      <c r="F358" s="89">
        <f>O358</f>
        <v>10</v>
      </c>
      <c r="G358" s="90">
        <f t="shared" ref="G358:G364" si="272">D358*E358/91809*F358</f>
        <v>150.02995349039855</v>
      </c>
      <c r="H358" s="90">
        <f t="shared" ref="H358:H364" si="273">(D358/1000)*4*F358+(E358/1000)*4*F358</f>
        <v>102.84</v>
      </c>
      <c r="I358" s="91" t="s">
        <v>258</v>
      </c>
      <c r="J358" s="163" t="s">
        <v>205</v>
      </c>
      <c r="L358" s="89">
        <v>2</v>
      </c>
      <c r="M358" s="306">
        <v>5</v>
      </c>
      <c r="N358" s="84"/>
      <c r="O358" s="306">
        <f>L358*M358-N358*L358</f>
        <v>10</v>
      </c>
      <c r="P358" s="64"/>
    </row>
    <row r="359" spans="1:16" ht="18" customHeight="1">
      <c r="A359" s="85"/>
      <c r="B359" s="86"/>
      <c r="C359" s="87"/>
      <c r="D359" s="88">
        <v>1688</v>
      </c>
      <c r="E359" s="88">
        <v>1810</v>
      </c>
      <c r="F359" s="89">
        <f t="shared" ref="F359:F364" si="274">O359</f>
        <v>5</v>
      </c>
      <c r="G359" s="90">
        <f t="shared" si="272"/>
        <v>166.39327299066539</v>
      </c>
      <c r="H359" s="90">
        <f t="shared" si="273"/>
        <v>69.960000000000008</v>
      </c>
      <c r="I359" s="91" t="str">
        <f>I358</f>
        <v>9동5라인</v>
      </c>
      <c r="J359" s="92" t="s">
        <v>206</v>
      </c>
      <c r="L359" s="89">
        <v>1</v>
      </c>
      <c r="M359" s="306">
        <f>M358</f>
        <v>5</v>
      </c>
      <c r="N359" s="84"/>
      <c r="O359" s="306">
        <f t="shared" ref="O359:O364" si="275">L359*M359-N359*L359</f>
        <v>5</v>
      </c>
    </row>
    <row r="360" spans="1:16" ht="18" customHeight="1">
      <c r="A360" s="85"/>
      <c r="B360" s="86"/>
      <c r="C360" s="87"/>
      <c r="D360" s="88">
        <v>738</v>
      </c>
      <c r="E360" s="88">
        <v>1310</v>
      </c>
      <c r="F360" s="89">
        <f t="shared" si="274"/>
        <v>20</v>
      </c>
      <c r="G360" s="90">
        <f t="shared" si="272"/>
        <v>210.6068032545829</v>
      </c>
      <c r="H360" s="90">
        <f t="shared" si="273"/>
        <v>163.84</v>
      </c>
      <c r="I360" s="91" t="str">
        <f t="shared" ref="I360:I364" si="276">I359</f>
        <v>9동5라인</v>
      </c>
      <c r="J360" s="92" t="s">
        <v>207</v>
      </c>
      <c r="L360" s="89">
        <v>4</v>
      </c>
      <c r="M360" s="306">
        <f t="shared" ref="M360:M363" si="277">M359</f>
        <v>5</v>
      </c>
      <c r="N360" s="306"/>
      <c r="O360" s="306">
        <f t="shared" si="275"/>
        <v>20</v>
      </c>
    </row>
    <row r="361" spans="1:16" ht="18" customHeight="1">
      <c r="A361" s="85"/>
      <c r="B361" s="86"/>
      <c r="C361" s="87"/>
      <c r="D361" s="88">
        <v>288</v>
      </c>
      <c r="E361" s="88">
        <v>910</v>
      </c>
      <c r="F361" s="89">
        <f t="shared" si="274"/>
        <v>10</v>
      </c>
      <c r="G361" s="90">
        <f t="shared" si="272"/>
        <v>28.546220958729535</v>
      </c>
      <c r="H361" s="90">
        <f t="shared" si="273"/>
        <v>47.92</v>
      </c>
      <c r="I361" s="91" t="str">
        <f t="shared" si="276"/>
        <v>9동5라인</v>
      </c>
      <c r="J361" s="92" t="s">
        <v>208</v>
      </c>
      <c r="L361" s="89">
        <v>2</v>
      </c>
      <c r="M361" s="306">
        <f t="shared" si="277"/>
        <v>5</v>
      </c>
      <c r="N361" s="306"/>
      <c r="O361" s="306">
        <f t="shared" si="275"/>
        <v>10</v>
      </c>
    </row>
    <row r="362" spans="1:16" ht="18" customHeight="1">
      <c r="A362" s="85"/>
      <c r="B362" s="86"/>
      <c r="C362" s="87"/>
      <c r="D362" s="88">
        <v>228</v>
      </c>
      <c r="E362" s="88">
        <v>910</v>
      </c>
      <c r="F362" s="89">
        <f t="shared" si="274"/>
        <v>10</v>
      </c>
      <c r="G362" s="90">
        <f t="shared" si="272"/>
        <v>22.59909159232755</v>
      </c>
      <c r="H362" s="90">
        <f t="shared" si="273"/>
        <v>45.519999999999996</v>
      </c>
      <c r="I362" s="91" t="str">
        <f t="shared" si="276"/>
        <v>9동5라인</v>
      </c>
      <c r="J362" s="92" t="s">
        <v>209</v>
      </c>
      <c r="L362" s="89">
        <v>2</v>
      </c>
      <c r="M362" s="306">
        <f t="shared" si="277"/>
        <v>5</v>
      </c>
      <c r="N362" s="306"/>
      <c r="O362" s="306">
        <f t="shared" si="275"/>
        <v>10</v>
      </c>
    </row>
    <row r="363" spans="1:16" ht="18" customHeight="1">
      <c r="A363" s="85"/>
      <c r="B363" s="86"/>
      <c r="C363" s="87"/>
      <c r="D363" s="88">
        <v>438</v>
      </c>
      <c r="E363" s="88">
        <v>270</v>
      </c>
      <c r="F363" s="89">
        <f t="shared" si="274"/>
        <v>10</v>
      </c>
      <c r="G363" s="90">
        <f t="shared" si="272"/>
        <v>12.881090089206941</v>
      </c>
      <c r="H363" s="90">
        <f t="shared" si="273"/>
        <v>28.32</v>
      </c>
      <c r="I363" s="91" t="str">
        <f t="shared" si="276"/>
        <v>9동5라인</v>
      </c>
      <c r="J363" s="92" t="s">
        <v>210</v>
      </c>
      <c r="L363" s="89">
        <v>2</v>
      </c>
      <c r="M363" s="306">
        <f t="shared" si="277"/>
        <v>5</v>
      </c>
      <c r="N363" s="306"/>
      <c r="O363" s="306">
        <f t="shared" si="275"/>
        <v>10</v>
      </c>
    </row>
    <row r="364" spans="1:16" ht="18" customHeight="1">
      <c r="A364" s="85"/>
      <c r="B364" s="86"/>
      <c r="C364" s="87"/>
      <c r="D364" s="88">
        <v>208</v>
      </c>
      <c r="E364" s="88">
        <v>910</v>
      </c>
      <c r="F364" s="89">
        <f t="shared" si="274"/>
        <v>10</v>
      </c>
      <c r="G364" s="90">
        <f t="shared" si="272"/>
        <v>20.616715136860222</v>
      </c>
      <c r="H364" s="90">
        <f t="shared" si="273"/>
        <v>44.72</v>
      </c>
      <c r="I364" s="91" t="str">
        <f t="shared" si="276"/>
        <v>9동5라인</v>
      </c>
      <c r="J364" s="92" t="s">
        <v>211</v>
      </c>
      <c r="L364" s="89">
        <v>2</v>
      </c>
      <c r="M364" s="306">
        <f>M363</f>
        <v>5</v>
      </c>
      <c r="N364" s="306"/>
      <c r="O364" s="306">
        <f t="shared" si="275"/>
        <v>10</v>
      </c>
    </row>
    <row r="365" spans="1:16" ht="18" customHeight="1">
      <c r="A365" s="85"/>
      <c r="B365" s="93"/>
      <c r="C365" s="87"/>
      <c r="D365" s="325" t="s">
        <v>0</v>
      </c>
      <c r="E365" s="325"/>
      <c r="F365" s="94">
        <f>SUM(F358:F364)</f>
        <v>75</v>
      </c>
      <c r="G365" s="95">
        <f>SUM(G358:G364)</f>
        <v>611.67314751277115</v>
      </c>
      <c r="H365" s="96">
        <f>SUM(H358:H364)</f>
        <v>503.12</v>
      </c>
      <c r="I365" s="97"/>
      <c r="J365" s="162"/>
    </row>
    <row r="366" spans="1:16" ht="18" customHeight="1">
      <c r="A366" s="85"/>
      <c r="B366" s="93"/>
      <c r="C366" s="87"/>
      <c r="D366" s="161"/>
      <c r="E366" s="161"/>
      <c r="F366" s="89"/>
      <c r="G366" s="100"/>
      <c r="H366" s="101"/>
      <c r="I366" s="102"/>
      <c r="J366" s="121"/>
      <c r="L366" s="306" t="s">
        <v>48</v>
      </c>
      <c r="M366" s="306" t="s">
        <v>54</v>
      </c>
      <c r="N366" s="306" t="s">
        <v>50</v>
      </c>
      <c r="O366" s="306" t="s">
        <v>55</v>
      </c>
    </row>
    <row r="367" spans="1:16" ht="18" customHeight="1">
      <c r="A367" s="85"/>
      <c r="B367" s="23" t="s">
        <v>197</v>
      </c>
      <c r="C367" s="24">
        <v>22</v>
      </c>
      <c r="D367" s="88">
        <v>761</v>
      </c>
      <c r="E367" s="88">
        <v>1810</v>
      </c>
      <c r="F367" s="89">
        <f t="shared" ref="F367:F373" si="278">O367</f>
        <v>10</v>
      </c>
      <c r="G367" s="90">
        <f t="shared" ref="G367:G373" si="279">D367*E367/91809*F367</f>
        <v>150.02995349039855</v>
      </c>
      <c r="H367" s="90">
        <f t="shared" ref="H367:H373" si="280">(D367/1000)*4*F367+(E367/1000)*4*F367</f>
        <v>102.84</v>
      </c>
      <c r="I367" s="91" t="str">
        <f t="shared" ref="I367:I373" si="281">I358</f>
        <v>9동5라인</v>
      </c>
      <c r="J367" s="92" t="s">
        <v>212</v>
      </c>
      <c r="L367" s="89">
        <v>2</v>
      </c>
      <c r="M367" s="306">
        <f>M358</f>
        <v>5</v>
      </c>
      <c r="N367" s="84"/>
      <c r="O367" s="306">
        <f>L367*M367-N367*L367</f>
        <v>10</v>
      </c>
    </row>
    <row r="368" spans="1:16" ht="18" customHeight="1">
      <c r="A368" s="85"/>
      <c r="B368" s="86"/>
      <c r="C368" s="87"/>
      <c r="D368" s="88">
        <v>1688</v>
      </c>
      <c r="E368" s="88">
        <v>1810</v>
      </c>
      <c r="F368" s="89">
        <f t="shared" si="278"/>
        <v>5</v>
      </c>
      <c r="G368" s="90">
        <f t="shared" si="279"/>
        <v>166.39327299066539</v>
      </c>
      <c r="H368" s="90">
        <f t="shared" si="280"/>
        <v>69.960000000000008</v>
      </c>
      <c r="I368" s="91" t="str">
        <f t="shared" si="281"/>
        <v>9동5라인</v>
      </c>
      <c r="J368" s="92" t="s">
        <v>213</v>
      </c>
      <c r="L368" s="89">
        <v>1</v>
      </c>
      <c r="M368" s="306">
        <f>M367</f>
        <v>5</v>
      </c>
      <c r="N368" s="84"/>
      <c r="O368" s="306">
        <f>L368*M368-N368*L368</f>
        <v>5</v>
      </c>
    </row>
    <row r="369" spans="1:16" ht="18" customHeight="1">
      <c r="A369" s="104"/>
      <c r="B369" s="93"/>
      <c r="C369" s="87"/>
      <c r="D369" s="88">
        <v>738</v>
      </c>
      <c r="E369" s="88">
        <v>1310</v>
      </c>
      <c r="F369" s="89">
        <f t="shared" si="278"/>
        <v>20</v>
      </c>
      <c r="G369" s="90">
        <f t="shared" si="279"/>
        <v>210.6068032545829</v>
      </c>
      <c r="H369" s="90">
        <f t="shared" si="280"/>
        <v>163.84</v>
      </c>
      <c r="I369" s="91" t="str">
        <f t="shared" si="281"/>
        <v>9동5라인</v>
      </c>
      <c r="J369" s="92" t="s">
        <v>214</v>
      </c>
      <c r="L369" s="89">
        <v>4</v>
      </c>
      <c r="M369" s="306">
        <f t="shared" ref="M369:M373" si="282">M368</f>
        <v>5</v>
      </c>
      <c r="N369" s="84"/>
      <c r="O369" s="306">
        <f t="shared" ref="O369:O373" si="283">L369*M369-N369*L369</f>
        <v>20</v>
      </c>
    </row>
    <row r="370" spans="1:16" ht="18" customHeight="1">
      <c r="A370" s="104"/>
      <c r="B370" s="93"/>
      <c r="C370" s="87"/>
      <c r="D370" s="88">
        <v>288</v>
      </c>
      <c r="E370" s="88">
        <v>910</v>
      </c>
      <c r="F370" s="89">
        <f t="shared" si="278"/>
        <v>10</v>
      </c>
      <c r="G370" s="90">
        <f t="shared" si="279"/>
        <v>28.546220958729535</v>
      </c>
      <c r="H370" s="90">
        <f t="shared" si="280"/>
        <v>47.92</v>
      </c>
      <c r="I370" s="91" t="str">
        <f t="shared" si="281"/>
        <v>9동5라인</v>
      </c>
      <c r="J370" s="92" t="s">
        <v>215</v>
      </c>
      <c r="L370" s="89">
        <v>2</v>
      </c>
      <c r="M370" s="306">
        <f t="shared" si="282"/>
        <v>5</v>
      </c>
      <c r="N370" s="306"/>
      <c r="O370" s="306">
        <f t="shared" si="283"/>
        <v>10</v>
      </c>
    </row>
    <row r="371" spans="1:16" ht="18" customHeight="1">
      <c r="A371" s="104"/>
      <c r="B371" s="93"/>
      <c r="C371" s="87"/>
      <c r="D371" s="88">
        <v>228</v>
      </c>
      <c r="E371" s="88">
        <v>910</v>
      </c>
      <c r="F371" s="89">
        <f t="shared" si="278"/>
        <v>10</v>
      </c>
      <c r="G371" s="90">
        <f t="shared" si="279"/>
        <v>22.59909159232755</v>
      </c>
      <c r="H371" s="90">
        <f t="shared" si="280"/>
        <v>45.519999999999996</v>
      </c>
      <c r="I371" s="91" t="str">
        <f t="shared" si="281"/>
        <v>9동5라인</v>
      </c>
      <c r="J371" s="92" t="s">
        <v>216</v>
      </c>
      <c r="L371" s="89">
        <v>2</v>
      </c>
      <c r="M371" s="306">
        <f t="shared" si="282"/>
        <v>5</v>
      </c>
      <c r="N371" s="306"/>
      <c r="O371" s="306">
        <f t="shared" si="283"/>
        <v>10</v>
      </c>
    </row>
    <row r="372" spans="1:16" ht="18" customHeight="1">
      <c r="A372" s="104"/>
      <c r="B372" s="93"/>
      <c r="C372" s="87"/>
      <c r="D372" s="88">
        <v>438</v>
      </c>
      <c r="E372" s="88">
        <v>270</v>
      </c>
      <c r="F372" s="89">
        <f t="shared" si="278"/>
        <v>10</v>
      </c>
      <c r="G372" s="90">
        <f t="shared" si="279"/>
        <v>12.881090089206941</v>
      </c>
      <c r="H372" s="90">
        <f t="shared" si="280"/>
        <v>28.32</v>
      </c>
      <c r="I372" s="91" t="str">
        <f t="shared" si="281"/>
        <v>9동5라인</v>
      </c>
      <c r="J372" s="92" t="s">
        <v>217</v>
      </c>
      <c r="L372" s="89">
        <v>2</v>
      </c>
      <c r="M372" s="306">
        <f t="shared" si="282"/>
        <v>5</v>
      </c>
      <c r="N372" s="306"/>
      <c r="O372" s="306">
        <f t="shared" si="283"/>
        <v>10</v>
      </c>
    </row>
    <row r="373" spans="1:16" ht="18" customHeight="1">
      <c r="A373" s="104"/>
      <c r="B373" s="93"/>
      <c r="C373" s="87"/>
      <c r="D373" s="88">
        <v>208</v>
      </c>
      <c r="E373" s="88">
        <v>910</v>
      </c>
      <c r="F373" s="89">
        <f t="shared" si="278"/>
        <v>10</v>
      </c>
      <c r="G373" s="90">
        <f t="shared" si="279"/>
        <v>20.616715136860222</v>
      </c>
      <c r="H373" s="90">
        <f t="shared" si="280"/>
        <v>44.72</v>
      </c>
      <c r="I373" s="91" t="str">
        <f t="shared" si="281"/>
        <v>9동5라인</v>
      </c>
      <c r="J373" s="92" t="s">
        <v>218</v>
      </c>
      <c r="L373" s="89">
        <v>2</v>
      </c>
      <c r="M373" s="306">
        <f t="shared" si="282"/>
        <v>5</v>
      </c>
      <c r="N373" s="306"/>
      <c r="O373" s="306">
        <f t="shared" si="283"/>
        <v>10</v>
      </c>
    </row>
    <row r="374" spans="1:16" ht="18" customHeight="1">
      <c r="A374" s="104"/>
      <c r="B374" s="87"/>
      <c r="C374" s="87"/>
      <c r="D374" s="325" t="s">
        <v>0</v>
      </c>
      <c r="E374" s="325"/>
      <c r="F374" s="171">
        <f>SUM(F367:F373)</f>
        <v>75</v>
      </c>
      <c r="G374" s="95">
        <f>SUM(G367:G373)</f>
        <v>611.67314751277115</v>
      </c>
      <c r="H374" s="95">
        <f>SUM(H367:H373)</f>
        <v>503.12</v>
      </c>
      <c r="I374" s="97"/>
      <c r="J374" s="98"/>
    </row>
    <row r="375" spans="1:16">
      <c r="A375" s="105"/>
      <c r="B375" s="9"/>
      <c r="C375" s="9"/>
      <c r="D375" s="51"/>
      <c r="E375" s="51"/>
      <c r="F375" s="51"/>
      <c r="G375" s="106"/>
      <c r="H375" s="106"/>
      <c r="I375" s="9"/>
      <c r="J375" s="107"/>
    </row>
    <row r="376" spans="1:16" ht="18" customHeight="1">
      <c r="A376" s="85"/>
      <c r="B376" s="163" t="s">
        <v>199</v>
      </c>
      <c r="C376" s="163">
        <v>22</v>
      </c>
      <c r="D376" s="88">
        <v>738</v>
      </c>
      <c r="E376" s="88">
        <v>1810</v>
      </c>
      <c r="F376" s="89">
        <f t="shared" ref="F376:F377" si="284">O376</f>
        <v>10</v>
      </c>
      <c r="G376" s="90">
        <f t="shared" ref="G376:G377" si="285">D376*E376/91809*F376</f>
        <v>145.4955396529752</v>
      </c>
      <c r="H376" s="90">
        <f t="shared" ref="H376:H377" si="286">(D376/1000)*4*F376+(E376/1000)*4*F376</f>
        <v>101.92</v>
      </c>
      <c r="I376" s="91" t="str">
        <f>I367</f>
        <v>9동5라인</v>
      </c>
      <c r="J376" s="92" t="s">
        <v>219</v>
      </c>
      <c r="L376" s="89">
        <v>2</v>
      </c>
      <c r="M376" s="306">
        <f>M358</f>
        <v>5</v>
      </c>
      <c r="N376" s="84"/>
      <c r="O376" s="306">
        <f>L376*M376-N376*L376</f>
        <v>10</v>
      </c>
      <c r="P376" s="64"/>
    </row>
    <row r="377" spans="1:16" ht="18" customHeight="1">
      <c r="A377" s="85"/>
      <c r="B377" s="86"/>
      <c r="C377" s="87"/>
      <c r="D377" s="88">
        <v>250</v>
      </c>
      <c r="E377" s="88">
        <v>930</v>
      </c>
      <c r="F377" s="89">
        <f t="shared" si="284"/>
        <v>10</v>
      </c>
      <c r="G377" s="90">
        <f t="shared" si="285"/>
        <v>25.324314609678787</v>
      </c>
      <c r="H377" s="90">
        <f t="shared" si="286"/>
        <v>47.2</v>
      </c>
      <c r="I377" s="91" t="str">
        <f>I376</f>
        <v>9동5라인</v>
      </c>
      <c r="J377" s="92" t="s">
        <v>220</v>
      </c>
      <c r="L377" s="89">
        <v>2</v>
      </c>
      <c r="M377" s="306">
        <f>M376</f>
        <v>5</v>
      </c>
      <c r="N377" s="84"/>
      <c r="O377" s="306">
        <f t="shared" ref="O377" si="287">L377*M377-N377*L377</f>
        <v>10</v>
      </c>
    </row>
    <row r="378" spans="1:16" ht="18" customHeight="1">
      <c r="A378" s="85"/>
      <c r="B378" s="93"/>
      <c r="C378" s="87"/>
      <c r="D378" s="325" t="s">
        <v>0</v>
      </c>
      <c r="E378" s="325"/>
      <c r="F378" s="94">
        <f>SUM(F376:F377)</f>
        <v>20</v>
      </c>
      <c r="G378" s="95">
        <f>SUM(G376:G377)</f>
        <v>170.81985426265399</v>
      </c>
      <c r="H378" s="95">
        <f>SUM(H376:H377)</f>
        <v>149.12</v>
      </c>
      <c r="I378" s="97"/>
      <c r="J378" s="98"/>
    </row>
    <row r="379" spans="1:16" ht="18" customHeight="1" thickBot="1">
      <c r="A379" s="222"/>
      <c r="B379" s="245"/>
      <c r="C379" s="224"/>
      <c r="D379" s="246"/>
      <c r="E379" s="246"/>
      <c r="F379" s="226"/>
      <c r="G379" s="247"/>
      <c r="H379" s="247"/>
      <c r="I379" s="248"/>
      <c r="J379" s="249"/>
      <c r="L379" s="250"/>
      <c r="M379" s="250"/>
      <c r="N379" s="250"/>
      <c r="O379" s="250"/>
    </row>
    <row r="380" spans="1:16" ht="18" customHeight="1">
      <c r="A380" s="79" t="s">
        <v>242</v>
      </c>
      <c r="B380" s="231" t="s">
        <v>195</v>
      </c>
      <c r="C380" s="232">
        <v>22</v>
      </c>
      <c r="D380" s="80">
        <v>761</v>
      </c>
      <c r="E380" s="80">
        <v>1810</v>
      </c>
      <c r="F380" s="233">
        <f t="shared" ref="F380:F385" si="288">O380</f>
        <v>10</v>
      </c>
      <c r="G380" s="81">
        <f t="shared" ref="G380:G385" si="289">D380*E380/91809*F380</f>
        <v>150.02995349039855</v>
      </c>
      <c r="H380" s="81">
        <f t="shared" ref="H380:H385" si="290">(D380/1000)*4*F380+(E380/1000)*4*F380</f>
        <v>102.84</v>
      </c>
      <c r="I380" s="82" t="s">
        <v>259</v>
      </c>
      <c r="J380" s="83" t="s">
        <v>205</v>
      </c>
      <c r="L380" s="89">
        <v>2</v>
      </c>
      <c r="M380" s="306">
        <v>5</v>
      </c>
      <c r="N380" s="306"/>
      <c r="O380" s="306">
        <f t="shared" ref="O380:O385" si="291">L380*M380-N380*L380</f>
        <v>10</v>
      </c>
    </row>
    <row r="381" spans="1:16" ht="18" customHeight="1">
      <c r="A381" s="85"/>
      <c r="B381" s="86"/>
      <c r="C381" s="87"/>
      <c r="D381" s="88">
        <v>1688</v>
      </c>
      <c r="E381" s="88">
        <v>1810</v>
      </c>
      <c r="F381" s="89">
        <f t="shared" si="288"/>
        <v>5</v>
      </c>
      <c r="G381" s="90">
        <f t="shared" si="289"/>
        <v>166.39327299066539</v>
      </c>
      <c r="H381" s="90">
        <f t="shared" si="290"/>
        <v>69.960000000000008</v>
      </c>
      <c r="I381" s="91" t="str">
        <f>I380</f>
        <v>9동6라인</v>
      </c>
      <c r="J381" s="92" t="s">
        <v>206</v>
      </c>
      <c r="L381" s="89">
        <v>1</v>
      </c>
      <c r="M381" s="306">
        <f t="shared" ref="M381:M397" si="292">M380</f>
        <v>5</v>
      </c>
      <c r="N381" s="306"/>
      <c r="O381" s="306">
        <f t="shared" si="291"/>
        <v>5</v>
      </c>
    </row>
    <row r="382" spans="1:16" ht="18" customHeight="1">
      <c r="A382" s="85"/>
      <c r="B382" s="86"/>
      <c r="C382" s="87"/>
      <c r="D382" s="88">
        <v>738</v>
      </c>
      <c r="E382" s="88">
        <v>1310</v>
      </c>
      <c r="F382" s="89">
        <f t="shared" si="288"/>
        <v>20</v>
      </c>
      <c r="G382" s="90">
        <f t="shared" si="289"/>
        <v>210.6068032545829</v>
      </c>
      <c r="H382" s="90">
        <f t="shared" si="290"/>
        <v>163.84</v>
      </c>
      <c r="I382" s="91" t="str">
        <f t="shared" ref="I382:I385" si="293">I381</f>
        <v>9동6라인</v>
      </c>
      <c r="J382" s="92" t="s">
        <v>207</v>
      </c>
      <c r="L382" s="89">
        <v>4</v>
      </c>
      <c r="M382" s="306">
        <f t="shared" si="292"/>
        <v>5</v>
      </c>
      <c r="N382" s="306"/>
      <c r="O382" s="306">
        <f t="shared" si="291"/>
        <v>20</v>
      </c>
    </row>
    <row r="383" spans="1:16" ht="18" customHeight="1">
      <c r="A383" s="85"/>
      <c r="B383" s="86"/>
      <c r="C383" s="87"/>
      <c r="D383" s="88">
        <v>438</v>
      </c>
      <c r="E383" s="88">
        <v>910</v>
      </c>
      <c r="F383" s="89">
        <f t="shared" si="288"/>
        <v>10</v>
      </c>
      <c r="G383" s="90">
        <f t="shared" si="289"/>
        <v>43.414044374734502</v>
      </c>
      <c r="H383" s="90">
        <f t="shared" si="290"/>
        <v>53.92</v>
      </c>
      <c r="I383" s="91" t="str">
        <f t="shared" si="293"/>
        <v>9동6라인</v>
      </c>
      <c r="J383" s="92" t="s">
        <v>223</v>
      </c>
      <c r="L383" s="89">
        <v>2</v>
      </c>
      <c r="M383" s="306">
        <f t="shared" si="292"/>
        <v>5</v>
      </c>
      <c r="N383" s="306"/>
      <c r="O383" s="306">
        <f t="shared" si="291"/>
        <v>10</v>
      </c>
    </row>
    <row r="384" spans="1:16" ht="18" customHeight="1">
      <c r="A384" s="85"/>
      <c r="B384" s="86"/>
      <c r="C384" s="87"/>
      <c r="D384" s="88">
        <v>228</v>
      </c>
      <c r="E384" s="88">
        <v>910</v>
      </c>
      <c r="F384" s="89">
        <f t="shared" si="288"/>
        <v>10</v>
      </c>
      <c r="G384" s="90">
        <f t="shared" si="289"/>
        <v>22.59909159232755</v>
      </c>
      <c r="H384" s="90">
        <f t="shared" si="290"/>
        <v>45.519999999999996</v>
      </c>
      <c r="I384" s="91" t="str">
        <f t="shared" si="293"/>
        <v>9동6라인</v>
      </c>
      <c r="J384" s="92" t="s">
        <v>209</v>
      </c>
      <c r="L384" s="89">
        <v>2</v>
      </c>
      <c r="M384" s="306">
        <f t="shared" si="292"/>
        <v>5</v>
      </c>
      <c r="N384" s="306"/>
      <c r="O384" s="306">
        <f t="shared" si="291"/>
        <v>10</v>
      </c>
    </row>
    <row r="385" spans="1:16" ht="18" customHeight="1">
      <c r="A385" s="85"/>
      <c r="B385" s="86"/>
      <c r="C385" s="87"/>
      <c r="D385" s="88">
        <v>438</v>
      </c>
      <c r="E385" s="88">
        <v>270</v>
      </c>
      <c r="F385" s="89">
        <f t="shared" si="288"/>
        <v>10</v>
      </c>
      <c r="G385" s="90">
        <f t="shared" si="289"/>
        <v>12.881090089206941</v>
      </c>
      <c r="H385" s="90">
        <f t="shared" si="290"/>
        <v>28.32</v>
      </c>
      <c r="I385" s="91" t="str">
        <f t="shared" si="293"/>
        <v>9동6라인</v>
      </c>
      <c r="J385" s="92" t="s">
        <v>210</v>
      </c>
      <c r="L385" s="89">
        <v>2</v>
      </c>
      <c r="M385" s="306">
        <f t="shared" si="292"/>
        <v>5</v>
      </c>
      <c r="N385" s="306"/>
      <c r="O385" s="306">
        <f t="shared" si="291"/>
        <v>10</v>
      </c>
    </row>
    <row r="386" spans="1:16" ht="18" customHeight="1">
      <c r="A386" s="85"/>
      <c r="B386" s="93"/>
      <c r="C386" s="87"/>
      <c r="D386" s="325" t="s">
        <v>0</v>
      </c>
      <c r="E386" s="325"/>
      <c r="F386" s="94">
        <f>SUM(F380:F385)</f>
        <v>65</v>
      </c>
      <c r="G386" s="95">
        <f>SUM(G380:G385)</f>
        <v>605.92425579191593</v>
      </c>
      <c r="H386" s="96">
        <f>SUM(H380:H385)</f>
        <v>464.4</v>
      </c>
      <c r="I386" s="97"/>
      <c r="J386" s="162"/>
      <c r="L386" s="250"/>
      <c r="M386" s="250"/>
      <c r="N386" s="250"/>
      <c r="O386" s="250"/>
    </row>
    <row r="387" spans="1:16" ht="18" customHeight="1">
      <c r="A387" s="85"/>
      <c r="B387" s="93"/>
      <c r="C387" s="87"/>
      <c r="D387" s="161"/>
      <c r="E387" s="161"/>
      <c r="F387" s="89"/>
      <c r="G387" s="100"/>
      <c r="H387" s="101"/>
      <c r="I387" s="102"/>
      <c r="J387" s="121"/>
      <c r="L387" s="250"/>
      <c r="M387" s="250"/>
      <c r="N387" s="250"/>
      <c r="O387" s="250"/>
    </row>
    <row r="388" spans="1:16" ht="18" customHeight="1">
      <c r="A388" s="85"/>
      <c r="B388" s="23" t="s">
        <v>197</v>
      </c>
      <c r="C388" s="24">
        <v>22</v>
      </c>
      <c r="D388" s="88">
        <v>761</v>
      </c>
      <c r="E388" s="88">
        <v>1810</v>
      </c>
      <c r="F388" s="89">
        <f t="shared" ref="F388:F393" si="294">O388</f>
        <v>10</v>
      </c>
      <c r="G388" s="90">
        <f t="shared" ref="G388:G393" si="295">D388*E388/91809*F388</f>
        <v>150.02995349039855</v>
      </c>
      <c r="H388" s="90">
        <f t="shared" ref="H388:H393" si="296">(D388/1000)*4*F388+(E388/1000)*4*F388</f>
        <v>102.84</v>
      </c>
      <c r="I388" s="91" t="str">
        <f>I380</f>
        <v>9동6라인</v>
      </c>
      <c r="J388" s="92" t="s">
        <v>212</v>
      </c>
      <c r="L388" s="89">
        <v>2</v>
      </c>
      <c r="M388" s="306">
        <f>M385</f>
        <v>5</v>
      </c>
      <c r="N388" s="306"/>
      <c r="O388" s="306">
        <f t="shared" ref="O388:O393" si="297">L388*M388-N388*L388</f>
        <v>10</v>
      </c>
    </row>
    <row r="389" spans="1:16" ht="18" customHeight="1">
      <c r="A389" s="85"/>
      <c r="B389" s="86"/>
      <c r="C389" s="87"/>
      <c r="D389" s="88">
        <v>1688</v>
      </c>
      <c r="E389" s="88">
        <v>1810</v>
      </c>
      <c r="F389" s="89">
        <f t="shared" si="294"/>
        <v>5</v>
      </c>
      <c r="G389" s="90">
        <f t="shared" si="295"/>
        <v>166.39327299066539</v>
      </c>
      <c r="H389" s="90">
        <f t="shared" si="296"/>
        <v>69.960000000000008</v>
      </c>
      <c r="I389" s="91" t="str">
        <f>I380</f>
        <v>9동6라인</v>
      </c>
      <c r="J389" s="92" t="s">
        <v>213</v>
      </c>
      <c r="L389" s="89">
        <v>1</v>
      </c>
      <c r="M389" s="306">
        <f t="shared" si="292"/>
        <v>5</v>
      </c>
      <c r="N389" s="306"/>
      <c r="O389" s="306">
        <f t="shared" si="297"/>
        <v>5</v>
      </c>
    </row>
    <row r="390" spans="1:16">
      <c r="A390" s="104"/>
      <c r="B390" s="93"/>
      <c r="C390" s="87"/>
      <c r="D390" s="88">
        <v>738</v>
      </c>
      <c r="E390" s="88">
        <v>1310</v>
      </c>
      <c r="F390" s="89">
        <f t="shared" si="294"/>
        <v>20</v>
      </c>
      <c r="G390" s="90">
        <f t="shared" si="295"/>
        <v>210.6068032545829</v>
      </c>
      <c r="H390" s="90">
        <f t="shared" si="296"/>
        <v>163.84</v>
      </c>
      <c r="I390" s="91" t="str">
        <f>I389</f>
        <v>9동6라인</v>
      </c>
      <c r="J390" s="92" t="s">
        <v>214</v>
      </c>
      <c r="L390" s="89">
        <v>4</v>
      </c>
      <c r="M390" s="306">
        <f t="shared" si="292"/>
        <v>5</v>
      </c>
      <c r="N390" s="306"/>
      <c r="O390" s="306">
        <f t="shared" si="297"/>
        <v>20</v>
      </c>
    </row>
    <row r="391" spans="1:16" ht="18" customHeight="1">
      <c r="A391" s="104"/>
      <c r="B391" s="93"/>
      <c r="C391" s="87"/>
      <c r="D391" s="88">
        <v>438</v>
      </c>
      <c r="E391" s="88">
        <v>910</v>
      </c>
      <c r="F391" s="89">
        <f t="shared" si="294"/>
        <v>10</v>
      </c>
      <c r="G391" s="90">
        <f t="shared" si="295"/>
        <v>43.414044374734502</v>
      </c>
      <c r="H391" s="90">
        <f t="shared" si="296"/>
        <v>53.92</v>
      </c>
      <c r="I391" s="91" t="str">
        <f t="shared" ref="I391:I393" si="298">I390</f>
        <v>9동6라인</v>
      </c>
      <c r="J391" s="92" t="s">
        <v>225</v>
      </c>
      <c r="L391" s="89">
        <v>2</v>
      </c>
      <c r="M391" s="306">
        <f t="shared" si="292"/>
        <v>5</v>
      </c>
      <c r="N391" s="306"/>
      <c r="O391" s="306">
        <f t="shared" si="297"/>
        <v>10</v>
      </c>
      <c r="P391" s="64"/>
    </row>
    <row r="392" spans="1:16" ht="18" customHeight="1">
      <c r="A392" s="104"/>
      <c r="B392" s="93"/>
      <c r="C392" s="87"/>
      <c r="D392" s="88">
        <v>228</v>
      </c>
      <c r="E392" s="88">
        <v>910</v>
      </c>
      <c r="F392" s="89">
        <f t="shared" si="294"/>
        <v>10</v>
      </c>
      <c r="G392" s="90">
        <f t="shared" si="295"/>
        <v>22.59909159232755</v>
      </c>
      <c r="H392" s="90">
        <f t="shared" si="296"/>
        <v>45.519999999999996</v>
      </c>
      <c r="I392" s="91" t="str">
        <f t="shared" si="298"/>
        <v>9동6라인</v>
      </c>
      <c r="J392" s="92" t="s">
        <v>216</v>
      </c>
      <c r="L392" s="89">
        <v>2</v>
      </c>
      <c r="M392" s="306">
        <f t="shared" si="292"/>
        <v>5</v>
      </c>
      <c r="N392" s="306"/>
      <c r="O392" s="306">
        <f t="shared" si="297"/>
        <v>10</v>
      </c>
    </row>
    <row r="393" spans="1:16" ht="18" customHeight="1">
      <c r="A393" s="104"/>
      <c r="B393" s="93"/>
      <c r="C393" s="87"/>
      <c r="D393" s="88">
        <v>438</v>
      </c>
      <c r="E393" s="88">
        <v>270</v>
      </c>
      <c r="F393" s="89">
        <f t="shared" si="294"/>
        <v>10</v>
      </c>
      <c r="G393" s="90">
        <f t="shared" si="295"/>
        <v>12.881090089206941</v>
      </c>
      <c r="H393" s="90">
        <f t="shared" si="296"/>
        <v>28.32</v>
      </c>
      <c r="I393" s="91" t="str">
        <f t="shared" si="298"/>
        <v>9동6라인</v>
      </c>
      <c r="J393" s="92" t="s">
        <v>217</v>
      </c>
      <c r="L393" s="89">
        <v>2</v>
      </c>
      <c r="M393" s="306">
        <f t="shared" si="292"/>
        <v>5</v>
      </c>
      <c r="N393" s="306"/>
      <c r="O393" s="306">
        <f t="shared" si="297"/>
        <v>10</v>
      </c>
    </row>
    <row r="394" spans="1:16">
      <c r="A394" s="104"/>
      <c r="B394" s="87"/>
      <c r="C394" s="87"/>
      <c r="D394" s="325" t="s">
        <v>0</v>
      </c>
      <c r="E394" s="325"/>
      <c r="F394" s="171">
        <f>SUM(F388:F393)</f>
        <v>65</v>
      </c>
      <c r="G394" s="95">
        <f>SUM(G388:G393)</f>
        <v>605.92425579191593</v>
      </c>
      <c r="H394" s="95">
        <f>SUM(H388:H393)</f>
        <v>464.4</v>
      </c>
      <c r="I394" s="97"/>
      <c r="J394" s="98"/>
      <c r="L394" s="250"/>
      <c r="M394" s="250"/>
      <c r="N394" s="250"/>
      <c r="O394" s="250"/>
    </row>
    <row r="395" spans="1:16">
      <c r="A395" s="105"/>
      <c r="B395" s="9"/>
      <c r="C395" s="9"/>
      <c r="D395" s="51"/>
      <c r="E395" s="51"/>
      <c r="F395" s="51"/>
      <c r="G395" s="106"/>
      <c r="H395" s="106"/>
      <c r="I395" s="9"/>
      <c r="J395" s="107"/>
      <c r="L395" s="250"/>
      <c r="M395" s="250"/>
      <c r="N395" s="250"/>
      <c r="O395" s="250"/>
    </row>
    <row r="396" spans="1:16" ht="18" customHeight="1">
      <c r="A396" s="85"/>
      <c r="B396" s="163" t="s">
        <v>199</v>
      </c>
      <c r="C396" s="163">
        <v>22</v>
      </c>
      <c r="D396" s="88">
        <v>738</v>
      </c>
      <c r="E396" s="88">
        <v>1810</v>
      </c>
      <c r="F396" s="89">
        <f t="shared" ref="F396:F397" si="299">O396</f>
        <v>10</v>
      </c>
      <c r="G396" s="90">
        <f t="shared" ref="G396:G398" si="300">D396*E396/91809*F396</f>
        <v>145.4955396529752</v>
      </c>
      <c r="H396" s="90">
        <f t="shared" ref="H396:H398" si="301">(D396/1000)*4*F396+(E396/1000)*4*F396</f>
        <v>101.92</v>
      </c>
      <c r="I396" s="91" t="str">
        <f>I388</f>
        <v>9동6라인</v>
      </c>
      <c r="J396" s="92" t="s">
        <v>219</v>
      </c>
      <c r="L396" s="89">
        <v>2</v>
      </c>
      <c r="M396" s="306">
        <f>M393</f>
        <v>5</v>
      </c>
      <c r="N396" s="306"/>
      <c r="O396" s="306">
        <f t="shared" ref="O396:O397" si="302">L396*M396-N396*L396</f>
        <v>10</v>
      </c>
      <c r="P396" s="64"/>
    </row>
    <row r="397" spans="1:16" ht="18" customHeight="1">
      <c r="A397" s="85"/>
      <c r="B397" s="86"/>
      <c r="C397" s="87"/>
      <c r="D397" s="88">
        <v>250</v>
      </c>
      <c r="E397" s="88">
        <v>930</v>
      </c>
      <c r="F397" s="89">
        <f t="shared" si="299"/>
        <v>10</v>
      </c>
      <c r="G397" s="90">
        <f t="shared" si="300"/>
        <v>25.324314609678787</v>
      </c>
      <c r="H397" s="90">
        <f t="shared" si="301"/>
        <v>47.2</v>
      </c>
      <c r="I397" s="91" t="str">
        <f>I396</f>
        <v>9동6라인</v>
      </c>
      <c r="J397" s="92" t="s">
        <v>220</v>
      </c>
      <c r="L397" s="89">
        <v>2</v>
      </c>
      <c r="M397" s="306">
        <f t="shared" si="292"/>
        <v>5</v>
      </c>
      <c r="N397" s="306"/>
      <c r="O397" s="306">
        <f t="shared" si="302"/>
        <v>10</v>
      </c>
    </row>
    <row r="398" spans="1:16" ht="18" customHeight="1">
      <c r="A398" s="85"/>
      <c r="B398" s="86"/>
      <c r="C398" s="87"/>
      <c r="D398" s="88"/>
      <c r="E398" s="88"/>
      <c r="F398" s="89"/>
      <c r="G398" s="90">
        <f t="shared" si="300"/>
        <v>0</v>
      </c>
      <c r="H398" s="90">
        <f t="shared" si="301"/>
        <v>0</v>
      </c>
      <c r="I398" s="91"/>
      <c r="J398" s="92"/>
      <c r="L398" s="250"/>
      <c r="M398" s="250"/>
      <c r="N398" s="250"/>
      <c r="O398" s="250"/>
    </row>
    <row r="399" spans="1:16" ht="18" customHeight="1">
      <c r="A399" s="85"/>
      <c r="B399" s="93"/>
      <c r="C399" s="87"/>
      <c r="D399" s="325" t="s">
        <v>0</v>
      </c>
      <c r="E399" s="325"/>
      <c r="F399" s="94">
        <f>SUM(F396:F398)</f>
        <v>20</v>
      </c>
      <c r="G399" s="95">
        <f>SUM(G396:G398)</f>
        <v>170.81985426265399</v>
      </c>
      <c r="H399" s="95">
        <f>SUM(H396:H398)</f>
        <v>149.12</v>
      </c>
      <c r="I399" s="97"/>
      <c r="J399" s="98"/>
      <c r="L399" s="250"/>
      <c r="M399" s="250"/>
      <c r="N399" s="250"/>
      <c r="O399" s="250"/>
    </row>
    <row r="400" spans="1:16" ht="18" customHeight="1">
      <c r="A400" s="253"/>
      <c r="B400" s="254"/>
      <c r="C400" s="255"/>
      <c r="D400" s="361"/>
      <c r="E400" s="361"/>
      <c r="F400" s="256"/>
      <c r="G400" s="257"/>
      <c r="H400" s="258"/>
      <c r="I400" s="259"/>
      <c r="J400" s="260"/>
      <c r="L400" s="250"/>
      <c r="M400" s="250"/>
      <c r="N400" s="250"/>
      <c r="O400" s="250"/>
    </row>
    <row r="401" spans="1:16" ht="18" hidden="1" customHeight="1">
      <c r="A401" s="79" t="s">
        <v>242</v>
      </c>
      <c r="B401" s="231" t="s">
        <v>195</v>
      </c>
      <c r="C401" s="232">
        <v>22</v>
      </c>
      <c r="D401" s="80">
        <v>761</v>
      </c>
      <c r="E401" s="80">
        <v>1810</v>
      </c>
      <c r="F401" s="233">
        <f t="shared" ref="F401:F406" si="303">O401</f>
        <v>0</v>
      </c>
      <c r="G401" s="81">
        <f t="shared" ref="G401:G406" si="304">D401*E401/91809*F401</f>
        <v>0</v>
      </c>
      <c r="H401" s="81">
        <f t="shared" ref="H401:H406" si="305">(D401/1000)*4*F401+(E401/1000)*4*F401</f>
        <v>0</v>
      </c>
      <c r="I401" s="82" t="s">
        <v>260</v>
      </c>
      <c r="J401" s="83" t="s">
        <v>205</v>
      </c>
      <c r="L401" s="89">
        <v>2</v>
      </c>
      <c r="M401" s="306">
        <v>0</v>
      </c>
      <c r="N401" s="306"/>
      <c r="O401" s="306">
        <f t="shared" ref="O401:O406" si="306">L401*M401-N401*L401</f>
        <v>0</v>
      </c>
    </row>
    <row r="402" spans="1:16" ht="18" hidden="1" customHeight="1">
      <c r="A402" s="85"/>
      <c r="B402" s="86"/>
      <c r="C402" s="87"/>
      <c r="D402" s="88">
        <v>1688</v>
      </c>
      <c r="E402" s="88">
        <v>1810</v>
      </c>
      <c r="F402" s="89">
        <f t="shared" si="303"/>
        <v>0</v>
      </c>
      <c r="G402" s="90">
        <f t="shared" si="304"/>
        <v>0</v>
      </c>
      <c r="H402" s="90">
        <f t="shared" si="305"/>
        <v>0</v>
      </c>
      <c r="I402" s="91" t="str">
        <f>I401</f>
        <v>10동1라인</v>
      </c>
      <c r="J402" s="92" t="s">
        <v>206</v>
      </c>
      <c r="L402" s="89">
        <v>1</v>
      </c>
      <c r="M402" s="306">
        <f t="shared" ref="M402:M418" si="307">M401</f>
        <v>0</v>
      </c>
      <c r="N402" s="306"/>
      <c r="O402" s="306">
        <f t="shared" si="306"/>
        <v>0</v>
      </c>
    </row>
    <row r="403" spans="1:16" ht="18" hidden="1" customHeight="1">
      <c r="A403" s="85"/>
      <c r="B403" s="86"/>
      <c r="C403" s="87"/>
      <c r="D403" s="88">
        <v>738</v>
      </c>
      <c r="E403" s="88">
        <v>1310</v>
      </c>
      <c r="F403" s="89">
        <f t="shared" si="303"/>
        <v>0</v>
      </c>
      <c r="G403" s="90">
        <f t="shared" si="304"/>
        <v>0</v>
      </c>
      <c r="H403" s="90">
        <f t="shared" si="305"/>
        <v>0</v>
      </c>
      <c r="I403" s="91" t="str">
        <f t="shared" ref="I403:I406" si="308">I402</f>
        <v>10동1라인</v>
      </c>
      <c r="J403" s="92" t="s">
        <v>207</v>
      </c>
      <c r="L403" s="89">
        <v>4</v>
      </c>
      <c r="M403" s="306">
        <f t="shared" si="307"/>
        <v>0</v>
      </c>
      <c r="N403" s="306"/>
      <c r="O403" s="306">
        <f t="shared" si="306"/>
        <v>0</v>
      </c>
    </row>
    <row r="404" spans="1:16" ht="18" hidden="1" customHeight="1">
      <c r="A404" s="85"/>
      <c r="B404" s="86"/>
      <c r="C404" s="87"/>
      <c r="D404" s="88">
        <v>438</v>
      </c>
      <c r="E404" s="88">
        <v>910</v>
      </c>
      <c r="F404" s="89">
        <f t="shared" si="303"/>
        <v>0</v>
      </c>
      <c r="G404" s="90">
        <f t="shared" si="304"/>
        <v>0</v>
      </c>
      <c r="H404" s="90">
        <f t="shared" si="305"/>
        <v>0</v>
      </c>
      <c r="I404" s="91" t="str">
        <f t="shared" si="308"/>
        <v>10동1라인</v>
      </c>
      <c r="J404" s="92" t="s">
        <v>223</v>
      </c>
      <c r="L404" s="89">
        <v>2</v>
      </c>
      <c r="M404" s="306">
        <f t="shared" si="307"/>
        <v>0</v>
      </c>
      <c r="N404" s="306"/>
      <c r="O404" s="306">
        <f t="shared" si="306"/>
        <v>0</v>
      </c>
    </row>
    <row r="405" spans="1:16" ht="18" hidden="1" customHeight="1">
      <c r="A405" s="85"/>
      <c r="B405" s="86"/>
      <c r="C405" s="87"/>
      <c r="D405" s="88">
        <v>228</v>
      </c>
      <c r="E405" s="88">
        <v>910</v>
      </c>
      <c r="F405" s="89">
        <f t="shared" si="303"/>
        <v>0</v>
      </c>
      <c r="G405" s="90">
        <f t="shared" si="304"/>
        <v>0</v>
      </c>
      <c r="H405" s="90">
        <f t="shared" si="305"/>
        <v>0</v>
      </c>
      <c r="I405" s="91" t="str">
        <f t="shared" si="308"/>
        <v>10동1라인</v>
      </c>
      <c r="J405" s="92" t="s">
        <v>209</v>
      </c>
      <c r="L405" s="89">
        <v>2</v>
      </c>
      <c r="M405" s="306">
        <f t="shared" si="307"/>
        <v>0</v>
      </c>
      <c r="N405" s="306"/>
      <c r="O405" s="306">
        <f t="shared" si="306"/>
        <v>0</v>
      </c>
    </row>
    <row r="406" spans="1:16" ht="18" hidden="1" customHeight="1">
      <c r="A406" s="85"/>
      <c r="B406" s="86"/>
      <c r="C406" s="87"/>
      <c r="D406" s="88">
        <v>438</v>
      </c>
      <c r="E406" s="88">
        <v>270</v>
      </c>
      <c r="F406" s="89">
        <f t="shared" si="303"/>
        <v>0</v>
      </c>
      <c r="G406" s="90">
        <f t="shared" si="304"/>
        <v>0</v>
      </c>
      <c r="H406" s="90">
        <f t="shared" si="305"/>
        <v>0</v>
      </c>
      <c r="I406" s="91" t="str">
        <f t="shared" si="308"/>
        <v>10동1라인</v>
      </c>
      <c r="J406" s="92" t="s">
        <v>210</v>
      </c>
      <c r="L406" s="89">
        <v>2</v>
      </c>
      <c r="M406" s="306">
        <f t="shared" si="307"/>
        <v>0</v>
      </c>
      <c r="N406" s="306"/>
      <c r="O406" s="306">
        <f t="shared" si="306"/>
        <v>0</v>
      </c>
    </row>
    <row r="407" spans="1:16" ht="18" hidden="1" customHeight="1">
      <c r="A407" s="85"/>
      <c r="B407" s="93"/>
      <c r="C407" s="87"/>
      <c r="D407" s="325" t="s">
        <v>0</v>
      </c>
      <c r="E407" s="325"/>
      <c r="F407" s="94">
        <f>SUM(F401:F406)</f>
        <v>0</v>
      </c>
      <c r="G407" s="95">
        <f>SUM(G401:G406)</f>
        <v>0</v>
      </c>
      <c r="H407" s="96">
        <f>SUM(H401:H406)</f>
        <v>0</v>
      </c>
      <c r="I407" s="97"/>
      <c r="J407" s="162"/>
      <c r="L407" s="250"/>
      <c r="M407" s="250"/>
      <c r="N407" s="250"/>
      <c r="O407" s="250"/>
    </row>
    <row r="408" spans="1:16" ht="18" hidden="1" customHeight="1">
      <c r="A408" s="85"/>
      <c r="B408" s="93"/>
      <c r="C408" s="87"/>
      <c r="D408" s="161"/>
      <c r="E408" s="161"/>
      <c r="F408" s="89"/>
      <c r="G408" s="100"/>
      <c r="H408" s="101"/>
      <c r="I408" s="102"/>
      <c r="J408" s="121"/>
      <c r="L408" s="250"/>
      <c r="M408" s="250"/>
      <c r="N408" s="250"/>
      <c r="O408" s="250"/>
    </row>
    <row r="409" spans="1:16" ht="18" hidden="1" customHeight="1">
      <c r="A409" s="85"/>
      <c r="B409" s="23" t="s">
        <v>197</v>
      </c>
      <c r="C409" s="24">
        <v>22</v>
      </c>
      <c r="D409" s="88">
        <v>761</v>
      </c>
      <c r="E409" s="88">
        <v>1810</v>
      </c>
      <c r="F409" s="89">
        <f t="shared" ref="F409:F414" si="309">O409</f>
        <v>0</v>
      </c>
      <c r="G409" s="90">
        <f t="shared" ref="G409:G414" si="310">D409*E409/91809*F409</f>
        <v>0</v>
      </c>
      <c r="H409" s="90">
        <f t="shared" ref="H409:H414" si="311">(D409/1000)*4*F409+(E409/1000)*4*F409</f>
        <v>0</v>
      </c>
      <c r="I409" s="91" t="str">
        <f>I401</f>
        <v>10동1라인</v>
      </c>
      <c r="J409" s="92" t="s">
        <v>212</v>
      </c>
      <c r="L409" s="89">
        <v>2</v>
      </c>
      <c r="M409" s="306">
        <f>M406</f>
        <v>0</v>
      </c>
      <c r="N409" s="306"/>
      <c r="O409" s="306">
        <f t="shared" ref="O409:O414" si="312">L409*M409-N409*L409</f>
        <v>0</v>
      </c>
    </row>
    <row r="410" spans="1:16" ht="18" hidden="1" customHeight="1">
      <c r="A410" s="85"/>
      <c r="B410" s="86"/>
      <c r="C410" s="87"/>
      <c r="D410" s="88">
        <v>1688</v>
      </c>
      <c r="E410" s="88">
        <v>1810</v>
      </c>
      <c r="F410" s="89">
        <f t="shared" si="309"/>
        <v>0</v>
      </c>
      <c r="G410" s="90">
        <f t="shared" si="310"/>
        <v>0</v>
      </c>
      <c r="H410" s="90">
        <f t="shared" si="311"/>
        <v>0</v>
      </c>
      <c r="I410" s="91" t="str">
        <f>I401</f>
        <v>10동1라인</v>
      </c>
      <c r="J410" s="92" t="s">
        <v>213</v>
      </c>
      <c r="L410" s="89">
        <v>1</v>
      </c>
      <c r="M410" s="306">
        <f t="shared" si="307"/>
        <v>0</v>
      </c>
      <c r="N410" s="306"/>
      <c r="O410" s="306">
        <f t="shared" si="312"/>
        <v>0</v>
      </c>
    </row>
    <row r="411" spans="1:16" hidden="1">
      <c r="A411" s="104"/>
      <c r="B411" s="93"/>
      <c r="C411" s="87"/>
      <c r="D411" s="88">
        <v>738</v>
      </c>
      <c r="E411" s="88">
        <v>1310</v>
      </c>
      <c r="F411" s="89">
        <f t="shared" si="309"/>
        <v>0</v>
      </c>
      <c r="G411" s="90">
        <f t="shared" si="310"/>
        <v>0</v>
      </c>
      <c r="H411" s="90">
        <f t="shared" si="311"/>
        <v>0</v>
      </c>
      <c r="I411" s="91" t="str">
        <f>I410</f>
        <v>10동1라인</v>
      </c>
      <c r="J411" s="92" t="s">
        <v>214</v>
      </c>
      <c r="L411" s="89">
        <v>4</v>
      </c>
      <c r="M411" s="306">
        <f t="shared" si="307"/>
        <v>0</v>
      </c>
      <c r="N411" s="306"/>
      <c r="O411" s="306">
        <f t="shared" si="312"/>
        <v>0</v>
      </c>
    </row>
    <row r="412" spans="1:16" ht="18" hidden="1" customHeight="1">
      <c r="A412" s="104"/>
      <c r="B412" s="93"/>
      <c r="C412" s="87"/>
      <c r="D412" s="88">
        <v>438</v>
      </c>
      <c r="E412" s="88">
        <v>910</v>
      </c>
      <c r="F412" s="89">
        <f t="shared" si="309"/>
        <v>0</v>
      </c>
      <c r="G412" s="90">
        <f t="shared" si="310"/>
        <v>0</v>
      </c>
      <c r="H412" s="90">
        <f t="shared" si="311"/>
        <v>0</v>
      </c>
      <c r="I412" s="91" t="str">
        <f t="shared" ref="I412:I414" si="313">I411</f>
        <v>10동1라인</v>
      </c>
      <c r="J412" s="92" t="s">
        <v>225</v>
      </c>
      <c r="L412" s="89">
        <v>2</v>
      </c>
      <c r="M412" s="306">
        <f t="shared" si="307"/>
        <v>0</v>
      </c>
      <c r="N412" s="306"/>
      <c r="O412" s="306">
        <f t="shared" si="312"/>
        <v>0</v>
      </c>
      <c r="P412" s="64"/>
    </row>
    <row r="413" spans="1:16" ht="18" hidden="1" customHeight="1">
      <c r="A413" s="104"/>
      <c r="B413" s="93"/>
      <c r="C413" s="87"/>
      <c r="D413" s="88">
        <v>228</v>
      </c>
      <c r="E413" s="88">
        <v>910</v>
      </c>
      <c r="F413" s="89">
        <f t="shared" si="309"/>
        <v>0</v>
      </c>
      <c r="G413" s="90">
        <f t="shared" si="310"/>
        <v>0</v>
      </c>
      <c r="H413" s="90">
        <f t="shared" si="311"/>
        <v>0</v>
      </c>
      <c r="I413" s="91" t="str">
        <f t="shared" si="313"/>
        <v>10동1라인</v>
      </c>
      <c r="J413" s="92" t="s">
        <v>216</v>
      </c>
      <c r="L413" s="89">
        <v>2</v>
      </c>
      <c r="M413" s="306">
        <f t="shared" si="307"/>
        <v>0</v>
      </c>
      <c r="N413" s="306"/>
      <c r="O413" s="306">
        <f t="shared" si="312"/>
        <v>0</v>
      </c>
    </row>
    <row r="414" spans="1:16" ht="18" hidden="1" customHeight="1">
      <c r="A414" s="104"/>
      <c r="B414" s="93"/>
      <c r="C414" s="87"/>
      <c r="D414" s="88">
        <v>438</v>
      </c>
      <c r="E414" s="88">
        <v>270</v>
      </c>
      <c r="F414" s="89">
        <f t="shared" si="309"/>
        <v>0</v>
      </c>
      <c r="G414" s="90">
        <f t="shared" si="310"/>
        <v>0</v>
      </c>
      <c r="H414" s="90">
        <f t="shared" si="311"/>
        <v>0</v>
      </c>
      <c r="I414" s="91" t="str">
        <f t="shared" si="313"/>
        <v>10동1라인</v>
      </c>
      <c r="J414" s="92" t="s">
        <v>217</v>
      </c>
      <c r="L414" s="89">
        <v>2</v>
      </c>
      <c r="M414" s="306">
        <f t="shared" si="307"/>
        <v>0</v>
      </c>
      <c r="N414" s="306"/>
      <c r="O414" s="306">
        <f t="shared" si="312"/>
        <v>0</v>
      </c>
    </row>
    <row r="415" spans="1:16" hidden="1">
      <c r="A415" s="104"/>
      <c r="B415" s="87"/>
      <c r="C415" s="87"/>
      <c r="D415" s="325" t="s">
        <v>0</v>
      </c>
      <c r="E415" s="325"/>
      <c r="F415" s="171">
        <f>SUM(F409:F414)</f>
        <v>0</v>
      </c>
      <c r="G415" s="95">
        <f>SUM(G409:G414)</f>
        <v>0</v>
      </c>
      <c r="H415" s="95">
        <f>SUM(H409:H414)</f>
        <v>0</v>
      </c>
      <c r="I415" s="97"/>
      <c r="J415" s="98"/>
      <c r="L415" s="250"/>
      <c r="M415" s="250"/>
      <c r="N415" s="250"/>
      <c r="O415" s="250"/>
    </row>
    <row r="416" spans="1:16" hidden="1">
      <c r="A416" s="105"/>
      <c r="B416" s="9"/>
      <c r="C416" s="9"/>
      <c r="D416" s="51"/>
      <c r="E416" s="51"/>
      <c r="F416" s="51"/>
      <c r="G416" s="106"/>
      <c r="H416" s="106"/>
      <c r="I416" s="9"/>
      <c r="J416" s="107"/>
      <c r="L416" s="250"/>
      <c r="M416" s="250"/>
      <c r="N416" s="250"/>
      <c r="O416" s="250"/>
    </row>
    <row r="417" spans="1:16" ht="18" hidden="1" customHeight="1">
      <c r="A417" s="85"/>
      <c r="B417" s="163" t="s">
        <v>199</v>
      </c>
      <c r="C417" s="163">
        <v>22</v>
      </c>
      <c r="D417" s="88">
        <v>738</v>
      </c>
      <c r="E417" s="88">
        <v>1810</v>
      </c>
      <c r="F417" s="89">
        <f t="shared" ref="F417:F418" si="314">O417</f>
        <v>0</v>
      </c>
      <c r="G417" s="90">
        <f t="shared" ref="G417:G419" si="315">D417*E417/91809*F417</f>
        <v>0</v>
      </c>
      <c r="H417" s="90">
        <f t="shared" ref="H417:H419" si="316">(D417/1000)*4*F417+(E417/1000)*4*F417</f>
        <v>0</v>
      </c>
      <c r="I417" s="91" t="str">
        <f>I409</f>
        <v>10동1라인</v>
      </c>
      <c r="J417" s="92" t="s">
        <v>219</v>
      </c>
      <c r="L417" s="89">
        <v>2</v>
      </c>
      <c r="M417" s="306">
        <f>M414</f>
        <v>0</v>
      </c>
      <c r="N417" s="306"/>
      <c r="O417" s="306">
        <f t="shared" ref="O417:O418" si="317">L417*M417-N417*L417</f>
        <v>0</v>
      </c>
      <c r="P417" s="64"/>
    </row>
    <row r="418" spans="1:16" ht="18" hidden="1" customHeight="1">
      <c r="A418" s="85"/>
      <c r="B418" s="86"/>
      <c r="C418" s="87"/>
      <c r="D418" s="88">
        <v>250</v>
      </c>
      <c r="E418" s="88">
        <v>930</v>
      </c>
      <c r="F418" s="89">
        <f t="shared" si="314"/>
        <v>0</v>
      </c>
      <c r="G418" s="90">
        <f t="shared" si="315"/>
        <v>0</v>
      </c>
      <c r="H418" s="90">
        <f t="shared" si="316"/>
        <v>0</v>
      </c>
      <c r="I418" s="91" t="str">
        <f>I417</f>
        <v>10동1라인</v>
      </c>
      <c r="J418" s="92" t="s">
        <v>220</v>
      </c>
      <c r="L418" s="89">
        <v>2</v>
      </c>
      <c r="M418" s="306">
        <f t="shared" si="307"/>
        <v>0</v>
      </c>
      <c r="N418" s="306"/>
      <c r="O418" s="306">
        <f t="shared" si="317"/>
        <v>0</v>
      </c>
    </row>
    <row r="419" spans="1:16" ht="18" hidden="1" customHeight="1">
      <c r="A419" s="85"/>
      <c r="B419" s="86"/>
      <c r="C419" s="87"/>
      <c r="D419" s="88"/>
      <c r="E419" s="88"/>
      <c r="F419" s="89"/>
      <c r="G419" s="90">
        <f t="shared" si="315"/>
        <v>0</v>
      </c>
      <c r="H419" s="90">
        <f t="shared" si="316"/>
        <v>0</v>
      </c>
      <c r="I419" s="91"/>
      <c r="J419" s="92"/>
      <c r="L419" s="250"/>
      <c r="M419" s="250"/>
      <c r="N419" s="250"/>
      <c r="O419" s="250"/>
    </row>
    <row r="420" spans="1:16" ht="18" hidden="1" customHeight="1" thickBot="1">
      <c r="A420" s="222"/>
      <c r="B420" s="223"/>
      <c r="C420" s="224"/>
      <c r="D420" s="364" t="s">
        <v>0</v>
      </c>
      <c r="E420" s="364"/>
      <c r="F420" s="269">
        <f>SUM(F417:F419)</f>
        <v>0</v>
      </c>
      <c r="G420" s="270">
        <f>SUM(G417:G419)</f>
        <v>0</v>
      </c>
      <c r="H420" s="270">
        <f>SUM(H417:H419)</f>
        <v>0</v>
      </c>
      <c r="I420" s="271"/>
      <c r="J420" s="272"/>
      <c r="L420" s="250"/>
      <c r="M420" s="250"/>
      <c r="N420" s="250"/>
      <c r="O420" s="250"/>
    </row>
    <row r="421" spans="1:16" ht="18" hidden="1" customHeight="1">
      <c r="A421" s="273" t="s">
        <v>234</v>
      </c>
      <c r="B421" s="231" t="s">
        <v>195</v>
      </c>
      <c r="C421" s="232">
        <v>22</v>
      </c>
      <c r="D421" s="80">
        <v>761</v>
      </c>
      <c r="E421" s="80">
        <v>1810</v>
      </c>
      <c r="F421" s="233">
        <f>O421</f>
        <v>0</v>
      </c>
      <c r="G421" s="81">
        <f t="shared" ref="G421:G427" si="318">D421*E421/91809*F421</f>
        <v>0</v>
      </c>
      <c r="H421" s="81">
        <f t="shared" ref="H421:H427" si="319">(D421/1000)*4*F421+(E421/1000)*4*F421</f>
        <v>0</v>
      </c>
      <c r="I421" s="82" t="s">
        <v>261</v>
      </c>
      <c r="J421" s="83" t="s">
        <v>205</v>
      </c>
      <c r="L421" s="89">
        <v>2</v>
      </c>
      <c r="M421" s="306">
        <v>0</v>
      </c>
      <c r="N421" s="84"/>
      <c r="O421" s="306">
        <f>L421*M421-N421*L421</f>
        <v>0</v>
      </c>
      <c r="P421" s="64"/>
    </row>
    <row r="422" spans="1:16" ht="18" hidden="1" customHeight="1">
      <c r="A422" s="85"/>
      <c r="B422" s="86"/>
      <c r="C422" s="87"/>
      <c r="D422" s="88">
        <v>1688</v>
      </c>
      <c r="E422" s="88">
        <v>1810</v>
      </c>
      <c r="F422" s="89">
        <f t="shared" ref="F422:F427" si="320">O422</f>
        <v>0</v>
      </c>
      <c r="G422" s="90">
        <f t="shared" si="318"/>
        <v>0</v>
      </c>
      <c r="H422" s="90">
        <f t="shared" si="319"/>
        <v>0</v>
      </c>
      <c r="I422" s="91" t="str">
        <f>I421</f>
        <v>10동2라인</v>
      </c>
      <c r="J422" s="92" t="s">
        <v>206</v>
      </c>
      <c r="L422" s="89">
        <v>1</v>
      </c>
      <c r="M422" s="306">
        <f>M421</f>
        <v>0</v>
      </c>
      <c r="N422" s="84"/>
      <c r="O422" s="306">
        <f t="shared" ref="O422:O427" si="321">L422*M422-N422*L422</f>
        <v>0</v>
      </c>
    </row>
    <row r="423" spans="1:16" ht="18" hidden="1" customHeight="1">
      <c r="A423" s="85"/>
      <c r="B423" s="86"/>
      <c r="C423" s="87"/>
      <c r="D423" s="88">
        <v>738</v>
      </c>
      <c r="E423" s="88">
        <v>1310</v>
      </c>
      <c r="F423" s="89">
        <f t="shared" si="320"/>
        <v>0</v>
      </c>
      <c r="G423" s="90">
        <f t="shared" si="318"/>
        <v>0</v>
      </c>
      <c r="H423" s="90">
        <f t="shared" si="319"/>
        <v>0</v>
      </c>
      <c r="I423" s="91" t="str">
        <f t="shared" ref="I423:I427" si="322">I422</f>
        <v>10동2라인</v>
      </c>
      <c r="J423" s="92" t="s">
        <v>207</v>
      </c>
      <c r="L423" s="89">
        <v>4</v>
      </c>
      <c r="M423" s="306">
        <f t="shared" ref="M423:M426" si="323">M422</f>
        <v>0</v>
      </c>
      <c r="N423" s="306"/>
      <c r="O423" s="306">
        <f t="shared" si="321"/>
        <v>0</v>
      </c>
    </row>
    <row r="424" spans="1:16" ht="18" hidden="1" customHeight="1">
      <c r="A424" s="85"/>
      <c r="B424" s="86"/>
      <c r="C424" s="87"/>
      <c r="D424" s="88">
        <v>288</v>
      </c>
      <c r="E424" s="88">
        <v>910</v>
      </c>
      <c r="F424" s="89">
        <f t="shared" si="320"/>
        <v>0</v>
      </c>
      <c r="G424" s="90">
        <f t="shared" si="318"/>
        <v>0</v>
      </c>
      <c r="H424" s="90">
        <f t="shared" si="319"/>
        <v>0</v>
      </c>
      <c r="I424" s="91" t="str">
        <f t="shared" si="322"/>
        <v>10동2라인</v>
      </c>
      <c r="J424" s="92" t="s">
        <v>208</v>
      </c>
      <c r="L424" s="89">
        <v>2</v>
      </c>
      <c r="M424" s="306">
        <f t="shared" si="323"/>
        <v>0</v>
      </c>
      <c r="N424" s="306"/>
      <c r="O424" s="306">
        <f t="shared" si="321"/>
        <v>0</v>
      </c>
    </row>
    <row r="425" spans="1:16" ht="18" hidden="1" customHeight="1">
      <c r="A425" s="85"/>
      <c r="B425" s="86"/>
      <c r="C425" s="87"/>
      <c r="D425" s="88">
        <v>228</v>
      </c>
      <c r="E425" s="88">
        <v>910</v>
      </c>
      <c r="F425" s="89">
        <f t="shared" si="320"/>
        <v>0</v>
      </c>
      <c r="G425" s="90">
        <f t="shared" si="318"/>
        <v>0</v>
      </c>
      <c r="H425" s="90">
        <f t="shared" si="319"/>
        <v>0</v>
      </c>
      <c r="I425" s="91" t="str">
        <f t="shared" si="322"/>
        <v>10동2라인</v>
      </c>
      <c r="J425" s="92" t="s">
        <v>209</v>
      </c>
      <c r="L425" s="89">
        <v>2</v>
      </c>
      <c r="M425" s="306">
        <f t="shared" si="323"/>
        <v>0</v>
      </c>
      <c r="N425" s="306"/>
      <c r="O425" s="306">
        <f t="shared" si="321"/>
        <v>0</v>
      </c>
    </row>
    <row r="426" spans="1:16" ht="18" hidden="1" customHeight="1">
      <c r="A426" s="85"/>
      <c r="B426" s="86"/>
      <c r="C426" s="87"/>
      <c r="D426" s="88">
        <v>438</v>
      </c>
      <c r="E426" s="88">
        <v>270</v>
      </c>
      <c r="F426" s="89">
        <f t="shared" si="320"/>
        <v>0</v>
      </c>
      <c r="G426" s="90">
        <f t="shared" si="318"/>
        <v>0</v>
      </c>
      <c r="H426" s="90">
        <f t="shared" si="319"/>
        <v>0</v>
      </c>
      <c r="I426" s="91" t="str">
        <f t="shared" si="322"/>
        <v>10동2라인</v>
      </c>
      <c r="J426" s="92" t="s">
        <v>210</v>
      </c>
      <c r="L426" s="89">
        <v>2</v>
      </c>
      <c r="M426" s="306">
        <f t="shared" si="323"/>
        <v>0</v>
      </c>
      <c r="N426" s="306"/>
      <c r="O426" s="306">
        <f t="shared" si="321"/>
        <v>0</v>
      </c>
    </row>
    <row r="427" spans="1:16" ht="18" hidden="1" customHeight="1">
      <c r="A427" s="85"/>
      <c r="B427" s="86"/>
      <c r="C427" s="87"/>
      <c r="D427" s="88">
        <v>208</v>
      </c>
      <c r="E427" s="88">
        <v>910</v>
      </c>
      <c r="F427" s="89">
        <f t="shared" si="320"/>
        <v>0</v>
      </c>
      <c r="G427" s="90">
        <f t="shared" si="318"/>
        <v>0</v>
      </c>
      <c r="H427" s="90">
        <f t="shared" si="319"/>
        <v>0</v>
      </c>
      <c r="I427" s="91" t="str">
        <f t="shared" si="322"/>
        <v>10동2라인</v>
      </c>
      <c r="J427" s="92" t="s">
        <v>211</v>
      </c>
      <c r="L427" s="89">
        <v>2</v>
      </c>
      <c r="M427" s="306">
        <f>M426</f>
        <v>0</v>
      </c>
      <c r="N427" s="306"/>
      <c r="O427" s="306">
        <f t="shared" si="321"/>
        <v>0</v>
      </c>
    </row>
    <row r="428" spans="1:16" ht="18" hidden="1" customHeight="1">
      <c r="A428" s="85"/>
      <c r="B428" s="93"/>
      <c r="C428" s="87"/>
      <c r="D428" s="325" t="s">
        <v>0</v>
      </c>
      <c r="E428" s="325"/>
      <c r="F428" s="94">
        <f>SUM(F421:F427)</f>
        <v>0</v>
      </c>
      <c r="G428" s="95">
        <f>SUM(G421:G427)</f>
        <v>0</v>
      </c>
      <c r="H428" s="96">
        <f>SUM(H421:H427)</f>
        <v>0</v>
      </c>
      <c r="I428" s="97"/>
      <c r="J428" s="162"/>
    </row>
    <row r="429" spans="1:16" ht="18" hidden="1" customHeight="1">
      <c r="A429" s="85"/>
      <c r="B429" s="93"/>
      <c r="C429" s="87"/>
      <c r="D429" s="161"/>
      <c r="E429" s="161"/>
      <c r="F429" s="89"/>
      <c r="G429" s="100"/>
      <c r="H429" s="101"/>
      <c r="I429" s="102"/>
      <c r="J429" s="121"/>
      <c r="L429" s="306" t="s">
        <v>48</v>
      </c>
      <c r="M429" s="306" t="s">
        <v>54</v>
      </c>
      <c r="N429" s="306" t="s">
        <v>50</v>
      </c>
      <c r="O429" s="306" t="s">
        <v>55</v>
      </c>
    </row>
    <row r="430" spans="1:16" ht="18" hidden="1" customHeight="1">
      <c r="A430" s="85"/>
      <c r="B430" s="23" t="s">
        <v>197</v>
      </c>
      <c r="C430" s="24">
        <v>22</v>
      </c>
      <c r="D430" s="88">
        <v>761</v>
      </c>
      <c r="E430" s="88">
        <v>1810</v>
      </c>
      <c r="F430" s="89">
        <f t="shared" ref="F430:F436" si="324">O430</f>
        <v>0</v>
      </c>
      <c r="G430" s="90">
        <f t="shared" ref="G430:G436" si="325">D430*E430/91809*F430</f>
        <v>0</v>
      </c>
      <c r="H430" s="90">
        <f t="shared" ref="H430:H436" si="326">(D430/1000)*4*F430+(E430/1000)*4*F430</f>
        <v>0</v>
      </c>
      <c r="I430" s="91" t="str">
        <f t="shared" ref="I430:I436" si="327">I421</f>
        <v>10동2라인</v>
      </c>
      <c r="J430" s="92" t="s">
        <v>212</v>
      </c>
      <c r="L430" s="89">
        <v>2</v>
      </c>
      <c r="M430" s="306">
        <f>M421</f>
        <v>0</v>
      </c>
      <c r="N430" s="84"/>
      <c r="O430" s="306">
        <f>L430*M430-N430*L430</f>
        <v>0</v>
      </c>
    </row>
    <row r="431" spans="1:16" ht="18" hidden="1" customHeight="1">
      <c r="A431" s="85"/>
      <c r="B431" s="86"/>
      <c r="C431" s="87"/>
      <c r="D431" s="88">
        <v>1688</v>
      </c>
      <c r="E431" s="88">
        <v>1810</v>
      </c>
      <c r="F431" s="89">
        <f t="shared" si="324"/>
        <v>0</v>
      </c>
      <c r="G431" s="90">
        <f t="shared" si="325"/>
        <v>0</v>
      </c>
      <c r="H431" s="90">
        <f t="shared" si="326"/>
        <v>0</v>
      </c>
      <c r="I431" s="91" t="str">
        <f t="shared" si="327"/>
        <v>10동2라인</v>
      </c>
      <c r="J431" s="92" t="s">
        <v>213</v>
      </c>
      <c r="L431" s="89">
        <v>1</v>
      </c>
      <c r="M431" s="306">
        <f>M430</f>
        <v>0</v>
      </c>
      <c r="N431" s="84"/>
      <c r="O431" s="306">
        <f>L431*M431-N431*L431</f>
        <v>0</v>
      </c>
    </row>
    <row r="432" spans="1:16" ht="18" hidden="1" customHeight="1">
      <c r="A432" s="104"/>
      <c r="B432" s="93"/>
      <c r="C432" s="87"/>
      <c r="D432" s="88">
        <v>738</v>
      </c>
      <c r="E432" s="88">
        <v>1310</v>
      </c>
      <c r="F432" s="89">
        <f t="shared" si="324"/>
        <v>0</v>
      </c>
      <c r="G432" s="90">
        <f t="shared" si="325"/>
        <v>0</v>
      </c>
      <c r="H432" s="90">
        <f t="shared" si="326"/>
        <v>0</v>
      </c>
      <c r="I432" s="91" t="str">
        <f t="shared" si="327"/>
        <v>10동2라인</v>
      </c>
      <c r="J432" s="92" t="s">
        <v>214</v>
      </c>
      <c r="L432" s="89">
        <v>4</v>
      </c>
      <c r="M432" s="306">
        <f t="shared" ref="M432:M436" si="328">M431</f>
        <v>0</v>
      </c>
      <c r="N432" s="84"/>
      <c r="O432" s="306">
        <f t="shared" ref="O432:O436" si="329">L432*M432-N432*L432</f>
        <v>0</v>
      </c>
    </row>
    <row r="433" spans="1:16" ht="18" hidden="1" customHeight="1">
      <c r="A433" s="104"/>
      <c r="B433" s="93"/>
      <c r="C433" s="87"/>
      <c r="D433" s="88">
        <v>288</v>
      </c>
      <c r="E433" s="88">
        <v>910</v>
      </c>
      <c r="F433" s="89">
        <f t="shared" si="324"/>
        <v>0</v>
      </c>
      <c r="G433" s="90">
        <f t="shared" si="325"/>
        <v>0</v>
      </c>
      <c r="H433" s="90">
        <f t="shared" si="326"/>
        <v>0</v>
      </c>
      <c r="I433" s="91" t="str">
        <f t="shared" si="327"/>
        <v>10동2라인</v>
      </c>
      <c r="J433" s="92" t="s">
        <v>215</v>
      </c>
      <c r="L433" s="89">
        <v>2</v>
      </c>
      <c r="M433" s="306">
        <f t="shared" si="328"/>
        <v>0</v>
      </c>
      <c r="N433" s="306"/>
      <c r="O433" s="306">
        <f t="shared" si="329"/>
        <v>0</v>
      </c>
    </row>
    <row r="434" spans="1:16" ht="18" hidden="1" customHeight="1">
      <c r="A434" s="104"/>
      <c r="B434" s="93"/>
      <c r="C434" s="87"/>
      <c r="D434" s="88">
        <v>228</v>
      </c>
      <c r="E434" s="88">
        <v>910</v>
      </c>
      <c r="F434" s="89">
        <f t="shared" si="324"/>
        <v>0</v>
      </c>
      <c r="G434" s="90">
        <f t="shared" si="325"/>
        <v>0</v>
      </c>
      <c r="H434" s="90">
        <f t="shared" si="326"/>
        <v>0</v>
      </c>
      <c r="I434" s="91" t="str">
        <f t="shared" si="327"/>
        <v>10동2라인</v>
      </c>
      <c r="J434" s="92" t="s">
        <v>216</v>
      </c>
      <c r="L434" s="89">
        <v>2</v>
      </c>
      <c r="M434" s="306">
        <f t="shared" si="328"/>
        <v>0</v>
      </c>
      <c r="N434" s="306"/>
      <c r="O434" s="306">
        <f t="shared" si="329"/>
        <v>0</v>
      </c>
    </row>
    <row r="435" spans="1:16" ht="18" hidden="1" customHeight="1">
      <c r="A435" s="104"/>
      <c r="B435" s="93"/>
      <c r="C435" s="87"/>
      <c r="D435" s="88">
        <v>438</v>
      </c>
      <c r="E435" s="88">
        <v>270</v>
      </c>
      <c r="F435" s="89">
        <f t="shared" si="324"/>
        <v>0</v>
      </c>
      <c r="G435" s="90">
        <f t="shared" si="325"/>
        <v>0</v>
      </c>
      <c r="H435" s="90">
        <f t="shared" si="326"/>
        <v>0</v>
      </c>
      <c r="I435" s="91" t="str">
        <f t="shared" si="327"/>
        <v>10동2라인</v>
      </c>
      <c r="J435" s="92" t="s">
        <v>217</v>
      </c>
      <c r="L435" s="89">
        <v>2</v>
      </c>
      <c r="M435" s="306">
        <f t="shared" si="328"/>
        <v>0</v>
      </c>
      <c r="N435" s="306"/>
      <c r="O435" s="306">
        <f t="shared" si="329"/>
        <v>0</v>
      </c>
    </row>
    <row r="436" spans="1:16" ht="18" hidden="1" customHeight="1">
      <c r="A436" s="104"/>
      <c r="B436" s="93"/>
      <c r="C436" s="87"/>
      <c r="D436" s="88">
        <v>208</v>
      </c>
      <c r="E436" s="88">
        <v>910</v>
      </c>
      <c r="F436" s="89">
        <f t="shared" si="324"/>
        <v>0</v>
      </c>
      <c r="G436" s="90">
        <f t="shared" si="325"/>
        <v>0</v>
      </c>
      <c r="H436" s="90">
        <f t="shared" si="326"/>
        <v>0</v>
      </c>
      <c r="I436" s="91" t="str">
        <f t="shared" si="327"/>
        <v>10동2라인</v>
      </c>
      <c r="J436" s="92" t="s">
        <v>218</v>
      </c>
      <c r="L436" s="89">
        <v>2</v>
      </c>
      <c r="M436" s="306">
        <f t="shared" si="328"/>
        <v>0</v>
      </c>
      <c r="N436" s="306"/>
      <c r="O436" s="306">
        <f t="shared" si="329"/>
        <v>0</v>
      </c>
    </row>
    <row r="437" spans="1:16" ht="18" hidden="1" customHeight="1">
      <c r="A437" s="104"/>
      <c r="B437" s="87"/>
      <c r="C437" s="87"/>
      <c r="D437" s="325" t="s">
        <v>0</v>
      </c>
      <c r="E437" s="325"/>
      <c r="F437" s="171">
        <f>SUM(F430:F436)</f>
        <v>0</v>
      </c>
      <c r="G437" s="95">
        <f>SUM(G430:G436)</f>
        <v>0</v>
      </c>
      <c r="H437" s="95">
        <f>SUM(H430:H436)</f>
        <v>0</v>
      </c>
      <c r="I437" s="97"/>
      <c r="J437" s="98"/>
    </row>
    <row r="438" spans="1:16" hidden="1">
      <c r="A438" s="105"/>
      <c r="B438" s="9"/>
      <c r="C438" s="9"/>
      <c r="D438" s="51"/>
      <c r="E438" s="51"/>
      <c r="F438" s="51"/>
      <c r="G438" s="106"/>
      <c r="H438" s="106"/>
      <c r="I438" s="9"/>
      <c r="J438" s="107"/>
    </row>
    <row r="439" spans="1:16" ht="18" hidden="1" customHeight="1">
      <c r="A439" s="85"/>
      <c r="B439" s="163" t="s">
        <v>199</v>
      </c>
      <c r="C439" s="163">
        <v>22</v>
      </c>
      <c r="D439" s="88">
        <v>738</v>
      </c>
      <c r="E439" s="88">
        <v>1810</v>
      </c>
      <c r="F439" s="89">
        <f t="shared" ref="F439:F440" si="330">O439</f>
        <v>0</v>
      </c>
      <c r="G439" s="90">
        <f t="shared" ref="G439:G440" si="331">D439*E439/91809*F439</f>
        <v>0</v>
      </c>
      <c r="H439" s="90">
        <f t="shared" ref="H439:H440" si="332">(D439/1000)*4*F439+(E439/1000)*4*F439</f>
        <v>0</v>
      </c>
      <c r="I439" s="91" t="str">
        <f>I430</f>
        <v>10동2라인</v>
      </c>
      <c r="J439" s="92" t="s">
        <v>219</v>
      </c>
      <c r="L439" s="89">
        <v>2</v>
      </c>
      <c r="M439" s="306">
        <f>M421</f>
        <v>0</v>
      </c>
      <c r="N439" s="84"/>
      <c r="O439" s="306">
        <f>L439*M439-N439*L439</f>
        <v>0</v>
      </c>
      <c r="P439" s="64" t="s">
        <v>247</v>
      </c>
    </row>
    <row r="440" spans="1:16" ht="18" hidden="1" customHeight="1">
      <c r="A440" s="85"/>
      <c r="B440" s="86"/>
      <c r="C440" s="87"/>
      <c r="D440" s="88">
        <v>250</v>
      </c>
      <c r="E440" s="88">
        <v>930</v>
      </c>
      <c r="F440" s="89">
        <f t="shared" si="330"/>
        <v>0</v>
      </c>
      <c r="G440" s="90">
        <f t="shared" si="331"/>
        <v>0</v>
      </c>
      <c r="H440" s="90">
        <f t="shared" si="332"/>
        <v>0</v>
      </c>
      <c r="I440" s="91" t="str">
        <f>I439</f>
        <v>10동2라인</v>
      </c>
      <c r="J440" s="92" t="s">
        <v>220</v>
      </c>
      <c r="L440" s="89">
        <v>2</v>
      </c>
      <c r="M440" s="306">
        <f>M439</f>
        <v>0</v>
      </c>
      <c r="N440" s="84"/>
      <c r="O440" s="306">
        <f t="shared" ref="O440" si="333">L440*M440-N440*L440</f>
        <v>0</v>
      </c>
    </row>
    <row r="441" spans="1:16" ht="18" hidden="1" customHeight="1">
      <c r="A441" s="85"/>
      <c r="B441" s="93"/>
      <c r="C441" s="87"/>
      <c r="D441" s="325" t="s">
        <v>0</v>
      </c>
      <c r="E441" s="325"/>
      <c r="F441" s="94">
        <f>SUM(F439:F440)</f>
        <v>0</v>
      </c>
      <c r="G441" s="95">
        <f>SUM(G439:G440)</f>
        <v>0</v>
      </c>
      <c r="H441" s="95">
        <f>SUM(H439:H440)</f>
        <v>0</v>
      </c>
      <c r="I441" s="97"/>
      <c r="J441" s="98"/>
    </row>
    <row r="442" spans="1:16" hidden="1">
      <c r="A442" s="236"/>
      <c r="B442" s="237"/>
      <c r="C442" s="238"/>
      <c r="D442" s="362"/>
      <c r="E442" s="362"/>
      <c r="F442" s="239"/>
      <c r="G442" s="240"/>
      <c r="H442" s="241"/>
      <c r="I442" s="242"/>
      <c r="J442" s="243"/>
    </row>
    <row r="443" spans="1:16" ht="18" hidden="1" customHeight="1">
      <c r="A443" s="244" t="s">
        <v>234</v>
      </c>
      <c r="B443" s="23" t="s">
        <v>195</v>
      </c>
      <c r="C443" s="24">
        <v>22</v>
      </c>
      <c r="D443" s="88">
        <v>761</v>
      </c>
      <c r="E443" s="88">
        <v>1810</v>
      </c>
      <c r="F443" s="89">
        <f>O443</f>
        <v>0</v>
      </c>
      <c r="G443" s="90">
        <f t="shared" ref="G443:G449" si="334">D443*E443/91809*F443</f>
        <v>0</v>
      </c>
      <c r="H443" s="90">
        <f t="shared" ref="H443:H449" si="335">(D443/1000)*4*F443+(E443/1000)*4*F443</f>
        <v>0</v>
      </c>
      <c r="I443" s="91" t="s">
        <v>262</v>
      </c>
      <c r="J443" s="92" t="s">
        <v>205</v>
      </c>
      <c r="L443" s="89">
        <v>2</v>
      </c>
      <c r="M443" s="306">
        <v>0</v>
      </c>
      <c r="N443" s="84"/>
      <c r="O443" s="306">
        <f>L443*M443-N443*L443</f>
        <v>0</v>
      </c>
      <c r="P443" s="64"/>
    </row>
    <row r="444" spans="1:16" ht="18" hidden="1" customHeight="1">
      <c r="A444" s="85"/>
      <c r="B444" s="86"/>
      <c r="C444" s="87"/>
      <c r="D444" s="88">
        <v>1688</v>
      </c>
      <c r="E444" s="88">
        <v>1810</v>
      </c>
      <c r="F444" s="89">
        <f t="shared" ref="F444:F449" si="336">O444</f>
        <v>0</v>
      </c>
      <c r="G444" s="90">
        <f t="shared" si="334"/>
        <v>0</v>
      </c>
      <c r="H444" s="90">
        <f t="shared" si="335"/>
        <v>0</v>
      </c>
      <c r="I444" s="91" t="str">
        <f>I443</f>
        <v>10동3라인</v>
      </c>
      <c r="J444" s="92" t="s">
        <v>206</v>
      </c>
      <c r="L444" s="89">
        <v>1</v>
      </c>
      <c r="M444" s="306">
        <v>0</v>
      </c>
      <c r="N444" s="84"/>
      <c r="O444" s="306">
        <f t="shared" ref="O444:O449" si="337">L444*M444-N444*L444</f>
        <v>0</v>
      </c>
    </row>
    <row r="445" spans="1:16" ht="18" hidden="1" customHeight="1">
      <c r="A445" s="85"/>
      <c r="B445" s="86"/>
      <c r="C445" s="87"/>
      <c r="D445" s="88">
        <v>738</v>
      </c>
      <c r="E445" s="88">
        <v>1310</v>
      </c>
      <c r="F445" s="89">
        <f t="shared" si="336"/>
        <v>0</v>
      </c>
      <c r="G445" s="90">
        <f t="shared" si="334"/>
        <v>0</v>
      </c>
      <c r="H445" s="90">
        <f t="shared" si="335"/>
        <v>0</v>
      </c>
      <c r="I445" s="91" t="str">
        <f t="shared" ref="I445:I449" si="338">I444</f>
        <v>10동3라인</v>
      </c>
      <c r="J445" s="92" t="s">
        <v>207</v>
      </c>
      <c r="L445" s="89">
        <v>4</v>
      </c>
      <c r="M445" s="306">
        <f t="shared" ref="M445:M448" si="339">M444</f>
        <v>0</v>
      </c>
      <c r="N445" s="306"/>
      <c r="O445" s="306">
        <f t="shared" si="337"/>
        <v>0</v>
      </c>
    </row>
    <row r="446" spans="1:16" ht="18" hidden="1" customHeight="1">
      <c r="A446" s="85"/>
      <c r="B446" s="86"/>
      <c r="C446" s="87"/>
      <c r="D446" s="88">
        <v>288</v>
      </c>
      <c r="E446" s="88">
        <v>910</v>
      </c>
      <c r="F446" s="89">
        <f t="shared" si="336"/>
        <v>0</v>
      </c>
      <c r="G446" s="90">
        <f t="shared" si="334"/>
        <v>0</v>
      </c>
      <c r="H446" s="90">
        <f t="shared" si="335"/>
        <v>0</v>
      </c>
      <c r="I446" s="91" t="str">
        <f t="shared" si="338"/>
        <v>10동3라인</v>
      </c>
      <c r="J446" s="92" t="s">
        <v>208</v>
      </c>
      <c r="L446" s="89">
        <v>2</v>
      </c>
      <c r="M446" s="306">
        <f t="shared" si="339"/>
        <v>0</v>
      </c>
      <c r="N446" s="306"/>
      <c r="O446" s="306">
        <f t="shared" si="337"/>
        <v>0</v>
      </c>
    </row>
    <row r="447" spans="1:16" ht="18" hidden="1" customHeight="1">
      <c r="A447" s="85"/>
      <c r="B447" s="86"/>
      <c r="C447" s="87"/>
      <c r="D447" s="88">
        <v>228</v>
      </c>
      <c r="E447" s="88">
        <v>910</v>
      </c>
      <c r="F447" s="89">
        <f t="shared" si="336"/>
        <v>0</v>
      </c>
      <c r="G447" s="90">
        <f t="shared" si="334"/>
        <v>0</v>
      </c>
      <c r="H447" s="90">
        <f t="shared" si="335"/>
        <v>0</v>
      </c>
      <c r="I447" s="91" t="str">
        <f t="shared" si="338"/>
        <v>10동3라인</v>
      </c>
      <c r="J447" s="92" t="s">
        <v>209</v>
      </c>
      <c r="L447" s="89">
        <v>2</v>
      </c>
      <c r="M447" s="306">
        <f t="shared" si="339"/>
        <v>0</v>
      </c>
      <c r="N447" s="306"/>
      <c r="O447" s="306">
        <f t="shared" si="337"/>
        <v>0</v>
      </c>
    </row>
    <row r="448" spans="1:16" ht="18" hidden="1" customHeight="1">
      <c r="A448" s="85"/>
      <c r="B448" s="86"/>
      <c r="C448" s="87"/>
      <c r="D448" s="88">
        <v>438</v>
      </c>
      <c r="E448" s="88">
        <v>270</v>
      </c>
      <c r="F448" s="89">
        <f t="shared" si="336"/>
        <v>0</v>
      </c>
      <c r="G448" s="90">
        <f t="shared" si="334"/>
        <v>0</v>
      </c>
      <c r="H448" s="90">
        <f t="shared" si="335"/>
        <v>0</v>
      </c>
      <c r="I448" s="91" t="str">
        <f t="shared" si="338"/>
        <v>10동3라인</v>
      </c>
      <c r="J448" s="92" t="s">
        <v>210</v>
      </c>
      <c r="L448" s="89">
        <v>2</v>
      </c>
      <c r="M448" s="306">
        <f t="shared" si="339"/>
        <v>0</v>
      </c>
      <c r="N448" s="306"/>
      <c r="O448" s="306">
        <f t="shared" si="337"/>
        <v>0</v>
      </c>
    </row>
    <row r="449" spans="1:16" ht="18" hidden="1" customHeight="1">
      <c r="A449" s="85"/>
      <c r="B449" s="86"/>
      <c r="C449" s="87"/>
      <c r="D449" s="88">
        <v>208</v>
      </c>
      <c r="E449" s="88">
        <v>910</v>
      </c>
      <c r="F449" s="89">
        <f t="shared" si="336"/>
        <v>0</v>
      </c>
      <c r="G449" s="90">
        <f t="shared" si="334"/>
        <v>0</v>
      </c>
      <c r="H449" s="90">
        <f t="shared" si="335"/>
        <v>0</v>
      </c>
      <c r="I449" s="91" t="str">
        <f t="shared" si="338"/>
        <v>10동3라인</v>
      </c>
      <c r="J449" s="92" t="s">
        <v>211</v>
      </c>
      <c r="L449" s="89">
        <v>2</v>
      </c>
      <c r="M449" s="306">
        <f>M448</f>
        <v>0</v>
      </c>
      <c r="N449" s="306"/>
      <c r="O449" s="306">
        <f t="shared" si="337"/>
        <v>0</v>
      </c>
    </row>
    <row r="450" spans="1:16" ht="18" hidden="1" customHeight="1">
      <c r="A450" s="85"/>
      <c r="B450" s="93"/>
      <c r="C450" s="87"/>
      <c r="D450" s="325" t="s">
        <v>0</v>
      </c>
      <c r="E450" s="325"/>
      <c r="F450" s="94">
        <f>SUM(F443:F449)</f>
        <v>0</v>
      </c>
      <c r="G450" s="95">
        <f>SUM(G443:G449)</f>
        <v>0</v>
      </c>
      <c r="H450" s="96">
        <f>SUM(H443:H449)</f>
        <v>0</v>
      </c>
      <c r="I450" s="97"/>
      <c r="J450" s="162"/>
    </row>
    <row r="451" spans="1:16" ht="18" hidden="1" customHeight="1">
      <c r="A451" s="85"/>
      <c r="B451" s="93"/>
      <c r="C451" s="87"/>
      <c r="D451" s="161"/>
      <c r="E451" s="161"/>
      <c r="F451" s="89"/>
      <c r="G451" s="100"/>
      <c r="H451" s="101"/>
      <c r="I451" s="102"/>
      <c r="J451" s="121"/>
      <c r="L451" s="306" t="s">
        <v>48</v>
      </c>
      <c r="M451" s="306" t="s">
        <v>54</v>
      </c>
      <c r="N451" s="306" t="s">
        <v>50</v>
      </c>
      <c r="O451" s="306" t="s">
        <v>55</v>
      </c>
    </row>
    <row r="452" spans="1:16" ht="18" hidden="1" customHeight="1">
      <c r="A452" s="85"/>
      <c r="B452" s="23" t="s">
        <v>197</v>
      </c>
      <c r="C452" s="24">
        <v>22</v>
      </c>
      <c r="D452" s="88">
        <v>761</v>
      </c>
      <c r="E452" s="88">
        <v>1810</v>
      </c>
      <c r="F452" s="89">
        <f t="shared" ref="F452:F458" si="340">O452</f>
        <v>0</v>
      </c>
      <c r="G452" s="90">
        <f t="shared" ref="G452:G458" si="341">D452*E452/91809*F452</f>
        <v>0</v>
      </c>
      <c r="H452" s="90">
        <f t="shared" ref="H452:H458" si="342">(D452/1000)*4*F452+(E452/1000)*4*F452</f>
        <v>0</v>
      </c>
      <c r="I452" s="91" t="str">
        <f t="shared" ref="I452:I458" si="343">I443</f>
        <v>10동3라인</v>
      </c>
      <c r="J452" s="92" t="s">
        <v>212</v>
      </c>
      <c r="L452" s="89">
        <v>2</v>
      </c>
      <c r="M452" s="306">
        <f>M443</f>
        <v>0</v>
      </c>
      <c r="N452" s="84"/>
      <c r="O452" s="306">
        <f>L452*M452-N452*L452</f>
        <v>0</v>
      </c>
    </row>
    <row r="453" spans="1:16" ht="18" hidden="1" customHeight="1">
      <c r="A453" s="85"/>
      <c r="B453" s="86"/>
      <c r="C453" s="87"/>
      <c r="D453" s="88">
        <v>1688</v>
      </c>
      <c r="E453" s="88">
        <v>1810</v>
      </c>
      <c r="F453" s="89">
        <f t="shared" si="340"/>
        <v>0</v>
      </c>
      <c r="G453" s="90">
        <f t="shared" si="341"/>
        <v>0</v>
      </c>
      <c r="H453" s="90">
        <f t="shared" si="342"/>
        <v>0</v>
      </c>
      <c r="I453" s="91" t="str">
        <f t="shared" si="343"/>
        <v>10동3라인</v>
      </c>
      <c r="J453" s="92" t="s">
        <v>213</v>
      </c>
      <c r="L453" s="89">
        <v>1</v>
      </c>
      <c r="M453" s="306">
        <f>M452</f>
        <v>0</v>
      </c>
      <c r="N453" s="84"/>
      <c r="O453" s="306">
        <f>L453*M453-N453*L453</f>
        <v>0</v>
      </c>
    </row>
    <row r="454" spans="1:16" ht="18" hidden="1" customHeight="1">
      <c r="A454" s="104"/>
      <c r="B454" s="93"/>
      <c r="C454" s="87"/>
      <c r="D454" s="88">
        <v>738</v>
      </c>
      <c r="E454" s="88">
        <v>1310</v>
      </c>
      <c r="F454" s="89">
        <f t="shared" si="340"/>
        <v>0</v>
      </c>
      <c r="G454" s="90">
        <f t="shared" si="341"/>
        <v>0</v>
      </c>
      <c r="H454" s="90">
        <f t="shared" si="342"/>
        <v>0</v>
      </c>
      <c r="I454" s="91" t="str">
        <f t="shared" si="343"/>
        <v>10동3라인</v>
      </c>
      <c r="J454" s="92" t="s">
        <v>214</v>
      </c>
      <c r="L454" s="89">
        <v>4</v>
      </c>
      <c r="M454" s="306">
        <f t="shared" ref="M454:M458" si="344">M453</f>
        <v>0</v>
      </c>
      <c r="N454" s="84"/>
      <c r="O454" s="306">
        <f t="shared" ref="O454:O458" si="345">L454*M454-N454*L454</f>
        <v>0</v>
      </c>
    </row>
    <row r="455" spans="1:16" ht="18" hidden="1" customHeight="1">
      <c r="A455" s="104"/>
      <c r="B455" s="93"/>
      <c r="C455" s="87"/>
      <c r="D455" s="88">
        <v>288</v>
      </c>
      <c r="E455" s="88">
        <v>910</v>
      </c>
      <c r="F455" s="89">
        <f t="shared" si="340"/>
        <v>0</v>
      </c>
      <c r="G455" s="90">
        <f t="shared" si="341"/>
        <v>0</v>
      </c>
      <c r="H455" s="90">
        <f t="shared" si="342"/>
        <v>0</v>
      </c>
      <c r="I455" s="91" t="str">
        <f t="shared" si="343"/>
        <v>10동3라인</v>
      </c>
      <c r="J455" s="92" t="s">
        <v>215</v>
      </c>
      <c r="L455" s="89">
        <v>2</v>
      </c>
      <c r="M455" s="306">
        <f t="shared" si="344"/>
        <v>0</v>
      </c>
      <c r="N455" s="306"/>
      <c r="O455" s="306">
        <f t="shared" si="345"/>
        <v>0</v>
      </c>
    </row>
    <row r="456" spans="1:16" ht="18" hidden="1" customHeight="1">
      <c r="A456" s="104"/>
      <c r="B456" s="93"/>
      <c r="C456" s="87"/>
      <c r="D456" s="88">
        <v>228</v>
      </c>
      <c r="E456" s="88">
        <v>910</v>
      </c>
      <c r="F456" s="89">
        <f t="shared" si="340"/>
        <v>0</v>
      </c>
      <c r="G456" s="90">
        <f t="shared" si="341"/>
        <v>0</v>
      </c>
      <c r="H456" s="90">
        <f t="shared" si="342"/>
        <v>0</v>
      </c>
      <c r="I456" s="91" t="str">
        <f t="shared" si="343"/>
        <v>10동3라인</v>
      </c>
      <c r="J456" s="92" t="s">
        <v>216</v>
      </c>
      <c r="L456" s="89">
        <v>2</v>
      </c>
      <c r="M456" s="306">
        <f t="shared" si="344"/>
        <v>0</v>
      </c>
      <c r="N456" s="306"/>
      <c r="O456" s="306">
        <f t="shared" si="345"/>
        <v>0</v>
      </c>
    </row>
    <row r="457" spans="1:16" ht="18" hidden="1" customHeight="1">
      <c r="A457" s="104"/>
      <c r="B457" s="93"/>
      <c r="C457" s="87"/>
      <c r="D457" s="88">
        <v>438</v>
      </c>
      <c r="E457" s="88">
        <v>270</v>
      </c>
      <c r="F457" s="89">
        <f t="shared" si="340"/>
        <v>0</v>
      </c>
      <c r="G457" s="90">
        <f t="shared" si="341"/>
        <v>0</v>
      </c>
      <c r="H457" s="90">
        <f t="shared" si="342"/>
        <v>0</v>
      </c>
      <c r="I457" s="91" t="str">
        <f t="shared" si="343"/>
        <v>10동3라인</v>
      </c>
      <c r="J457" s="92" t="s">
        <v>217</v>
      </c>
      <c r="L457" s="89">
        <v>2</v>
      </c>
      <c r="M457" s="306">
        <f t="shared" si="344"/>
        <v>0</v>
      </c>
      <c r="N457" s="306"/>
      <c r="O457" s="306">
        <f t="shared" si="345"/>
        <v>0</v>
      </c>
    </row>
    <row r="458" spans="1:16" ht="18" hidden="1" customHeight="1">
      <c r="A458" s="104"/>
      <c r="B458" s="93"/>
      <c r="C458" s="87"/>
      <c r="D458" s="88">
        <v>208</v>
      </c>
      <c r="E458" s="88">
        <v>910</v>
      </c>
      <c r="F458" s="89">
        <f t="shared" si="340"/>
        <v>0</v>
      </c>
      <c r="G458" s="90">
        <f t="shared" si="341"/>
        <v>0</v>
      </c>
      <c r="H458" s="90">
        <f t="shared" si="342"/>
        <v>0</v>
      </c>
      <c r="I458" s="91" t="str">
        <f t="shared" si="343"/>
        <v>10동3라인</v>
      </c>
      <c r="J458" s="92" t="s">
        <v>218</v>
      </c>
      <c r="L458" s="89">
        <v>2</v>
      </c>
      <c r="M458" s="306">
        <f t="shared" si="344"/>
        <v>0</v>
      </c>
      <c r="N458" s="306"/>
      <c r="O458" s="306">
        <f t="shared" si="345"/>
        <v>0</v>
      </c>
    </row>
    <row r="459" spans="1:16" ht="18" hidden="1" customHeight="1">
      <c r="A459" s="104"/>
      <c r="B459" s="87"/>
      <c r="C459" s="87"/>
      <c r="D459" s="325" t="s">
        <v>0</v>
      </c>
      <c r="E459" s="325"/>
      <c r="F459" s="171">
        <f>SUM(F452:F458)</f>
        <v>0</v>
      </c>
      <c r="G459" s="95">
        <f>SUM(G452:G458)</f>
        <v>0</v>
      </c>
      <c r="H459" s="95">
        <f>SUM(H452:H458)</f>
        <v>0</v>
      </c>
      <c r="I459" s="97"/>
      <c r="J459" s="98"/>
    </row>
    <row r="460" spans="1:16" hidden="1">
      <c r="A460" s="105"/>
      <c r="B460" s="9"/>
      <c r="C460" s="9"/>
      <c r="D460" s="51"/>
      <c r="E460" s="51"/>
      <c r="F460" s="51"/>
      <c r="G460" s="106"/>
      <c r="H460" s="106"/>
      <c r="I460" s="9"/>
      <c r="J460" s="107"/>
    </row>
    <row r="461" spans="1:16" ht="18" hidden="1" customHeight="1">
      <c r="A461" s="85"/>
      <c r="B461" s="163" t="s">
        <v>199</v>
      </c>
      <c r="C461" s="163">
        <v>22</v>
      </c>
      <c r="D461" s="88">
        <v>738</v>
      </c>
      <c r="E461" s="88">
        <v>1810</v>
      </c>
      <c r="F461" s="89">
        <f t="shared" ref="F461:F462" si="346">O461</f>
        <v>0</v>
      </c>
      <c r="G461" s="90">
        <f t="shared" ref="G461:G462" si="347">D461*E461/91809*F461</f>
        <v>0</v>
      </c>
      <c r="H461" s="90">
        <f t="shared" ref="H461:H462" si="348">(D461/1000)*4*F461+(E461/1000)*4*F461</f>
        <v>0</v>
      </c>
      <c r="I461" s="91" t="str">
        <f>I452</f>
        <v>10동3라인</v>
      </c>
      <c r="J461" s="92" t="s">
        <v>219</v>
      </c>
      <c r="L461" s="89">
        <v>2</v>
      </c>
      <c r="M461" s="306">
        <f>M443</f>
        <v>0</v>
      </c>
      <c r="N461" s="84"/>
      <c r="O461" s="306">
        <f>L461*M461-N461*L461</f>
        <v>0</v>
      </c>
      <c r="P461" s="64"/>
    </row>
    <row r="462" spans="1:16" ht="18" hidden="1" customHeight="1">
      <c r="A462" s="85"/>
      <c r="B462" s="86"/>
      <c r="C462" s="87"/>
      <c r="D462" s="88">
        <v>250</v>
      </c>
      <c r="E462" s="88">
        <v>930</v>
      </c>
      <c r="F462" s="89">
        <f t="shared" si="346"/>
        <v>0</v>
      </c>
      <c r="G462" s="90">
        <f t="shared" si="347"/>
        <v>0</v>
      </c>
      <c r="H462" s="90">
        <f t="shared" si="348"/>
        <v>0</v>
      </c>
      <c r="I462" s="91" t="str">
        <f>I461</f>
        <v>10동3라인</v>
      </c>
      <c r="J462" s="92" t="s">
        <v>220</v>
      </c>
      <c r="L462" s="89">
        <v>2</v>
      </c>
      <c r="M462" s="306">
        <f>M461</f>
        <v>0</v>
      </c>
      <c r="N462" s="84"/>
      <c r="O462" s="306">
        <f t="shared" ref="O462" si="349">L462*M462-N462*L462</f>
        <v>0</v>
      </c>
    </row>
    <row r="463" spans="1:16" ht="18" hidden="1" customHeight="1" thickBot="1">
      <c r="A463" s="222"/>
      <c r="B463" s="223"/>
      <c r="C463" s="224"/>
      <c r="D463" s="364" t="s">
        <v>0</v>
      </c>
      <c r="E463" s="364"/>
      <c r="F463" s="269">
        <f>SUM(F461:F462)</f>
        <v>0</v>
      </c>
      <c r="G463" s="270">
        <f>SUM(G461:G462)</f>
        <v>0</v>
      </c>
      <c r="H463" s="270">
        <f>SUM(H461:H462)</f>
        <v>0</v>
      </c>
      <c r="I463" s="271"/>
      <c r="J463" s="272"/>
    </row>
    <row r="464" spans="1:16" ht="18" hidden="1" customHeight="1">
      <c r="A464" s="79" t="s">
        <v>235</v>
      </c>
      <c r="B464" s="231" t="s">
        <v>196</v>
      </c>
      <c r="C464" s="232">
        <v>22</v>
      </c>
      <c r="D464" s="80">
        <v>861</v>
      </c>
      <c r="E464" s="80">
        <v>1810</v>
      </c>
      <c r="F464" s="233">
        <f t="shared" ref="F464:F467" si="350">O464</f>
        <v>0</v>
      </c>
      <c r="G464" s="81">
        <f t="shared" ref="G464:G467" si="351">D464*E464/91809*F464</f>
        <v>0</v>
      </c>
      <c r="H464" s="81">
        <f t="shared" ref="H464:H467" si="352">(D464/1000)*4*F464+(E464/1000)*4*F464</f>
        <v>0</v>
      </c>
      <c r="I464" s="82" t="s">
        <v>263</v>
      </c>
      <c r="J464" s="83" t="s">
        <v>205</v>
      </c>
      <c r="L464" s="89">
        <v>1</v>
      </c>
      <c r="M464" s="306">
        <v>0</v>
      </c>
      <c r="N464" s="84"/>
      <c r="O464" s="306">
        <f>L464*M464-N464*L464</f>
        <v>0</v>
      </c>
      <c r="P464" s="64"/>
    </row>
    <row r="465" spans="1:16" ht="18" hidden="1" customHeight="1">
      <c r="A465" s="85"/>
      <c r="B465" s="86"/>
      <c r="C465" s="87"/>
      <c r="D465" s="88">
        <v>738</v>
      </c>
      <c r="E465" s="88">
        <v>1310</v>
      </c>
      <c r="F465" s="89">
        <f t="shared" si="350"/>
        <v>0</v>
      </c>
      <c r="G465" s="90">
        <f t="shared" si="351"/>
        <v>0</v>
      </c>
      <c r="H465" s="90">
        <f t="shared" si="352"/>
        <v>0</v>
      </c>
      <c r="I465" s="91" t="str">
        <f>I464</f>
        <v>10동4라인</v>
      </c>
      <c r="J465" s="92" t="s">
        <v>207</v>
      </c>
      <c r="L465" s="89">
        <v>4</v>
      </c>
      <c r="M465" s="306">
        <f>M464</f>
        <v>0</v>
      </c>
      <c r="N465" s="84"/>
      <c r="O465" s="306">
        <f t="shared" ref="O465:O467" si="353">L465*M465-N465*L465</f>
        <v>0</v>
      </c>
    </row>
    <row r="466" spans="1:16" ht="18" hidden="1" customHeight="1">
      <c r="A466" s="85"/>
      <c r="B466" s="86"/>
      <c r="C466" s="87"/>
      <c r="D466" s="88">
        <v>228</v>
      </c>
      <c r="E466" s="88">
        <v>910</v>
      </c>
      <c r="F466" s="89">
        <f t="shared" si="350"/>
        <v>0</v>
      </c>
      <c r="G466" s="90">
        <f t="shared" si="351"/>
        <v>0</v>
      </c>
      <c r="H466" s="90">
        <f t="shared" si="352"/>
        <v>0</v>
      </c>
      <c r="I466" s="91" t="str">
        <f t="shared" ref="I466:I467" si="354">I465</f>
        <v>10동4라인</v>
      </c>
      <c r="J466" s="92" t="s">
        <v>209</v>
      </c>
      <c r="L466" s="89">
        <v>2</v>
      </c>
      <c r="M466" s="306">
        <f t="shared" ref="M466:M467" si="355">M465</f>
        <v>0</v>
      </c>
      <c r="N466" s="306"/>
      <c r="O466" s="306">
        <f t="shared" si="353"/>
        <v>0</v>
      </c>
    </row>
    <row r="467" spans="1:16" ht="18" hidden="1" customHeight="1">
      <c r="A467" s="85"/>
      <c r="B467" s="86"/>
      <c r="C467" s="87"/>
      <c r="D467" s="88">
        <v>438</v>
      </c>
      <c r="E467" s="88">
        <v>270</v>
      </c>
      <c r="F467" s="89">
        <f t="shared" si="350"/>
        <v>0</v>
      </c>
      <c r="G467" s="90">
        <f t="shared" si="351"/>
        <v>0</v>
      </c>
      <c r="H467" s="90">
        <f t="shared" si="352"/>
        <v>0</v>
      </c>
      <c r="I467" s="91" t="str">
        <f t="shared" si="354"/>
        <v>10동4라인</v>
      </c>
      <c r="J467" s="92" t="s">
        <v>210</v>
      </c>
      <c r="L467" s="89">
        <v>2</v>
      </c>
      <c r="M467" s="306">
        <f t="shared" si="355"/>
        <v>0</v>
      </c>
      <c r="N467" s="306"/>
      <c r="O467" s="306">
        <f t="shared" si="353"/>
        <v>0</v>
      </c>
    </row>
    <row r="468" spans="1:16" ht="18" hidden="1" customHeight="1">
      <c r="A468" s="85"/>
      <c r="B468" s="93"/>
      <c r="C468" s="87"/>
      <c r="D468" s="325" t="s">
        <v>0</v>
      </c>
      <c r="E468" s="325"/>
      <c r="F468" s="94">
        <f>SUM(F464:F467)</f>
        <v>0</v>
      </c>
      <c r="G468" s="95">
        <f>SUM(G464:G467)</f>
        <v>0</v>
      </c>
      <c r="H468" s="96">
        <f>SUM(H464:H467)</f>
        <v>0</v>
      </c>
      <c r="I468" s="97"/>
      <c r="J468" s="162"/>
    </row>
    <row r="469" spans="1:16" ht="18" hidden="1" customHeight="1">
      <c r="A469" s="85"/>
      <c r="B469" s="93"/>
      <c r="C469" s="87"/>
      <c r="D469" s="161"/>
      <c r="E469" s="161"/>
      <c r="F469" s="89"/>
      <c r="G469" s="100"/>
      <c r="H469" s="101"/>
      <c r="I469" s="102"/>
      <c r="J469" s="121"/>
      <c r="L469" s="252"/>
      <c r="M469" s="252"/>
      <c r="N469" s="252"/>
      <c r="O469" s="252"/>
    </row>
    <row r="470" spans="1:16" ht="18" hidden="1" customHeight="1">
      <c r="A470" s="85"/>
      <c r="B470" s="23" t="s">
        <v>198</v>
      </c>
      <c r="C470" s="24">
        <v>22</v>
      </c>
      <c r="D470" s="88">
        <v>861</v>
      </c>
      <c r="E470" s="88">
        <v>1810</v>
      </c>
      <c r="F470" s="89">
        <f t="shared" ref="F470:F474" si="356">O470</f>
        <v>0</v>
      </c>
      <c r="G470" s="90">
        <f t="shared" ref="G470:G474" si="357">D470*E470/91809*F470</f>
        <v>0</v>
      </c>
      <c r="H470" s="90">
        <f t="shared" ref="H470:H474" si="358">(D470/1000)*4*F470+(E470/1000)*4*F470</f>
        <v>0</v>
      </c>
      <c r="I470" s="103" t="str">
        <f>I464</f>
        <v>10동4라인</v>
      </c>
      <c r="J470" s="92" t="s">
        <v>212</v>
      </c>
      <c r="L470" s="89">
        <v>1</v>
      </c>
      <c r="M470" s="306">
        <f>M464</f>
        <v>0</v>
      </c>
      <c r="N470" s="84"/>
      <c r="O470" s="306">
        <f>L470*M470-N470*L470</f>
        <v>0</v>
      </c>
    </row>
    <row r="471" spans="1:16" ht="18" hidden="1" customHeight="1">
      <c r="A471" s="85"/>
      <c r="B471" s="86"/>
      <c r="C471" s="87"/>
      <c r="D471" s="88">
        <v>2114</v>
      </c>
      <c r="E471" s="88">
        <v>1810</v>
      </c>
      <c r="F471" s="89">
        <f t="shared" si="356"/>
        <v>0</v>
      </c>
      <c r="G471" s="90">
        <f t="shared" si="357"/>
        <v>0</v>
      </c>
      <c r="H471" s="90">
        <f t="shared" si="358"/>
        <v>0</v>
      </c>
      <c r="I471" s="91" t="str">
        <f>I464</f>
        <v>10동4라인</v>
      </c>
      <c r="J471" s="92" t="s">
        <v>213</v>
      </c>
      <c r="L471" s="89">
        <v>1</v>
      </c>
      <c r="M471" s="306">
        <f>M470</f>
        <v>0</v>
      </c>
      <c r="N471" s="84"/>
      <c r="O471" s="306">
        <f>L471*M471-N471*L471</f>
        <v>0</v>
      </c>
    </row>
    <row r="472" spans="1:16" ht="18" hidden="1" customHeight="1">
      <c r="A472" s="104"/>
      <c r="B472" s="93"/>
      <c r="C472" s="87"/>
      <c r="D472" s="88">
        <v>738</v>
      </c>
      <c r="E472" s="88">
        <v>1310</v>
      </c>
      <c r="F472" s="89">
        <f t="shared" si="356"/>
        <v>0</v>
      </c>
      <c r="G472" s="90">
        <f t="shared" si="357"/>
        <v>0</v>
      </c>
      <c r="H472" s="90">
        <f t="shared" si="358"/>
        <v>0</v>
      </c>
      <c r="I472" s="91" t="str">
        <f>I471</f>
        <v>10동4라인</v>
      </c>
      <c r="J472" s="92" t="s">
        <v>214</v>
      </c>
      <c r="L472" s="89">
        <v>4</v>
      </c>
      <c r="M472" s="306">
        <f t="shared" ref="M472:M474" si="359">M471</f>
        <v>0</v>
      </c>
      <c r="N472" s="84"/>
      <c r="O472" s="306">
        <f t="shared" ref="O472:O474" si="360">L472*M472-N472*L472</f>
        <v>0</v>
      </c>
    </row>
    <row r="473" spans="1:16" ht="18" hidden="1" customHeight="1">
      <c r="A473" s="104"/>
      <c r="B473" s="93"/>
      <c r="C473" s="87"/>
      <c r="D473" s="88">
        <v>228</v>
      </c>
      <c r="E473" s="88">
        <v>910</v>
      </c>
      <c r="F473" s="89">
        <f t="shared" si="356"/>
        <v>0</v>
      </c>
      <c r="G473" s="90">
        <f t="shared" si="357"/>
        <v>0</v>
      </c>
      <c r="H473" s="90">
        <f t="shared" si="358"/>
        <v>0</v>
      </c>
      <c r="I473" s="91" t="str">
        <f t="shared" ref="I473:I474" si="361">I472</f>
        <v>10동4라인</v>
      </c>
      <c r="J473" s="92" t="s">
        <v>216</v>
      </c>
      <c r="L473" s="89">
        <v>2</v>
      </c>
      <c r="M473" s="306">
        <f t="shared" si="359"/>
        <v>0</v>
      </c>
      <c r="N473" s="306"/>
      <c r="O473" s="306">
        <f t="shared" si="360"/>
        <v>0</v>
      </c>
    </row>
    <row r="474" spans="1:16" ht="18" hidden="1" customHeight="1">
      <c r="A474" s="104"/>
      <c r="B474" s="93"/>
      <c r="C474" s="87"/>
      <c r="D474" s="88">
        <v>438</v>
      </c>
      <c r="E474" s="88">
        <v>270</v>
      </c>
      <c r="F474" s="89">
        <f t="shared" si="356"/>
        <v>0</v>
      </c>
      <c r="G474" s="90">
        <f t="shared" si="357"/>
        <v>0</v>
      </c>
      <c r="H474" s="90">
        <f t="shared" si="358"/>
        <v>0</v>
      </c>
      <c r="I474" s="91" t="str">
        <f t="shared" si="361"/>
        <v>10동4라인</v>
      </c>
      <c r="J474" s="92" t="s">
        <v>217</v>
      </c>
      <c r="L474" s="89">
        <v>2</v>
      </c>
      <c r="M474" s="306">
        <f t="shared" si="359"/>
        <v>0</v>
      </c>
      <c r="N474" s="306"/>
      <c r="O474" s="306">
        <f t="shared" si="360"/>
        <v>0</v>
      </c>
    </row>
    <row r="475" spans="1:16" ht="18" hidden="1" customHeight="1">
      <c r="A475" s="104"/>
      <c r="B475" s="87"/>
      <c r="C475" s="87"/>
      <c r="D475" s="325" t="s">
        <v>0</v>
      </c>
      <c r="E475" s="325"/>
      <c r="F475" s="171">
        <f>SUM(F470:F474)</f>
        <v>0</v>
      </c>
      <c r="G475" s="95">
        <f>SUM(G470:G474)</f>
        <v>0</v>
      </c>
      <c r="H475" s="95">
        <f>SUM(H470:H474)</f>
        <v>0</v>
      </c>
      <c r="I475" s="97"/>
      <c r="J475" s="98"/>
    </row>
    <row r="476" spans="1:16" hidden="1">
      <c r="A476" s="105"/>
      <c r="B476" s="9"/>
      <c r="C476" s="9"/>
      <c r="D476" s="51"/>
      <c r="E476" s="51"/>
      <c r="F476" s="51"/>
      <c r="G476" s="106"/>
      <c r="H476" s="106"/>
      <c r="I476" s="9"/>
      <c r="J476" s="107"/>
    </row>
    <row r="477" spans="1:16" ht="18" hidden="1" customHeight="1">
      <c r="A477" s="85"/>
      <c r="B477" s="23" t="s">
        <v>237</v>
      </c>
      <c r="C477" s="24">
        <v>22</v>
      </c>
      <c r="D477" s="88">
        <v>2114</v>
      </c>
      <c r="E477" s="88">
        <v>1810</v>
      </c>
      <c r="F477" s="89">
        <f t="shared" ref="F477" si="362">O477</f>
        <v>0</v>
      </c>
      <c r="G477" s="90">
        <f t="shared" ref="G477" si="363">D477*E477/91809*F477</f>
        <v>0</v>
      </c>
      <c r="H477" s="90">
        <f t="shared" ref="H477" si="364">(D477/1000)*4*F477+(E477/1000)*4*F477</f>
        <v>0</v>
      </c>
      <c r="I477" s="91" t="str">
        <f>I470</f>
        <v>10동4라인</v>
      </c>
      <c r="J477" s="92" t="s">
        <v>206</v>
      </c>
      <c r="L477" s="89">
        <v>1</v>
      </c>
      <c r="M477" s="306">
        <f>M464</f>
        <v>0</v>
      </c>
      <c r="N477" s="84"/>
      <c r="O477" s="306">
        <f>L477*M477-N477*L477</f>
        <v>0</v>
      </c>
    </row>
    <row r="478" spans="1:16" ht="18" hidden="1" customHeight="1">
      <c r="A478" s="85"/>
      <c r="B478" s="93"/>
      <c r="C478" s="87"/>
      <c r="D478" s="325" t="s">
        <v>0</v>
      </c>
      <c r="E478" s="325"/>
      <c r="F478" s="94">
        <f>SUM(F477:F477)</f>
        <v>0</v>
      </c>
      <c r="G478" s="95">
        <f>SUM(G477:G477)</f>
        <v>0</v>
      </c>
      <c r="H478" s="95">
        <f>SUM(H477:H477)</f>
        <v>0</v>
      </c>
      <c r="I478" s="97"/>
      <c r="J478" s="98"/>
    </row>
    <row r="479" spans="1:16" ht="18" hidden="1" customHeight="1">
      <c r="A479" s="218"/>
      <c r="B479" s="219"/>
      <c r="C479" s="220"/>
      <c r="D479" s="161"/>
      <c r="E479" s="161"/>
      <c r="F479" s="89"/>
      <c r="G479" s="100"/>
      <c r="H479" s="100"/>
      <c r="I479" s="102"/>
      <c r="J479" s="221"/>
    </row>
    <row r="480" spans="1:16" ht="18" hidden="1" customHeight="1">
      <c r="A480" s="85"/>
      <c r="B480" s="23" t="s">
        <v>200</v>
      </c>
      <c r="C480" s="24">
        <v>22</v>
      </c>
      <c r="D480" s="88">
        <v>738</v>
      </c>
      <c r="E480" s="88">
        <v>1810</v>
      </c>
      <c r="F480" s="89">
        <f t="shared" ref="F480:F481" si="365">O480</f>
        <v>0</v>
      </c>
      <c r="G480" s="90">
        <f t="shared" ref="G480:G481" si="366">D480*E480/91809*F480</f>
        <v>0</v>
      </c>
      <c r="H480" s="90">
        <f t="shared" ref="H480:H481" si="367">(D480/1000)*4*F480+(E480/1000)*4*F480</f>
        <v>0</v>
      </c>
      <c r="I480" s="91" t="str">
        <f>I477</f>
        <v>10동4라인</v>
      </c>
      <c r="J480" s="92" t="s">
        <v>219</v>
      </c>
      <c r="L480" s="89">
        <v>2</v>
      </c>
      <c r="M480" s="306">
        <f>M477</f>
        <v>0</v>
      </c>
      <c r="N480" s="84"/>
      <c r="O480" s="306">
        <f>L480*M480-N480*L480</f>
        <v>0</v>
      </c>
      <c r="P480" s="64" t="s">
        <v>284</v>
      </c>
    </row>
    <row r="481" spans="1:16" ht="18" hidden="1" customHeight="1">
      <c r="A481" s="85"/>
      <c r="B481" s="86"/>
      <c r="C481" s="87"/>
      <c r="D481" s="88">
        <v>250</v>
      </c>
      <c r="E481" s="88">
        <v>930</v>
      </c>
      <c r="F481" s="89">
        <f t="shared" si="365"/>
        <v>0</v>
      </c>
      <c r="G481" s="90">
        <f t="shared" si="366"/>
        <v>0</v>
      </c>
      <c r="H481" s="90">
        <f t="shared" si="367"/>
        <v>0</v>
      </c>
      <c r="I481" s="91" t="str">
        <f>I480</f>
        <v>10동4라인</v>
      </c>
      <c r="J481" s="92" t="s">
        <v>220</v>
      </c>
      <c r="L481" s="89">
        <v>2</v>
      </c>
      <c r="M481" s="306">
        <f>M480</f>
        <v>0</v>
      </c>
      <c r="N481" s="84"/>
      <c r="O481" s="306">
        <f t="shared" ref="O481" si="368">L481*M481-N481*L481</f>
        <v>0</v>
      </c>
    </row>
    <row r="482" spans="1:16" ht="18" hidden="1" customHeight="1">
      <c r="A482" s="85"/>
      <c r="B482" s="93"/>
      <c r="C482" s="87"/>
      <c r="D482" s="325" t="s">
        <v>0</v>
      </c>
      <c r="E482" s="325"/>
      <c r="F482" s="94">
        <f>SUM(F480:F481)</f>
        <v>0</v>
      </c>
      <c r="G482" s="95">
        <f>SUM(G480:G481)</f>
        <v>0</v>
      </c>
      <c r="H482" s="96">
        <f>SUM(H480:H481)</f>
        <v>0</v>
      </c>
      <c r="I482" s="97"/>
      <c r="J482" s="162"/>
    </row>
    <row r="483" spans="1:16" hidden="1">
      <c r="A483" s="236"/>
      <c r="B483" s="237"/>
      <c r="C483" s="238"/>
      <c r="D483" s="362"/>
      <c r="E483" s="362"/>
      <c r="F483" s="239"/>
      <c r="G483" s="240"/>
      <c r="H483" s="241"/>
      <c r="I483" s="242"/>
      <c r="J483" s="243"/>
    </row>
    <row r="484" spans="1:16" ht="18" hidden="1" customHeight="1">
      <c r="A484" s="262" t="s">
        <v>234</v>
      </c>
      <c r="B484" s="263" t="s">
        <v>195</v>
      </c>
      <c r="C484" s="264">
        <v>22</v>
      </c>
      <c r="D484" s="265">
        <v>761</v>
      </c>
      <c r="E484" s="265">
        <v>1810</v>
      </c>
      <c r="F484" s="251">
        <f>O484</f>
        <v>0</v>
      </c>
      <c r="G484" s="266">
        <f t="shared" ref="G484:G490" si="369">D484*E484/91809*F484</f>
        <v>0</v>
      </c>
      <c r="H484" s="266">
        <f t="shared" ref="H484:H490" si="370">(D484/1000)*4*F484+(E484/1000)*4*F484</f>
        <v>0</v>
      </c>
      <c r="I484" s="267" t="s">
        <v>265</v>
      </c>
      <c r="J484" s="268" t="s">
        <v>205</v>
      </c>
      <c r="L484" s="89">
        <v>2</v>
      </c>
      <c r="M484" s="306">
        <v>0</v>
      </c>
      <c r="N484" s="84"/>
      <c r="O484" s="306">
        <f>L484*M484-N484*L484</f>
        <v>0</v>
      </c>
      <c r="P484" s="64"/>
    </row>
    <row r="485" spans="1:16" ht="18" hidden="1" customHeight="1">
      <c r="A485" s="85"/>
      <c r="B485" s="86"/>
      <c r="C485" s="87"/>
      <c r="D485" s="88">
        <v>1688</v>
      </c>
      <c r="E485" s="88">
        <v>1810</v>
      </c>
      <c r="F485" s="89">
        <f t="shared" ref="F485:F490" si="371">O485</f>
        <v>0</v>
      </c>
      <c r="G485" s="90">
        <f t="shared" si="369"/>
        <v>0</v>
      </c>
      <c r="H485" s="90">
        <f t="shared" si="370"/>
        <v>0</v>
      </c>
      <c r="I485" s="91" t="str">
        <f>I484</f>
        <v>10동5,6라인</v>
      </c>
      <c r="J485" s="92" t="s">
        <v>206</v>
      </c>
      <c r="L485" s="89">
        <v>1</v>
      </c>
      <c r="M485" s="306">
        <f>M484</f>
        <v>0</v>
      </c>
      <c r="N485" s="84"/>
      <c r="O485" s="306">
        <f t="shared" ref="O485:O490" si="372">L485*M485-N485*L485</f>
        <v>0</v>
      </c>
    </row>
    <row r="486" spans="1:16" ht="18" hidden="1" customHeight="1">
      <c r="A486" s="85"/>
      <c r="B486" s="86"/>
      <c r="C486" s="87"/>
      <c r="D486" s="88">
        <v>738</v>
      </c>
      <c r="E486" s="88">
        <v>1310</v>
      </c>
      <c r="F486" s="89">
        <f t="shared" si="371"/>
        <v>0</v>
      </c>
      <c r="G486" s="90">
        <f t="shared" si="369"/>
        <v>0</v>
      </c>
      <c r="H486" s="90">
        <f t="shared" si="370"/>
        <v>0</v>
      </c>
      <c r="I486" s="91" t="str">
        <f t="shared" ref="I486:I490" si="373">I485</f>
        <v>10동5,6라인</v>
      </c>
      <c r="J486" s="92" t="s">
        <v>207</v>
      </c>
      <c r="L486" s="89">
        <v>4</v>
      </c>
      <c r="M486" s="306">
        <f t="shared" ref="M486:M489" si="374">M485</f>
        <v>0</v>
      </c>
      <c r="N486" s="306"/>
      <c r="O486" s="306">
        <f t="shared" si="372"/>
        <v>0</v>
      </c>
    </row>
    <row r="487" spans="1:16" ht="18" hidden="1" customHeight="1">
      <c r="A487" s="85"/>
      <c r="B487" s="86"/>
      <c r="C487" s="87"/>
      <c r="D487" s="88">
        <v>288</v>
      </c>
      <c r="E487" s="88">
        <v>910</v>
      </c>
      <c r="F487" s="89">
        <f t="shared" si="371"/>
        <v>0</v>
      </c>
      <c r="G487" s="90">
        <f t="shared" si="369"/>
        <v>0</v>
      </c>
      <c r="H487" s="90">
        <f t="shared" si="370"/>
        <v>0</v>
      </c>
      <c r="I487" s="91" t="str">
        <f t="shared" si="373"/>
        <v>10동5,6라인</v>
      </c>
      <c r="J487" s="92" t="s">
        <v>208</v>
      </c>
      <c r="L487" s="89">
        <v>2</v>
      </c>
      <c r="M487" s="306">
        <f t="shared" si="374"/>
        <v>0</v>
      </c>
      <c r="N487" s="306"/>
      <c r="O487" s="306">
        <f t="shared" si="372"/>
        <v>0</v>
      </c>
    </row>
    <row r="488" spans="1:16" ht="18" hidden="1" customHeight="1">
      <c r="A488" s="85"/>
      <c r="B488" s="86"/>
      <c r="C488" s="87"/>
      <c r="D488" s="88">
        <v>228</v>
      </c>
      <c r="E488" s="88">
        <v>910</v>
      </c>
      <c r="F488" s="89">
        <f t="shared" si="371"/>
        <v>0</v>
      </c>
      <c r="G488" s="90">
        <f t="shared" si="369"/>
        <v>0</v>
      </c>
      <c r="H488" s="90">
        <f t="shared" si="370"/>
        <v>0</v>
      </c>
      <c r="I488" s="91" t="str">
        <f t="shared" si="373"/>
        <v>10동5,6라인</v>
      </c>
      <c r="J488" s="92" t="s">
        <v>209</v>
      </c>
      <c r="L488" s="89">
        <v>2</v>
      </c>
      <c r="M488" s="306">
        <f t="shared" si="374"/>
        <v>0</v>
      </c>
      <c r="N488" s="306"/>
      <c r="O488" s="306">
        <f t="shared" si="372"/>
        <v>0</v>
      </c>
    </row>
    <row r="489" spans="1:16" ht="18" hidden="1" customHeight="1">
      <c r="A489" s="85"/>
      <c r="B489" s="86"/>
      <c r="C489" s="87"/>
      <c r="D489" s="88">
        <v>438</v>
      </c>
      <c r="E489" s="88">
        <v>270</v>
      </c>
      <c r="F489" s="89">
        <f t="shared" si="371"/>
        <v>0</v>
      </c>
      <c r="G489" s="90">
        <f t="shared" si="369"/>
        <v>0</v>
      </c>
      <c r="H489" s="90">
        <f t="shared" si="370"/>
        <v>0</v>
      </c>
      <c r="I489" s="91" t="str">
        <f t="shared" si="373"/>
        <v>10동5,6라인</v>
      </c>
      <c r="J489" s="92" t="s">
        <v>210</v>
      </c>
      <c r="L489" s="89">
        <v>2</v>
      </c>
      <c r="M489" s="306">
        <f t="shared" si="374"/>
        <v>0</v>
      </c>
      <c r="N489" s="306"/>
      <c r="O489" s="306">
        <f t="shared" si="372"/>
        <v>0</v>
      </c>
    </row>
    <row r="490" spans="1:16" ht="18" hidden="1" customHeight="1">
      <c r="A490" s="85"/>
      <c r="B490" s="86"/>
      <c r="C490" s="87"/>
      <c r="D490" s="88">
        <v>208</v>
      </c>
      <c r="E490" s="88">
        <v>910</v>
      </c>
      <c r="F490" s="89">
        <f t="shared" si="371"/>
        <v>0</v>
      </c>
      <c r="G490" s="90">
        <f t="shared" si="369"/>
        <v>0</v>
      </c>
      <c r="H490" s="90">
        <f t="shared" si="370"/>
        <v>0</v>
      </c>
      <c r="I490" s="91" t="str">
        <f t="shared" si="373"/>
        <v>10동5,6라인</v>
      </c>
      <c r="J490" s="92" t="s">
        <v>211</v>
      </c>
      <c r="L490" s="89">
        <v>2</v>
      </c>
      <c r="M490" s="306">
        <f>M489</f>
        <v>0</v>
      </c>
      <c r="N490" s="306"/>
      <c r="O490" s="306">
        <f t="shared" si="372"/>
        <v>0</v>
      </c>
    </row>
    <row r="491" spans="1:16" ht="18" hidden="1" customHeight="1">
      <c r="A491" s="85"/>
      <c r="B491" s="93"/>
      <c r="C491" s="87"/>
      <c r="D491" s="325" t="s">
        <v>0</v>
      </c>
      <c r="E491" s="325"/>
      <c r="F491" s="94">
        <f>SUM(F484:F490)</f>
        <v>0</v>
      </c>
      <c r="G491" s="95">
        <f>SUM(G484:G490)</f>
        <v>0</v>
      </c>
      <c r="H491" s="96">
        <f>SUM(H484:H490)</f>
        <v>0</v>
      </c>
      <c r="I491" s="97"/>
      <c r="J491" s="162"/>
    </row>
    <row r="492" spans="1:16" ht="18" hidden="1" customHeight="1">
      <c r="A492" s="85"/>
      <c r="B492" s="93"/>
      <c r="C492" s="87"/>
      <c r="D492" s="161"/>
      <c r="E492" s="161"/>
      <c r="F492" s="89"/>
      <c r="G492" s="100"/>
      <c r="H492" s="101"/>
      <c r="I492" s="102"/>
      <c r="J492" s="121"/>
      <c r="L492" s="306" t="s">
        <v>48</v>
      </c>
      <c r="M492" s="306" t="s">
        <v>54</v>
      </c>
      <c r="N492" s="306" t="s">
        <v>50</v>
      </c>
      <c r="O492" s="306" t="s">
        <v>55</v>
      </c>
    </row>
    <row r="493" spans="1:16" ht="18" hidden="1" customHeight="1">
      <c r="A493" s="85"/>
      <c r="B493" s="23" t="s">
        <v>197</v>
      </c>
      <c r="C493" s="24">
        <v>22</v>
      </c>
      <c r="D493" s="88">
        <v>761</v>
      </c>
      <c r="E493" s="88">
        <v>1810</v>
      </c>
      <c r="F493" s="89">
        <f t="shared" ref="F493:F499" si="375">O493</f>
        <v>0</v>
      </c>
      <c r="G493" s="90">
        <f t="shared" ref="G493:G499" si="376">D493*E493/91809*F493</f>
        <v>0</v>
      </c>
      <c r="H493" s="90">
        <f t="shared" ref="H493:H499" si="377">(D493/1000)*4*F493+(E493/1000)*4*F493</f>
        <v>0</v>
      </c>
      <c r="I493" s="91" t="str">
        <f t="shared" ref="I493:I499" si="378">I484</f>
        <v>10동5,6라인</v>
      </c>
      <c r="J493" s="92" t="s">
        <v>212</v>
      </c>
      <c r="L493" s="89">
        <v>2</v>
      </c>
      <c r="M493" s="306">
        <f>M484</f>
        <v>0</v>
      </c>
      <c r="N493" s="84"/>
      <c r="O493" s="306">
        <f>L493*M493-N493*L493</f>
        <v>0</v>
      </c>
    </row>
    <row r="494" spans="1:16" ht="18" hidden="1" customHeight="1">
      <c r="A494" s="85"/>
      <c r="B494" s="86"/>
      <c r="C494" s="87"/>
      <c r="D494" s="88">
        <v>1688</v>
      </c>
      <c r="E494" s="88">
        <v>1810</v>
      </c>
      <c r="F494" s="89">
        <f t="shared" si="375"/>
        <v>0</v>
      </c>
      <c r="G494" s="90">
        <f t="shared" si="376"/>
        <v>0</v>
      </c>
      <c r="H494" s="90">
        <f t="shared" si="377"/>
        <v>0</v>
      </c>
      <c r="I494" s="91" t="str">
        <f t="shared" si="378"/>
        <v>10동5,6라인</v>
      </c>
      <c r="J494" s="92" t="s">
        <v>213</v>
      </c>
      <c r="L494" s="89">
        <v>1</v>
      </c>
      <c r="M494" s="306">
        <f>M493</f>
        <v>0</v>
      </c>
      <c r="N494" s="84"/>
      <c r="O494" s="306">
        <f>L494*M494-N494*L494</f>
        <v>0</v>
      </c>
    </row>
    <row r="495" spans="1:16" ht="18" hidden="1" customHeight="1">
      <c r="A495" s="104"/>
      <c r="B495" s="93"/>
      <c r="C495" s="87"/>
      <c r="D495" s="88">
        <v>738</v>
      </c>
      <c r="E495" s="88">
        <v>1310</v>
      </c>
      <c r="F495" s="89">
        <f t="shared" si="375"/>
        <v>0</v>
      </c>
      <c r="G495" s="90">
        <f t="shared" si="376"/>
        <v>0</v>
      </c>
      <c r="H495" s="90">
        <f t="shared" si="377"/>
        <v>0</v>
      </c>
      <c r="I495" s="91" t="str">
        <f t="shared" si="378"/>
        <v>10동5,6라인</v>
      </c>
      <c r="J495" s="92" t="s">
        <v>214</v>
      </c>
      <c r="L495" s="89">
        <v>4</v>
      </c>
      <c r="M495" s="306">
        <f t="shared" ref="M495:M499" si="379">M494</f>
        <v>0</v>
      </c>
      <c r="N495" s="84"/>
      <c r="O495" s="306">
        <f t="shared" ref="O495:O499" si="380">L495*M495-N495*L495</f>
        <v>0</v>
      </c>
    </row>
    <row r="496" spans="1:16" ht="18" hidden="1" customHeight="1">
      <c r="A496" s="104"/>
      <c r="B496" s="93"/>
      <c r="C496" s="87"/>
      <c r="D496" s="88">
        <v>288</v>
      </c>
      <c r="E496" s="88">
        <v>910</v>
      </c>
      <c r="F496" s="89">
        <f t="shared" si="375"/>
        <v>0</v>
      </c>
      <c r="G496" s="90">
        <f t="shared" si="376"/>
        <v>0</v>
      </c>
      <c r="H496" s="90">
        <f t="shared" si="377"/>
        <v>0</v>
      </c>
      <c r="I496" s="91" t="str">
        <f t="shared" si="378"/>
        <v>10동5,6라인</v>
      </c>
      <c r="J496" s="92" t="s">
        <v>215</v>
      </c>
      <c r="L496" s="89">
        <v>2</v>
      </c>
      <c r="M496" s="306">
        <f t="shared" si="379"/>
        <v>0</v>
      </c>
      <c r="N496" s="306"/>
      <c r="O496" s="306">
        <f t="shared" si="380"/>
        <v>0</v>
      </c>
    </row>
    <row r="497" spans="1:16" ht="18" hidden="1" customHeight="1">
      <c r="A497" s="104"/>
      <c r="B497" s="93"/>
      <c r="C497" s="87"/>
      <c r="D497" s="88">
        <v>228</v>
      </c>
      <c r="E497" s="88">
        <v>910</v>
      </c>
      <c r="F497" s="89">
        <f t="shared" si="375"/>
        <v>0</v>
      </c>
      <c r="G497" s="90">
        <f t="shared" si="376"/>
        <v>0</v>
      </c>
      <c r="H497" s="90">
        <f t="shared" si="377"/>
        <v>0</v>
      </c>
      <c r="I497" s="91" t="str">
        <f t="shared" si="378"/>
        <v>10동5,6라인</v>
      </c>
      <c r="J497" s="92" t="s">
        <v>216</v>
      </c>
      <c r="L497" s="89">
        <v>2</v>
      </c>
      <c r="M497" s="306">
        <f t="shared" si="379"/>
        <v>0</v>
      </c>
      <c r="N497" s="306"/>
      <c r="O497" s="306">
        <f t="shared" si="380"/>
        <v>0</v>
      </c>
    </row>
    <row r="498" spans="1:16" ht="18" hidden="1" customHeight="1">
      <c r="A498" s="104"/>
      <c r="B498" s="93"/>
      <c r="C498" s="87"/>
      <c r="D498" s="88">
        <v>438</v>
      </c>
      <c r="E498" s="88">
        <v>270</v>
      </c>
      <c r="F498" s="89">
        <f t="shared" si="375"/>
        <v>0</v>
      </c>
      <c r="G498" s="90">
        <f t="shared" si="376"/>
        <v>0</v>
      </c>
      <c r="H498" s="90">
        <f t="shared" si="377"/>
        <v>0</v>
      </c>
      <c r="I498" s="91" t="str">
        <f t="shared" si="378"/>
        <v>10동5,6라인</v>
      </c>
      <c r="J498" s="92" t="s">
        <v>217</v>
      </c>
      <c r="L498" s="89">
        <v>2</v>
      </c>
      <c r="M498" s="306">
        <f t="shared" si="379"/>
        <v>0</v>
      </c>
      <c r="N498" s="306"/>
      <c r="O498" s="306">
        <f t="shared" si="380"/>
        <v>0</v>
      </c>
    </row>
    <row r="499" spans="1:16" ht="18" hidden="1" customHeight="1">
      <c r="A499" s="104"/>
      <c r="B499" s="93"/>
      <c r="C499" s="87"/>
      <c r="D499" s="88">
        <v>208</v>
      </c>
      <c r="E499" s="88">
        <v>910</v>
      </c>
      <c r="F499" s="89">
        <f t="shared" si="375"/>
        <v>0</v>
      </c>
      <c r="G499" s="90">
        <f t="shared" si="376"/>
        <v>0</v>
      </c>
      <c r="H499" s="90">
        <f t="shared" si="377"/>
        <v>0</v>
      </c>
      <c r="I499" s="91" t="str">
        <f t="shared" si="378"/>
        <v>10동5,6라인</v>
      </c>
      <c r="J499" s="92" t="s">
        <v>218</v>
      </c>
      <c r="L499" s="89">
        <v>2</v>
      </c>
      <c r="M499" s="306">
        <f t="shared" si="379"/>
        <v>0</v>
      </c>
      <c r="N499" s="306"/>
      <c r="O499" s="306">
        <f t="shared" si="380"/>
        <v>0</v>
      </c>
    </row>
    <row r="500" spans="1:16" ht="18" hidden="1" customHeight="1">
      <c r="A500" s="104"/>
      <c r="B500" s="87"/>
      <c r="C500" s="87"/>
      <c r="D500" s="325" t="s">
        <v>0</v>
      </c>
      <c r="E500" s="325"/>
      <c r="F500" s="171">
        <f>SUM(F493:F499)</f>
        <v>0</v>
      </c>
      <c r="G500" s="95">
        <f>SUM(G493:G499)</f>
        <v>0</v>
      </c>
      <c r="H500" s="95">
        <f>SUM(H493:H499)</f>
        <v>0</v>
      </c>
      <c r="I500" s="97"/>
      <c r="J500" s="98"/>
    </row>
    <row r="501" spans="1:16" hidden="1">
      <c r="A501" s="105"/>
      <c r="B501" s="9"/>
      <c r="C501" s="9"/>
      <c r="D501" s="51"/>
      <c r="E501" s="51"/>
      <c r="F501" s="51"/>
      <c r="G501" s="106"/>
      <c r="H501" s="106"/>
      <c r="I501" s="9"/>
      <c r="J501" s="107"/>
    </row>
    <row r="502" spans="1:16" ht="18" hidden="1" customHeight="1">
      <c r="A502" s="85"/>
      <c r="B502" s="163" t="s">
        <v>199</v>
      </c>
      <c r="C502" s="163">
        <v>22</v>
      </c>
      <c r="D502" s="88">
        <v>738</v>
      </c>
      <c r="E502" s="88">
        <v>1810</v>
      </c>
      <c r="F502" s="89">
        <f t="shared" ref="F502:F503" si="381">O502</f>
        <v>0</v>
      </c>
      <c r="G502" s="90">
        <f t="shared" ref="G502:G503" si="382">D502*E502/91809*F502</f>
        <v>0</v>
      </c>
      <c r="H502" s="90">
        <f t="shared" ref="H502:H503" si="383">(D502/1000)*4*F502+(E502/1000)*4*F502</f>
        <v>0</v>
      </c>
      <c r="I502" s="91" t="str">
        <f>I493</f>
        <v>10동5,6라인</v>
      </c>
      <c r="J502" s="92" t="s">
        <v>219</v>
      </c>
      <c r="L502" s="89">
        <v>2</v>
      </c>
      <c r="M502" s="306">
        <f>M484</f>
        <v>0</v>
      </c>
      <c r="N502" s="84"/>
      <c r="O502" s="306">
        <f>L502*M502-N502*L502</f>
        <v>0</v>
      </c>
      <c r="P502" s="64"/>
    </row>
    <row r="503" spans="1:16" ht="18" hidden="1" customHeight="1">
      <c r="A503" s="85"/>
      <c r="B503" s="86"/>
      <c r="C503" s="87"/>
      <c r="D503" s="88">
        <v>250</v>
      </c>
      <c r="E503" s="88">
        <v>930</v>
      </c>
      <c r="F503" s="89">
        <f t="shared" si="381"/>
        <v>0</v>
      </c>
      <c r="G503" s="90">
        <f t="shared" si="382"/>
        <v>0</v>
      </c>
      <c r="H503" s="90">
        <f t="shared" si="383"/>
        <v>0</v>
      </c>
      <c r="I503" s="91" t="str">
        <f>I502</f>
        <v>10동5,6라인</v>
      </c>
      <c r="J503" s="92" t="s">
        <v>220</v>
      </c>
      <c r="L503" s="89">
        <v>2</v>
      </c>
      <c r="M503" s="306">
        <f>M502</f>
        <v>0</v>
      </c>
      <c r="N503" s="84"/>
      <c r="O503" s="306">
        <f t="shared" ref="O503" si="384">L503*M503-N503*L503</f>
        <v>0</v>
      </c>
    </row>
    <row r="504" spans="1:16" ht="18" hidden="1" customHeight="1">
      <c r="A504" s="85"/>
      <c r="B504" s="93"/>
      <c r="C504" s="87"/>
      <c r="D504" s="325" t="s">
        <v>0</v>
      </c>
      <c r="E504" s="325"/>
      <c r="F504" s="94">
        <f>SUM(F502:F503)</f>
        <v>0</v>
      </c>
      <c r="G504" s="95">
        <f>SUM(G502:G503)</f>
        <v>0</v>
      </c>
      <c r="H504" s="95">
        <f>SUM(H502:H503)</f>
        <v>0</v>
      </c>
      <c r="I504" s="97"/>
      <c r="J504" s="98"/>
    </row>
    <row r="505" spans="1:16" hidden="1">
      <c r="A505" s="166"/>
      <c r="B505" s="166"/>
      <c r="C505" s="166"/>
      <c r="D505" s="167"/>
      <c r="E505" s="167"/>
      <c r="F505" s="167"/>
      <c r="G505" s="168"/>
      <c r="H505" s="168"/>
      <c r="I505" s="166"/>
      <c r="J505" s="166"/>
    </row>
    <row r="506" spans="1:16" ht="18" hidden="1" customHeight="1">
      <c r="A506" s="85" t="s">
        <v>235</v>
      </c>
      <c r="B506" s="23" t="s">
        <v>196</v>
      </c>
      <c r="C506" s="24">
        <v>22</v>
      </c>
      <c r="D506" s="88">
        <v>861</v>
      </c>
      <c r="E506" s="88">
        <v>1810</v>
      </c>
      <c r="F506" s="89">
        <f t="shared" ref="F506:F509" si="385">O506</f>
        <v>0</v>
      </c>
      <c r="G506" s="90">
        <f t="shared" ref="G506:G509" si="386">D506*E506/91809*F506</f>
        <v>0</v>
      </c>
      <c r="H506" s="90">
        <f t="shared" ref="H506:H509" si="387">(D506/1000)*4*F506+(E506/1000)*4*F506</f>
        <v>0</v>
      </c>
      <c r="I506" s="91" t="s">
        <v>266</v>
      </c>
      <c r="J506" s="92" t="s">
        <v>205</v>
      </c>
      <c r="L506" s="89">
        <v>1</v>
      </c>
      <c r="M506" s="306">
        <v>0</v>
      </c>
      <c r="N506" s="84"/>
      <c r="O506" s="306">
        <f>L506*M506-N506*L506</f>
        <v>0</v>
      </c>
      <c r="P506" s="64"/>
    </row>
    <row r="507" spans="1:16" ht="18" hidden="1" customHeight="1">
      <c r="A507" s="85"/>
      <c r="B507" s="86"/>
      <c r="C507" s="87"/>
      <c r="D507" s="88">
        <v>738</v>
      </c>
      <c r="E507" s="88">
        <v>1310</v>
      </c>
      <c r="F507" s="89">
        <f t="shared" si="385"/>
        <v>0</v>
      </c>
      <c r="G507" s="90">
        <f t="shared" si="386"/>
        <v>0</v>
      </c>
      <c r="H507" s="90">
        <f t="shared" si="387"/>
        <v>0</v>
      </c>
      <c r="I507" s="91" t="str">
        <f>I506</f>
        <v>11동1라인</v>
      </c>
      <c r="J507" s="92" t="s">
        <v>207</v>
      </c>
      <c r="L507" s="89">
        <v>4</v>
      </c>
      <c r="M507" s="306">
        <f>M506</f>
        <v>0</v>
      </c>
      <c r="N507" s="84"/>
      <c r="O507" s="306">
        <f t="shared" ref="O507:O509" si="388">L507*M507-N507*L507</f>
        <v>0</v>
      </c>
    </row>
    <row r="508" spans="1:16" ht="18" hidden="1" customHeight="1">
      <c r="A508" s="85"/>
      <c r="B508" s="86"/>
      <c r="C508" s="87"/>
      <c r="D508" s="88">
        <v>228</v>
      </c>
      <c r="E508" s="88">
        <v>910</v>
      </c>
      <c r="F508" s="89">
        <f t="shared" si="385"/>
        <v>0</v>
      </c>
      <c r="G508" s="90">
        <f t="shared" si="386"/>
        <v>0</v>
      </c>
      <c r="H508" s="90">
        <f t="shared" si="387"/>
        <v>0</v>
      </c>
      <c r="I508" s="91" t="str">
        <f t="shared" ref="I508:I509" si="389">I507</f>
        <v>11동1라인</v>
      </c>
      <c r="J508" s="92" t="s">
        <v>209</v>
      </c>
      <c r="L508" s="89">
        <v>2</v>
      </c>
      <c r="M508" s="306">
        <f t="shared" ref="M508:M509" si="390">M507</f>
        <v>0</v>
      </c>
      <c r="N508" s="306"/>
      <c r="O508" s="306">
        <f t="shared" si="388"/>
        <v>0</v>
      </c>
    </row>
    <row r="509" spans="1:16" ht="18" hidden="1" customHeight="1">
      <c r="A509" s="85"/>
      <c r="B509" s="86"/>
      <c r="C509" s="87"/>
      <c r="D509" s="88">
        <v>438</v>
      </c>
      <c r="E509" s="88">
        <v>270</v>
      </c>
      <c r="F509" s="89">
        <f t="shared" si="385"/>
        <v>0</v>
      </c>
      <c r="G509" s="90">
        <f t="shared" si="386"/>
        <v>0</v>
      </c>
      <c r="H509" s="90">
        <f t="shared" si="387"/>
        <v>0</v>
      </c>
      <c r="I509" s="91" t="str">
        <f t="shared" si="389"/>
        <v>11동1라인</v>
      </c>
      <c r="J509" s="92" t="s">
        <v>210</v>
      </c>
      <c r="L509" s="89">
        <v>2</v>
      </c>
      <c r="M509" s="306">
        <f t="shared" si="390"/>
        <v>0</v>
      </c>
      <c r="N509" s="306"/>
      <c r="O509" s="306">
        <f t="shared" si="388"/>
        <v>0</v>
      </c>
    </row>
    <row r="510" spans="1:16" ht="18" hidden="1" customHeight="1">
      <c r="A510" s="85"/>
      <c r="B510" s="93"/>
      <c r="C510" s="87"/>
      <c r="D510" s="325" t="s">
        <v>0</v>
      </c>
      <c r="E510" s="325"/>
      <c r="F510" s="94">
        <f>SUM(F506:F509)</f>
        <v>0</v>
      </c>
      <c r="G510" s="95">
        <f>SUM(G506:G509)</f>
        <v>0</v>
      </c>
      <c r="H510" s="96">
        <f>SUM(H506:H509)</f>
        <v>0</v>
      </c>
      <c r="I510" s="97"/>
      <c r="J510" s="162"/>
    </row>
    <row r="511" spans="1:16" ht="18" hidden="1" customHeight="1">
      <c r="A511" s="85"/>
      <c r="B511" s="93"/>
      <c r="C511" s="87"/>
      <c r="D511" s="161"/>
      <c r="E511" s="161"/>
      <c r="F511" s="89"/>
      <c r="G511" s="100"/>
      <c r="H511" s="101"/>
      <c r="I511" s="102"/>
      <c r="J511" s="121"/>
      <c r="L511" s="252"/>
      <c r="M511" s="252"/>
      <c r="N511" s="252"/>
      <c r="O511" s="252"/>
    </row>
    <row r="512" spans="1:16" ht="18" hidden="1" customHeight="1">
      <c r="A512" s="85"/>
      <c r="B512" s="23" t="s">
        <v>198</v>
      </c>
      <c r="C512" s="24">
        <v>22</v>
      </c>
      <c r="D512" s="88">
        <v>861</v>
      </c>
      <c r="E512" s="88">
        <v>1810</v>
      </c>
      <c r="F512" s="89">
        <f t="shared" ref="F512:F516" si="391">O512</f>
        <v>0</v>
      </c>
      <c r="G512" s="90">
        <f t="shared" ref="G512:G516" si="392">D512*E512/91809*F512</f>
        <v>0</v>
      </c>
      <c r="H512" s="90">
        <f t="shared" ref="H512:H516" si="393">(D512/1000)*4*F512+(E512/1000)*4*F512</f>
        <v>0</v>
      </c>
      <c r="I512" s="103" t="str">
        <f>I506</f>
        <v>11동1라인</v>
      </c>
      <c r="J512" s="92" t="s">
        <v>212</v>
      </c>
      <c r="L512" s="89">
        <v>1</v>
      </c>
      <c r="M512" s="306">
        <f>M506</f>
        <v>0</v>
      </c>
      <c r="N512" s="84"/>
      <c r="O512" s="306">
        <f>L512*M512-N512*L512</f>
        <v>0</v>
      </c>
    </row>
    <row r="513" spans="1:16" ht="18" hidden="1" customHeight="1">
      <c r="A513" s="85"/>
      <c r="B513" s="86"/>
      <c r="C513" s="87"/>
      <c r="D513" s="88">
        <v>2114</v>
      </c>
      <c r="E513" s="88">
        <v>1810</v>
      </c>
      <c r="F513" s="89">
        <f t="shared" si="391"/>
        <v>0</v>
      </c>
      <c r="G513" s="90">
        <f t="shared" si="392"/>
        <v>0</v>
      </c>
      <c r="H513" s="90">
        <f t="shared" si="393"/>
        <v>0</v>
      </c>
      <c r="I513" s="91" t="str">
        <f>I506</f>
        <v>11동1라인</v>
      </c>
      <c r="J513" s="92" t="s">
        <v>213</v>
      </c>
      <c r="L513" s="89">
        <v>1</v>
      </c>
      <c r="M513" s="306">
        <f>M512</f>
        <v>0</v>
      </c>
      <c r="N513" s="84"/>
      <c r="O513" s="306">
        <f>L513*M513-N513*L513</f>
        <v>0</v>
      </c>
    </row>
    <row r="514" spans="1:16" ht="18" hidden="1" customHeight="1">
      <c r="A514" s="104"/>
      <c r="B514" s="93"/>
      <c r="C514" s="87"/>
      <c r="D514" s="88">
        <v>738</v>
      </c>
      <c r="E514" s="88">
        <v>1310</v>
      </c>
      <c r="F514" s="89">
        <f t="shared" si="391"/>
        <v>0</v>
      </c>
      <c r="G514" s="90">
        <f t="shared" si="392"/>
        <v>0</v>
      </c>
      <c r="H514" s="90">
        <f t="shared" si="393"/>
        <v>0</v>
      </c>
      <c r="I514" s="91" t="str">
        <f>I513</f>
        <v>11동1라인</v>
      </c>
      <c r="J514" s="92" t="s">
        <v>214</v>
      </c>
      <c r="L514" s="89">
        <v>4</v>
      </c>
      <c r="M514" s="306">
        <f t="shared" ref="M514:M516" si="394">M513</f>
        <v>0</v>
      </c>
      <c r="N514" s="84"/>
      <c r="O514" s="306">
        <f t="shared" ref="O514:O516" si="395">L514*M514-N514*L514</f>
        <v>0</v>
      </c>
    </row>
    <row r="515" spans="1:16" ht="18" hidden="1" customHeight="1">
      <c r="A515" s="104"/>
      <c r="B515" s="93"/>
      <c r="C515" s="87"/>
      <c r="D515" s="88">
        <v>228</v>
      </c>
      <c r="E515" s="88">
        <v>910</v>
      </c>
      <c r="F515" s="89">
        <f t="shared" si="391"/>
        <v>0</v>
      </c>
      <c r="G515" s="90">
        <f t="shared" si="392"/>
        <v>0</v>
      </c>
      <c r="H515" s="90">
        <f t="shared" si="393"/>
        <v>0</v>
      </c>
      <c r="I515" s="91" t="str">
        <f t="shared" ref="I515:I516" si="396">I514</f>
        <v>11동1라인</v>
      </c>
      <c r="J515" s="92" t="s">
        <v>216</v>
      </c>
      <c r="L515" s="89">
        <v>2</v>
      </c>
      <c r="M515" s="306">
        <f t="shared" si="394"/>
        <v>0</v>
      </c>
      <c r="N515" s="306"/>
      <c r="O515" s="306">
        <f t="shared" si="395"/>
        <v>0</v>
      </c>
    </row>
    <row r="516" spans="1:16" ht="18" hidden="1" customHeight="1">
      <c r="A516" s="104"/>
      <c r="B516" s="93"/>
      <c r="C516" s="87"/>
      <c r="D516" s="88">
        <v>438</v>
      </c>
      <c r="E516" s="88">
        <v>270</v>
      </c>
      <c r="F516" s="89">
        <f t="shared" si="391"/>
        <v>0</v>
      </c>
      <c r="G516" s="90">
        <f t="shared" si="392"/>
        <v>0</v>
      </c>
      <c r="H516" s="90">
        <f t="shared" si="393"/>
        <v>0</v>
      </c>
      <c r="I516" s="91" t="str">
        <f t="shared" si="396"/>
        <v>11동1라인</v>
      </c>
      <c r="J516" s="92" t="s">
        <v>217</v>
      </c>
      <c r="L516" s="89">
        <v>2</v>
      </c>
      <c r="M516" s="306">
        <f t="shared" si="394"/>
        <v>0</v>
      </c>
      <c r="N516" s="306"/>
      <c r="O516" s="306">
        <f t="shared" si="395"/>
        <v>0</v>
      </c>
    </row>
    <row r="517" spans="1:16" ht="18" hidden="1" customHeight="1">
      <c r="A517" s="104"/>
      <c r="B517" s="87"/>
      <c r="C517" s="87"/>
      <c r="D517" s="325" t="s">
        <v>0</v>
      </c>
      <c r="E517" s="325"/>
      <c r="F517" s="171">
        <f>SUM(F512:F516)</f>
        <v>0</v>
      </c>
      <c r="G517" s="95">
        <f>SUM(G512:G516)</f>
        <v>0</v>
      </c>
      <c r="H517" s="95">
        <f>SUM(H512:H516)</f>
        <v>0</v>
      </c>
      <c r="I517" s="97"/>
      <c r="J517" s="98"/>
    </row>
    <row r="518" spans="1:16" hidden="1">
      <c r="A518" s="105"/>
      <c r="B518" s="9"/>
      <c r="C518" s="9"/>
      <c r="D518" s="51"/>
      <c r="E518" s="51"/>
      <c r="F518" s="51"/>
      <c r="G518" s="106"/>
      <c r="H518" s="106"/>
      <c r="I518" s="9"/>
      <c r="J518" s="107"/>
    </row>
    <row r="519" spans="1:16" ht="18" hidden="1" customHeight="1">
      <c r="A519" s="85"/>
      <c r="B519" s="23" t="s">
        <v>237</v>
      </c>
      <c r="C519" s="24">
        <v>22</v>
      </c>
      <c r="D519" s="88">
        <v>2114</v>
      </c>
      <c r="E519" s="88">
        <v>1810</v>
      </c>
      <c r="F519" s="89">
        <f t="shared" ref="F519" si="397">O519</f>
        <v>0</v>
      </c>
      <c r="G519" s="90">
        <f t="shared" ref="G519" si="398">D519*E519/91809*F519</f>
        <v>0</v>
      </c>
      <c r="H519" s="90">
        <f t="shared" ref="H519" si="399">(D519/1000)*4*F519+(E519/1000)*4*F519</f>
        <v>0</v>
      </c>
      <c r="I519" s="91" t="str">
        <f>I512</f>
        <v>11동1라인</v>
      </c>
      <c r="J519" s="92" t="s">
        <v>206</v>
      </c>
      <c r="L519" s="89">
        <v>1</v>
      </c>
      <c r="M519" s="306">
        <f>M506</f>
        <v>0</v>
      </c>
      <c r="N519" s="84"/>
      <c r="O519" s="306">
        <f>L519*M519-N519*L519</f>
        <v>0</v>
      </c>
    </row>
    <row r="520" spans="1:16" ht="18" hidden="1" customHeight="1">
      <c r="A520" s="85"/>
      <c r="B520" s="93"/>
      <c r="C520" s="87"/>
      <c r="D520" s="325" t="s">
        <v>0</v>
      </c>
      <c r="E520" s="325"/>
      <c r="F520" s="94">
        <f>SUM(F519:F519)</f>
        <v>0</v>
      </c>
      <c r="G520" s="95">
        <f>SUM(G519:G519)</f>
        <v>0</v>
      </c>
      <c r="H520" s="95">
        <f>SUM(H519:H519)</f>
        <v>0</v>
      </c>
      <c r="I520" s="97"/>
      <c r="J520" s="98"/>
    </row>
    <row r="521" spans="1:16" ht="18" hidden="1" customHeight="1">
      <c r="A521" s="218"/>
      <c r="B521" s="219"/>
      <c r="C521" s="220"/>
      <c r="D521" s="161"/>
      <c r="E521" s="161"/>
      <c r="F521" s="89"/>
      <c r="G521" s="100"/>
      <c r="H521" s="100"/>
      <c r="I521" s="102"/>
      <c r="J521" s="221"/>
    </row>
    <row r="522" spans="1:16" ht="18" hidden="1" customHeight="1">
      <c r="A522" s="85"/>
      <c r="B522" s="23" t="s">
        <v>200</v>
      </c>
      <c r="C522" s="24">
        <v>22</v>
      </c>
      <c r="D522" s="88">
        <v>738</v>
      </c>
      <c r="E522" s="88">
        <v>1810</v>
      </c>
      <c r="F522" s="89">
        <f t="shared" ref="F522:F523" si="400">O522</f>
        <v>0</v>
      </c>
      <c r="G522" s="90">
        <f t="shared" ref="G522:G523" si="401">D522*E522/91809*F522</f>
        <v>0</v>
      </c>
      <c r="H522" s="90">
        <f t="shared" ref="H522:H523" si="402">(D522/1000)*4*F522+(E522/1000)*4*F522</f>
        <v>0</v>
      </c>
      <c r="I522" s="91" t="str">
        <f>I519</f>
        <v>11동1라인</v>
      </c>
      <c r="J522" s="92" t="s">
        <v>219</v>
      </c>
      <c r="L522" s="89">
        <v>2</v>
      </c>
      <c r="M522" s="306">
        <f>M519</f>
        <v>0</v>
      </c>
      <c r="N522" s="84"/>
      <c r="O522" s="306">
        <f>L522*M522-N522*L522</f>
        <v>0</v>
      </c>
      <c r="P522" s="64" t="s">
        <v>244</v>
      </c>
    </row>
    <row r="523" spans="1:16" ht="18" hidden="1" customHeight="1">
      <c r="A523" s="85"/>
      <c r="B523" s="86"/>
      <c r="C523" s="87"/>
      <c r="D523" s="88">
        <v>250</v>
      </c>
      <c r="E523" s="88">
        <v>930</v>
      </c>
      <c r="F523" s="89">
        <f t="shared" si="400"/>
        <v>0</v>
      </c>
      <c r="G523" s="90">
        <f t="shared" si="401"/>
        <v>0</v>
      </c>
      <c r="H523" s="90">
        <f t="shared" si="402"/>
        <v>0</v>
      </c>
      <c r="I523" s="91" t="str">
        <f>I522</f>
        <v>11동1라인</v>
      </c>
      <c r="J523" s="92" t="s">
        <v>220</v>
      </c>
      <c r="L523" s="89">
        <v>2</v>
      </c>
      <c r="M523" s="306">
        <f>M522</f>
        <v>0</v>
      </c>
      <c r="N523" s="84"/>
      <c r="O523" s="306">
        <f t="shared" ref="O523" si="403">L523*M523-N523*L523</f>
        <v>0</v>
      </c>
    </row>
    <row r="524" spans="1:16" ht="18" hidden="1" customHeight="1">
      <c r="A524" s="85"/>
      <c r="B524" s="93"/>
      <c r="C524" s="87"/>
      <c r="D524" s="325" t="s">
        <v>0</v>
      </c>
      <c r="E524" s="325"/>
      <c r="F524" s="94">
        <f>SUM(F522:F523)</f>
        <v>0</v>
      </c>
      <c r="G524" s="95">
        <f>SUM(G522:G523)</f>
        <v>0</v>
      </c>
      <c r="H524" s="96">
        <f>SUM(H522:H523)</f>
        <v>0</v>
      </c>
      <c r="I524" s="97"/>
      <c r="J524" s="162"/>
    </row>
    <row r="525" spans="1:16" ht="18" hidden="1" customHeight="1" thickBot="1">
      <c r="A525" s="222"/>
      <c r="B525" s="223"/>
      <c r="C525" s="224"/>
      <c r="D525" s="225"/>
      <c r="E525" s="225"/>
      <c r="F525" s="226"/>
      <c r="G525" s="227"/>
      <c r="H525" s="228"/>
      <c r="I525" s="229"/>
      <c r="J525" s="230"/>
      <c r="L525" s="306" t="s">
        <v>48</v>
      </c>
      <c r="M525" s="306" t="s">
        <v>49</v>
      </c>
      <c r="N525" s="306" t="s">
        <v>50</v>
      </c>
      <c r="O525" s="306" t="s">
        <v>55</v>
      </c>
    </row>
    <row r="526" spans="1:16" ht="18" hidden="1" customHeight="1">
      <c r="A526" s="79" t="s">
        <v>234</v>
      </c>
      <c r="B526" s="231" t="s">
        <v>195</v>
      </c>
      <c r="C526" s="232">
        <v>22</v>
      </c>
      <c r="D526" s="80">
        <v>761</v>
      </c>
      <c r="E526" s="80">
        <v>1810</v>
      </c>
      <c r="F526" s="233">
        <f>O526</f>
        <v>0</v>
      </c>
      <c r="G526" s="81">
        <f t="shared" ref="G526:G532" si="404">D526*E526/91809*F526</f>
        <v>0</v>
      </c>
      <c r="H526" s="81">
        <f t="shared" ref="H526:H532" si="405">(D526/1000)*4*F526+(E526/1000)*4*F526</f>
        <v>0</v>
      </c>
      <c r="I526" s="82" t="s">
        <v>267</v>
      </c>
      <c r="J526" s="83" t="s">
        <v>205</v>
      </c>
      <c r="L526" s="89">
        <v>2</v>
      </c>
      <c r="M526" s="306">
        <v>0</v>
      </c>
      <c r="N526" s="84"/>
      <c r="O526" s="306">
        <f>L526*M526-N526*L526</f>
        <v>0</v>
      </c>
      <c r="P526" s="64"/>
    </row>
    <row r="527" spans="1:16" ht="18" hidden="1" customHeight="1">
      <c r="A527" s="85"/>
      <c r="B527" s="86"/>
      <c r="C527" s="87"/>
      <c r="D527" s="88">
        <v>1688</v>
      </c>
      <c r="E527" s="88">
        <v>1810</v>
      </c>
      <c r="F527" s="89">
        <f t="shared" ref="F527:F532" si="406">O527</f>
        <v>0</v>
      </c>
      <c r="G527" s="90">
        <f t="shared" si="404"/>
        <v>0</v>
      </c>
      <c r="H527" s="90">
        <f t="shared" si="405"/>
        <v>0</v>
      </c>
      <c r="I527" s="91" t="str">
        <f>I526</f>
        <v>11동2라인</v>
      </c>
      <c r="J527" s="92" t="s">
        <v>206</v>
      </c>
      <c r="L527" s="89">
        <v>1</v>
      </c>
      <c r="M527" s="306">
        <f>M526</f>
        <v>0</v>
      </c>
      <c r="N527" s="84"/>
      <c r="O527" s="306">
        <f t="shared" ref="O527:O532" si="407">L527*M527-N527*L527</f>
        <v>0</v>
      </c>
    </row>
    <row r="528" spans="1:16" ht="18" hidden="1" customHeight="1">
      <c r="A528" s="85"/>
      <c r="B528" s="86"/>
      <c r="C528" s="87"/>
      <c r="D528" s="88">
        <v>738</v>
      </c>
      <c r="E528" s="88">
        <v>1310</v>
      </c>
      <c r="F528" s="89">
        <f t="shared" si="406"/>
        <v>0</v>
      </c>
      <c r="G528" s="90">
        <f t="shared" si="404"/>
        <v>0</v>
      </c>
      <c r="H528" s="90">
        <f t="shared" si="405"/>
        <v>0</v>
      </c>
      <c r="I528" s="91" t="str">
        <f t="shared" ref="I528:I532" si="408">I527</f>
        <v>11동2라인</v>
      </c>
      <c r="J528" s="92" t="s">
        <v>207</v>
      </c>
      <c r="L528" s="89">
        <v>4</v>
      </c>
      <c r="M528" s="306">
        <f t="shared" ref="M528:M531" si="409">M527</f>
        <v>0</v>
      </c>
      <c r="N528" s="306"/>
      <c r="O528" s="306">
        <f t="shared" si="407"/>
        <v>0</v>
      </c>
    </row>
    <row r="529" spans="1:16" ht="18" hidden="1" customHeight="1">
      <c r="A529" s="85"/>
      <c r="B529" s="86"/>
      <c r="C529" s="87"/>
      <c r="D529" s="88">
        <v>288</v>
      </c>
      <c r="E529" s="88">
        <v>910</v>
      </c>
      <c r="F529" s="89">
        <f t="shared" si="406"/>
        <v>0</v>
      </c>
      <c r="G529" s="90">
        <f t="shared" si="404"/>
        <v>0</v>
      </c>
      <c r="H529" s="90">
        <f t="shared" si="405"/>
        <v>0</v>
      </c>
      <c r="I529" s="91" t="str">
        <f t="shared" si="408"/>
        <v>11동2라인</v>
      </c>
      <c r="J529" s="92" t="s">
        <v>208</v>
      </c>
      <c r="L529" s="89">
        <v>2</v>
      </c>
      <c r="M529" s="306">
        <f t="shared" si="409"/>
        <v>0</v>
      </c>
      <c r="N529" s="306"/>
      <c r="O529" s="306">
        <f t="shared" si="407"/>
        <v>0</v>
      </c>
    </row>
    <row r="530" spans="1:16" ht="18" hidden="1" customHeight="1">
      <c r="A530" s="85"/>
      <c r="B530" s="86"/>
      <c r="C530" s="87"/>
      <c r="D530" s="88">
        <v>228</v>
      </c>
      <c r="E530" s="88">
        <v>910</v>
      </c>
      <c r="F530" s="89">
        <f t="shared" si="406"/>
        <v>0</v>
      </c>
      <c r="G530" s="90">
        <f t="shared" si="404"/>
        <v>0</v>
      </c>
      <c r="H530" s="90">
        <f t="shared" si="405"/>
        <v>0</v>
      </c>
      <c r="I530" s="91" t="str">
        <f t="shared" si="408"/>
        <v>11동2라인</v>
      </c>
      <c r="J530" s="92" t="s">
        <v>209</v>
      </c>
      <c r="L530" s="89">
        <v>2</v>
      </c>
      <c r="M530" s="306">
        <f t="shared" si="409"/>
        <v>0</v>
      </c>
      <c r="N530" s="306"/>
      <c r="O530" s="306">
        <f t="shared" si="407"/>
        <v>0</v>
      </c>
    </row>
    <row r="531" spans="1:16" ht="18" hidden="1" customHeight="1">
      <c r="A531" s="85"/>
      <c r="B531" s="86"/>
      <c r="C531" s="87"/>
      <c r="D531" s="88">
        <v>438</v>
      </c>
      <c r="E531" s="88">
        <v>270</v>
      </c>
      <c r="F531" s="89">
        <f t="shared" si="406"/>
        <v>0</v>
      </c>
      <c r="G531" s="90">
        <f t="shared" si="404"/>
        <v>0</v>
      </c>
      <c r="H531" s="90">
        <f t="shared" si="405"/>
        <v>0</v>
      </c>
      <c r="I531" s="91" t="str">
        <f t="shared" si="408"/>
        <v>11동2라인</v>
      </c>
      <c r="J531" s="92" t="s">
        <v>210</v>
      </c>
      <c r="L531" s="89">
        <v>2</v>
      </c>
      <c r="M531" s="306">
        <f t="shared" si="409"/>
        <v>0</v>
      </c>
      <c r="N531" s="306"/>
      <c r="O531" s="306">
        <f t="shared" si="407"/>
        <v>0</v>
      </c>
    </row>
    <row r="532" spans="1:16" ht="18" hidden="1" customHeight="1">
      <c r="A532" s="85"/>
      <c r="B532" s="86"/>
      <c r="C532" s="87"/>
      <c r="D532" s="88">
        <v>208</v>
      </c>
      <c r="E532" s="88">
        <v>910</v>
      </c>
      <c r="F532" s="89">
        <f t="shared" si="406"/>
        <v>0</v>
      </c>
      <c r="G532" s="90">
        <f t="shared" si="404"/>
        <v>0</v>
      </c>
      <c r="H532" s="90">
        <f t="shared" si="405"/>
        <v>0</v>
      </c>
      <c r="I532" s="91" t="str">
        <f t="shared" si="408"/>
        <v>11동2라인</v>
      </c>
      <c r="J532" s="92" t="s">
        <v>211</v>
      </c>
      <c r="L532" s="89">
        <v>2</v>
      </c>
      <c r="M532" s="306">
        <f>M531</f>
        <v>0</v>
      </c>
      <c r="N532" s="306"/>
      <c r="O532" s="306">
        <f t="shared" si="407"/>
        <v>0</v>
      </c>
    </row>
    <row r="533" spans="1:16" ht="18" hidden="1" customHeight="1">
      <c r="A533" s="85"/>
      <c r="B533" s="93"/>
      <c r="C533" s="87"/>
      <c r="D533" s="325" t="s">
        <v>0</v>
      </c>
      <c r="E533" s="325"/>
      <c r="F533" s="94">
        <f>SUM(F526:F532)</f>
        <v>0</v>
      </c>
      <c r="G533" s="95">
        <f>SUM(G526:G532)</f>
        <v>0</v>
      </c>
      <c r="H533" s="96">
        <f>SUM(H526:H532)</f>
        <v>0</v>
      </c>
      <c r="I533" s="97"/>
      <c r="J533" s="162"/>
    </row>
    <row r="534" spans="1:16" ht="18" hidden="1" customHeight="1">
      <c r="A534" s="85"/>
      <c r="B534" s="93"/>
      <c r="C534" s="87"/>
      <c r="D534" s="161"/>
      <c r="E534" s="161"/>
      <c r="F534" s="89"/>
      <c r="G534" s="100"/>
      <c r="H534" s="101"/>
      <c r="I534" s="102"/>
      <c r="J534" s="121"/>
      <c r="L534" s="306" t="s">
        <v>48</v>
      </c>
      <c r="M534" s="306" t="s">
        <v>54</v>
      </c>
      <c r="N534" s="306" t="s">
        <v>50</v>
      </c>
      <c r="O534" s="306" t="s">
        <v>55</v>
      </c>
    </row>
    <row r="535" spans="1:16" ht="18" hidden="1" customHeight="1">
      <c r="A535" s="85"/>
      <c r="B535" s="23" t="s">
        <v>197</v>
      </c>
      <c r="C535" s="24">
        <v>22</v>
      </c>
      <c r="D535" s="88">
        <v>761</v>
      </c>
      <c r="E535" s="88">
        <v>1810</v>
      </c>
      <c r="F535" s="89">
        <f t="shared" ref="F535:F541" si="410">O535</f>
        <v>0</v>
      </c>
      <c r="G535" s="90">
        <f t="shared" ref="G535:G541" si="411">D535*E535/91809*F535</f>
        <v>0</v>
      </c>
      <c r="H535" s="90">
        <f t="shared" ref="H535:H541" si="412">(D535/1000)*4*F535+(E535/1000)*4*F535</f>
        <v>0</v>
      </c>
      <c r="I535" s="91" t="str">
        <f t="shared" ref="I535:I541" si="413">I526</f>
        <v>11동2라인</v>
      </c>
      <c r="J535" s="92" t="s">
        <v>212</v>
      </c>
      <c r="L535" s="89">
        <v>2</v>
      </c>
      <c r="M535" s="306">
        <f>M526</f>
        <v>0</v>
      </c>
      <c r="N535" s="84"/>
      <c r="O535" s="306">
        <f>L535*M535-N535*L535</f>
        <v>0</v>
      </c>
    </row>
    <row r="536" spans="1:16" ht="18" hidden="1" customHeight="1">
      <c r="A536" s="85"/>
      <c r="B536" s="86"/>
      <c r="C536" s="87"/>
      <c r="D536" s="88">
        <v>1688</v>
      </c>
      <c r="E536" s="88">
        <v>1810</v>
      </c>
      <c r="F536" s="89">
        <f t="shared" si="410"/>
        <v>0</v>
      </c>
      <c r="G536" s="90">
        <f t="shared" si="411"/>
        <v>0</v>
      </c>
      <c r="H536" s="90">
        <f t="shared" si="412"/>
        <v>0</v>
      </c>
      <c r="I536" s="91" t="str">
        <f t="shared" si="413"/>
        <v>11동2라인</v>
      </c>
      <c r="J536" s="92" t="s">
        <v>213</v>
      </c>
      <c r="L536" s="89">
        <v>1</v>
      </c>
      <c r="M536" s="306">
        <f>M535</f>
        <v>0</v>
      </c>
      <c r="N536" s="84"/>
      <c r="O536" s="306">
        <f>L536*M536-N536*L536</f>
        <v>0</v>
      </c>
    </row>
    <row r="537" spans="1:16" ht="18" hidden="1" customHeight="1">
      <c r="A537" s="104"/>
      <c r="B537" s="93"/>
      <c r="C537" s="87"/>
      <c r="D537" s="88">
        <v>738</v>
      </c>
      <c r="E537" s="88">
        <v>1310</v>
      </c>
      <c r="F537" s="89">
        <f t="shared" si="410"/>
        <v>0</v>
      </c>
      <c r="G537" s="90">
        <f t="shared" si="411"/>
        <v>0</v>
      </c>
      <c r="H537" s="90">
        <f t="shared" si="412"/>
        <v>0</v>
      </c>
      <c r="I537" s="91" t="str">
        <f t="shared" si="413"/>
        <v>11동2라인</v>
      </c>
      <c r="J537" s="92" t="s">
        <v>214</v>
      </c>
      <c r="L537" s="89">
        <v>4</v>
      </c>
      <c r="M537" s="306">
        <f t="shared" ref="M537:M541" si="414">M536</f>
        <v>0</v>
      </c>
      <c r="N537" s="84"/>
      <c r="O537" s="306">
        <f t="shared" ref="O537:O541" si="415">L537*M537-N537*L537</f>
        <v>0</v>
      </c>
    </row>
    <row r="538" spans="1:16" ht="18" hidden="1" customHeight="1">
      <c r="A538" s="104"/>
      <c r="B538" s="93"/>
      <c r="C538" s="87"/>
      <c r="D538" s="88">
        <v>288</v>
      </c>
      <c r="E538" s="88">
        <v>910</v>
      </c>
      <c r="F538" s="89">
        <f t="shared" si="410"/>
        <v>0</v>
      </c>
      <c r="G538" s="90">
        <f t="shared" si="411"/>
        <v>0</v>
      </c>
      <c r="H538" s="90">
        <f t="shared" si="412"/>
        <v>0</v>
      </c>
      <c r="I538" s="91" t="str">
        <f t="shared" si="413"/>
        <v>11동2라인</v>
      </c>
      <c r="J538" s="92" t="s">
        <v>215</v>
      </c>
      <c r="L538" s="89">
        <v>2</v>
      </c>
      <c r="M538" s="306">
        <f t="shared" si="414"/>
        <v>0</v>
      </c>
      <c r="N538" s="306"/>
      <c r="O538" s="306">
        <f t="shared" si="415"/>
        <v>0</v>
      </c>
    </row>
    <row r="539" spans="1:16" ht="18" hidden="1" customHeight="1">
      <c r="A539" s="104"/>
      <c r="B539" s="93"/>
      <c r="C539" s="87"/>
      <c r="D539" s="88">
        <v>228</v>
      </c>
      <c r="E539" s="88">
        <v>910</v>
      </c>
      <c r="F539" s="89">
        <f t="shared" si="410"/>
        <v>0</v>
      </c>
      <c r="G539" s="90">
        <f t="shared" si="411"/>
        <v>0</v>
      </c>
      <c r="H539" s="90">
        <f t="shared" si="412"/>
        <v>0</v>
      </c>
      <c r="I539" s="91" t="str">
        <f t="shared" si="413"/>
        <v>11동2라인</v>
      </c>
      <c r="J539" s="92" t="s">
        <v>216</v>
      </c>
      <c r="L539" s="89">
        <v>2</v>
      </c>
      <c r="M539" s="306">
        <f t="shared" si="414"/>
        <v>0</v>
      </c>
      <c r="N539" s="306"/>
      <c r="O539" s="306">
        <f t="shared" si="415"/>
        <v>0</v>
      </c>
    </row>
    <row r="540" spans="1:16" ht="18" hidden="1" customHeight="1">
      <c r="A540" s="104"/>
      <c r="B540" s="93"/>
      <c r="C540" s="87"/>
      <c r="D540" s="88">
        <v>438</v>
      </c>
      <c r="E540" s="88">
        <v>270</v>
      </c>
      <c r="F540" s="89">
        <f t="shared" si="410"/>
        <v>0</v>
      </c>
      <c r="G540" s="90">
        <f t="shared" si="411"/>
        <v>0</v>
      </c>
      <c r="H540" s="90">
        <f t="shared" si="412"/>
        <v>0</v>
      </c>
      <c r="I540" s="91" t="str">
        <f t="shared" si="413"/>
        <v>11동2라인</v>
      </c>
      <c r="J540" s="92" t="s">
        <v>217</v>
      </c>
      <c r="L540" s="89">
        <v>2</v>
      </c>
      <c r="M540" s="306">
        <f t="shared" si="414"/>
        <v>0</v>
      </c>
      <c r="N540" s="306"/>
      <c r="O540" s="306">
        <f t="shared" si="415"/>
        <v>0</v>
      </c>
    </row>
    <row r="541" spans="1:16" ht="18" hidden="1" customHeight="1">
      <c r="A541" s="104"/>
      <c r="B541" s="93"/>
      <c r="C541" s="87"/>
      <c r="D541" s="88">
        <v>208</v>
      </c>
      <c r="E541" s="88">
        <v>910</v>
      </c>
      <c r="F541" s="89">
        <f t="shared" si="410"/>
        <v>0</v>
      </c>
      <c r="G541" s="90">
        <f t="shared" si="411"/>
        <v>0</v>
      </c>
      <c r="H541" s="90">
        <f t="shared" si="412"/>
        <v>0</v>
      </c>
      <c r="I541" s="91" t="str">
        <f t="shared" si="413"/>
        <v>11동2라인</v>
      </c>
      <c r="J541" s="92" t="s">
        <v>218</v>
      </c>
      <c r="L541" s="89">
        <v>2</v>
      </c>
      <c r="M541" s="306">
        <f t="shared" si="414"/>
        <v>0</v>
      </c>
      <c r="N541" s="306"/>
      <c r="O541" s="306">
        <f t="shared" si="415"/>
        <v>0</v>
      </c>
    </row>
    <row r="542" spans="1:16" ht="18" hidden="1" customHeight="1">
      <c r="A542" s="104"/>
      <c r="B542" s="87"/>
      <c r="C542" s="87"/>
      <c r="D542" s="325" t="s">
        <v>0</v>
      </c>
      <c r="E542" s="325"/>
      <c r="F542" s="171">
        <f>SUM(F535:F541)</f>
        <v>0</v>
      </c>
      <c r="G542" s="95">
        <f>SUM(G535:G541)</f>
        <v>0</v>
      </c>
      <c r="H542" s="95">
        <f>SUM(H535:H541)</f>
        <v>0</v>
      </c>
      <c r="I542" s="97"/>
      <c r="J542" s="98"/>
    </row>
    <row r="543" spans="1:16" hidden="1">
      <c r="A543" s="105"/>
      <c r="B543" s="9"/>
      <c r="C543" s="9"/>
      <c r="D543" s="51"/>
      <c r="E543" s="51"/>
      <c r="F543" s="51"/>
      <c r="G543" s="106"/>
      <c r="H543" s="106"/>
      <c r="I543" s="9"/>
      <c r="J543" s="107"/>
    </row>
    <row r="544" spans="1:16" ht="18" hidden="1" customHeight="1">
      <c r="A544" s="85"/>
      <c r="B544" s="163" t="s">
        <v>199</v>
      </c>
      <c r="C544" s="163">
        <v>22</v>
      </c>
      <c r="D544" s="88">
        <v>738</v>
      </c>
      <c r="E544" s="88">
        <v>1810</v>
      </c>
      <c r="F544" s="89">
        <f t="shared" ref="F544:F545" si="416">O544</f>
        <v>0</v>
      </c>
      <c r="G544" s="90">
        <f t="shared" ref="G544:G545" si="417">D544*E544/91809*F544</f>
        <v>0</v>
      </c>
      <c r="H544" s="90">
        <f t="shared" ref="H544:H545" si="418">(D544/1000)*4*F544+(E544/1000)*4*F544</f>
        <v>0</v>
      </c>
      <c r="I544" s="91" t="str">
        <f>I535</f>
        <v>11동2라인</v>
      </c>
      <c r="J544" s="92" t="s">
        <v>219</v>
      </c>
      <c r="L544" s="89">
        <v>2</v>
      </c>
      <c r="M544" s="306">
        <f>M526</f>
        <v>0</v>
      </c>
      <c r="N544" s="84"/>
      <c r="O544" s="306">
        <f>L544*M544-N544*L544</f>
        <v>0</v>
      </c>
      <c r="P544" s="64"/>
    </row>
    <row r="545" spans="1:16" ht="18" hidden="1" customHeight="1">
      <c r="A545" s="85"/>
      <c r="B545" s="86"/>
      <c r="C545" s="87"/>
      <c r="D545" s="88">
        <v>250</v>
      </c>
      <c r="E545" s="88">
        <v>930</v>
      </c>
      <c r="F545" s="89">
        <f t="shared" si="416"/>
        <v>0</v>
      </c>
      <c r="G545" s="90">
        <f t="shared" si="417"/>
        <v>0</v>
      </c>
      <c r="H545" s="90">
        <f t="shared" si="418"/>
        <v>0</v>
      </c>
      <c r="I545" s="91" t="str">
        <f>I544</f>
        <v>11동2라인</v>
      </c>
      <c r="J545" s="92" t="s">
        <v>220</v>
      </c>
      <c r="L545" s="89">
        <v>2</v>
      </c>
      <c r="M545" s="306">
        <f>M544</f>
        <v>0</v>
      </c>
      <c r="N545" s="84"/>
      <c r="O545" s="306">
        <f t="shared" ref="O545" si="419">L545*M545-N545*L545</f>
        <v>0</v>
      </c>
    </row>
    <row r="546" spans="1:16" ht="18" hidden="1" customHeight="1">
      <c r="A546" s="85"/>
      <c r="B546" s="93"/>
      <c r="C546" s="87"/>
      <c r="D546" s="325" t="s">
        <v>0</v>
      </c>
      <c r="E546" s="325"/>
      <c r="F546" s="94">
        <f>SUM(F544:F545)</f>
        <v>0</v>
      </c>
      <c r="G546" s="95">
        <f>SUM(G544:G545)</f>
        <v>0</v>
      </c>
      <c r="H546" s="95">
        <f>SUM(H544:H545)</f>
        <v>0</v>
      </c>
      <c r="I546" s="97"/>
      <c r="J546" s="98"/>
    </row>
    <row r="547" spans="1:16" hidden="1">
      <c r="A547" s="236"/>
      <c r="B547" s="237"/>
      <c r="C547" s="238"/>
      <c r="D547" s="362"/>
      <c r="E547" s="362"/>
      <c r="F547" s="239"/>
      <c r="G547" s="240"/>
      <c r="H547" s="241"/>
      <c r="I547" s="242"/>
      <c r="J547" s="243"/>
    </row>
    <row r="548" spans="1:16" ht="18" hidden="1" customHeight="1">
      <c r="A548" s="244" t="s">
        <v>234</v>
      </c>
      <c r="B548" s="23" t="s">
        <v>195</v>
      </c>
      <c r="C548" s="24">
        <v>22</v>
      </c>
      <c r="D548" s="88">
        <v>761</v>
      </c>
      <c r="E548" s="88">
        <v>1810</v>
      </c>
      <c r="F548" s="89">
        <f>O548</f>
        <v>0</v>
      </c>
      <c r="G548" s="90">
        <f t="shared" ref="G548:G554" si="420">D548*E548/91809*F548</f>
        <v>0</v>
      </c>
      <c r="H548" s="90">
        <f t="shared" ref="H548:H554" si="421">(D548/1000)*4*F548+(E548/1000)*4*F548</f>
        <v>0</v>
      </c>
      <c r="I548" s="91" t="s">
        <v>268</v>
      </c>
      <c r="J548" s="92" t="s">
        <v>205</v>
      </c>
      <c r="L548" s="89">
        <v>2</v>
      </c>
      <c r="M548" s="306">
        <v>0</v>
      </c>
      <c r="N548" s="84"/>
      <c r="O548" s="306">
        <f>L548*M548-N548*L548</f>
        <v>0</v>
      </c>
      <c r="P548" s="64"/>
    </row>
    <row r="549" spans="1:16" ht="18" hidden="1" customHeight="1">
      <c r="A549" s="85"/>
      <c r="B549" s="86"/>
      <c r="C549" s="87"/>
      <c r="D549" s="88">
        <v>1688</v>
      </c>
      <c r="E549" s="88">
        <v>1810</v>
      </c>
      <c r="F549" s="89">
        <f t="shared" ref="F549:F554" si="422">O549</f>
        <v>0</v>
      </c>
      <c r="G549" s="90">
        <f t="shared" si="420"/>
        <v>0</v>
      </c>
      <c r="H549" s="90">
        <f t="shared" si="421"/>
        <v>0</v>
      </c>
      <c r="I549" s="91" t="str">
        <f>I548</f>
        <v>11동3,5라인</v>
      </c>
      <c r="J549" s="92" t="s">
        <v>206</v>
      </c>
      <c r="L549" s="89">
        <v>1</v>
      </c>
      <c r="M549" s="306">
        <f>M548</f>
        <v>0</v>
      </c>
      <c r="N549" s="84"/>
      <c r="O549" s="306">
        <f t="shared" ref="O549:O554" si="423">L549*M549-N549*L549</f>
        <v>0</v>
      </c>
    </row>
    <row r="550" spans="1:16" ht="18" hidden="1" customHeight="1">
      <c r="A550" s="85"/>
      <c r="B550" s="86"/>
      <c r="C550" s="87"/>
      <c r="D550" s="88">
        <v>738</v>
      </c>
      <c r="E550" s="88">
        <v>1310</v>
      </c>
      <c r="F550" s="89">
        <f t="shared" si="422"/>
        <v>0</v>
      </c>
      <c r="G550" s="90">
        <f t="shared" si="420"/>
        <v>0</v>
      </c>
      <c r="H550" s="90">
        <f t="shared" si="421"/>
        <v>0</v>
      </c>
      <c r="I550" s="91" t="str">
        <f t="shared" ref="I550:I554" si="424">I549</f>
        <v>11동3,5라인</v>
      </c>
      <c r="J550" s="92" t="s">
        <v>207</v>
      </c>
      <c r="L550" s="89">
        <v>4</v>
      </c>
      <c r="M550" s="306">
        <f t="shared" ref="M550:M553" si="425">M549</f>
        <v>0</v>
      </c>
      <c r="N550" s="306"/>
      <c r="O550" s="306">
        <f t="shared" si="423"/>
        <v>0</v>
      </c>
    </row>
    <row r="551" spans="1:16" ht="18" hidden="1" customHeight="1">
      <c r="A551" s="85"/>
      <c r="B551" s="86"/>
      <c r="C551" s="87"/>
      <c r="D551" s="88">
        <v>288</v>
      </c>
      <c r="E551" s="88">
        <v>910</v>
      </c>
      <c r="F551" s="89">
        <f t="shared" si="422"/>
        <v>0</v>
      </c>
      <c r="G551" s="90">
        <f t="shared" si="420"/>
        <v>0</v>
      </c>
      <c r="H551" s="90">
        <f t="shared" si="421"/>
        <v>0</v>
      </c>
      <c r="I551" s="91" t="str">
        <f t="shared" si="424"/>
        <v>11동3,5라인</v>
      </c>
      <c r="J551" s="92" t="s">
        <v>208</v>
      </c>
      <c r="L551" s="89">
        <v>2</v>
      </c>
      <c r="M551" s="306">
        <f t="shared" si="425"/>
        <v>0</v>
      </c>
      <c r="N551" s="306"/>
      <c r="O551" s="306">
        <f t="shared" si="423"/>
        <v>0</v>
      </c>
    </row>
    <row r="552" spans="1:16" ht="18" hidden="1" customHeight="1">
      <c r="A552" s="85"/>
      <c r="B552" s="86"/>
      <c r="C552" s="87"/>
      <c r="D552" s="88">
        <v>228</v>
      </c>
      <c r="E552" s="88">
        <v>910</v>
      </c>
      <c r="F552" s="89">
        <f t="shared" si="422"/>
        <v>0</v>
      </c>
      <c r="G552" s="90">
        <f t="shared" si="420"/>
        <v>0</v>
      </c>
      <c r="H552" s="90">
        <f t="shared" si="421"/>
        <v>0</v>
      </c>
      <c r="I552" s="91" t="str">
        <f t="shared" si="424"/>
        <v>11동3,5라인</v>
      </c>
      <c r="J552" s="92" t="s">
        <v>209</v>
      </c>
      <c r="L552" s="89">
        <v>2</v>
      </c>
      <c r="M552" s="306">
        <f t="shared" si="425"/>
        <v>0</v>
      </c>
      <c r="N552" s="306"/>
      <c r="O552" s="306">
        <f t="shared" si="423"/>
        <v>0</v>
      </c>
    </row>
    <row r="553" spans="1:16" ht="18" hidden="1" customHeight="1">
      <c r="A553" s="85"/>
      <c r="B553" s="86"/>
      <c r="C553" s="87"/>
      <c r="D553" s="88">
        <v>438</v>
      </c>
      <c r="E553" s="88">
        <v>270</v>
      </c>
      <c r="F553" s="89">
        <f t="shared" si="422"/>
        <v>0</v>
      </c>
      <c r="G553" s="90">
        <f t="shared" si="420"/>
        <v>0</v>
      </c>
      <c r="H553" s="90">
        <f t="shared" si="421"/>
        <v>0</v>
      </c>
      <c r="I553" s="91" t="str">
        <f t="shared" si="424"/>
        <v>11동3,5라인</v>
      </c>
      <c r="J553" s="92" t="s">
        <v>210</v>
      </c>
      <c r="L553" s="89">
        <v>2</v>
      </c>
      <c r="M553" s="306">
        <f t="shared" si="425"/>
        <v>0</v>
      </c>
      <c r="N553" s="306"/>
      <c r="O553" s="306">
        <f t="shared" si="423"/>
        <v>0</v>
      </c>
    </row>
    <row r="554" spans="1:16" ht="18" hidden="1" customHeight="1">
      <c r="A554" s="85"/>
      <c r="B554" s="86"/>
      <c r="C554" s="87"/>
      <c r="D554" s="88">
        <v>208</v>
      </c>
      <c r="E554" s="88">
        <v>910</v>
      </c>
      <c r="F554" s="89">
        <f t="shared" si="422"/>
        <v>0</v>
      </c>
      <c r="G554" s="90">
        <f t="shared" si="420"/>
        <v>0</v>
      </c>
      <c r="H554" s="90">
        <f t="shared" si="421"/>
        <v>0</v>
      </c>
      <c r="I554" s="91" t="str">
        <f t="shared" si="424"/>
        <v>11동3,5라인</v>
      </c>
      <c r="J554" s="92" t="s">
        <v>211</v>
      </c>
      <c r="L554" s="89">
        <v>2</v>
      </c>
      <c r="M554" s="306">
        <f>M553</f>
        <v>0</v>
      </c>
      <c r="N554" s="306"/>
      <c r="O554" s="306">
        <f t="shared" si="423"/>
        <v>0</v>
      </c>
    </row>
    <row r="555" spans="1:16" ht="18" hidden="1" customHeight="1">
      <c r="A555" s="85"/>
      <c r="B555" s="93"/>
      <c r="C555" s="87"/>
      <c r="D555" s="325" t="s">
        <v>0</v>
      </c>
      <c r="E555" s="325"/>
      <c r="F555" s="94">
        <f>SUM(F548:F554)</f>
        <v>0</v>
      </c>
      <c r="G555" s="95">
        <f>SUM(G548:G554)</f>
        <v>0</v>
      </c>
      <c r="H555" s="96">
        <f>SUM(H548:H554)</f>
        <v>0</v>
      </c>
      <c r="I555" s="97"/>
      <c r="J555" s="162"/>
    </row>
    <row r="556" spans="1:16" ht="18" hidden="1" customHeight="1">
      <c r="A556" s="85"/>
      <c r="B556" s="93"/>
      <c r="C556" s="87"/>
      <c r="D556" s="161"/>
      <c r="E556" s="161"/>
      <c r="F556" s="89"/>
      <c r="G556" s="100"/>
      <c r="H556" s="101"/>
      <c r="I556" s="102"/>
      <c r="J556" s="121"/>
      <c r="L556" s="306" t="s">
        <v>48</v>
      </c>
      <c r="M556" s="306" t="s">
        <v>54</v>
      </c>
      <c r="N556" s="306" t="s">
        <v>50</v>
      </c>
      <c r="O556" s="306" t="s">
        <v>55</v>
      </c>
    </row>
    <row r="557" spans="1:16" ht="18" hidden="1" customHeight="1">
      <c r="A557" s="85"/>
      <c r="B557" s="23" t="s">
        <v>197</v>
      </c>
      <c r="C557" s="24">
        <v>22</v>
      </c>
      <c r="D557" s="88">
        <v>761</v>
      </c>
      <c r="E557" s="88">
        <v>1810</v>
      </c>
      <c r="F557" s="89">
        <f t="shared" ref="F557:F563" si="426">O557</f>
        <v>0</v>
      </c>
      <c r="G557" s="90">
        <f t="shared" ref="G557:G563" si="427">D557*E557/91809*F557</f>
        <v>0</v>
      </c>
      <c r="H557" s="90">
        <f t="shared" ref="H557:H563" si="428">(D557/1000)*4*F557+(E557/1000)*4*F557</f>
        <v>0</v>
      </c>
      <c r="I557" s="91" t="str">
        <f t="shared" ref="I557:I563" si="429">I548</f>
        <v>11동3,5라인</v>
      </c>
      <c r="J557" s="92" t="s">
        <v>212</v>
      </c>
      <c r="L557" s="89">
        <v>2</v>
      </c>
      <c r="M557" s="306">
        <f>M548</f>
        <v>0</v>
      </c>
      <c r="N557" s="84"/>
      <c r="O557" s="306">
        <f>L557*M557-N557*L557</f>
        <v>0</v>
      </c>
    </row>
    <row r="558" spans="1:16" ht="18" hidden="1" customHeight="1">
      <c r="A558" s="85"/>
      <c r="B558" s="86"/>
      <c r="C558" s="87"/>
      <c r="D558" s="88">
        <v>1688</v>
      </c>
      <c r="E558" s="88">
        <v>1810</v>
      </c>
      <c r="F558" s="89">
        <f t="shared" si="426"/>
        <v>0</v>
      </c>
      <c r="G558" s="90">
        <f t="shared" si="427"/>
        <v>0</v>
      </c>
      <c r="H558" s="90">
        <f t="shared" si="428"/>
        <v>0</v>
      </c>
      <c r="I558" s="91" t="str">
        <f t="shared" si="429"/>
        <v>11동3,5라인</v>
      </c>
      <c r="J558" s="92" t="s">
        <v>213</v>
      </c>
      <c r="L558" s="89">
        <v>1</v>
      </c>
      <c r="M558" s="306">
        <f>M557</f>
        <v>0</v>
      </c>
      <c r="N558" s="84"/>
      <c r="O558" s="306">
        <f>L558*M558-N558*L558</f>
        <v>0</v>
      </c>
    </row>
    <row r="559" spans="1:16" ht="18" hidden="1" customHeight="1">
      <c r="A559" s="104"/>
      <c r="B559" s="93"/>
      <c r="C559" s="87"/>
      <c r="D559" s="88">
        <v>738</v>
      </c>
      <c r="E559" s="88">
        <v>1310</v>
      </c>
      <c r="F559" s="89">
        <f t="shared" si="426"/>
        <v>0</v>
      </c>
      <c r="G559" s="90">
        <f t="shared" si="427"/>
        <v>0</v>
      </c>
      <c r="H559" s="90">
        <f t="shared" si="428"/>
        <v>0</v>
      </c>
      <c r="I559" s="91" t="str">
        <f t="shared" si="429"/>
        <v>11동3,5라인</v>
      </c>
      <c r="J559" s="92" t="s">
        <v>214</v>
      </c>
      <c r="L559" s="89">
        <v>4</v>
      </c>
      <c r="M559" s="306">
        <f t="shared" ref="M559:M563" si="430">M558</f>
        <v>0</v>
      </c>
      <c r="N559" s="84"/>
      <c r="O559" s="306">
        <f t="shared" ref="O559:O563" si="431">L559*M559-N559*L559</f>
        <v>0</v>
      </c>
    </row>
    <row r="560" spans="1:16" ht="18" hidden="1" customHeight="1">
      <c r="A560" s="104"/>
      <c r="B560" s="93"/>
      <c r="C560" s="87"/>
      <c r="D560" s="88">
        <v>288</v>
      </c>
      <c r="E560" s="88">
        <v>910</v>
      </c>
      <c r="F560" s="89">
        <f t="shared" si="426"/>
        <v>0</v>
      </c>
      <c r="G560" s="90">
        <f t="shared" si="427"/>
        <v>0</v>
      </c>
      <c r="H560" s="90">
        <f t="shared" si="428"/>
        <v>0</v>
      </c>
      <c r="I560" s="91" t="str">
        <f t="shared" si="429"/>
        <v>11동3,5라인</v>
      </c>
      <c r="J560" s="92" t="s">
        <v>215</v>
      </c>
      <c r="L560" s="89">
        <v>2</v>
      </c>
      <c r="M560" s="306">
        <f t="shared" si="430"/>
        <v>0</v>
      </c>
      <c r="N560" s="306"/>
      <c r="O560" s="306">
        <f t="shared" si="431"/>
        <v>0</v>
      </c>
    </row>
    <row r="561" spans="1:16" ht="18" hidden="1" customHeight="1">
      <c r="A561" s="104"/>
      <c r="B561" s="93"/>
      <c r="C561" s="87"/>
      <c r="D561" s="88">
        <v>228</v>
      </c>
      <c r="E561" s="88">
        <v>910</v>
      </c>
      <c r="F561" s="89">
        <f t="shared" si="426"/>
        <v>0</v>
      </c>
      <c r="G561" s="90">
        <f t="shared" si="427"/>
        <v>0</v>
      </c>
      <c r="H561" s="90">
        <f t="shared" si="428"/>
        <v>0</v>
      </c>
      <c r="I561" s="91" t="str">
        <f t="shared" si="429"/>
        <v>11동3,5라인</v>
      </c>
      <c r="J561" s="92" t="s">
        <v>216</v>
      </c>
      <c r="L561" s="89">
        <v>2</v>
      </c>
      <c r="M561" s="306">
        <f t="shared" si="430"/>
        <v>0</v>
      </c>
      <c r="N561" s="306"/>
      <c r="O561" s="306">
        <f t="shared" si="431"/>
        <v>0</v>
      </c>
    </row>
    <row r="562" spans="1:16" ht="18" hidden="1" customHeight="1">
      <c r="A562" s="104"/>
      <c r="B562" s="93"/>
      <c r="C562" s="87"/>
      <c r="D562" s="88">
        <v>438</v>
      </c>
      <c r="E562" s="88">
        <v>270</v>
      </c>
      <c r="F562" s="89">
        <f t="shared" si="426"/>
        <v>0</v>
      </c>
      <c r="G562" s="90">
        <f t="shared" si="427"/>
        <v>0</v>
      </c>
      <c r="H562" s="90">
        <f t="shared" si="428"/>
        <v>0</v>
      </c>
      <c r="I562" s="91" t="str">
        <f t="shared" si="429"/>
        <v>11동3,5라인</v>
      </c>
      <c r="J562" s="92" t="s">
        <v>217</v>
      </c>
      <c r="L562" s="89">
        <v>2</v>
      </c>
      <c r="M562" s="306">
        <f t="shared" si="430"/>
        <v>0</v>
      </c>
      <c r="N562" s="306"/>
      <c r="O562" s="306">
        <f t="shared" si="431"/>
        <v>0</v>
      </c>
    </row>
    <row r="563" spans="1:16" ht="18" hidden="1" customHeight="1">
      <c r="A563" s="104"/>
      <c r="B563" s="93"/>
      <c r="C563" s="87"/>
      <c r="D563" s="88">
        <v>208</v>
      </c>
      <c r="E563" s="88">
        <v>910</v>
      </c>
      <c r="F563" s="89">
        <f t="shared" si="426"/>
        <v>0</v>
      </c>
      <c r="G563" s="90">
        <f t="shared" si="427"/>
        <v>0</v>
      </c>
      <c r="H563" s="90">
        <f t="shared" si="428"/>
        <v>0</v>
      </c>
      <c r="I563" s="91" t="str">
        <f t="shared" si="429"/>
        <v>11동3,5라인</v>
      </c>
      <c r="J563" s="92" t="s">
        <v>218</v>
      </c>
      <c r="L563" s="89">
        <v>2</v>
      </c>
      <c r="M563" s="306">
        <f t="shared" si="430"/>
        <v>0</v>
      </c>
      <c r="N563" s="306"/>
      <c r="O563" s="306">
        <f t="shared" si="431"/>
        <v>0</v>
      </c>
    </row>
    <row r="564" spans="1:16" ht="18" hidden="1" customHeight="1">
      <c r="A564" s="104"/>
      <c r="B564" s="87"/>
      <c r="C564" s="87"/>
      <c r="D564" s="325" t="s">
        <v>0</v>
      </c>
      <c r="E564" s="325"/>
      <c r="F564" s="171">
        <f>SUM(F557:F563)</f>
        <v>0</v>
      </c>
      <c r="G564" s="95">
        <f>SUM(G557:G563)</f>
        <v>0</v>
      </c>
      <c r="H564" s="95">
        <f>SUM(H557:H563)</f>
        <v>0</v>
      </c>
      <c r="I564" s="97"/>
      <c r="J564" s="98"/>
    </row>
    <row r="565" spans="1:16" hidden="1">
      <c r="A565" s="105"/>
      <c r="B565" s="9"/>
      <c r="C565" s="9"/>
      <c r="D565" s="51"/>
      <c r="E565" s="51"/>
      <c r="F565" s="51"/>
      <c r="G565" s="106"/>
      <c r="H565" s="106"/>
      <c r="I565" s="9"/>
      <c r="J565" s="107"/>
    </row>
    <row r="566" spans="1:16" ht="18" hidden="1" customHeight="1">
      <c r="A566" s="85"/>
      <c r="B566" s="163" t="s">
        <v>199</v>
      </c>
      <c r="C566" s="163">
        <v>22</v>
      </c>
      <c r="D566" s="88">
        <v>738</v>
      </c>
      <c r="E566" s="88">
        <v>1810</v>
      </c>
      <c r="F566" s="89">
        <f t="shared" ref="F566:F567" si="432">O566</f>
        <v>0</v>
      </c>
      <c r="G566" s="90">
        <f t="shared" ref="G566:G567" si="433">D566*E566/91809*F566</f>
        <v>0</v>
      </c>
      <c r="H566" s="90">
        <f t="shared" ref="H566:H567" si="434">(D566/1000)*4*F566+(E566/1000)*4*F566</f>
        <v>0</v>
      </c>
      <c r="I566" s="91" t="str">
        <f>I557</f>
        <v>11동3,5라인</v>
      </c>
      <c r="J566" s="92" t="s">
        <v>219</v>
      </c>
      <c r="L566" s="89">
        <v>2</v>
      </c>
      <c r="M566" s="306">
        <f>M548</f>
        <v>0</v>
      </c>
      <c r="N566" s="84"/>
      <c r="O566" s="306">
        <f>L566*M566-N566*L566</f>
        <v>0</v>
      </c>
      <c r="P566" s="64" t="s">
        <v>245</v>
      </c>
    </row>
    <row r="567" spans="1:16" ht="18" hidden="1" customHeight="1">
      <c r="A567" s="85"/>
      <c r="B567" s="86"/>
      <c r="C567" s="87"/>
      <c r="D567" s="88">
        <v>250</v>
      </c>
      <c r="E567" s="88">
        <v>930</v>
      </c>
      <c r="F567" s="89">
        <f t="shared" si="432"/>
        <v>0</v>
      </c>
      <c r="G567" s="90">
        <f t="shared" si="433"/>
        <v>0</v>
      </c>
      <c r="H567" s="90">
        <f t="shared" si="434"/>
        <v>0</v>
      </c>
      <c r="I567" s="91" t="str">
        <f>I566</f>
        <v>11동3,5라인</v>
      </c>
      <c r="J567" s="92" t="s">
        <v>220</v>
      </c>
      <c r="L567" s="89">
        <v>2</v>
      </c>
      <c r="M567" s="306">
        <f>M566</f>
        <v>0</v>
      </c>
      <c r="N567" s="84"/>
      <c r="O567" s="306">
        <f t="shared" ref="O567" si="435">L567*M567-N567*L567</f>
        <v>0</v>
      </c>
    </row>
    <row r="568" spans="1:16" ht="18" hidden="1" customHeight="1" thickBot="1">
      <c r="A568" s="222"/>
      <c r="B568" s="223"/>
      <c r="C568" s="224"/>
      <c r="D568" s="364" t="s">
        <v>0</v>
      </c>
      <c r="E568" s="364"/>
      <c r="F568" s="269">
        <f>SUM(F566:F567)</f>
        <v>0</v>
      </c>
      <c r="G568" s="270">
        <f>SUM(G566:G567)</f>
        <v>0</v>
      </c>
      <c r="H568" s="270">
        <f>SUM(H566:H567)</f>
        <v>0</v>
      </c>
      <c r="I568" s="271"/>
      <c r="J568" s="272"/>
    </row>
    <row r="569" spans="1:16" ht="18" hidden="1" customHeight="1">
      <c r="A569" s="79" t="s">
        <v>235</v>
      </c>
      <c r="B569" s="231" t="s">
        <v>196</v>
      </c>
      <c r="C569" s="232">
        <v>22</v>
      </c>
      <c r="D569" s="80">
        <v>861</v>
      </c>
      <c r="E569" s="80">
        <v>1810</v>
      </c>
      <c r="F569" s="233">
        <f t="shared" ref="F569:F572" si="436">O569</f>
        <v>0</v>
      </c>
      <c r="G569" s="81">
        <f t="shared" ref="G569:G572" si="437">D569*E569/91809*F569</f>
        <v>0</v>
      </c>
      <c r="H569" s="81">
        <f t="shared" ref="H569:H572" si="438">(D569/1000)*4*F569+(E569/1000)*4*F569</f>
        <v>0</v>
      </c>
      <c r="I569" s="82" t="s">
        <v>269</v>
      </c>
      <c r="J569" s="83" t="s">
        <v>205</v>
      </c>
      <c r="L569" s="89">
        <v>1</v>
      </c>
      <c r="M569" s="306">
        <v>0</v>
      </c>
      <c r="N569" s="84"/>
      <c r="O569" s="306">
        <f>L569*M569-N569*L569</f>
        <v>0</v>
      </c>
      <c r="P569" s="64"/>
    </row>
    <row r="570" spans="1:16" ht="18" hidden="1" customHeight="1">
      <c r="A570" s="85"/>
      <c r="B570" s="86"/>
      <c r="C570" s="87"/>
      <c r="D570" s="88">
        <v>738</v>
      </c>
      <c r="E570" s="88">
        <v>1310</v>
      </c>
      <c r="F570" s="89">
        <f t="shared" si="436"/>
        <v>0</v>
      </c>
      <c r="G570" s="90">
        <f t="shared" si="437"/>
        <v>0</v>
      </c>
      <c r="H570" s="90">
        <f t="shared" si="438"/>
        <v>0</v>
      </c>
      <c r="I570" s="91" t="str">
        <f>I569</f>
        <v>11동4라인</v>
      </c>
      <c r="J570" s="92" t="s">
        <v>207</v>
      </c>
      <c r="L570" s="89">
        <v>4</v>
      </c>
      <c r="M570" s="306">
        <f>M569</f>
        <v>0</v>
      </c>
      <c r="N570" s="84"/>
      <c r="O570" s="306">
        <f t="shared" ref="O570:O572" si="439">L570*M570-N570*L570</f>
        <v>0</v>
      </c>
    </row>
    <row r="571" spans="1:16" ht="18" hidden="1" customHeight="1">
      <c r="A571" s="85"/>
      <c r="B571" s="86"/>
      <c r="C571" s="87"/>
      <c r="D571" s="88">
        <v>228</v>
      </c>
      <c r="E571" s="88">
        <v>910</v>
      </c>
      <c r="F571" s="89">
        <f t="shared" si="436"/>
        <v>0</v>
      </c>
      <c r="G571" s="90">
        <f t="shared" si="437"/>
        <v>0</v>
      </c>
      <c r="H571" s="90">
        <f t="shared" si="438"/>
        <v>0</v>
      </c>
      <c r="I571" s="91" t="str">
        <f t="shared" ref="I571:I572" si="440">I570</f>
        <v>11동4라인</v>
      </c>
      <c r="J571" s="92" t="s">
        <v>209</v>
      </c>
      <c r="L571" s="89">
        <v>2</v>
      </c>
      <c r="M571" s="306">
        <f t="shared" ref="M571:M572" si="441">M570</f>
        <v>0</v>
      </c>
      <c r="N571" s="306"/>
      <c r="O571" s="306">
        <f t="shared" si="439"/>
        <v>0</v>
      </c>
    </row>
    <row r="572" spans="1:16" ht="18" hidden="1" customHeight="1">
      <c r="A572" s="85"/>
      <c r="B572" s="86"/>
      <c r="C572" s="87"/>
      <c r="D572" s="88">
        <v>438</v>
      </c>
      <c r="E572" s="88">
        <v>270</v>
      </c>
      <c r="F572" s="89">
        <f t="shared" si="436"/>
        <v>0</v>
      </c>
      <c r="G572" s="90">
        <f t="shared" si="437"/>
        <v>0</v>
      </c>
      <c r="H572" s="90">
        <f t="shared" si="438"/>
        <v>0</v>
      </c>
      <c r="I572" s="91" t="str">
        <f t="shared" si="440"/>
        <v>11동4라인</v>
      </c>
      <c r="J572" s="92" t="s">
        <v>210</v>
      </c>
      <c r="L572" s="89">
        <v>2</v>
      </c>
      <c r="M572" s="306">
        <f t="shared" si="441"/>
        <v>0</v>
      </c>
      <c r="N572" s="306"/>
      <c r="O572" s="306">
        <f t="shared" si="439"/>
        <v>0</v>
      </c>
    </row>
    <row r="573" spans="1:16" ht="18" hidden="1" customHeight="1">
      <c r="A573" s="85"/>
      <c r="B573" s="93"/>
      <c r="C573" s="87"/>
      <c r="D573" s="325" t="s">
        <v>0</v>
      </c>
      <c r="E573" s="325"/>
      <c r="F573" s="94">
        <f>SUM(F569:F572)</f>
        <v>0</v>
      </c>
      <c r="G573" s="95">
        <f>SUM(G569:G572)</f>
        <v>0</v>
      </c>
      <c r="H573" s="96">
        <f>SUM(H569:H572)</f>
        <v>0</v>
      </c>
      <c r="I573" s="97"/>
      <c r="J573" s="162"/>
    </row>
    <row r="574" spans="1:16" ht="18" hidden="1" customHeight="1">
      <c r="A574" s="85"/>
      <c r="B574" s="93"/>
      <c r="C574" s="87"/>
      <c r="D574" s="161"/>
      <c r="E574" s="161"/>
      <c r="F574" s="89"/>
      <c r="G574" s="100"/>
      <c r="H574" s="101"/>
      <c r="I574" s="102"/>
      <c r="J574" s="121"/>
      <c r="L574" s="252"/>
      <c r="M574" s="252"/>
      <c r="N574" s="252"/>
      <c r="O574" s="252"/>
    </row>
    <row r="575" spans="1:16" ht="18" hidden="1" customHeight="1">
      <c r="A575" s="85"/>
      <c r="B575" s="23" t="s">
        <v>198</v>
      </c>
      <c r="C575" s="24">
        <v>22</v>
      </c>
      <c r="D575" s="88">
        <v>861</v>
      </c>
      <c r="E575" s="88">
        <v>1810</v>
      </c>
      <c r="F575" s="89">
        <f t="shared" ref="F575:F579" si="442">O575</f>
        <v>0</v>
      </c>
      <c r="G575" s="90">
        <f t="shared" ref="G575:G579" si="443">D575*E575/91809*F575</f>
        <v>0</v>
      </c>
      <c r="H575" s="90">
        <f t="shared" ref="H575:H579" si="444">(D575/1000)*4*F575+(E575/1000)*4*F575</f>
        <v>0</v>
      </c>
      <c r="I575" s="91" t="str">
        <f>I569</f>
        <v>11동4라인</v>
      </c>
      <c r="J575" s="92" t="s">
        <v>212</v>
      </c>
      <c r="L575" s="89">
        <v>1</v>
      </c>
      <c r="M575" s="306">
        <f>M569</f>
        <v>0</v>
      </c>
      <c r="N575" s="84"/>
      <c r="O575" s="306">
        <f>L575*M575-N575*L575</f>
        <v>0</v>
      </c>
    </row>
    <row r="576" spans="1:16" ht="18" hidden="1" customHeight="1">
      <c r="A576" s="85"/>
      <c r="B576" s="86"/>
      <c r="C576" s="87"/>
      <c r="D576" s="88">
        <v>2114</v>
      </c>
      <c r="E576" s="88">
        <v>1810</v>
      </c>
      <c r="F576" s="89">
        <f t="shared" si="442"/>
        <v>0</v>
      </c>
      <c r="G576" s="90">
        <f t="shared" si="443"/>
        <v>0</v>
      </c>
      <c r="H576" s="90">
        <f t="shared" si="444"/>
        <v>0</v>
      </c>
      <c r="I576" s="91" t="str">
        <f>I569</f>
        <v>11동4라인</v>
      </c>
      <c r="J576" s="92" t="s">
        <v>213</v>
      </c>
      <c r="L576" s="89">
        <v>1</v>
      </c>
      <c r="M576" s="306">
        <f>M575</f>
        <v>0</v>
      </c>
      <c r="N576" s="84"/>
      <c r="O576" s="306">
        <f>L576*M576-N576*L576</f>
        <v>0</v>
      </c>
    </row>
    <row r="577" spans="1:16" ht="18" hidden="1" customHeight="1">
      <c r="A577" s="104"/>
      <c r="B577" s="93"/>
      <c r="C577" s="87"/>
      <c r="D577" s="88">
        <v>738</v>
      </c>
      <c r="E577" s="88">
        <v>1310</v>
      </c>
      <c r="F577" s="89">
        <f t="shared" si="442"/>
        <v>0</v>
      </c>
      <c r="G577" s="90">
        <f t="shared" si="443"/>
        <v>0</v>
      </c>
      <c r="H577" s="90">
        <f t="shared" si="444"/>
        <v>0</v>
      </c>
      <c r="I577" s="91" t="str">
        <f>I576</f>
        <v>11동4라인</v>
      </c>
      <c r="J577" s="92" t="s">
        <v>214</v>
      </c>
      <c r="L577" s="89">
        <v>4</v>
      </c>
      <c r="M577" s="306">
        <f t="shared" ref="M577:M579" si="445">M576</f>
        <v>0</v>
      </c>
      <c r="N577" s="84"/>
      <c r="O577" s="306">
        <f t="shared" ref="O577:O579" si="446">L577*M577-N577*L577</f>
        <v>0</v>
      </c>
    </row>
    <row r="578" spans="1:16" ht="18" hidden="1" customHeight="1">
      <c r="A578" s="104"/>
      <c r="B578" s="93"/>
      <c r="C578" s="87"/>
      <c r="D578" s="88">
        <v>228</v>
      </c>
      <c r="E578" s="88">
        <v>910</v>
      </c>
      <c r="F578" s="89">
        <f t="shared" si="442"/>
        <v>0</v>
      </c>
      <c r="G578" s="90">
        <f t="shared" si="443"/>
        <v>0</v>
      </c>
      <c r="H578" s="90">
        <f t="shared" si="444"/>
        <v>0</v>
      </c>
      <c r="I578" s="91" t="str">
        <f t="shared" ref="I578:I579" si="447">I577</f>
        <v>11동4라인</v>
      </c>
      <c r="J578" s="92" t="s">
        <v>216</v>
      </c>
      <c r="L578" s="89">
        <v>2</v>
      </c>
      <c r="M578" s="306">
        <f t="shared" si="445"/>
        <v>0</v>
      </c>
      <c r="N578" s="306"/>
      <c r="O578" s="306">
        <f t="shared" si="446"/>
        <v>0</v>
      </c>
    </row>
    <row r="579" spans="1:16" ht="18" hidden="1" customHeight="1">
      <c r="A579" s="104"/>
      <c r="B579" s="93"/>
      <c r="C579" s="87"/>
      <c r="D579" s="88">
        <v>438</v>
      </c>
      <c r="E579" s="88">
        <v>270</v>
      </c>
      <c r="F579" s="89">
        <f t="shared" si="442"/>
        <v>0</v>
      </c>
      <c r="G579" s="90">
        <f t="shared" si="443"/>
        <v>0</v>
      </c>
      <c r="H579" s="90">
        <f t="shared" si="444"/>
        <v>0</v>
      </c>
      <c r="I579" s="91" t="str">
        <f t="shared" si="447"/>
        <v>11동4라인</v>
      </c>
      <c r="J579" s="92" t="s">
        <v>217</v>
      </c>
      <c r="L579" s="89">
        <v>2</v>
      </c>
      <c r="M579" s="306">
        <f t="shared" si="445"/>
        <v>0</v>
      </c>
      <c r="N579" s="306"/>
      <c r="O579" s="306">
        <f t="shared" si="446"/>
        <v>0</v>
      </c>
    </row>
    <row r="580" spans="1:16" ht="18" hidden="1" customHeight="1">
      <c r="A580" s="104"/>
      <c r="B580" s="87"/>
      <c r="C580" s="87"/>
      <c r="D580" s="325" t="s">
        <v>0</v>
      </c>
      <c r="E580" s="325"/>
      <c r="F580" s="171">
        <f>SUM(F575:F579)</f>
        <v>0</v>
      </c>
      <c r="G580" s="95">
        <f>SUM(G575:G579)</f>
        <v>0</v>
      </c>
      <c r="H580" s="95">
        <f>SUM(H575:H579)</f>
        <v>0</v>
      </c>
      <c r="I580" s="97"/>
      <c r="J580" s="98"/>
    </row>
    <row r="581" spans="1:16" hidden="1">
      <c r="A581" s="105"/>
      <c r="B581" s="9"/>
      <c r="C581" s="9"/>
      <c r="D581" s="51"/>
      <c r="E581" s="51"/>
      <c r="F581" s="51"/>
      <c r="G581" s="106"/>
      <c r="H581" s="106"/>
      <c r="I581" s="9"/>
      <c r="J581" s="107"/>
    </row>
    <row r="582" spans="1:16" ht="18" hidden="1" customHeight="1">
      <c r="A582" s="85"/>
      <c r="B582" s="23" t="s">
        <v>237</v>
      </c>
      <c r="C582" s="24">
        <v>22</v>
      </c>
      <c r="D582" s="88">
        <v>2114</v>
      </c>
      <c r="E582" s="88">
        <v>1810</v>
      </c>
      <c r="F582" s="89">
        <f t="shared" ref="F582" si="448">O582</f>
        <v>0</v>
      </c>
      <c r="G582" s="90">
        <f t="shared" ref="G582" si="449">D582*E582/91809*F582</f>
        <v>0</v>
      </c>
      <c r="H582" s="90">
        <f t="shared" ref="H582" si="450">(D582/1000)*4*F582+(E582/1000)*4*F582</f>
        <v>0</v>
      </c>
      <c r="I582" s="91" t="str">
        <f>I575</f>
        <v>11동4라인</v>
      </c>
      <c r="J582" s="92" t="s">
        <v>206</v>
      </c>
      <c r="L582" s="89">
        <v>1</v>
      </c>
      <c r="M582" s="306">
        <f>M569</f>
        <v>0</v>
      </c>
      <c r="N582" s="84"/>
      <c r="O582" s="306">
        <f>L582*M582-N582*L582</f>
        <v>0</v>
      </c>
    </row>
    <row r="583" spans="1:16" ht="18" hidden="1" customHeight="1">
      <c r="A583" s="85"/>
      <c r="B583" s="93"/>
      <c r="C583" s="87"/>
      <c r="D583" s="325" t="s">
        <v>0</v>
      </c>
      <c r="E583" s="325"/>
      <c r="F583" s="94">
        <f>SUM(F582:F582)</f>
        <v>0</v>
      </c>
      <c r="G583" s="95">
        <f>SUM(G582:G582)</f>
        <v>0</v>
      </c>
      <c r="H583" s="95">
        <f>SUM(H582:H582)</f>
        <v>0</v>
      </c>
      <c r="I583" s="97"/>
      <c r="J583" s="98"/>
    </row>
    <row r="584" spans="1:16" ht="18" hidden="1" customHeight="1">
      <c r="A584" s="218"/>
      <c r="B584" s="219"/>
      <c r="C584" s="220"/>
      <c r="D584" s="161"/>
      <c r="E584" s="161"/>
      <c r="F584" s="89"/>
      <c r="G584" s="100"/>
      <c r="H584" s="100"/>
      <c r="I584" s="102"/>
      <c r="J584" s="221"/>
    </row>
    <row r="585" spans="1:16" ht="18" hidden="1" customHeight="1">
      <c r="A585" s="85"/>
      <c r="B585" s="23" t="s">
        <v>200</v>
      </c>
      <c r="C585" s="24">
        <v>22</v>
      </c>
      <c r="D585" s="88">
        <v>738</v>
      </c>
      <c r="E585" s="88">
        <v>1810</v>
      </c>
      <c r="F585" s="89">
        <f t="shared" ref="F585:F586" si="451">O585</f>
        <v>0</v>
      </c>
      <c r="G585" s="90">
        <f t="shared" ref="G585:G586" si="452">D585*E585/91809*F585</f>
        <v>0</v>
      </c>
      <c r="H585" s="90">
        <f t="shared" ref="H585:H586" si="453">(D585/1000)*4*F585+(E585/1000)*4*F585</f>
        <v>0</v>
      </c>
      <c r="I585" s="91" t="str">
        <f>I582</f>
        <v>11동4라인</v>
      </c>
      <c r="J585" s="92" t="s">
        <v>219</v>
      </c>
      <c r="L585" s="89">
        <v>2</v>
      </c>
      <c r="M585" s="306">
        <f>M582</f>
        <v>0</v>
      </c>
      <c r="N585" s="84"/>
      <c r="O585" s="306">
        <f>L585*M585-N585*L585</f>
        <v>0</v>
      </c>
      <c r="P585" s="64"/>
    </row>
    <row r="586" spans="1:16" ht="18" hidden="1" customHeight="1">
      <c r="A586" s="85"/>
      <c r="B586" s="86"/>
      <c r="C586" s="87"/>
      <c r="D586" s="88">
        <v>250</v>
      </c>
      <c r="E586" s="88">
        <v>930</v>
      </c>
      <c r="F586" s="89">
        <f t="shared" si="451"/>
        <v>0</v>
      </c>
      <c r="G586" s="90">
        <f t="shared" si="452"/>
        <v>0</v>
      </c>
      <c r="H586" s="90">
        <f t="shared" si="453"/>
        <v>0</v>
      </c>
      <c r="I586" s="91" t="str">
        <f>I585</f>
        <v>11동4라인</v>
      </c>
      <c r="J586" s="92" t="s">
        <v>220</v>
      </c>
      <c r="L586" s="89">
        <v>2</v>
      </c>
      <c r="M586" s="306">
        <f>M585</f>
        <v>0</v>
      </c>
      <c r="N586" s="84"/>
      <c r="O586" s="306">
        <f t="shared" ref="O586" si="454">L586*M586-N586*L586</f>
        <v>0</v>
      </c>
    </row>
    <row r="587" spans="1:16" ht="18" hidden="1" customHeight="1">
      <c r="A587" s="85"/>
      <c r="B587" s="93"/>
      <c r="C587" s="87"/>
      <c r="D587" s="325" t="s">
        <v>0</v>
      </c>
      <c r="E587" s="325"/>
      <c r="F587" s="94">
        <f>SUM(F585:F586)</f>
        <v>0</v>
      </c>
      <c r="G587" s="95">
        <f>SUM(G585:G586)</f>
        <v>0</v>
      </c>
      <c r="H587" s="96">
        <f>SUM(H585:H586)</f>
        <v>0</v>
      </c>
      <c r="I587" s="97"/>
      <c r="J587" s="162"/>
    </row>
    <row r="588" spans="1:16" hidden="1">
      <c r="A588" s="253"/>
      <c r="B588" s="254"/>
      <c r="C588" s="255"/>
      <c r="D588" s="361"/>
      <c r="E588" s="361"/>
      <c r="F588" s="256"/>
      <c r="G588" s="257"/>
      <c r="H588" s="258"/>
      <c r="I588" s="259"/>
      <c r="J588" s="260"/>
    </row>
    <row r="589" spans="1:16">
      <c r="A589" s="9"/>
      <c r="B589" s="9"/>
      <c r="C589" s="9"/>
      <c r="D589" s="51"/>
      <c r="E589" s="51"/>
      <c r="F589" s="51"/>
      <c r="G589" s="106"/>
      <c r="H589" s="106"/>
      <c r="I589" s="9"/>
      <c r="J589" s="9"/>
    </row>
    <row r="590" spans="1:16">
      <c r="A590" s="9"/>
      <c r="B590" s="9"/>
      <c r="C590" s="9"/>
      <c r="D590" s="51"/>
      <c r="E590" s="51"/>
      <c r="F590" s="51"/>
      <c r="G590" s="106"/>
      <c r="H590" s="106"/>
      <c r="I590" s="9"/>
      <c r="J590" s="9"/>
    </row>
    <row r="591" spans="1:16">
      <c r="A591" s="9"/>
      <c r="B591" s="9"/>
      <c r="C591" s="9"/>
      <c r="D591" s="51"/>
      <c r="E591" s="51"/>
      <c r="F591" s="51"/>
      <c r="G591" s="106"/>
      <c r="H591" s="106"/>
      <c r="I591" s="9"/>
      <c r="J591" s="9"/>
    </row>
    <row r="592" spans="1:16">
      <c r="A592" s="9"/>
      <c r="B592" s="9"/>
      <c r="C592" s="9"/>
      <c r="D592" s="51"/>
      <c r="E592" s="51"/>
      <c r="F592" s="51"/>
      <c r="G592" s="106"/>
      <c r="H592" s="106"/>
      <c r="I592" s="9"/>
      <c r="J592" s="9"/>
    </row>
    <row r="593" spans="1:10">
      <c r="A593" s="9"/>
      <c r="B593" s="9"/>
      <c r="C593" s="9"/>
      <c r="D593" s="51"/>
      <c r="E593" s="51"/>
      <c r="F593" s="51"/>
      <c r="G593" s="106"/>
      <c r="H593" s="106"/>
      <c r="I593" s="9"/>
      <c r="J593" s="9"/>
    </row>
    <row r="594" spans="1:10">
      <c r="A594" s="44" t="s">
        <v>59</v>
      </c>
      <c r="B594" s="23" t="s">
        <v>196</v>
      </c>
      <c r="C594" s="24">
        <v>22</v>
      </c>
      <c r="D594" s="51"/>
      <c r="E594" s="51"/>
      <c r="F594" s="51">
        <f>F573+F555+F533+F510+F491+F468+F450+F428+F407+F386+F365+F343+F320+F301+F279+F257+F234+F213+F193+F171+F148+F127+F107+F86+F64+F41+F22</f>
        <v>1170</v>
      </c>
      <c r="G594" s="51">
        <f t="shared" ref="G594:H594" si="455">G573+G555+G533+G510+G491+G468+G450+G428+G407+G386+G365+G343+G320+G301+G279+G257+G234+G213+G193+G171+G148+G127+G107+G86+G64+G41+G22</f>
        <v>9153.5562962236836</v>
      </c>
      <c r="H594" s="51">
        <f t="shared" si="455"/>
        <v>7724.98</v>
      </c>
      <c r="I594" s="9"/>
      <c r="J594" s="9"/>
    </row>
    <row r="595" spans="1:10">
      <c r="A595" s="44" t="s">
        <v>60</v>
      </c>
      <c r="B595" s="23" t="s">
        <v>198</v>
      </c>
      <c r="C595" s="24">
        <v>22</v>
      </c>
      <c r="D595" s="51"/>
      <c r="E595" s="51"/>
      <c r="F595" s="51">
        <f>F580+F564+F542+F517+F500+F475++F459+F437+F415+F394+F374+F352+F327+F310+F288+F266++F241+F221+F202+F180+F155+F135+F115+F95+F73+F48+F31</f>
        <v>1205</v>
      </c>
      <c r="G595" s="51">
        <f t="shared" ref="G595:H595" si="456">G580+G564+G542+G517+G500+G475++G459+G437+G415+G394+G374+G352+G327+G310+G288+G266++G241+G221+G202+G180+G155+G135+G115+G95+G73+G48+G31</f>
        <v>10612.257512880002</v>
      </c>
      <c r="H595" s="51">
        <f t="shared" si="456"/>
        <v>8274.34</v>
      </c>
      <c r="I595" s="9"/>
      <c r="J595" s="9"/>
    </row>
    <row r="596" spans="1:10">
      <c r="A596" s="44" t="s">
        <v>92</v>
      </c>
      <c r="B596" s="23" t="s">
        <v>237</v>
      </c>
      <c r="C596" s="24">
        <v>22</v>
      </c>
      <c r="D596" s="51"/>
      <c r="E596" s="51"/>
      <c r="F596" s="51">
        <f>F583+F520+F478+F330+F244++F158+F51+F224++F138</f>
        <v>35</v>
      </c>
      <c r="G596" s="51">
        <f t="shared" ref="G596:H596" si="457">G583+G520+G478+G330+G244++G158+G51+G224++G138</f>
        <v>1458.701216656319</v>
      </c>
      <c r="H596" s="51">
        <f t="shared" si="457"/>
        <v>549.36</v>
      </c>
      <c r="I596" s="9"/>
      <c r="J596" s="9"/>
    </row>
    <row r="597" spans="1:10">
      <c r="A597" s="44" t="s">
        <v>110</v>
      </c>
      <c r="B597" s="23" t="s">
        <v>200</v>
      </c>
      <c r="C597" s="24">
        <v>22</v>
      </c>
      <c r="D597" s="51"/>
      <c r="E597" s="51"/>
      <c r="F597" s="51">
        <f>F587+F568+F546+F524+F504+F482+F463+F441+F420+F399+F378+F356+F334+F314+F292+F270+F248+F228+F206+F184+F162+F142+F120+F99+F77+F55+F35</f>
        <v>320</v>
      </c>
      <c r="G597" s="51">
        <f t="shared" ref="G597:H597" si="458">G587+G568+G546+G524+G504+G482+G463+G441+G420+G399+G378+G356+G334+G314+G292+G270+G248+G228+G206+G184+G162+G142+G120+G99+G77+G55+G35</f>
        <v>2453.3455325730597</v>
      </c>
      <c r="H597" s="51">
        <f t="shared" si="458"/>
        <v>2268.4799999999996</v>
      </c>
      <c r="I597" s="9"/>
      <c r="J597" s="9"/>
    </row>
    <row r="598" spans="1:10">
      <c r="A598" s="44" t="s">
        <v>111</v>
      </c>
      <c r="B598" s="23" t="s">
        <v>90</v>
      </c>
      <c r="C598" s="24">
        <v>22</v>
      </c>
      <c r="D598" s="51"/>
      <c r="E598" s="51"/>
      <c r="F598" s="51"/>
      <c r="G598" s="106"/>
      <c r="H598" s="106"/>
      <c r="I598" s="9"/>
      <c r="J598" s="9"/>
    </row>
    <row r="599" spans="1:10">
      <c r="A599" s="9"/>
      <c r="B599" s="9"/>
      <c r="C599" s="9"/>
      <c r="D599" s="51"/>
      <c r="E599" s="51"/>
      <c r="F599" s="47">
        <f>SUM(F594:F598)</f>
        <v>2730</v>
      </c>
      <c r="G599" s="106">
        <f t="shared" ref="G599:H599" si="459">SUM(G594:G598)</f>
        <v>23677.860558333065</v>
      </c>
      <c r="H599" s="307">
        <f t="shared" si="459"/>
        <v>18817.16</v>
      </c>
      <c r="I599" s="9"/>
      <c r="J599" s="9"/>
    </row>
    <row r="600" spans="1:10">
      <c r="A600" s="9"/>
      <c r="B600" s="9"/>
      <c r="C600" s="9"/>
      <c r="D600" s="51"/>
      <c r="E600" s="51"/>
      <c r="F600" s="51"/>
      <c r="G600" s="106"/>
      <c r="H600" s="106"/>
      <c r="I600" s="9"/>
      <c r="J600" s="9"/>
    </row>
    <row r="601" spans="1:10">
      <c r="A601" s="9"/>
      <c r="B601" s="9"/>
      <c r="C601" s="9"/>
      <c r="D601" s="51"/>
      <c r="E601" s="51"/>
      <c r="F601" s="51"/>
      <c r="G601" s="106"/>
      <c r="H601" s="106"/>
      <c r="I601" s="9"/>
      <c r="J601" s="9"/>
    </row>
  </sheetData>
  <mergeCells count="118">
    <mergeCell ref="A1:G3"/>
    <mergeCell ref="B4:F4"/>
    <mergeCell ref="H4:J4"/>
    <mergeCell ref="B5:E5"/>
    <mergeCell ref="G5:J5"/>
    <mergeCell ref="B6:E6"/>
    <mergeCell ref="G6:J6"/>
    <mergeCell ref="D22:E22"/>
    <mergeCell ref="D31:E31"/>
    <mergeCell ref="D35:E35"/>
    <mergeCell ref="D41:E41"/>
    <mergeCell ref="D48:E48"/>
    <mergeCell ref="D51:E51"/>
    <mergeCell ref="B7:E7"/>
    <mergeCell ref="G7:J7"/>
    <mergeCell ref="A10:J10"/>
    <mergeCell ref="A13:A14"/>
    <mergeCell ref="B13:B14"/>
    <mergeCell ref="C13:E13"/>
    <mergeCell ref="F13:F14"/>
    <mergeCell ref="G13:G14"/>
    <mergeCell ref="H13:H14"/>
    <mergeCell ref="I13:J14"/>
    <mergeCell ref="D95:E95"/>
    <mergeCell ref="D99:E99"/>
    <mergeCell ref="D107:E107"/>
    <mergeCell ref="D115:E115"/>
    <mergeCell ref="D120:E120"/>
    <mergeCell ref="D121:E121"/>
    <mergeCell ref="D55:E55"/>
    <mergeCell ref="D64:E64"/>
    <mergeCell ref="D73:E73"/>
    <mergeCell ref="D77:E77"/>
    <mergeCell ref="D78:E78"/>
    <mergeCell ref="D86:E86"/>
    <mergeCell ref="D158:E158"/>
    <mergeCell ref="D162:E162"/>
    <mergeCell ref="D171:E171"/>
    <mergeCell ref="D180:E180"/>
    <mergeCell ref="D184:E184"/>
    <mergeCell ref="D185:E185"/>
    <mergeCell ref="D127:E127"/>
    <mergeCell ref="D135:E135"/>
    <mergeCell ref="D138:E138"/>
    <mergeCell ref="D142:E142"/>
    <mergeCell ref="D148:E148"/>
    <mergeCell ref="D155:E155"/>
    <mergeCell ref="D224:E224"/>
    <mergeCell ref="D228:E228"/>
    <mergeCell ref="D234:E234"/>
    <mergeCell ref="D241:E241"/>
    <mergeCell ref="D244:E244"/>
    <mergeCell ref="D248:E248"/>
    <mergeCell ref="D193:E193"/>
    <mergeCell ref="D202:E202"/>
    <mergeCell ref="D206:E206"/>
    <mergeCell ref="D207:E207"/>
    <mergeCell ref="D213:E213"/>
    <mergeCell ref="D221:E221"/>
    <mergeCell ref="D292:E292"/>
    <mergeCell ref="D301:E301"/>
    <mergeCell ref="D310:E310"/>
    <mergeCell ref="D314:E314"/>
    <mergeCell ref="D320:E320"/>
    <mergeCell ref="D327:E327"/>
    <mergeCell ref="D257:E257"/>
    <mergeCell ref="D266:E266"/>
    <mergeCell ref="D270:E270"/>
    <mergeCell ref="D271:E271"/>
    <mergeCell ref="D279:E279"/>
    <mergeCell ref="D288:E288"/>
    <mergeCell ref="D365:E365"/>
    <mergeCell ref="D374:E374"/>
    <mergeCell ref="D378:E378"/>
    <mergeCell ref="D386:E386"/>
    <mergeCell ref="D394:E394"/>
    <mergeCell ref="D399:E399"/>
    <mergeCell ref="D330:E330"/>
    <mergeCell ref="D334:E334"/>
    <mergeCell ref="D343:E343"/>
    <mergeCell ref="D352:E352"/>
    <mergeCell ref="D356:E356"/>
    <mergeCell ref="D357:E357"/>
    <mergeCell ref="D441:E441"/>
    <mergeCell ref="D442:E442"/>
    <mergeCell ref="D450:E450"/>
    <mergeCell ref="D459:E459"/>
    <mergeCell ref="D463:E463"/>
    <mergeCell ref="D468:E468"/>
    <mergeCell ref="D400:E400"/>
    <mergeCell ref="D407:E407"/>
    <mergeCell ref="D415:E415"/>
    <mergeCell ref="D420:E420"/>
    <mergeCell ref="D428:E428"/>
    <mergeCell ref="D437:E437"/>
    <mergeCell ref="D504:E504"/>
    <mergeCell ref="D510:E510"/>
    <mergeCell ref="D517:E517"/>
    <mergeCell ref="D520:E520"/>
    <mergeCell ref="D524:E524"/>
    <mergeCell ref="D533:E533"/>
    <mergeCell ref="D475:E475"/>
    <mergeCell ref="D478:E478"/>
    <mergeCell ref="D482:E482"/>
    <mergeCell ref="D483:E483"/>
    <mergeCell ref="D491:E491"/>
    <mergeCell ref="D500:E500"/>
    <mergeCell ref="D573:E573"/>
    <mergeCell ref="D580:E580"/>
    <mergeCell ref="D583:E583"/>
    <mergeCell ref="D587:E587"/>
    <mergeCell ref="D588:E588"/>
    <mergeCell ref="D542:E542"/>
    <mergeCell ref="D546:E546"/>
    <mergeCell ref="D547:E547"/>
    <mergeCell ref="D555:E555"/>
    <mergeCell ref="D564:E564"/>
    <mergeCell ref="D568:E568"/>
  </mergeCells>
  <phoneticPr fontId="4" type="noConversion"/>
  <pageMargins left="0.17" right="0.17" top="0.75" bottom="0.75" header="0.3" footer="0.3"/>
  <pageSetup paperSize="9" scale="87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  <pageSetUpPr fitToPage="1"/>
  </sheetPr>
  <dimension ref="A1:P601"/>
  <sheetViews>
    <sheetView tabSelected="1" topLeftCell="A526" workbookViewId="0">
      <selection activeCell="O592" sqref="O592"/>
    </sheetView>
  </sheetViews>
  <sheetFormatPr defaultRowHeight="16.5"/>
  <cols>
    <col min="1" max="1" width="11" customWidth="1"/>
    <col min="2" max="2" width="18.625" customWidth="1"/>
    <col min="3" max="3" width="8.125" customWidth="1"/>
    <col min="4" max="4" width="11" style="122" customWidth="1"/>
    <col min="5" max="5" width="11.5" style="122" customWidth="1"/>
    <col min="6" max="6" width="6.875" style="122" customWidth="1"/>
    <col min="7" max="8" width="10.375" style="13" customWidth="1"/>
    <col min="9" max="10" width="9.375" customWidth="1"/>
  </cols>
  <sheetData>
    <row r="1" spans="1:16" ht="15" customHeight="1">
      <c r="A1" s="350" t="s">
        <v>28</v>
      </c>
      <c r="B1" s="350"/>
      <c r="C1" s="350"/>
      <c r="D1" s="350"/>
      <c r="E1" s="350"/>
      <c r="F1" s="350"/>
      <c r="G1" s="350"/>
      <c r="H1" s="55" t="s">
        <v>29</v>
      </c>
      <c r="I1" s="56"/>
      <c r="J1" s="57"/>
    </row>
    <row r="2" spans="1:16" ht="15" customHeight="1">
      <c r="A2" s="350"/>
      <c r="B2" s="350"/>
      <c r="C2" s="350"/>
      <c r="D2" s="350"/>
      <c r="E2" s="350"/>
      <c r="F2" s="350"/>
      <c r="G2" s="350"/>
      <c r="H2" s="58" t="s">
        <v>389</v>
      </c>
      <c r="I2" s="59"/>
      <c r="J2" s="57"/>
    </row>
    <row r="3" spans="1:16" ht="15" customHeight="1" thickBot="1">
      <c r="A3" s="351"/>
      <c r="B3" s="351"/>
      <c r="C3" s="351"/>
      <c r="D3" s="351"/>
      <c r="E3" s="351"/>
      <c r="F3" s="351"/>
      <c r="G3" s="351"/>
      <c r="H3" s="60"/>
      <c r="I3" s="61"/>
      <c r="J3" s="61"/>
    </row>
    <row r="4" spans="1:16" ht="23.1" customHeight="1">
      <c r="A4" s="62" t="s">
        <v>30</v>
      </c>
      <c r="B4" s="352" t="s">
        <v>113</v>
      </c>
      <c r="C4" s="353"/>
      <c r="D4" s="353"/>
      <c r="E4" s="353"/>
      <c r="F4" s="354"/>
      <c r="G4" s="63" t="s">
        <v>31</v>
      </c>
      <c r="H4" s="355" t="s">
        <v>228</v>
      </c>
      <c r="I4" s="356"/>
      <c r="J4" s="357"/>
      <c r="K4" s="64"/>
    </row>
    <row r="5" spans="1:16" ht="23.1" customHeight="1">
      <c r="A5" s="65" t="s">
        <v>32</v>
      </c>
      <c r="B5" s="358"/>
      <c r="C5" s="359"/>
      <c r="D5" s="359"/>
      <c r="E5" s="360"/>
      <c r="F5" s="66" t="s">
        <v>33</v>
      </c>
      <c r="G5" s="347"/>
      <c r="H5" s="348"/>
      <c r="I5" s="348"/>
      <c r="J5" s="349"/>
    </row>
    <row r="6" spans="1:16" ht="23.1" customHeight="1">
      <c r="A6" s="65" t="s">
        <v>34</v>
      </c>
      <c r="B6" s="346" t="s">
        <v>385</v>
      </c>
      <c r="C6" s="346"/>
      <c r="D6" s="346"/>
      <c r="E6" s="346"/>
      <c r="F6" s="67" t="s">
        <v>35</v>
      </c>
      <c r="G6" s="347"/>
      <c r="H6" s="348"/>
      <c r="I6" s="348"/>
      <c r="J6" s="349"/>
    </row>
    <row r="7" spans="1:16" ht="23.1" customHeight="1" thickBot="1">
      <c r="A7" s="68" t="s">
        <v>36</v>
      </c>
      <c r="B7" s="326" t="s">
        <v>386</v>
      </c>
      <c r="C7" s="326"/>
      <c r="D7" s="326"/>
      <c r="E7" s="326"/>
      <c r="F7" s="69" t="s">
        <v>37</v>
      </c>
      <c r="G7" s="327" t="s">
        <v>226</v>
      </c>
      <c r="H7" s="328"/>
      <c r="I7" s="328"/>
      <c r="J7" s="329"/>
    </row>
    <row r="8" spans="1:16" ht="3" customHeight="1">
      <c r="A8" s="70"/>
      <c r="B8" s="70"/>
      <c r="C8" s="70"/>
      <c r="D8" s="71"/>
      <c r="E8" s="71"/>
      <c r="F8" s="71"/>
      <c r="G8" s="72"/>
      <c r="H8" s="72"/>
      <c r="I8" s="70"/>
      <c r="J8" s="70"/>
    </row>
    <row r="9" spans="1:16" ht="0.75" customHeight="1" thickBot="1">
      <c r="A9" s="70"/>
      <c r="B9" s="70"/>
      <c r="C9" s="70"/>
      <c r="D9" s="71"/>
      <c r="E9" s="71"/>
      <c r="F9" s="71"/>
      <c r="G9" s="72"/>
      <c r="H9" s="72"/>
      <c r="I9" s="70"/>
      <c r="J9" s="70"/>
    </row>
    <row r="10" spans="1:16" ht="30.75" customHeight="1">
      <c r="A10" s="330" t="s">
        <v>38</v>
      </c>
      <c r="B10" s="331"/>
      <c r="C10" s="331"/>
      <c r="D10" s="331"/>
      <c r="E10" s="331"/>
      <c r="F10" s="331"/>
      <c r="G10" s="331"/>
      <c r="H10" s="331"/>
      <c r="I10" s="331"/>
      <c r="J10" s="332"/>
    </row>
    <row r="11" spans="1:16" ht="30.75" customHeight="1">
      <c r="A11" s="274" t="s">
        <v>390</v>
      </c>
      <c r="B11" s="275"/>
      <c r="C11" s="275"/>
      <c r="D11" s="275"/>
      <c r="E11" s="275"/>
      <c r="F11" s="275"/>
      <c r="G11" s="275"/>
      <c r="H11" s="275"/>
      <c r="I11" s="275"/>
      <c r="J11" s="289"/>
    </row>
    <row r="12" spans="1:16" ht="30.75" customHeight="1" thickBot="1">
      <c r="A12" s="73" t="s">
        <v>232</v>
      </c>
      <c r="B12" s="74"/>
      <c r="C12" s="74"/>
      <c r="D12" s="74"/>
      <c r="E12" s="74"/>
      <c r="F12" s="74"/>
      <c r="G12" s="75"/>
      <c r="H12" s="75"/>
      <c r="I12" s="74"/>
      <c r="J12" s="179" t="s">
        <v>115</v>
      </c>
    </row>
    <row r="13" spans="1:16" ht="18" customHeight="1">
      <c r="A13" s="333" t="s">
        <v>39</v>
      </c>
      <c r="B13" s="335" t="s">
        <v>40</v>
      </c>
      <c r="C13" s="337" t="s">
        <v>7</v>
      </c>
      <c r="D13" s="337"/>
      <c r="E13" s="337"/>
      <c r="F13" s="338" t="s">
        <v>41</v>
      </c>
      <c r="G13" s="340" t="s">
        <v>42</v>
      </c>
      <c r="H13" s="340" t="s">
        <v>43</v>
      </c>
      <c r="I13" s="342" t="s">
        <v>44</v>
      </c>
      <c r="J13" s="343"/>
    </row>
    <row r="14" spans="1:16" ht="18" customHeight="1" thickBot="1">
      <c r="A14" s="334"/>
      <c r="B14" s="336"/>
      <c r="C14" s="76" t="s">
        <v>45</v>
      </c>
      <c r="D14" s="304" t="s">
        <v>46</v>
      </c>
      <c r="E14" s="304" t="s">
        <v>47</v>
      </c>
      <c r="F14" s="339"/>
      <c r="G14" s="341"/>
      <c r="H14" s="341"/>
      <c r="I14" s="344"/>
      <c r="J14" s="345"/>
      <c r="L14" s="306" t="s">
        <v>48</v>
      </c>
      <c r="M14" s="306" t="s">
        <v>49</v>
      </c>
      <c r="N14" s="306" t="s">
        <v>50</v>
      </c>
      <c r="O14" s="306" t="s">
        <v>51</v>
      </c>
    </row>
    <row r="15" spans="1:16" ht="18" customHeight="1">
      <c r="A15" s="79" t="s">
        <v>234</v>
      </c>
      <c r="B15" s="23" t="s">
        <v>195</v>
      </c>
      <c r="C15" s="24">
        <v>22</v>
      </c>
      <c r="D15" s="80">
        <v>761</v>
      </c>
      <c r="E15" s="80">
        <v>1810</v>
      </c>
      <c r="F15" s="89">
        <f>O15</f>
        <v>20</v>
      </c>
      <c r="G15" s="81">
        <f t="shared" ref="G15:G21" si="0">D15*E15/91809*F15</f>
        <v>300.05990698079711</v>
      </c>
      <c r="H15" s="81">
        <f t="shared" ref="H15:H21" si="1">(D15/1000)*4*F15+(E15/1000)*4*F15</f>
        <v>205.68</v>
      </c>
      <c r="I15" s="91" t="s">
        <v>233</v>
      </c>
      <c r="J15" s="92" t="s">
        <v>205</v>
      </c>
      <c r="L15" s="89">
        <v>2</v>
      </c>
      <c r="M15" s="306">
        <v>10</v>
      </c>
      <c r="N15" s="84"/>
      <c r="O15" s="306">
        <f>L15*M15-N15*L15</f>
        <v>20</v>
      </c>
      <c r="P15" s="64"/>
    </row>
    <row r="16" spans="1:16" ht="18" customHeight="1">
      <c r="A16" s="85"/>
      <c r="B16" s="86"/>
      <c r="C16" s="87"/>
      <c r="D16" s="88">
        <v>1688</v>
      </c>
      <c r="E16" s="88">
        <v>1810</v>
      </c>
      <c r="F16" s="89">
        <f t="shared" ref="F16:F21" si="2">O16</f>
        <v>10</v>
      </c>
      <c r="G16" s="90">
        <f t="shared" si="0"/>
        <v>332.78654598133079</v>
      </c>
      <c r="H16" s="90">
        <f t="shared" si="1"/>
        <v>139.92000000000002</v>
      </c>
      <c r="I16" s="91" t="str">
        <f>I15</f>
        <v>1동1,2라인</v>
      </c>
      <c r="J16" s="92" t="s">
        <v>206</v>
      </c>
      <c r="L16" s="89">
        <v>1</v>
      </c>
      <c r="M16" s="306">
        <f>M15</f>
        <v>10</v>
      </c>
      <c r="N16" s="84"/>
      <c r="O16" s="306">
        <f t="shared" ref="O16:O21" si="3">L16*M16-N16*L16</f>
        <v>10</v>
      </c>
    </row>
    <row r="17" spans="1:15" ht="18" customHeight="1">
      <c r="A17" s="85"/>
      <c r="B17" s="86"/>
      <c r="C17" s="87"/>
      <c r="D17" s="88">
        <v>738</v>
      </c>
      <c r="E17" s="88">
        <v>1310</v>
      </c>
      <c r="F17" s="89">
        <f t="shared" si="2"/>
        <v>40</v>
      </c>
      <c r="G17" s="90">
        <f t="shared" si="0"/>
        <v>421.2136065091658</v>
      </c>
      <c r="H17" s="90">
        <f t="shared" si="1"/>
        <v>327.68</v>
      </c>
      <c r="I17" s="91" t="str">
        <f t="shared" ref="I17:I21" si="4">I16</f>
        <v>1동1,2라인</v>
      </c>
      <c r="J17" s="92" t="s">
        <v>207</v>
      </c>
      <c r="L17" s="89">
        <v>4</v>
      </c>
      <c r="M17" s="306">
        <f t="shared" ref="M17:M20" si="5">M16</f>
        <v>10</v>
      </c>
      <c r="N17" s="306"/>
      <c r="O17" s="306">
        <f t="shared" si="3"/>
        <v>40</v>
      </c>
    </row>
    <row r="18" spans="1:15" ht="18" customHeight="1">
      <c r="A18" s="85"/>
      <c r="B18" s="86"/>
      <c r="C18" s="87"/>
      <c r="D18" s="88">
        <v>288</v>
      </c>
      <c r="E18" s="88">
        <v>910</v>
      </c>
      <c r="F18" s="89">
        <f t="shared" si="2"/>
        <v>20</v>
      </c>
      <c r="G18" s="90">
        <f t="shared" si="0"/>
        <v>57.09244191745907</v>
      </c>
      <c r="H18" s="90">
        <f t="shared" si="1"/>
        <v>95.84</v>
      </c>
      <c r="I18" s="91" t="str">
        <f t="shared" si="4"/>
        <v>1동1,2라인</v>
      </c>
      <c r="J18" s="92" t="s">
        <v>208</v>
      </c>
      <c r="L18" s="89">
        <v>2</v>
      </c>
      <c r="M18" s="306">
        <f t="shared" si="5"/>
        <v>10</v>
      </c>
      <c r="N18" s="306"/>
      <c r="O18" s="306">
        <f t="shared" si="3"/>
        <v>20</v>
      </c>
    </row>
    <row r="19" spans="1:15" ht="18" customHeight="1">
      <c r="A19" s="85"/>
      <c r="B19" s="86"/>
      <c r="C19" s="87"/>
      <c r="D19" s="88">
        <v>228</v>
      </c>
      <c r="E19" s="88">
        <v>910</v>
      </c>
      <c r="F19" s="89">
        <f t="shared" si="2"/>
        <v>20</v>
      </c>
      <c r="G19" s="90">
        <f t="shared" si="0"/>
        <v>45.1981831846551</v>
      </c>
      <c r="H19" s="90">
        <f t="shared" si="1"/>
        <v>91.039999999999992</v>
      </c>
      <c r="I19" s="91" t="str">
        <f t="shared" si="4"/>
        <v>1동1,2라인</v>
      </c>
      <c r="J19" s="92" t="s">
        <v>209</v>
      </c>
      <c r="L19" s="89">
        <v>2</v>
      </c>
      <c r="M19" s="306">
        <f t="shared" si="5"/>
        <v>10</v>
      </c>
      <c r="N19" s="306"/>
      <c r="O19" s="306">
        <f t="shared" si="3"/>
        <v>20</v>
      </c>
    </row>
    <row r="20" spans="1:15" ht="18" customHeight="1">
      <c r="A20" s="85"/>
      <c r="B20" s="86"/>
      <c r="C20" s="87"/>
      <c r="D20" s="88">
        <v>438</v>
      </c>
      <c r="E20" s="88">
        <v>270</v>
      </c>
      <c r="F20" s="89">
        <f t="shared" si="2"/>
        <v>20</v>
      </c>
      <c r="G20" s="90">
        <f t="shared" si="0"/>
        <v>25.762180178413882</v>
      </c>
      <c r="H20" s="90">
        <f t="shared" si="1"/>
        <v>56.64</v>
      </c>
      <c r="I20" s="91" t="str">
        <f t="shared" si="4"/>
        <v>1동1,2라인</v>
      </c>
      <c r="J20" s="92" t="s">
        <v>210</v>
      </c>
      <c r="L20" s="89">
        <v>2</v>
      </c>
      <c r="M20" s="306">
        <f t="shared" si="5"/>
        <v>10</v>
      </c>
      <c r="N20" s="306"/>
      <c r="O20" s="306">
        <f t="shared" si="3"/>
        <v>20</v>
      </c>
    </row>
    <row r="21" spans="1:15" ht="18" customHeight="1">
      <c r="A21" s="85"/>
      <c r="B21" s="86"/>
      <c r="C21" s="87"/>
      <c r="D21" s="88">
        <v>208</v>
      </c>
      <c r="E21" s="88">
        <v>910</v>
      </c>
      <c r="F21" s="89">
        <f t="shared" si="2"/>
        <v>20</v>
      </c>
      <c r="G21" s="90">
        <f t="shared" si="0"/>
        <v>41.233430273720444</v>
      </c>
      <c r="H21" s="90">
        <f t="shared" si="1"/>
        <v>89.44</v>
      </c>
      <c r="I21" s="91" t="str">
        <f t="shared" si="4"/>
        <v>1동1,2라인</v>
      </c>
      <c r="J21" s="92" t="s">
        <v>211</v>
      </c>
      <c r="L21" s="89">
        <v>2</v>
      </c>
      <c r="M21" s="306">
        <f>M20</f>
        <v>10</v>
      </c>
      <c r="N21" s="306"/>
      <c r="O21" s="306">
        <f t="shared" si="3"/>
        <v>20</v>
      </c>
    </row>
    <row r="22" spans="1:15" ht="18" customHeight="1">
      <c r="A22" s="85"/>
      <c r="B22" s="93"/>
      <c r="C22" s="87"/>
      <c r="D22" s="325" t="s">
        <v>0</v>
      </c>
      <c r="E22" s="325"/>
      <c r="F22" s="94">
        <f>SUM(F15:F21)</f>
        <v>150</v>
      </c>
      <c r="G22" s="95">
        <f>SUM(G15:G21)</f>
        <v>1223.3462950255423</v>
      </c>
      <c r="H22" s="96">
        <f>SUM(H15:H21)</f>
        <v>1006.24</v>
      </c>
      <c r="I22" s="97"/>
      <c r="J22" s="162"/>
    </row>
    <row r="23" spans="1:15" ht="18" customHeight="1">
      <c r="A23" s="85"/>
      <c r="B23" s="93"/>
      <c r="C23" s="87"/>
      <c r="D23" s="161"/>
      <c r="E23" s="161"/>
      <c r="F23" s="89"/>
      <c r="G23" s="100"/>
      <c r="H23" s="101"/>
      <c r="I23" s="102"/>
      <c r="J23" s="121"/>
      <c r="L23" s="306" t="s">
        <v>48</v>
      </c>
      <c r="M23" s="306" t="s">
        <v>54</v>
      </c>
      <c r="N23" s="306" t="s">
        <v>50</v>
      </c>
      <c r="O23" s="306" t="s">
        <v>55</v>
      </c>
    </row>
    <row r="24" spans="1:15" ht="18" customHeight="1">
      <c r="A24" s="85"/>
      <c r="B24" s="23" t="s">
        <v>197</v>
      </c>
      <c r="C24" s="24">
        <v>22</v>
      </c>
      <c r="D24" s="88">
        <v>761</v>
      </c>
      <c r="E24" s="88">
        <v>1810</v>
      </c>
      <c r="F24" s="89">
        <f t="shared" ref="F24:F30" si="6">O24</f>
        <v>20</v>
      </c>
      <c r="G24" s="90">
        <f t="shared" ref="G24:G30" si="7">D24*E24/91809*F24</f>
        <v>300.05990698079711</v>
      </c>
      <c r="H24" s="90">
        <f t="shared" ref="H24:H30" si="8">(D24/1000)*4*F24+(E24/1000)*4*F24</f>
        <v>205.68</v>
      </c>
      <c r="I24" s="91" t="str">
        <f t="shared" ref="I24:I30" si="9">I15</f>
        <v>1동1,2라인</v>
      </c>
      <c r="J24" s="92" t="s">
        <v>212</v>
      </c>
      <c r="L24" s="89">
        <v>2</v>
      </c>
      <c r="M24" s="306">
        <f>M15</f>
        <v>10</v>
      </c>
      <c r="N24" s="84"/>
      <c r="O24" s="306">
        <f>L24*M24-N24*L24</f>
        <v>20</v>
      </c>
    </row>
    <row r="25" spans="1:15" ht="18" customHeight="1">
      <c r="A25" s="85"/>
      <c r="B25" s="86"/>
      <c r="C25" s="87"/>
      <c r="D25" s="88">
        <v>1688</v>
      </c>
      <c r="E25" s="88">
        <v>1810</v>
      </c>
      <c r="F25" s="89">
        <f t="shared" si="6"/>
        <v>10</v>
      </c>
      <c r="G25" s="90">
        <f t="shared" si="7"/>
        <v>332.78654598133079</v>
      </c>
      <c r="H25" s="90">
        <f t="shared" si="8"/>
        <v>139.92000000000002</v>
      </c>
      <c r="I25" s="91" t="str">
        <f t="shared" si="9"/>
        <v>1동1,2라인</v>
      </c>
      <c r="J25" s="92" t="s">
        <v>213</v>
      </c>
      <c r="L25" s="89">
        <v>1</v>
      </c>
      <c r="M25" s="306">
        <f>M24</f>
        <v>10</v>
      </c>
      <c r="N25" s="84"/>
      <c r="O25" s="306">
        <f>L25*M25-N25*L25</f>
        <v>10</v>
      </c>
    </row>
    <row r="26" spans="1:15" ht="18" customHeight="1">
      <c r="A26" s="104"/>
      <c r="B26" s="93"/>
      <c r="C26" s="87"/>
      <c r="D26" s="88">
        <v>738</v>
      </c>
      <c r="E26" s="88">
        <v>1310</v>
      </c>
      <c r="F26" s="89">
        <f t="shared" si="6"/>
        <v>40</v>
      </c>
      <c r="G26" s="90">
        <f t="shared" si="7"/>
        <v>421.2136065091658</v>
      </c>
      <c r="H26" s="90">
        <f t="shared" si="8"/>
        <v>327.68</v>
      </c>
      <c r="I26" s="91" t="str">
        <f t="shared" si="9"/>
        <v>1동1,2라인</v>
      </c>
      <c r="J26" s="92" t="s">
        <v>214</v>
      </c>
      <c r="L26" s="89">
        <v>4</v>
      </c>
      <c r="M26" s="306">
        <f t="shared" ref="M26:M30" si="10">M25</f>
        <v>10</v>
      </c>
      <c r="N26" s="84"/>
      <c r="O26" s="306">
        <f t="shared" ref="O26:O30" si="11">L26*M26-N26*L26</f>
        <v>40</v>
      </c>
    </row>
    <row r="27" spans="1:15" ht="18" customHeight="1">
      <c r="A27" s="104"/>
      <c r="B27" s="93"/>
      <c r="C27" s="87"/>
      <c r="D27" s="88">
        <v>288</v>
      </c>
      <c r="E27" s="88">
        <v>910</v>
      </c>
      <c r="F27" s="89">
        <f t="shared" si="6"/>
        <v>20</v>
      </c>
      <c r="G27" s="90">
        <f t="shared" si="7"/>
        <v>57.09244191745907</v>
      </c>
      <c r="H27" s="90">
        <f t="shared" si="8"/>
        <v>95.84</v>
      </c>
      <c r="I27" s="91" t="str">
        <f t="shared" si="9"/>
        <v>1동1,2라인</v>
      </c>
      <c r="J27" s="92" t="s">
        <v>215</v>
      </c>
      <c r="L27" s="89">
        <v>2</v>
      </c>
      <c r="M27" s="306">
        <f t="shared" si="10"/>
        <v>10</v>
      </c>
      <c r="N27" s="306"/>
      <c r="O27" s="306">
        <f t="shared" si="11"/>
        <v>20</v>
      </c>
    </row>
    <row r="28" spans="1:15" ht="18" customHeight="1">
      <c r="A28" s="104"/>
      <c r="B28" s="93"/>
      <c r="C28" s="87"/>
      <c r="D28" s="88">
        <v>228</v>
      </c>
      <c r="E28" s="88">
        <v>910</v>
      </c>
      <c r="F28" s="89">
        <f t="shared" si="6"/>
        <v>20</v>
      </c>
      <c r="G28" s="90">
        <f t="shared" si="7"/>
        <v>45.1981831846551</v>
      </c>
      <c r="H28" s="90">
        <f t="shared" si="8"/>
        <v>91.039999999999992</v>
      </c>
      <c r="I28" s="91" t="str">
        <f t="shared" si="9"/>
        <v>1동1,2라인</v>
      </c>
      <c r="J28" s="92" t="s">
        <v>216</v>
      </c>
      <c r="L28" s="89">
        <v>2</v>
      </c>
      <c r="M28" s="306">
        <f t="shared" si="10"/>
        <v>10</v>
      </c>
      <c r="N28" s="306"/>
      <c r="O28" s="306">
        <f t="shared" si="11"/>
        <v>20</v>
      </c>
    </row>
    <row r="29" spans="1:15" ht="18" customHeight="1">
      <c r="A29" s="104"/>
      <c r="B29" s="93"/>
      <c r="C29" s="87"/>
      <c r="D29" s="88">
        <v>438</v>
      </c>
      <c r="E29" s="88">
        <v>270</v>
      </c>
      <c r="F29" s="89">
        <f t="shared" si="6"/>
        <v>20</v>
      </c>
      <c r="G29" s="90">
        <f t="shared" si="7"/>
        <v>25.762180178413882</v>
      </c>
      <c r="H29" s="90">
        <f t="shared" si="8"/>
        <v>56.64</v>
      </c>
      <c r="I29" s="91" t="str">
        <f t="shared" si="9"/>
        <v>1동1,2라인</v>
      </c>
      <c r="J29" s="92" t="s">
        <v>217</v>
      </c>
      <c r="L29" s="89">
        <v>2</v>
      </c>
      <c r="M29" s="306">
        <f t="shared" si="10"/>
        <v>10</v>
      </c>
      <c r="N29" s="306"/>
      <c r="O29" s="306">
        <f t="shared" si="11"/>
        <v>20</v>
      </c>
    </row>
    <row r="30" spans="1:15" ht="18" customHeight="1">
      <c r="A30" s="104"/>
      <c r="B30" s="93"/>
      <c r="C30" s="87"/>
      <c r="D30" s="88">
        <v>208</v>
      </c>
      <c r="E30" s="88">
        <v>910</v>
      </c>
      <c r="F30" s="89">
        <f t="shared" si="6"/>
        <v>20</v>
      </c>
      <c r="G30" s="90">
        <f t="shared" si="7"/>
        <v>41.233430273720444</v>
      </c>
      <c r="H30" s="90">
        <f t="shared" si="8"/>
        <v>89.44</v>
      </c>
      <c r="I30" s="91" t="str">
        <f t="shared" si="9"/>
        <v>1동1,2라인</v>
      </c>
      <c r="J30" s="92" t="s">
        <v>218</v>
      </c>
      <c r="L30" s="89">
        <v>2</v>
      </c>
      <c r="M30" s="306">
        <f t="shared" si="10"/>
        <v>10</v>
      </c>
      <c r="N30" s="306"/>
      <c r="O30" s="306">
        <f t="shared" si="11"/>
        <v>20</v>
      </c>
    </row>
    <row r="31" spans="1:15" ht="18" customHeight="1">
      <c r="A31" s="104"/>
      <c r="B31" s="87"/>
      <c r="C31" s="87"/>
      <c r="D31" s="325" t="s">
        <v>0</v>
      </c>
      <c r="E31" s="325"/>
      <c r="F31" s="171">
        <f>SUM(F24:F30)</f>
        <v>150</v>
      </c>
      <c r="G31" s="95">
        <f>SUM(G24:G30)</f>
        <v>1223.3462950255423</v>
      </c>
      <c r="H31" s="95">
        <f>SUM(H24:H30)</f>
        <v>1006.24</v>
      </c>
      <c r="I31" s="97"/>
      <c r="J31" s="98"/>
    </row>
    <row r="32" spans="1:15">
      <c r="A32" s="105"/>
      <c r="B32" s="9"/>
      <c r="C32" s="9"/>
      <c r="D32" s="51"/>
      <c r="E32" s="51"/>
      <c r="F32" s="51"/>
      <c r="G32" s="106"/>
      <c r="H32" s="106"/>
      <c r="I32" s="9"/>
      <c r="J32" s="107"/>
    </row>
    <row r="33" spans="1:16" ht="18" customHeight="1">
      <c r="A33" s="85"/>
      <c r="B33" s="163" t="s">
        <v>199</v>
      </c>
      <c r="C33" s="163">
        <v>22</v>
      </c>
      <c r="D33" s="88">
        <v>738</v>
      </c>
      <c r="E33" s="88">
        <v>1810</v>
      </c>
      <c r="F33" s="89">
        <f t="shared" ref="F33:F34" si="12">O33</f>
        <v>10</v>
      </c>
      <c r="G33" s="90">
        <f t="shared" ref="G33:G34" si="13">D33*E33/91809*F33</f>
        <v>145.4955396529752</v>
      </c>
      <c r="H33" s="90">
        <f t="shared" ref="H33:H34" si="14">(D33/1000)*4*F33+(E33/1000)*4*F33</f>
        <v>101.92</v>
      </c>
      <c r="I33" s="91" t="str">
        <f>I24</f>
        <v>1동1,2라인</v>
      </c>
      <c r="J33" s="92" t="s">
        <v>219</v>
      </c>
      <c r="L33" s="89">
        <v>2</v>
      </c>
      <c r="M33" s="306">
        <f>M15</f>
        <v>10</v>
      </c>
      <c r="N33" s="84">
        <v>5</v>
      </c>
      <c r="O33" s="306">
        <f>L33*M33-N33*L33</f>
        <v>10</v>
      </c>
      <c r="P33" s="64" t="s">
        <v>244</v>
      </c>
    </row>
    <row r="34" spans="1:16" ht="18" customHeight="1">
      <c r="A34" s="85"/>
      <c r="B34" s="86"/>
      <c r="C34" s="87"/>
      <c r="D34" s="88">
        <v>250</v>
      </c>
      <c r="E34" s="88">
        <v>930</v>
      </c>
      <c r="F34" s="89">
        <f t="shared" si="12"/>
        <v>20</v>
      </c>
      <c r="G34" s="90">
        <f t="shared" si="13"/>
        <v>50.648629219357574</v>
      </c>
      <c r="H34" s="90">
        <f t="shared" si="14"/>
        <v>94.4</v>
      </c>
      <c r="I34" s="91" t="str">
        <f>I33</f>
        <v>1동1,2라인</v>
      </c>
      <c r="J34" s="92" t="s">
        <v>220</v>
      </c>
      <c r="L34" s="89">
        <v>2</v>
      </c>
      <c r="M34" s="306">
        <f>M33</f>
        <v>10</v>
      </c>
      <c r="N34" s="84"/>
      <c r="O34" s="306">
        <f t="shared" ref="O34" si="15">L34*M34-N34*L34</f>
        <v>20</v>
      </c>
    </row>
    <row r="35" spans="1:16" ht="18" customHeight="1">
      <c r="A35" s="85"/>
      <c r="B35" s="93"/>
      <c r="C35" s="87"/>
      <c r="D35" s="325" t="s">
        <v>0</v>
      </c>
      <c r="E35" s="325"/>
      <c r="F35" s="94">
        <f>SUM(F33:F34)</f>
        <v>30</v>
      </c>
      <c r="G35" s="95">
        <f>SUM(G33:G34)</f>
        <v>196.14416887233278</v>
      </c>
      <c r="H35" s="95">
        <f>SUM(H33:H34)</f>
        <v>196.32</v>
      </c>
      <c r="I35" s="97"/>
      <c r="J35" s="98"/>
    </row>
    <row r="36" spans="1:16" ht="18" customHeight="1">
      <c r="A36" s="108"/>
      <c r="B36" s="164"/>
      <c r="C36" s="109"/>
      <c r="D36" s="305"/>
      <c r="E36" s="305"/>
      <c r="F36" s="110"/>
      <c r="G36" s="111"/>
      <c r="H36" s="111"/>
      <c r="I36" s="112"/>
      <c r="J36" s="113"/>
    </row>
    <row r="37" spans="1:16" ht="18" customHeight="1">
      <c r="A37" s="85" t="s">
        <v>235</v>
      </c>
      <c r="B37" s="23" t="s">
        <v>196</v>
      </c>
      <c r="C37" s="24">
        <v>22</v>
      </c>
      <c r="D37" s="88">
        <v>861</v>
      </c>
      <c r="E37" s="88">
        <v>1810</v>
      </c>
      <c r="F37" s="89">
        <f t="shared" ref="F37:F40" si="16">O37</f>
        <v>6</v>
      </c>
      <c r="G37" s="90">
        <f t="shared" ref="G37:G40" si="17">D37*E37/91809*F37</f>
        <v>101.84687775708264</v>
      </c>
      <c r="H37" s="90">
        <f t="shared" ref="H37:H40" si="18">(D37/1000)*4*F37+(E37/1000)*4*F37</f>
        <v>64.103999999999999</v>
      </c>
      <c r="I37" s="91" t="s">
        <v>239</v>
      </c>
      <c r="J37" s="92" t="s">
        <v>205</v>
      </c>
      <c r="L37" s="89">
        <v>1</v>
      </c>
      <c r="M37" s="306">
        <v>6</v>
      </c>
      <c r="N37" s="84"/>
      <c r="O37" s="306">
        <f>L37*M37-N37*L37</f>
        <v>6</v>
      </c>
      <c r="P37" s="64"/>
    </row>
    <row r="38" spans="1:16" ht="18" customHeight="1">
      <c r="A38" s="85"/>
      <c r="B38" s="86"/>
      <c r="C38" s="87"/>
      <c r="D38" s="88">
        <v>738</v>
      </c>
      <c r="E38" s="88">
        <v>1310</v>
      </c>
      <c r="F38" s="89">
        <f t="shared" si="16"/>
        <v>24</v>
      </c>
      <c r="G38" s="90">
        <f t="shared" si="17"/>
        <v>252.72816390549946</v>
      </c>
      <c r="H38" s="90">
        <f t="shared" si="18"/>
        <v>196.608</v>
      </c>
      <c r="I38" s="91" t="str">
        <f>I37</f>
        <v>1동3라인</v>
      </c>
      <c r="J38" s="92" t="s">
        <v>207</v>
      </c>
      <c r="L38" s="89">
        <v>4</v>
      </c>
      <c r="M38" s="306">
        <v>6</v>
      </c>
      <c r="N38" s="84"/>
      <c r="O38" s="306">
        <f t="shared" ref="O38:O40" si="19">L38*M38-N38*L38</f>
        <v>24</v>
      </c>
    </row>
    <row r="39" spans="1:16" ht="18" customHeight="1">
      <c r="A39" s="85"/>
      <c r="B39" s="86"/>
      <c r="C39" s="87"/>
      <c r="D39" s="88">
        <v>228</v>
      </c>
      <c r="E39" s="88">
        <v>910</v>
      </c>
      <c r="F39" s="89">
        <f t="shared" si="16"/>
        <v>12</v>
      </c>
      <c r="G39" s="90">
        <f t="shared" si="17"/>
        <v>27.118909910793057</v>
      </c>
      <c r="H39" s="90">
        <f t="shared" si="18"/>
        <v>54.624000000000002</v>
      </c>
      <c r="I39" s="91" t="str">
        <f t="shared" ref="I39:I40" si="20">I38</f>
        <v>1동3라인</v>
      </c>
      <c r="J39" s="92" t="s">
        <v>209</v>
      </c>
      <c r="L39" s="89">
        <v>2</v>
      </c>
      <c r="M39" s="306">
        <f t="shared" ref="M39:M40" si="21">M38</f>
        <v>6</v>
      </c>
      <c r="N39" s="306"/>
      <c r="O39" s="306">
        <f t="shared" si="19"/>
        <v>12</v>
      </c>
    </row>
    <row r="40" spans="1:16" ht="18" customHeight="1">
      <c r="A40" s="85"/>
      <c r="B40" s="86"/>
      <c r="C40" s="87"/>
      <c r="D40" s="88">
        <v>438</v>
      </c>
      <c r="E40" s="88">
        <v>270</v>
      </c>
      <c r="F40" s="89">
        <f t="shared" si="16"/>
        <v>12</v>
      </c>
      <c r="G40" s="90">
        <f t="shared" si="17"/>
        <v>15.45730810704833</v>
      </c>
      <c r="H40" s="90">
        <f t="shared" si="18"/>
        <v>33.984000000000002</v>
      </c>
      <c r="I40" s="91" t="str">
        <f t="shared" si="20"/>
        <v>1동3라인</v>
      </c>
      <c r="J40" s="92" t="s">
        <v>210</v>
      </c>
      <c r="L40" s="89">
        <v>2</v>
      </c>
      <c r="M40" s="306">
        <f t="shared" si="21"/>
        <v>6</v>
      </c>
      <c r="N40" s="306"/>
      <c r="O40" s="306">
        <f t="shared" si="19"/>
        <v>12</v>
      </c>
    </row>
    <row r="41" spans="1:16" ht="18" customHeight="1">
      <c r="A41" s="85"/>
      <c r="B41" s="93"/>
      <c r="C41" s="87"/>
      <c r="D41" s="325" t="s">
        <v>0</v>
      </c>
      <c r="E41" s="325"/>
      <c r="F41" s="94">
        <f>SUM(F37:F40)</f>
        <v>54</v>
      </c>
      <c r="G41" s="95">
        <f>SUM(G37:G40)</f>
        <v>397.15125968042344</v>
      </c>
      <c r="H41" s="96">
        <f>SUM(H37:H40)</f>
        <v>349.32</v>
      </c>
      <c r="I41" s="97"/>
      <c r="J41" s="162"/>
    </row>
    <row r="42" spans="1:16" ht="18" customHeight="1">
      <c r="A42" s="85"/>
      <c r="B42" s="93"/>
      <c r="C42" s="87"/>
      <c r="D42" s="161"/>
      <c r="E42" s="161"/>
      <c r="F42" s="89"/>
      <c r="G42" s="100"/>
      <c r="H42" s="101"/>
      <c r="I42" s="102"/>
      <c r="J42" s="121"/>
      <c r="L42" s="252"/>
      <c r="M42" s="252"/>
      <c r="N42" s="252"/>
      <c r="O42" s="252"/>
    </row>
    <row r="43" spans="1:16" ht="18" customHeight="1">
      <c r="A43" s="85"/>
      <c r="B43" s="23" t="s">
        <v>198</v>
      </c>
      <c r="C43" s="24">
        <v>22</v>
      </c>
      <c r="D43" s="88">
        <v>861</v>
      </c>
      <c r="E43" s="88">
        <v>1810</v>
      </c>
      <c r="F43" s="89">
        <f t="shared" ref="F43:F47" si="22">O43</f>
        <v>6</v>
      </c>
      <c r="G43" s="90">
        <f t="shared" ref="G43:G47" si="23">D43*E43/91809*F43</f>
        <v>101.84687775708264</v>
      </c>
      <c r="H43" s="90">
        <f t="shared" ref="H43:H47" si="24">(D43/1000)*4*F43+(E43/1000)*4*F43</f>
        <v>64.103999999999999</v>
      </c>
      <c r="I43" s="103" t="str">
        <f>I37</f>
        <v>1동3라인</v>
      </c>
      <c r="J43" s="92" t="s">
        <v>212</v>
      </c>
      <c r="L43" s="89">
        <v>1</v>
      </c>
      <c r="M43" s="306">
        <f>M37</f>
        <v>6</v>
      </c>
      <c r="N43" s="84"/>
      <c r="O43" s="306">
        <f>L43*M43-N43*L43</f>
        <v>6</v>
      </c>
    </row>
    <row r="44" spans="1:16" ht="18" customHeight="1">
      <c r="A44" s="85"/>
      <c r="B44" s="86"/>
      <c r="C44" s="87"/>
      <c r="D44" s="88">
        <v>2114</v>
      </c>
      <c r="E44" s="88">
        <v>1810</v>
      </c>
      <c r="F44" s="89">
        <f t="shared" si="22"/>
        <v>6</v>
      </c>
      <c r="G44" s="90">
        <f t="shared" si="23"/>
        <v>250.06306571251184</v>
      </c>
      <c r="H44" s="90">
        <f t="shared" si="24"/>
        <v>94.175999999999988</v>
      </c>
      <c r="I44" s="91" t="str">
        <f>I37</f>
        <v>1동3라인</v>
      </c>
      <c r="J44" s="92" t="s">
        <v>213</v>
      </c>
      <c r="L44" s="89">
        <v>1</v>
      </c>
      <c r="M44" s="306">
        <f>M43</f>
        <v>6</v>
      </c>
      <c r="N44" s="84"/>
      <c r="O44" s="306">
        <f>L44*M44-N44*L44</f>
        <v>6</v>
      </c>
    </row>
    <row r="45" spans="1:16" ht="18" customHeight="1">
      <c r="A45" s="104"/>
      <c r="B45" s="93"/>
      <c r="C45" s="87"/>
      <c r="D45" s="88">
        <v>738</v>
      </c>
      <c r="E45" s="88">
        <v>1310</v>
      </c>
      <c r="F45" s="89">
        <f t="shared" si="22"/>
        <v>24</v>
      </c>
      <c r="G45" s="90">
        <f t="shared" si="23"/>
        <v>252.72816390549946</v>
      </c>
      <c r="H45" s="90">
        <f t="shared" si="24"/>
        <v>196.608</v>
      </c>
      <c r="I45" s="91" t="str">
        <f>I44</f>
        <v>1동3라인</v>
      </c>
      <c r="J45" s="92" t="s">
        <v>214</v>
      </c>
      <c r="L45" s="89">
        <v>4</v>
      </c>
      <c r="M45" s="306">
        <f t="shared" ref="M45:M47" si="25">M44</f>
        <v>6</v>
      </c>
      <c r="N45" s="84"/>
      <c r="O45" s="306">
        <f t="shared" ref="O45:O47" si="26">L45*M45-N45*L45</f>
        <v>24</v>
      </c>
    </row>
    <row r="46" spans="1:16" ht="18" customHeight="1">
      <c r="A46" s="104"/>
      <c r="B46" s="93"/>
      <c r="C46" s="87"/>
      <c r="D46" s="88">
        <v>228</v>
      </c>
      <c r="E46" s="88">
        <v>910</v>
      </c>
      <c r="F46" s="89">
        <f t="shared" si="22"/>
        <v>12</v>
      </c>
      <c r="G46" s="90">
        <f t="shared" si="23"/>
        <v>27.118909910793057</v>
      </c>
      <c r="H46" s="90">
        <f t="shared" si="24"/>
        <v>54.624000000000002</v>
      </c>
      <c r="I46" s="91" t="str">
        <f t="shared" ref="I46:I47" si="27">I45</f>
        <v>1동3라인</v>
      </c>
      <c r="J46" s="92" t="s">
        <v>216</v>
      </c>
      <c r="L46" s="89">
        <v>2</v>
      </c>
      <c r="M46" s="306">
        <f t="shared" si="25"/>
        <v>6</v>
      </c>
      <c r="N46" s="306"/>
      <c r="O46" s="306">
        <f t="shared" si="26"/>
        <v>12</v>
      </c>
    </row>
    <row r="47" spans="1:16" ht="18" customHeight="1">
      <c r="A47" s="104"/>
      <c r="B47" s="93"/>
      <c r="C47" s="87"/>
      <c r="D47" s="88">
        <v>438</v>
      </c>
      <c r="E47" s="88">
        <v>270</v>
      </c>
      <c r="F47" s="89">
        <f t="shared" si="22"/>
        <v>12</v>
      </c>
      <c r="G47" s="90">
        <f t="shared" si="23"/>
        <v>15.45730810704833</v>
      </c>
      <c r="H47" s="90">
        <f t="shared" si="24"/>
        <v>33.984000000000002</v>
      </c>
      <c r="I47" s="91" t="str">
        <f t="shared" si="27"/>
        <v>1동3라인</v>
      </c>
      <c r="J47" s="92" t="s">
        <v>217</v>
      </c>
      <c r="L47" s="89">
        <v>2</v>
      </c>
      <c r="M47" s="306">
        <f t="shared" si="25"/>
        <v>6</v>
      </c>
      <c r="N47" s="306"/>
      <c r="O47" s="306">
        <f t="shared" si="26"/>
        <v>12</v>
      </c>
    </row>
    <row r="48" spans="1:16" ht="18" customHeight="1">
      <c r="A48" s="104"/>
      <c r="B48" s="87"/>
      <c r="C48" s="87"/>
      <c r="D48" s="325" t="s">
        <v>0</v>
      </c>
      <c r="E48" s="325"/>
      <c r="F48" s="171">
        <f>SUM(F43:F47)</f>
        <v>60</v>
      </c>
      <c r="G48" s="95">
        <f>SUM(G43:G47)</f>
        <v>647.21432539293539</v>
      </c>
      <c r="H48" s="95">
        <f>SUM(H43:H47)</f>
        <v>443.49599999999998</v>
      </c>
      <c r="I48" s="97"/>
      <c r="J48" s="98"/>
    </row>
    <row r="49" spans="1:16">
      <c r="A49" s="105"/>
      <c r="B49" s="9"/>
      <c r="C49" s="9"/>
      <c r="D49" s="51"/>
      <c r="E49" s="51"/>
      <c r="F49" s="51"/>
      <c r="G49" s="106"/>
      <c r="H49" s="106"/>
      <c r="I49" s="9"/>
      <c r="J49" s="107"/>
    </row>
    <row r="50" spans="1:16" ht="18" customHeight="1">
      <c r="A50" s="85"/>
      <c r="B50" s="23" t="s">
        <v>237</v>
      </c>
      <c r="C50" s="24">
        <v>22</v>
      </c>
      <c r="D50" s="88">
        <v>2114</v>
      </c>
      <c r="E50" s="88">
        <v>1810</v>
      </c>
      <c r="F50" s="89">
        <f t="shared" ref="F50" si="28">O50</f>
        <v>6</v>
      </c>
      <c r="G50" s="90">
        <f t="shared" ref="G50" si="29">D50*E50/91809*F50</f>
        <v>250.06306571251184</v>
      </c>
      <c r="H50" s="90">
        <f t="shared" ref="H50" si="30">(D50/1000)*4*F50+(E50/1000)*4*F50</f>
        <v>94.175999999999988</v>
      </c>
      <c r="I50" s="91" t="str">
        <f>I43</f>
        <v>1동3라인</v>
      </c>
      <c r="J50" s="92" t="s">
        <v>206</v>
      </c>
      <c r="L50" s="89">
        <v>1</v>
      </c>
      <c r="M50" s="306">
        <f>M37</f>
        <v>6</v>
      </c>
      <c r="N50" s="84"/>
      <c r="O50" s="306">
        <f>L50*M50-N50*L50</f>
        <v>6</v>
      </c>
    </row>
    <row r="51" spans="1:16" ht="18" customHeight="1">
      <c r="A51" s="85"/>
      <c r="B51" s="93"/>
      <c r="C51" s="87"/>
      <c r="D51" s="325" t="s">
        <v>0</v>
      </c>
      <c r="E51" s="325"/>
      <c r="F51" s="94">
        <f>SUM(F50:F50)</f>
        <v>6</v>
      </c>
      <c r="G51" s="95">
        <f>SUM(G50:G50)</f>
        <v>250.06306571251184</v>
      </c>
      <c r="H51" s="95">
        <f>SUM(H50:H50)</f>
        <v>94.175999999999988</v>
      </c>
      <c r="I51" s="97"/>
      <c r="J51" s="98"/>
    </row>
    <row r="52" spans="1:16" ht="18" customHeight="1">
      <c r="A52" s="218"/>
      <c r="B52" s="219"/>
      <c r="C52" s="220"/>
      <c r="D52" s="161"/>
      <c r="E52" s="161"/>
      <c r="F52" s="89"/>
      <c r="G52" s="100"/>
      <c r="H52" s="100"/>
      <c r="I52" s="102"/>
      <c r="J52" s="221"/>
    </row>
    <row r="53" spans="1:16" ht="18" customHeight="1">
      <c r="A53" s="85"/>
      <c r="B53" s="23" t="s">
        <v>200</v>
      </c>
      <c r="C53" s="24">
        <v>22</v>
      </c>
      <c r="D53" s="88">
        <v>738</v>
      </c>
      <c r="E53" s="88">
        <v>1810</v>
      </c>
      <c r="F53" s="89">
        <f t="shared" ref="F53:F54" si="31">O53</f>
        <v>12</v>
      </c>
      <c r="G53" s="90">
        <f t="shared" ref="G53:G54" si="32">D53*E53/91809*F53</f>
        <v>174.59464758357024</v>
      </c>
      <c r="H53" s="90">
        <f t="shared" ref="H53:H54" si="33">(D53/1000)*4*F53+(E53/1000)*4*F53</f>
        <v>122.304</v>
      </c>
      <c r="I53" s="91" t="str">
        <f>I50</f>
        <v>1동3라인</v>
      </c>
      <c r="J53" s="92" t="s">
        <v>219</v>
      </c>
      <c r="L53" s="89">
        <v>2</v>
      </c>
      <c r="M53" s="306">
        <f>M50</f>
        <v>6</v>
      </c>
      <c r="N53" s="84"/>
      <c r="O53" s="306">
        <f>L53*M53-N53*L53</f>
        <v>12</v>
      </c>
      <c r="P53" s="64"/>
    </row>
    <row r="54" spans="1:16" ht="18" customHeight="1">
      <c r="A54" s="85"/>
      <c r="B54" s="86"/>
      <c r="C54" s="87"/>
      <c r="D54" s="88">
        <v>250</v>
      </c>
      <c r="E54" s="88">
        <v>930</v>
      </c>
      <c r="F54" s="89">
        <f t="shared" si="31"/>
        <v>12</v>
      </c>
      <c r="G54" s="90">
        <f t="shared" si="32"/>
        <v>30.389177531614546</v>
      </c>
      <c r="H54" s="90">
        <f t="shared" si="33"/>
        <v>56.64</v>
      </c>
      <c r="I54" s="91" t="str">
        <f>I53</f>
        <v>1동3라인</v>
      </c>
      <c r="J54" s="92" t="s">
        <v>220</v>
      </c>
      <c r="L54" s="89">
        <v>2</v>
      </c>
      <c r="M54" s="306">
        <f>M53</f>
        <v>6</v>
      </c>
      <c r="N54" s="84"/>
      <c r="O54" s="306">
        <f t="shared" ref="O54" si="34">L54*M54-N54*L54</f>
        <v>12</v>
      </c>
    </row>
    <row r="55" spans="1:16" ht="18" customHeight="1">
      <c r="A55" s="85"/>
      <c r="B55" s="93"/>
      <c r="C55" s="87"/>
      <c r="D55" s="325" t="s">
        <v>0</v>
      </c>
      <c r="E55" s="325"/>
      <c r="F55" s="94">
        <f>SUM(F53:F54)</f>
        <v>24</v>
      </c>
      <c r="G55" s="95">
        <f>SUM(G53:G54)</f>
        <v>204.98382511518477</v>
      </c>
      <c r="H55" s="96">
        <f>SUM(H53:H54)</f>
        <v>178.94400000000002</v>
      </c>
      <c r="I55" s="97"/>
      <c r="J55" s="162"/>
    </row>
    <row r="56" spans="1:16" ht="18" customHeight="1" thickBot="1">
      <c r="A56" s="222"/>
      <c r="B56" s="223"/>
      <c r="C56" s="224"/>
      <c r="D56" s="225"/>
      <c r="E56" s="225"/>
      <c r="F56" s="226"/>
      <c r="G56" s="227"/>
      <c r="H56" s="228"/>
      <c r="I56" s="229"/>
      <c r="J56" s="230"/>
      <c r="L56" s="306" t="s">
        <v>48</v>
      </c>
      <c r="M56" s="306" t="s">
        <v>49</v>
      </c>
      <c r="N56" s="306" t="s">
        <v>50</v>
      </c>
      <c r="O56" s="306" t="s">
        <v>55</v>
      </c>
    </row>
    <row r="57" spans="1:16" ht="18" customHeight="1">
      <c r="A57" s="79" t="s">
        <v>234</v>
      </c>
      <c r="B57" s="231" t="s">
        <v>195</v>
      </c>
      <c r="C57" s="232">
        <v>22</v>
      </c>
      <c r="D57" s="80">
        <v>761</v>
      </c>
      <c r="E57" s="80">
        <v>1810</v>
      </c>
      <c r="F57" s="233">
        <f>O57</f>
        <v>12</v>
      </c>
      <c r="G57" s="81">
        <f t="shared" ref="G57:G63" si="35">D57*E57/91809*F57</f>
        <v>180.03594418847825</v>
      </c>
      <c r="H57" s="81">
        <f t="shared" ref="H57:H63" si="36">(D57/1000)*4*F57+(E57/1000)*4*F57</f>
        <v>123.40799999999999</v>
      </c>
      <c r="I57" s="82" t="s">
        <v>240</v>
      </c>
      <c r="J57" s="83" t="s">
        <v>205</v>
      </c>
      <c r="L57" s="89">
        <v>2</v>
      </c>
      <c r="M57" s="306">
        <v>6</v>
      </c>
      <c r="N57" s="84"/>
      <c r="O57" s="306">
        <f>L57*M57-N57*L57</f>
        <v>12</v>
      </c>
      <c r="P57" s="64"/>
    </row>
    <row r="58" spans="1:16" ht="18" customHeight="1">
      <c r="A58" s="85"/>
      <c r="B58" s="86"/>
      <c r="C58" s="87"/>
      <c r="D58" s="88">
        <v>1688</v>
      </c>
      <c r="E58" s="88">
        <v>1810</v>
      </c>
      <c r="F58" s="89">
        <f t="shared" ref="F58:F63" si="37">O58</f>
        <v>6</v>
      </c>
      <c r="G58" s="90">
        <f t="shared" si="35"/>
        <v>199.6719275887985</v>
      </c>
      <c r="H58" s="90">
        <f t="shared" si="36"/>
        <v>83.951999999999998</v>
      </c>
      <c r="I58" s="91" t="str">
        <f>I57</f>
        <v>1동4라인</v>
      </c>
      <c r="J58" s="92" t="s">
        <v>206</v>
      </c>
      <c r="L58" s="89">
        <v>1</v>
      </c>
      <c r="M58" s="306">
        <f>M57</f>
        <v>6</v>
      </c>
      <c r="N58" s="84"/>
      <c r="O58" s="306">
        <f t="shared" ref="O58:O63" si="38">L58*M58-N58*L58</f>
        <v>6</v>
      </c>
    </row>
    <row r="59" spans="1:16" ht="18" customHeight="1">
      <c r="A59" s="85"/>
      <c r="B59" s="86"/>
      <c r="C59" s="87"/>
      <c r="D59" s="88">
        <v>738</v>
      </c>
      <c r="E59" s="88">
        <v>1310</v>
      </c>
      <c r="F59" s="89">
        <f t="shared" si="37"/>
        <v>24</v>
      </c>
      <c r="G59" s="90">
        <f t="shared" si="35"/>
        <v>252.72816390549946</v>
      </c>
      <c r="H59" s="90">
        <f t="shared" si="36"/>
        <v>196.608</v>
      </c>
      <c r="I59" s="91" t="str">
        <f t="shared" ref="I59:I63" si="39">I58</f>
        <v>1동4라인</v>
      </c>
      <c r="J59" s="92" t="s">
        <v>207</v>
      </c>
      <c r="L59" s="89">
        <v>4</v>
      </c>
      <c r="M59" s="306">
        <f t="shared" ref="M59:M62" si="40">M58</f>
        <v>6</v>
      </c>
      <c r="N59" s="306"/>
      <c r="O59" s="306">
        <f t="shared" si="38"/>
        <v>24</v>
      </c>
    </row>
    <row r="60" spans="1:16" ht="18" customHeight="1">
      <c r="A60" s="85"/>
      <c r="B60" s="86"/>
      <c r="C60" s="87"/>
      <c r="D60" s="88">
        <v>288</v>
      </c>
      <c r="E60" s="88">
        <v>910</v>
      </c>
      <c r="F60" s="89">
        <f t="shared" si="37"/>
        <v>12</v>
      </c>
      <c r="G60" s="90">
        <f t="shared" si="35"/>
        <v>34.255465150475445</v>
      </c>
      <c r="H60" s="90">
        <f t="shared" si="36"/>
        <v>57.503999999999998</v>
      </c>
      <c r="I60" s="91" t="str">
        <f t="shared" si="39"/>
        <v>1동4라인</v>
      </c>
      <c r="J60" s="92" t="s">
        <v>208</v>
      </c>
      <c r="L60" s="89">
        <v>2</v>
      </c>
      <c r="M60" s="306">
        <f t="shared" si="40"/>
        <v>6</v>
      </c>
      <c r="N60" s="306"/>
      <c r="O60" s="306">
        <f t="shared" si="38"/>
        <v>12</v>
      </c>
    </row>
    <row r="61" spans="1:16" ht="18" customHeight="1">
      <c r="A61" s="85"/>
      <c r="B61" s="86"/>
      <c r="C61" s="87"/>
      <c r="D61" s="88">
        <v>228</v>
      </c>
      <c r="E61" s="88">
        <v>910</v>
      </c>
      <c r="F61" s="89">
        <f t="shared" si="37"/>
        <v>12</v>
      </c>
      <c r="G61" s="90">
        <f t="shared" si="35"/>
        <v>27.118909910793057</v>
      </c>
      <c r="H61" s="90">
        <f t="shared" si="36"/>
        <v>54.624000000000002</v>
      </c>
      <c r="I61" s="91" t="str">
        <f t="shared" si="39"/>
        <v>1동4라인</v>
      </c>
      <c r="J61" s="92" t="s">
        <v>209</v>
      </c>
      <c r="L61" s="89">
        <v>2</v>
      </c>
      <c r="M61" s="306">
        <f t="shared" si="40"/>
        <v>6</v>
      </c>
      <c r="N61" s="306"/>
      <c r="O61" s="306">
        <f t="shared" si="38"/>
        <v>12</v>
      </c>
    </row>
    <row r="62" spans="1:16" ht="18" customHeight="1">
      <c r="A62" s="85"/>
      <c r="B62" s="86"/>
      <c r="C62" s="87"/>
      <c r="D62" s="88">
        <v>438</v>
      </c>
      <c r="E62" s="88">
        <v>270</v>
      </c>
      <c r="F62" s="89">
        <f t="shared" si="37"/>
        <v>12</v>
      </c>
      <c r="G62" s="90">
        <f t="shared" si="35"/>
        <v>15.45730810704833</v>
      </c>
      <c r="H62" s="90">
        <f t="shared" si="36"/>
        <v>33.984000000000002</v>
      </c>
      <c r="I62" s="91" t="str">
        <f t="shared" si="39"/>
        <v>1동4라인</v>
      </c>
      <c r="J62" s="92" t="s">
        <v>210</v>
      </c>
      <c r="L62" s="89">
        <v>2</v>
      </c>
      <c r="M62" s="306">
        <f t="shared" si="40"/>
        <v>6</v>
      </c>
      <c r="N62" s="306"/>
      <c r="O62" s="306">
        <f t="shared" si="38"/>
        <v>12</v>
      </c>
    </row>
    <row r="63" spans="1:16" ht="18" customHeight="1">
      <c r="A63" s="85"/>
      <c r="B63" s="86"/>
      <c r="C63" s="87"/>
      <c r="D63" s="88">
        <v>208</v>
      </c>
      <c r="E63" s="88">
        <v>910</v>
      </c>
      <c r="F63" s="89">
        <f t="shared" si="37"/>
        <v>12</v>
      </c>
      <c r="G63" s="90">
        <f t="shared" si="35"/>
        <v>24.740058164232266</v>
      </c>
      <c r="H63" s="90">
        <f t="shared" si="36"/>
        <v>53.664000000000001</v>
      </c>
      <c r="I63" s="91" t="str">
        <f t="shared" si="39"/>
        <v>1동4라인</v>
      </c>
      <c r="J63" s="92" t="s">
        <v>211</v>
      </c>
      <c r="L63" s="89">
        <v>2</v>
      </c>
      <c r="M63" s="306">
        <f>M62</f>
        <v>6</v>
      </c>
      <c r="N63" s="306"/>
      <c r="O63" s="306">
        <f t="shared" si="38"/>
        <v>12</v>
      </c>
    </row>
    <row r="64" spans="1:16" ht="18" customHeight="1">
      <c r="A64" s="85"/>
      <c r="B64" s="93"/>
      <c r="C64" s="87"/>
      <c r="D64" s="325" t="s">
        <v>0</v>
      </c>
      <c r="E64" s="325"/>
      <c r="F64" s="94">
        <f>SUM(F57:F63)</f>
        <v>90</v>
      </c>
      <c r="G64" s="95">
        <f>SUM(G57:G63)</f>
        <v>734.00777701532525</v>
      </c>
      <c r="H64" s="96">
        <f>SUM(H57:H63)</f>
        <v>603.74400000000003</v>
      </c>
      <c r="I64" s="97"/>
      <c r="J64" s="162"/>
    </row>
    <row r="65" spans="1:16" ht="18" customHeight="1">
      <c r="A65" s="85"/>
      <c r="B65" s="93"/>
      <c r="C65" s="87"/>
      <c r="D65" s="161"/>
      <c r="E65" s="161"/>
      <c r="F65" s="89"/>
      <c r="G65" s="100"/>
      <c r="H65" s="101"/>
      <c r="I65" s="102"/>
      <c r="J65" s="121"/>
      <c r="L65" s="306" t="s">
        <v>48</v>
      </c>
      <c r="M65" s="306" t="s">
        <v>54</v>
      </c>
      <c r="N65" s="306" t="s">
        <v>50</v>
      </c>
      <c r="O65" s="306" t="s">
        <v>55</v>
      </c>
    </row>
    <row r="66" spans="1:16" ht="18" customHeight="1">
      <c r="A66" s="85"/>
      <c r="B66" s="23" t="s">
        <v>197</v>
      </c>
      <c r="C66" s="24">
        <v>22</v>
      </c>
      <c r="D66" s="88">
        <v>761</v>
      </c>
      <c r="E66" s="88">
        <v>1810</v>
      </c>
      <c r="F66" s="89">
        <f t="shared" ref="F66:F72" si="41">O66</f>
        <v>12</v>
      </c>
      <c r="G66" s="90">
        <f t="shared" ref="G66:G72" si="42">D66*E66/91809*F66</f>
        <v>180.03594418847825</v>
      </c>
      <c r="H66" s="90">
        <f t="shared" ref="H66:H72" si="43">(D66/1000)*4*F66+(E66/1000)*4*F66</f>
        <v>123.40799999999999</v>
      </c>
      <c r="I66" s="91" t="str">
        <f t="shared" ref="I66:I72" si="44">I57</f>
        <v>1동4라인</v>
      </c>
      <c r="J66" s="92" t="s">
        <v>212</v>
      </c>
      <c r="L66" s="89">
        <v>2</v>
      </c>
      <c r="M66" s="306">
        <f>M57</f>
        <v>6</v>
      </c>
      <c r="N66" s="84"/>
      <c r="O66" s="306">
        <f>L66*M66-N66*L66</f>
        <v>12</v>
      </c>
    </row>
    <row r="67" spans="1:16" ht="18" customHeight="1">
      <c r="A67" s="85"/>
      <c r="B67" s="86"/>
      <c r="C67" s="87"/>
      <c r="D67" s="88">
        <v>1688</v>
      </c>
      <c r="E67" s="88">
        <v>1810</v>
      </c>
      <c r="F67" s="89">
        <f t="shared" si="41"/>
        <v>6</v>
      </c>
      <c r="G67" s="90">
        <f t="shared" si="42"/>
        <v>199.6719275887985</v>
      </c>
      <c r="H67" s="90">
        <f t="shared" si="43"/>
        <v>83.951999999999998</v>
      </c>
      <c r="I67" s="91" t="str">
        <f t="shared" si="44"/>
        <v>1동4라인</v>
      </c>
      <c r="J67" s="92" t="s">
        <v>213</v>
      </c>
      <c r="L67" s="89">
        <v>1</v>
      </c>
      <c r="M67" s="306">
        <f>M66</f>
        <v>6</v>
      </c>
      <c r="N67" s="84"/>
      <c r="O67" s="306">
        <f>L67*M67-N67*L67</f>
        <v>6</v>
      </c>
    </row>
    <row r="68" spans="1:16" ht="18" customHeight="1">
      <c r="A68" s="104"/>
      <c r="B68" s="93"/>
      <c r="C68" s="87"/>
      <c r="D68" s="88">
        <v>738</v>
      </c>
      <c r="E68" s="88">
        <v>1310</v>
      </c>
      <c r="F68" s="89">
        <f t="shared" si="41"/>
        <v>24</v>
      </c>
      <c r="G68" s="90">
        <f t="shared" si="42"/>
        <v>252.72816390549946</v>
      </c>
      <c r="H68" s="90">
        <f t="shared" si="43"/>
        <v>196.608</v>
      </c>
      <c r="I68" s="91" t="str">
        <f t="shared" si="44"/>
        <v>1동4라인</v>
      </c>
      <c r="J68" s="92" t="s">
        <v>214</v>
      </c>
      <c r="L68" s="89">
        <v>4</v>
      </c>
      <c r="M68" s="306">
        <f t="shared" ref="M68:M72" si="45">M67</f>
        <v>6</v>
      </c>
      <c r="N68" s="84"/>
      <c r="O68" s="306">
        <f t="shared" ref="O68:O72" si="46">L68*M68-N68*L68</f>
        <v>24</v>
      </c>
    </row>
    <row r="69" spans="1:16" ht="18" customHeight="1">
      <c r="A69" s="104"/>
      <c r="B69" s="93"/>
      <c r="C69" s="87"/>
      <c r="D69" s="88">
        <v>288</v>
      </c>
      <c r="E69" s="88">
        <v>910</v>
      </c>
      <c r="F69" s="89">
        <f t="shared" si="41"/>
        <v>12</v>
      </c>
      <c r="G69" s="90">
        <f t="shared" si="42"/>
        <v>34.255465150475445</v>
      </c>
      <c r="H69" s="90">
        <f t="shared" si="43"/>
        <v>57.503999999999998</v>
      </c>
      <c r="I69" s="91" t="str">
        <f t="shared" si="44"/>
        <v>1동4라인</v>
      </c>
      <c r="J69" s="92" t="s">
        <v>215</v>
      </c>
      <c r="L69" s="89">
        <v>2</v>
      </c>
      <c r="M69" s="306">
        <f t="shared" si="45"/>
        <v>6</v>
      </c>
      <c r="N69" s="306"/>
      <c r="O69" s="306">
        <f t="shared" si="46"/>
        <v>12</v>
      </c>
    </row>
    <row r="70" spans="1:16" ht="18" customHeight="1">
      <c r="A70" s="104"/>
      <c r="B70" s="93"/>
      <c r="C70" s="87"/>
      <c r="D70" s="88">
        <v>228</v>
      </c>
      <c r="E70" s="88">
        <v>910</v>
      </c>
      <c r="F70" s="89">
        <f t="shared" si="41"/>
        <v>12</v>
      </c>
      <c r="G70" s="90">
        <f t="shared" si="42"/>
        <v>27.118909910793057</v>
      </c>
      <c r="H70" s="90">
        <f t="shared" si="43"/>
        <v>54.624000000000002</v>
      </c>
      <c r="I70" s="91" t="str">
        <f t="shared" si="44"/>
        <v>1동4라인</v>
      </c>
      <c r="J70" s="92" t="s">
        <v>216</v>
      </c>
      <c r="L70" s="89">
        <v>2</v>
      </c>
      <c r="M70" s="306">
        <f t="shared" si="45"/>
        <v>6</v>
      </c>
      <c r="N70" s="306"/>
      <c r="O70" s="306">
        <f t="shared" si="46"/>
        <v>12</v>
      </c>
    </row>
    <row r="71" spans="1:16" ht="18" customHeight="1">
      <c r="A71" s="104"/>
      <c r="B71" s="93"/>
      <c r="C71" s="87"/>
      <c r="D71" s="88">
        <v>438</v>
      </c>
      <c r="E71" s="88">
        <v>270</v>
      </c>
      <c r="F71" s="89">
        <f t="shared" si="41"/>
        <v>12</v>
      </c>
      <c r="G71" s="90">
        <f t="shared" si="42"/>
        <v>15.45730810704833</v>
      </c>
      <c r="H71" s="90">
        <f t="shared" si="43"/>
        <v>33.984000000000002</v>
      </c>
      <c r="I71" s="91" t="str">
        <f t="shared" si="44"/>
        <v>1동4라인</v>
      </c>
      <c r="J71" s="92" t="s">
        <v>217</v>
      </c>
      <c r="L71" s="89">
        <v>2</v>
      </c>
      <c r="M71" s="306">
        <f t="shared" si="45"/>
        <v>6</v>
      </c>
      <c r="N71" s="306"/>
      <c r="O71" s="306">
        <f t="shared" si="46"/>
        <v>12</v>
      </c>
    </row>
    <row r="72" spans="1:16" ht="18" customHeight="1">
      <c r="A72" s="104"/>
      <c r="B72" s="93"/>
      <c r="C72" s="87"/>
      <c r="D72" s="88">
        <v>208</v>
      </c>
      <c r="E72" s="88">
        <v>910</v>
      </c>
      <c r="F72" s="89">
        <f t="shared" si="41"/>
        <v>12</v>
      </c>
      <c r="G72" s="90">
        <f t="shared" si="42"/>
        <v>24.740058164232266</v>
      </c>
      <c r="H72" s="90">
        <f t="shared" si="43"/>
        <v>53.664000000000001</v>
      </c>
      <c r="I72" s="91" t="str">
        <f t="shared" si="44"/>
        <v>1동4라인</v>
      </c>
      <c r="J72" s="92" t="s">
        <v>218</v>
      </c>
      <c r="L72" s="89">
        <v>2</v>
      </c>
      <c r="M72" s="306">
        <f t="shared" si="45"/>
        <v>6</v>
      </c>
      <c r="N72" s="306"/>
      <c r="O72" s="306">
        <f t="shared" si="46"/>
        <v>12</v>
      </c>
    </row>
    <row r="73" spans="1:16" ht="18" customHeight="1">
      <c r="A73" s="104"/>
      <c r="B73" s="87"/>
      <c r="C73" s="87"/>
      <c r="D73" s="325" t="s">
        <v>0</v>
      </c>
      <c r="E73" s="325"/>
      <c r="F73" s="171">
        <f>SUM(F66:F72)</f>
        <v>90</v>
      </c>
      <c r="G73" s="95">
        <f>SUM(G66:G72)</f>
        <v>734.00777701532525</v>
      </c>
      <c r="H73" s="95">
        <f>SUM(H66:H72)</f>
        <v>603.74400000000003</v>
      </c>
      <c r="I73" s="97"/>
      <c r="J73" s="98"/>
    </row>
    <row r="74" spans="1:16">
      <c r="A74" s="105"/>
      <c r="B74" s="9"/>
      <c r="C74" s="9"/>
      <c r="D74" s="51"/>
      <c r="E74" s="51"/>
      <c r="F74" s="51"/>
      <c r="G74" s="106"/>
      <c r="H74" s="106"/>
      <c r="I74" s="9"/>
      <c r="J74" s="107"/>
    </row>
    <row r="75" spans="1:16" ht="18" customHeight="1">
      <c r="A75" s="85"/>
      <c r="B75" s="163" t="s">
        <v>199</v>
      </c>
      <c r="C75" s="163">
        <v>22</v>
      </c>
      <c r="D75" s="88">
        <v>738</v>
      </c>
      <c r="E75" s="88">
        <v>1810</v>
      </c>
      <c r="F75" s="89">
        <f t="shared" ref="F75:F76" si="47">O75</f>
        <v>12</v>
      </c>
      <c r="G75" s="90">
        <f t="shared" ref="G75:G76" si="48">D75*E75/91809*F75</f>
        <v>174.59464758357024</v>
      </c>
      <c r="H75" s="90">
        <f t="shared" ref="H75:H76" si="49">(D75/1000)*4*F75+(E75/1000)*4*F75</f>
        <v>122.304</v>
      </c>
      <c r="I75" s="91" t="str">
        <f>I66</f>
        <v>1동4라인</v>
      </c>
      <c r="J75" s="92" t="s">
        <v>219</v>
      </c>
      <c r="L75" s="89">
        <v>2</v>
      </c>
      <c r="M75" s="306">
        <f>M57</f>
        <v>6</v>
      </c>
      <c r="N75" s="84"/>
      <c r="O75" s="306">
        <f>L75*M75-N75*L75</f>
        <v>12</v>
      </c>
      <c r="P75" s="64"/>
    </row>
    <row r="76" spans="1:16" ht="18" customHeight="1">
      <c r="A76" s="85"/>
      <c r="B76" s="86"/>
      <c r="C76" s="87"/>
      <c r="D76" s="88">
        <v>250</v>
      </c>
      <c r="E76" s="88">
        <v>930</v>
      </c>
      <c r="F76" s="89">
        <f t="shared" si="47"/>
        <v>12</v>
      </c>
      <c r="G76" s="90">
        <f t="shared" si="48"/>
        <v>30.389177531614546</v>
      </c>
      <c r="H76" s="90">
        <f t="shared" si="49"/>
        <v>56.64</v>
      </c>
      <c r="I76" s="91" t="str">
        <f>I75</f>
        <v>1동4라인</v>
      </c>
      <c r="J76" s="92" t="s">
        <v>220</v>
      </c>
      <c r="L76" s="89">
        <v>2</v>
      </c>
      <c r="M76" s="306">
        <f>M75</f>
        <v>6</v>
      </c>
      <c r="N76" s="84"/>
      <c r="O76" s="306">
        <f t="shared" ref="O76" si="50">L76*M76-N76*L76</f>
        <v>12</v>
      </c>
    </row>
    <row r="77" spans="1:16" ht="18" customHeight="1">
      <c r="A77" s="85"/>
      <c r="B77" s="93"/>
      <c r="C77" s="87"/>
      <c r="D77" s="325" t="s">
        <v>0</v>
      </c>
      <c r="E77" s="325"/>
      <c r="F77" s="94">
        <f>SUM(F75:F76)</f>
        <v>24</v>
      </c>
      <c r="G77" s="95">
        <f>SUM(G75:G76)</f>
        <v>204.98382511518477</v>
      </c>
      <c r="H77" s="95">
        <f>SUM(H75:H76)</f>
        <v>178.94400000000002</v>
      </c>
      <c r="I77" s="97"/>
      <c r="J77" s="98"/>
    </row>
    <row r="78" spans="1:16" ht="18" customHeight="1">
      <c r="A78" s="236"/>
      <c r="B78" s="237"/>
      <c r="C78" s="238"/>
      <c r="D78" s="362"/>
      <c r="E78" s="362"/>
      <c r="F78" s="239"/>
      <c r="G78" s="240"/>
      <c r="H78" s="241"/>
      <c r="I78" s="242"/>
      <c r="J78" s="243"/>
    </row>
    <row r="79" spans="1:16" ht="18" customHeight="1">
      <c r="A79" s="244" t="s">
        <v>234</v>
      </c>
      <c r="B79" s="23" t="s">
        <v>195</v>
      </c>
      <c r="C79" s="24">
        <v>22</v>
      </c>
      <c r="D79" s="88">
        <v>761</v>
      </c>
      <c r="E79" s="88">
        <v>1810</v>
      </c>
      <c r="F79" s="89">
        <f>O79</f>
        <v>12</v>
      </c>
      <c r="G79" s="90">
        <f t="shared" ref="G79:G85" si="51">D79*E79/91809*F79</f>
        <v>180.03594418847825</v>
      </c>
      <c r="H79" s="90">
        <f t="shared" ref="H79:H85" si="52">(D79/1000)*4*F79+(E79/1000)*4*F79</f>
        <v>123.40799999999999</v>
      </c>
      <c r="I79" s="91" t="s">
        <v>241</v>
      </c>
      <c r="J79" s="163" t="s">
        <v>205</v>
      </c>
      <c r="L79" s="89">
        <v>2</v>
      </c>
      <c r="M79" s="306">
        <v>6</v>
      </c>
      <c r="N79" s="84"/>
      <c r="O79" s="306">
        <f>L79*M79-N79*L79</f>
        <v>12</v>
      </c>
      <c r="P79" s="64"/>
    </row>
    <row r="80" spans="1:16" ht="18" customHeight="1">
      <c r="A80" s="85"/>
      <c r="B80" s="86"/>
      <c r="C80" s="87"/>
      <c r="D80" s="88">
        <v>1688</v>
      </c>
      <c r="E80" s="88">
        <v>1810</v>
      </c>
      <c r="F80" s="89">
        <f t="shared" ref="F80:F85" si="53">O80</f>
        <v>6</v>
      </c>
      <c r="G80" s="90">
        <f t="shared" si="51"/>
        <v>199.6719275887985</v>
      </c>
      <c r="H80" s="90">
        <f t="shared" si="52"/>
        <v>83.951999999999998</v>
      </c>
      <c r="I80" s="91" t="str">
        <f>I79</f>
        <v>1동5라인</v>
      </c>
      <c r="J80" s="92" t="s">
        <v>206</v>
      </c>
      <c r="L80" s="89">
        <v>1</v>
      </c>
      <c r="M80" s="306">
        <f>M79</f>
        <v>6</v>
      </c>
      <c r="N80" s="84"/>
      <c r="O80" s="306">
        <f t="shared" ref="O80:O85" si="54">L80*M80-N80*L80</f>
        <v>6</v>
      </c>
    </row>
    <row r="81" spans="1:15" ht="18" customHeight="1">
      <c r="A81" s="85"/>
      <c r="B81" s="86"/>
      <c r="C81" s="87"/>
      <c r="D81" s="88">
        <v>738</v>
      </c>
      <c r="E81" s="88">
        <v>1310</v>
      </c>
      <c r="F81" s="89">
        <f t="shared" si="53"/>
        <v>24</v>
      </c>
      <c r="G81" s="90">
        <f t="shared" si="51"/>
        <v>252.72816390549946</v>
      </c>
      <c r="H81" s="90">
        <f t="shared" si="52"/>
        <v>196.608</v>
      </c>
      <c r="I81" s="91" t="str">
        <f t="shared" ref="I81:I85" si="55">I80</f>
        <v>1동5라인</v>
      </c>
      <c r="J81" s="92" t="s">
        <v>207</v>
      </c>
      <c r="L81" s="89">
        <v>4</v>
      </c>
      <c r="M81" s="306">
        <f t="shared" ref="M81:M84" si="56">M80</f>
        <v>6</v>
      </c>
      <c r="N81" s="306"/>
      <c r="O81" s="306">
        <f t="shared" si="54"/>
        <v>24</v>
      </c>
    </row>
    <row r="82" spans="1:15" ht="18" customHeight="1">
      <c r="A82" s="85"/>
      <c r="B82" s="86"/>
      <c r="C82" s="87"/>
      <c r="D82" s="88">
        <v>288</v>
      </c>
      <c r="E82" s="88">
        <v>910</v>
      </c>
      <c r="F82" s="89">
        <f t="shared" si="53"/>
        <v>12</v>
      </c>
      <c r="G82" s="90">
        <f t="shared" si="51"/>
        <v>34.255465150475445</v>
      </c>
      <c r="H82" s="90">
        <f t="shared" si="52"/>
        <v>57.503999999999998</v>
      </c>
      <c r="I82" s="91" t="str">
        <f t="shared" si="55"/>
        <v>1동5라인</v>
      </c>
      <c r="J82" s="92" t="s">
        <v>208</v>
      </c>
      <c r="L82" s="89">
        <v>2</v>
      </c>
      <c r="M82" s="306">
        <f t="shared" si="56"/>
        <v>6</v>
      </c>
      <c r="N82" s="306"/>
      <c r="O82" s="306">
        <f t="shared" si="54"/>
        <v>12</v>
      </c>
    </row>
    <row r="83" spans="1:15" ht="18" customHeight="1">
      <c r="A83" s="85"/>
      <c r="B83" s="86"/>
      <c r="C83" s="87"/>
      <c r="D83" s="88">
        <v>228</v>
      </c>
      <c r="E83" s="88">
        <v>910</v>
      </c>
      <c r="F83" s="89">
        <f t="shared" si="53"/>
        <v>12</v>
      </c>
      <c r="G83" s="90">
        <f t="shared" si="51"/>
        <v>27.118909910793057</v>
      </c>
      <c r="H83" s="90">
        <f t="shared" si="52"/>
        <v>54.624000000000002</v>
      </c>
      <c r="I83" s="91" t="str">
        <f t="shared" si="55"/>
        <v>1동5라인</v>
      </c>
      <c r="J83" s="92" t="s">
        <v>209</v>
      </c>
      <c r="L83" s="89">
        <v>2</v>
      </c>
      <c r="M83" s="306">
        <f t="shared" si="56"/>
        <v>6</v>
      </c>
      <c r="N83" s="306"/>
      <c r="O83" s="306">
        <f t="shared" si="54"/>
        <v>12</v>
      </c>
    </row>
    <row r="84" spans="1:15" ht="18" customHeight="1">
      <c r="A84" s="85"/>
      <c r="B84" s="86"/>
      <c r="C84" s="87"/>
      <c r="D84" s="88">
        <v>438</v>
      </c>
      <c r="E84" s="88">
        <v>270</v>
      </c>
      <c r="F84" s="89">
        <f t="shared" si="53"/>
        <v>12</v>
      </c>
      <c r="G84" s="90">
        <f t="shared" si="51"/>
        <v>15.45730810704833</v>
      </c>
      <c r="H84" s="90">
        <f t="shared" si="52"/>
        <v>33.984000000000002</v>
      </c>
      <c r="I84" s="91" t="str">
        <f t="shared" si="55"/>
        <v>1동5라인</v>
      </c>
      <c r="J84" s="92" t="s">
        <v>210</v>
      </c>
      <c r="L84" s="89">
        <v>2</v>
      </c>
      <c r="M84" s="306">
        <f t="shared" si="56"/>
        <v>6</v>
      </c>
      <c r="N84" s="306"/>
      <c r="O84" s="306">
        <f t="shared" si="54"/>
        <v>12</v>
      </c>
    </row>
    <row r="85" spans="1:15" ht="18" customHeight="1">
      <c r="A85" s="85"/>
      <c r="B85" s="86"/>
      <c r="C85" s="87"/>
      <c r="D85" s="88">
        <v>208</v>
      </c>
      <c r="E85" s="88">
        <v>910</v>
      </c>
      <c r="F85" s="89">
        <f t="shared" si="53"/>
        <v>12</v>
      </c>
      <c r="G85" s="90">
        <f t="shared" si="51"/>
        <v>24.740058164232266</v>
      </c>
      <c r="H85" s="90">
        <f t="shared" si="52"/>
        <v>53.664000000000001</v>
      </c>
      <c r="I85" s="91" t="str">
        <f t="shared" si="55"/>
        <v>1동5라인</v>
      </c>
      <c r="J85" s="92" t="s">
        <v>211</v>
      </c>
      <c r="L85" s="89">
        <v>2</v>
      </c>
      <c r="M85" s="306">
        <f>M84</f>
        <v>6</v>
      </c>
      <c r="N85" s="306"/>
      <c r="O85" s="306">
        <f t="shared" si="54"/>
        <v>12</v>
      </c>
    </row>
    <row r="86" spans="1:15" ht="18" customHeight="1">
      <c r="A86" s="85"/>
      <c r="B86" s="93"/>
      <c r="C86" s="87"/>
      <c r="D86" s="325" t="s">
        <v>0</v>
      </c>
      <c r="E86" s="325"/>
      <c r="F86" s="94">
        <f>SUM(F79:F85)</f>
        <v>90</v>
      </c>
      <c r="G86" s="95">
        <f>SUM(G79:G85)</f>
        <v>734.00777701532525</v>
      </c>
      <c r="H86" s="96">
        <f>SUM(H79:H85)</f>
        <v>603.74400000000003</v>
      </c>
      <c r="I86" s="97"/>
      <c r="J86" s="162"/>
    </row>
    <row r="87" spans="1:15" ht="18" customHeight="1">
      <c r="A87" s="85"/>
      <c r="B87" s="93"/>
      <c r="C87" s="87"/>
      <c r="D87" s="161"/>
      <c r="E87" s="161"/>
      <c r="F87" s="89"/>
      <c r="G87" s="100"/>
      <c r="H87" s="101"/>
      <c r="I87" s="102"/>
      <c r="J87" s="121"/>
      <c r="L87" s="306" t="s">
        <v>48</v>
      </c>
      <c r="M87" s="306" t="s">
        <v>54</v>
      </c>
      <c r="N87" s="306" t="s">
        <v>50</v>
      </c>
      <c r="O87" s="306" t="s">
        <v>55</v>
      </c>
    </row>
    <row r="88" spans="1:15" ht="18" customHeight="1">
      <c r="A88" s="85"/>
      <c r="B88" s="23" t="s">
        <v>197</v>
      </c>
      <c r="C88" s="24">
        <v>22</v>
      </c>
      <c r="D88" s="88">
        <v>761</v>
      </c>
      <c r="E88" s="88">
        <v>1810</v>
      </c>
      <c r="F88" s="89">
        <f t="shared" ref="F88:F94" si="57">O88</f>
        <v>12</v>
      </c>
      <c r="G88" s="90">
        <f t="shared" ref="G88:G94" si="58">D88*E88/91809*F88</f>
        <v>180.03594418847825</v>
      </c>
      <c r="H88" s="90">
        <f t="shared" ref="H88:H94" si="59">(D88/1000)*4*F88+(E88/1000)*4*F88</f>
        <v>123.40799999999999</v>
      </c>
      <c r="I88" s="91" t="str">
        <f t="shared" ref="I88:I94" si="60">I79</f>
        <v>1동5라인</v>
      </c>
      <c r="J88" s="92" t="s">
        <v>212</v>
      </c>
      <c r="L88" s="89">
        <v>2</v>
      </c>
      <c r="M88" s="306">
        <f>M79</f>
        <v>6</v>
      </c>
      <c r="N88" s="84"/>
      <c r="O88" s="306">
        <f>L88*M88-N88*L88</f>
        <v>12</v>
      </c>
    </row>
    <row r="89" spans="1:15" ht="18" customHeight="1">
      <c r="A89" s="85"/>
      <c r="B89" s="86"/>
      <c r="C89" s="87"/>
      <c r="D89" s="88">
        <v>1688</v>
      </c>
      <c r="E89" s="88">
        <v>1810</v>
      </c>
      <c r="F89" s="89">
        <f t="shared" si="57"/>
        <v>6</v>
      </c>
      <c r="G89" s="90">
        <f t="shared" si="58"/>
        <v>199.6719275887985</v>
      </c>
      <c r="H89" s="90">
        <f t="shared" si="59"/>
        <v>83.951999999999998</v>
      </c>
      <c r="I89" s="91" t="str">
        <f t="shared" si="60"/>
        <v>1동5라인</v>
      </c>
      <c r="J89" s="92" t="s">
        <v>213</v>
      </c>
      <c r="L89" s="89">
        <v>1</v>
      </c>
      <c r="M89" s="306">
        <f>M88</f>
        <v>6</v>
      </c>
      <c r="N89" s="84"/>
      <c r="O89" s="306">
        <f>L89*M89-N89*L89</f>
        <v>6</v>
      </c>
    </row>
    <row r="90" spans="1:15" ht="18" customHeight="1">
      <c r="A90" s="104"/>
      <c r="B90" s="93"/>
      <c r="C90" s="87"/>
      <c r="D90" s="88">
        <v>738</v>
      </c>
      <c r="E90" s="88">
        <v>1310</v>
      </c>
      <c r="F90" s="89">
        <f t="shared" si="57"/>
        <v>24</v>
      </c>
      <c r="G90" s="90">
        <f t="shared" si="58"/>
        <v>252.72816390549946</v>
      </c>
      <c r="H90" s="90">
        <f t="shared" si="59"/>
        <v>196.608</v>
      </c>
      <c r="I90" s="91" t="str">
        <f t="shared" si="60"/>
        <v>1동5라인</v>
      </c>
      <c r="J90" s="92" t="s">
        <v>214</v>
      </c>
      <c r="L90" s="89">
        <v>4</v>
      </c>
      <c r="M90" s="306">
        <f t="shared" ref="M90:M94" si="61">M89</f>
        <v>6</v>
      </c>
      <c r="N90" s="84"/>
      <c r="O90" s="306">
        <f t="shared" ref="O90:O94" si="62">L90*M90-N90*L90</f>
        <v>24</v>
      </c>
    </row>
    <row r="91" spans="1:15" ht="18" customHeight="1">
      <c r="A91" s="104"/>
      <c r="B91" s="93"/>
      <c r="C91" s="87"/>
      <c r="D91" s="88">
        <v>288</v>
      </c>
      <c r="E91" s="88">
        <v>910</v>
      </c>
      <c r="F91" s="89">
        <f t="shared" si="57"/>
        <v>12</v>
      </c>
      <c r="G91" s="90">
        <f t="shared" si="58"/>
        <v>34.255465150475445</v>
      </c>
      <c r="H91" s="90">
        <f t="shared" si="59"/>
        <v>57.503999999999998</v>
      </c>
      <c r="I91" s="91" t="str">
        <f t="shared" si="60"/>
        <v>1동5라인</v>
      </c>
      <c r="J91" s="92" t="s">
        <v>215</v>
      </c>
      <c r="L91" s="89">
        <v>2</v>
      </c>
      <c r="M91" s="306">
        <f t="shared" si="61"/>
        <v>6</v>
      </c>
      <c r="N91" s="306"/>
      <c r="O91" s="306">
        <f t="shared" si="62"/>
        <v>12</v>
      </c>
    </row>
    <row r="92" spans="1:15" ht="18" customHeight="1">
      <c r="A92" s="104"/>
      <c r="B92" s="93"/>
      <c r="C92" s="87"/>
      <c r="D92" s="88">
        <v>228</v>
      </c>
      <c r="E92" s="88">
        <v>910</v>
      </c>
      <c r="F92" s="89">
        <f t="shared" si="57"/>
        <v>12</v>
      </c>
      <c r="G92" s="90">
        <f t="shared" si="58"/>
        <v>27.118909910793057</v>
      </c>
      <c r="H92" s="90">
        <f t="shared" si="59"/>
        <v>54.624000000000002</v>
      </c>
      <c r="I92" s="91" t="str">
        <f t="shared" si="60"/>
        <v>1동5라인</v>
      </c>
      <c r="J92" s="92" t="s">
        <v>216</v>
      </c>
      <c r="L92" s="89">
        <v>2</v>
      </c>
      <c r="M92" s="306">
        <f t="shared" si="61"/>
        <v>6</v>
      </c>
      <c r="N92" s="306"/>
      <c r="O92" s="306">
        <f t="shared" si="62"/>
        <v>12</v>
      </c>
    </row>
    <row r="93" spans="1:15" ht="18" customHeight="1">
      <c r="A93" s="104"/>
      <c r="B93" s="93"/>
      <c r="C93" s="87"/>
      <c r="D93" s="88">
        <v>438</v>
      </c>
      <c r="E93" s="88">
        <v>270</v>
      </c>
      <c r="F93" s="89">
        <f t="shared" si="57"/>
        <v>12</v>
      </c>
      <c r="G93" s="90">
        <f t="shared" si="58"/>
        <v>15.45730810704833</v>
      </c>
      <c r="H93" s="90">
        <f t="shared" si="59"/>
        <v>33.984000000000002</v>
      </c>
      <c r="I93" s="91" t="str">
        <f t="shared" si="60"/>
        <v>1동5라인</v>
      </c>
      <c r="J93" s="92" t="s">
        <v>217</v>
      </c>
      <c r="L93" s="89">
        <v>2</v>
      </c>
      <c r="M93" s="306">
        <f t="shared" si="61"/>
        <v>6</v>
      </c>
      <c r="N93" s="306"/>
      <c r="O93" s="306">
        <f t="shared" si="62"/>
        <v>12</v>
      </c>
    </row>
    <row r="94" spans="1:15" ht="18" customHeight="1">
      <c r="A94" s="104"/>
      <c r="B94" s="93"/>
      <c r="C94" s="87"/>
      <c r="D94" s="88">
        <v>208</v>
      </c>
      <c r="E94" s="88">
        <v>910</v>
      </c>
      <c r="F94" s="89">
        <f t="shared" si="57"/>
        <v>12</v>
      </c>
      <c r="G94" s="90">
        <f t="shared" si="58"/>
        <v>24.740058164232266</v>
      </c>
      <c r="H94" s="90">
        <f t="shared" si="59"/>
        <v>53.664000000000001</v>
      </c>
      <c r="I94" s="91" t="str">
        <f t="shared" si="60"/>
        <v>1동5라인</v>
      </c>
      <c r="J94" s="92" t="s">
        <v>218</v>
      </c>
      <c r="L94" s="89">
        <v>2</v>
      </c>
      <c r="M94" s="306">
        <f t="shared" si="61"/>
        <v>6</v>
      </c>
      <c r="N94" s="306"/>
      <c r="O94" s="306">
        <f t="shared" si="62"/>
        <v>12</v>
      </c>
    </row>
    <row r="95" spans="1:15" ht="18" customHeight="1">
      <c r="A95" s="104"/>
      <c r="B95" s="87"/>
      <c r="C95" s="87"/>
      <c r="D95" s="325" t="s">
        <v>0</v>
      </c>
      <c r="E95" s="325"/>
      <c r="F95" s="171">
        <f>SUM(F88:F94)</f>
        <v>90</v>
      </c>
      <c r="G95" s="95">
        <f>SUM(G88:G94)</f>
        <v>734.00777701532525</v>
      </c>
      <c r="H95" s="95">
        <f>SUM(H88:H94)</f>
        <v>603.74400000000003</v>
      </c>
      <c r="I95" s="97"/>
      <c r="J95" s="98"/>
    </row>
    <row r="96" spans="1:15">
      <c r="A96" s="105"/>
      <c r="B96" s="9"/>
      <c r="C96" s="9"/>
      <c r="D96" s="51"/>
      <c r="E96" s="51"/>
      <c r="F96" s="51"/>
      <c r="G96" s="106"/>
      <c r="H96" s="106"/>
      <c r="I96" s="9"/>
      <c r="J96" s="107"/>
    </row>
    <row r="97" spans="1:16" ht="18" customHeight="1">
      <c r="A97" s="85"/>
      <c r="B97" s="163" t="s">
        <v>199</v>
      </c>
      <c r="C97" s="163">
        <v>22</v>
      </c>
      <c r="D97" s="88">
        <v>738</v>
      </c>
      <c r="E97" s="88">
        <v>1810</v>
      </c>
      <c r="F97" s="89">
        <f t="shared" ref="F97:F98" si="63">O97</f>
        <v>12</v>
      </c>
      <c r="G97" s="90">
        <f t="shared" ref="G97:G98" si="64">D97*E97/91809*F97</f>
        <v>174.59464758357024</v>
      </c>
      <c r="H97" s="90">
        <f t="shared" ref="H97:H98" si="65">(D97/1000)*4*F97+(E97/1000)*4*F97</f>
        <v>122.304</v>
      </c>
      <c r="I97" s="91" t="str">
        <f>I88</f>
        <v>1동5라인</v>
      </c>
      <c r="J97" s="92" t="s">
        <v>219</v>
      </c>
      <c r="L97" s="89">
        <v>2</v>
      </c>
      <c r="M97" s="306">
        <f>M79</f>
        <v>6</v>
      </c>
      <c r="N97" s="84"/>
      <c r="O97" s="306">
        <f>L97*M97-N97*L97</f>
        <v>12</v>
      </c>
      <c r="P97" s="64"/>
    </row>
    <row r="98" spans="1:16" ht="18" customHeight="1">
      <c r="A98" s="85"/>
      <c r="B98" s="86"/>
      <c r="C98" s="87"/>
      <c r="D98" s="88">
        <v>250</v>
      </c>
      <c r="E98" s="88">
        <v>930</v>
      </c>
      <c r="F98" s="89">
        <f t="shared" si="63"/>
        <v>12</v>
      </c>
      <c r="G98" s="90">
        <f t="shared" si="64"/>
        <v>30.389177531614546</v>
      </c>
      <c r="H98" s="90">
        <f t="shared" si="65"/>
        <v>56.64</v>
      </c>
      <c r="I98" s="91" t="str">
        <f>I97</f>
        <v>1동5라인</v>
      </c>
      <c r="J98" s="92" t="s">
        <v>220</v>
      </c>
      <c r="L98" s="89">
        <v>2</v>
      </c>
      <c r="M98" s="306">
        <f>M97</f>
        <v>6</v>
      </c>
      <c r="N98" s="84"/>
      <c r="O98" s="306">
        <f t="shared" ref="O98" si="66">L98*M98-N98*L98</f>
        <v>12</v>
      </c>
    </row>
    <row r="99" spans="1:16" ht="18" customHeight="1">
      <c r="A99" s="85"/>
      <c r="B99" s="93"/>
      <c r="C99" s="87"/>
      <c r="D99" s="325" t="s">
        <v>0</v>
      </c>
      <c r="E99" s="325"/>
      <c r="F99" s="94">
        <f>SUM(F97:F98)</f>
        <v>24</v>
      </c>
      <c r="G99" s="95">
        <f>SUM(G97:G98)</f>
        <v>204.98382511518477</v>
      </c>
      <c r="H99" s="95">
        <f>SUM(H97:H98)</f>
        <v>178.94400000000002</v>
      </c>
      <c r="I99" s="97"/>
      <c r="J99" s="98"/>
    </row>
    <row r="100" spans="1:16" ht="18" customHeight="1" thickBot="1">
      <c r="A100" s="222"/>
      <c r="B100" s="245"/>
      <c r="C100" s="224"/>
      <c r="D100" s="246"/>
      <c r="E100" s="246"/>
      <c r="F100" s="226"/>
      <c r="G100" s="247"/>
      <c r="H100" s="247"/>
      <c r="I100" s="248"/>
      <c r="J100" s="249"/>
      <c r="L100" s="250"/>
      <c r="M100" s="250"/>
      <c r="N100" s="250"/>
      <c r="O100" s="250"/>
    </row>
    <row r="101" spans="1:16" ht="18" customHeight="1">
      <c r="A101" s="79" t="s">
        <v>242</v>
      </c>
      <c r="B101" s="231" t="s">
        <v>195</v>
      </c>
      <c r="C101" s="232">
        <v>22</v>
      </c>
      <c r="D101" s="80">
        <v>761</v>
      </c>
      <c r="E101" s="80">
        <v>1810</v>
      </c>
      <c r="F101" s="233">
        <f t="shared" ref="F101:F106" si="67">O101</f>
        <v>12</v>
      </c>
      <c r="G101" s="81">
        <f t="shared" ref="G101:G106" si="68">D101*E101/91809*F101</f>
        <v>180.03594418847825</v>
      </c>
      <c r="H101" s="81">
        <f t="shared" ref="H101:H106" si="69">(D101/1000)*4*F101+(E101/1000)*4*F101</f>
        <v>123.40799999999999</v>
      </c>
      <c r="I101" s="82" t="s">
        <v>243</v>
      </c>
      <c r="J101" s="83" t="s">
        <v>205</v>
      </c>
      <c r="L101" s="89">
        <v>2</v>
      </c>
      <c r="M101" s="306">
        <v>6</v>
      </c>
      <c r="N101" s="306"/>
      <c r="O101" s="306">
        <f t="shared" ref="O101:O106" si="70">L101*M101-N101*L101</f>
        <v>12</v>
      </c>
    </row>
    <row r="102" spans="1:16" ht="18" customHeight="1">
      <c r="A102" s="85"/>
      <c r="B102" s="86"/>
      <c r="C102" s="87"/>
      <c r="D102" s="88">
        <v>1688</v>
      </c>
      <c r="E102" s="88">
        <v>1810</v>
      </c>
      <c r="F102" s="89">
        <f t="shared" si="67"/>
        <v>6</v>
      </c>
      <c r="G102" s="90">
        <f t="shared" si="68"/>
        <v>199.6719275887985</v>
      </c>
      <c r="H102" s="90">
        <f t="shared" si="69"/>
        <v>83.951999999999998</v>
      </c>
      <c r="I102" s="91" t="str">
        <f>I101</f>
        <v>1동6라인</v>
      </c>
      <c r="J102" s="92" t="s">
        <v>206</v>
      </c>
      <c r="L102" s="89">
        <v>1</v>
      </c>
      <c r="M102" s="306">
        <f t="shared" ref="M102:M118" si="71">M101</f>
        <v>6</v>
      </c>
      <c r="N102" s="306"/>
      <c r="O102" s="306">
        <f t="shared" si="70"/>
        <v>6</v>
      </c>
    </row>
    <row r="103" spans="1:16" ht="18" customHeight="1">
      <c r="A103" s="85"/>
      <c r="B103" s="86"/>
      <c r="C103" s="87"/>
      <c r="D103" s="88">
        <v>738</v>
      </c>
      <c r="E103" s="88">
        <v>1310</v>
      </c>
      <c r="F103" s="89">
        <f t="shared" si="67"/>
        <v>24</v>
      </c>
      <c r="G103" s="90">
        <f t="shared" si="68"/>
        <v>252.72816390549946</v>
      </c>
      <c r="H103" s="90">
        <f t="shared" si="69"/>
        <v>196.608</v>
      </c>
      <c r="I103" s="91" t="str">
        <f t="shared" ref="I103:I106" si="72">I102</f>
        <v>1동6라인</v>
      </c>
      <c r="J103" s="92" t="s">
        <v>207</v>
      </c>
      <c r="L103" s="89">
        <v>4</v>
      </c>
      <c r="M103" s="306">
        <f t="shared" si="71"/>
        <v>6</v>
      </c>
      <c r="N103" s="306"/>
      <c r="O103" s="306">
        <f t="shared" si="70"/>
        <v>24</v>
      </c>
    </row>
    <row r="104" spans="1:16" ht="18" customHeight="1">
      <c r="A104" s="85"/>
      <c r="B104" s="86"/>
      <c r="C104" s="87"/>
      <c r="D104" s="88">
        <v>438</v>
      </c>
      <c r="E104" s="88">
        <v>910</v>
      </c>
      <c r="F104" s="89">
        <f t="shared" si="67"/>
        <v>12</v>
      </c>
      <c r="G104" s="90">
        <f t="shared" si="68"/>
        <v>52.096853249681402</v>
      </c>
      <c r="H104" s="90">
        <f t="shared" si="69"/>
        <v>64.704000000000008</v>
      </c>
      <c r="I104" s="91" t="str">
        <f t="shared" si="72"/>
        <v>1동6라인</v>
      </c>
      <c r="J104" s="92" t="s">
        <v>223</v>
      </c>
      <c r="L104" s="89">
        <v>2</v>
      </c>
      <c r="M104" s="306">
        <f t="shared" si="71"/>
        <v>6</v>
      </c>
      <c r="N104" s="306"/>
      <c r="O104" s="306">
        <f t="shared" si="70"/>
        <v>12</v>
      </c>
    </row>
    <row r="105" spans="1:16" ht="18" customHeight="1">
      <c r="A105" s="85"/>
      <c r="B105" s="86"/>
      <c r="C105" s="87"/>
      <c r="D105" s="88">
        <v>228</v>
      </c>
      <c r="E105" s="88">
        <v>910</v>
      </c>
      <c r="F105" s="89">
        <f t="shared" si="67"/>
        <v>12</v>
      </c>
      <c r="G105" s="90">
        <f t="shared" si="68"/>
        <v>27.118909910793057</v>
      </c>
      <c r="H105" s="90">
        <f t="shared" si="69"/>
        <v>54.624000000000002</v>
      </c>
      <c r="I105" s="91" t="str">
        <f t="shared" si="72"/>
        <v>1동6라인</v>
      </c>
      <c r="J105" s="92" t="s">
        <v>209</v>
      </c>
      <c r="L105" s="89">
        <v>2</v>
      </c>
      <c r="M105" s="306">
        <f t="shared" si="71"/>
        <v>6</v>
      </c>
      <c r="N105" s="306"/>
      <c r="O105" s="306">
        <f t="shared" si="70"/>
        <v>12</v>
      </c>
    </row>
    <row r="106" spans="1:16" ht="18" customHeight="1">
      <c r="A106" s="85"/>
      <c r="B106" s="86"/>
      <c r="C106" s="87"/>
      <c r="D106" s="88">
        <v>438</v>
      </c>
      <c r="E106" s="88">
        <v>270</v>
      </c>
      <c r="F106" s="89">
        <f t="shared" si="67"/>
        <v>12</v>
      </c>
      <c r="G106" s="90">
        <f t="shared" si="68"/>
        <v>15.45730810704833</v>
      </c>
      <c r="H106" s="90">
        <f t="shared" si="69"/>
        <v>33.984000000000002</v>
      </c>
      <c r="I106" s="91" t="str">
        <f t="shared" si="72"/>
        <v>1동6라인</v>
      </c>
      <c r="J106" s="92" t="s">
        <v>210</v>
      </c>
      <c r="L106" s="89">
        <v>2</v>
      </c>
      <c r="M106" s="306">
        <f t="shared" si="71"/>
        <v>6</v>
      </c>
      <c r="N106" s="306"/>
      <c r="O106" s="306">
        <f t="shared" si="70"/>
        <v>12</v>
      </c>
    </row>
    <row r="107" spans="1:16" ht="18" customHeight="1">
      <c r="A107" s="85"/>
      <c r="B107" s="93"/>
      <c r="C107" s="87"/>
      <c r="D107" s="325" t="s">
        <v>0</v>
      </c>
      <c r="E107" s="325"/>
      <c r="F107" s="94">
        <f>SUM(F101:F106)</f>
        <v>78</v>
      </c>
      <c r="G107" s="95">
        <f>SUM(G101:G106)</f>
        <v>727.10910695029906</v>
      </c>
      <c r="H107" s="96">
        <f>SUM(H101:H106)</f>
        <v>557.28</v>
      </c>
      <c r="I107" s="97"/>
      <c r="J107" s="162"/>
      <c r="L107" s="250"/>
      <c r="M107" s="250"/>
      <c r="N107" s="250"/>
      <c r="O107" s="250"/>
    </row>
    <row r="108" spans="1:16" ht="18" customHeight="1">
      <c r="A108" s="85"/>
      <c r="B108" s="93"/>
      <c r="C108" s="87"/>
      <c r="D108" s="161"/>
      <c r="E108" s="161"/>
      <c r="F108" s="89"/>
      <c r="G108" s="100"/>
      <c r="H108" s="101"/>
      <c r="I108" s="102"/>
      <c r="J108" s="121"/>
      <c r="L108" s="250"/>
      <c r="M108" s="250"/>
      <c r="N108" s="250"/>
      <c r="O108" s="250"/>
    </row>
    <row r="109" spans="1:16" ht="18" customHeight="1">
      <c r="A109" s="85"/>
      <c r="B109" s="23" t="s">
        <v>197</v>
      </c>
      <c r="C109" s="24">
        <v>22</v>
      </c>
      <c r="D109" s="88">
        <v>761</v>
      </c>
      <c r="E109" s="88">
        <v>1810</v>
      </c>
      <c r="F109" s="89">
        <f t="shared" ref="F109:F114" si="73">O109</f>
        <v>12</v>
      </c>
      <c r="G109" s="90">
        <f t="shared" ref="G109:G114" si="74">D109*E109/91809*F109</f>
        <v>180.03594418847825</v>
      </c>
      <c r="H109" s="90">
        <f t="shared" ref="H109:H114" si="75">(D109/1000)*4*F109+(E109/1000)*4*F109</f>
        <v>123.40799999999999</v>
      </c>
      <c r="I109" s="91" t="str">
        <f>I101</f>
        <v>1동6라인</v>
      </c>
      <c r="J109" s="92" t="s">
        <v>212</v>
      </c>
      <c r="L109" s="89">
        <v>2</v>
      </c>
      <c r="M109" s="306">
        <f>M106</f>
        <v>6</v>
      </c>
      <c r="N109" s="306"/>
      <c r="O109" s="306">
        <f t="shared" ref="O109:O118" si="76">L109*M109-N109*L109</f>
        <v>12</v>
      </c>
    </row>
    <row r="110" spans="1:16" ht="18" customHeight="1">
      <c r="A110" s="85"/>
      <c r="B110" s="86"/>
      <c r="C110" s="87"/>
      <c r="D110" s="88">
        <v>1688</v>
      </c>
      <c r="E110" s="88">
        <v>1810</v>
      </c>
      <c r="F110" s="89">
        <f t="shared" si="73"/>
        <v>6</v>
      </c>
      <c r="G110" s="90">
        <f t="shared" si="74"/>
        <v>199.6719275887985</v>
      </c>
      <c r="H110" s="90">
        <f t="shared" si="75"/>
        <v>83.951999999999998</v>
      </c>
      <c r="I110" s="91" t="str">
        <f>I101</f>
        <v>1동6라인</v>
      </c>
      <c r="J110" s="92" t="s">
        <v>213</v>
      </c>
      <c r="L110" s="89">
        <v>1</v>
      </c>
      <c r="M110" s="306">
        <f t="shared" si="71"/>
        <v>6</v>
      </c>
      <c r="N110" s="306"/>
      <c r="O110" s="306">
        <f t="shared" si="76"/>
        <v>6</v>
      </c>
    </row>
    <row r="111" spans="1:16">
      <c r="A111" s="104"/>
      <c r="B111" s="93"/>
      <c r="C111" s="87"/>
      <c r="D111" s="88">
        <v>738</v>
      </c>
      <c r="E111" s="88">
        <v>1310</v>
      </c>
      <c r="F111" s="89">
        <f t="shared" si="73"/>
        <v>24</v>
      </c>
      <c r="G111" s="90">
        <f t="shared" si="74"/>
        <v>252.72816390549946</v>
      </c>
      <c r="H111" s="90">
        <f t="shared" si="75"/>
        <v>196.608</v>
      </c>
      <c r="I111" s="91" t="str">
        <f>I110</f>
        <v>1동6라인</v>
      </c>
      <c r="J111" s="92" t="s">
        <v>214</v>
      </c>
      <c r="L111" s="89">
        <v>4</v>
      </c>
      <c r="M111" s="306">
        <f t="shared" si="71"/>
        <v>6</v>
      </c>
      <c r="N111" s="306"/>
      <c r="O111" s="306">
        <f t="shared" si="76"/>
        <v>24</v>
      </c>
    </row>
    <row r="112" spans="1:16" ht="18" customHeight="1">
      <c r="A112" s="104"/>
      <c r="B112" s="93"/>
      <c r="C112" s="87"/>
      <c r="D112" s="88">
        <v>438</v>
      </c>
      <c r="E112" s="88">
        <v>910</v>
      </c>
      <c r="F112" s="89">
        <f t="shared" si="73"/>
        <v>12</v>
      </c>
      <c r="G112" s="90">
        <f t="shared" si="74"/>
        <v>52.096853249681402</v>
      </c>
      <c r="H112" s="90">
        <f t="shared" si="75"/>
        <v>64.704000000000008</v>
      </c>
      <c r="I112" s="91" t="str">
        <f t="shared" ref="I112:I114" si="77">I111</f>
        <v>1동6라인</v>
      </c>
      <c r="J112" s="92" t="s">
        <v>225</v>
      </c>
      <c r="L112" s="89">
        <v>2</v>
      </c>
      <c r="M112" s="306">
        <f t="shared" si="71"/>
        <v>6</v>
      </c>
      <c r="N112" s="306"/>
      <c r="O112" s="306">
        <f t="shared" si="76"/>
        <v>12</v>
      </c>
      <c r="P112" s="64"/>
    </row>
    <row r="113" spans="1:16" ht="18" customHeight="1">
      <c r="A113" s="104"/>
      <c r="B113" s="93"/>
      <c r="C113" s="87"/>
      <c r="D113" s="88">
        <v>228</v>
      </c>
      <c r="E113" s="88">
        <v>910</v>
      </c>
      <c r="F113" s="89">
        <f t="shared" si="73"/>
        <v>12</v>
      </c>
      <c r="G113" s="90">
        <f t="shared" si="74"/>
        <v>27.118909910793057</v>
      </c>
      <c r="H113" s="90">
        <f t="shared" si="75"/>
        <v>54.624000000000002</v>
      </c>
      <c r="I113" s="91" t="str">
        <f t="shared" si="77"/>
        <v>1동6라인</v>
      </c>
      <c r="J113" s="92" t="s">
        <v>216</v>
      </c>
      <c r="L113" s="89">
        <v>2</v>
      </c>
      <c r="M113" s="306">
        <f t="shared" si="71"/>
        <v>6</v>
      </c>
      <c r="N113" s="306"/>
      <c r="O113" s="306">
        <f t="shared" si="76"/>
        <v>12</v>
      </c>
    </row>
    <row r="114" spans="1:16" ht="18" customHeight="1">
      <c r="A114" s="104"/>
      <c r="B114" s="93"/>
      <c r="C114" s="87"/>
      <c r="D114" s="88">
        <v>438</v>
      </c>
      <c r="E114" s="88">
        <v>270</v>
      </c>
      <c r="F114" s="89">
        <f t="shared" si="73"/>
        <v>12</v>
      </c>
      <c r="G114" s="90">
        <f t="shared" si="74"/>
        <v>15.45730810704833</v>
      </c>
      <c r="H114" s="90">
        <f t="shared" si="75"/>
        <v>33.984000000000002</v>
      </c>
      <c r="I114" s="91" t="str">
        <f t="shared" si="77"/>
        <v>1동6라인</v>
      </c>
      <c r="J114" s="92" t="s">
        <v>217</v>
      </c>
      <c r="L114" s="89">
        <v>2</v>
      </c>
      <c r="M114" s="306">
        <f t="shared" si="71"/>
        <v>6</v>
      </c>
      <c r="N114" s="306"/>
      <c r="O114" s="306">
        <f t="shared" si="76"/>
        <v>12</v>
      </c>
    </row>
    <row r="115" spans="1:16">
      <c r="A115" s="104"/>
      <c r="B115" s="87"/>
      <c r="C115" s="87"/>
      <c r="D115" s="325" t="s">
        <v>0</v>
      </c>
      <c r="E115" s="325"/>
      <c r="F115" s="171">
        <f>SUM(F109:F114)</f>
        <v>78</v>
      </c>
      <c r="G115" s="95">
        <f>SUM(G109:G114)</f>
        <v>727.10910695029906</v>
      </c>
      <c r="H115" s="95">
        <f>SUM(H109:H114)</f>
        <v>557.28</v>
      </c>
      <c r="I115" s="97"/>
      <c r="J115" s="98"/>
      <c r="L115" s="250"/>
      <c r="M115" s="250"/>
      <c r="N115" s="250"/>
      <c r="O115" s="250"/>
    </row>
    <row r="116" spans="1:16">
      <c r="A116" s="105"/>
      <c r="B116" s="9"/>
      <c r="C116" s="9"/>
      <c r="D116" s="51"/>
      <c r="E116" s="51"/>
      <c r="F116" s="51"/>
      <c r="G116" s="106"/>
      <c r="H116" s="106"/>
      <c r="I116" s="9"/>
      <c r="J116" s="107"/>
      <c r="L116" s="250"/>
      <c r="M116" s="250"/>
      <c r="N116" s="250"/>
      <c r="O116" s="250"/>
    </row>
    <row r="117" spans="1:16" ht="18" customHeight="1">
      <c r="A117" s="85"/>
      <c r="B117" s="163" t="s">
        <v>199</v>
      </c>
      <c r="C117" s="163">
        <v>22</v>
      </c>
      <c r="D117" s="88">
        <v>738</v>
      </c>
      <c r="E117" s="88">
        <v>1810</v>
      </c>
      <c r="F117" s="89">
        <f t="shared" ref="F117:F118" si="78">O117</f>
        <v>0</v>
      </c>
      <c r="G117" s="90">
        <f t="shared" ref="G117:G119" si="79">D117*E117/91809*F117</f>
        <v>0</v>
      </c>
      <c r="H117" s="90">
        <f t="shared" ref="H117:H119" si="80">(D117/1000)*4*F117+(E117/1000)*4*F117</f>
        <v>0</v>
      </c>
      <c r="I117" s="91" t="str">
        <f>I109</f>
        <v>1동6라인</v>
      </c>
      <c r="J117" s="92" t="s">
        <v>219</v>
      </c>
      <c r="L117" s="89">
        <v>2</v>
      </c>
      <c r="M117" s="306">
        <f>M114</f>
        <v>6</v>
      </c>
      <c r="N117" s="84">
        <v>6</v>
      </c>
      <c r="O117" s="306">
        <f t="shared" si="76"/>
        <v>0</v>
      </c>
      <c r="P117" s="64" t="s">
        <v>245</v>
      </c>
    </row>
    <row r="118" spans="1:16" ht="18" customHeight="1">
      <c r="A118" s="85"/>
      <c r="B118" s="86"/>
      <c r="C118" s="87"/>
      <c r="D118" s="88">
        <v>250</v>
      </c>
      <c r="E118" s="88">
        <v>930</v>
      </c>
      <c r="F118" s="89">
        <f t="shared" si="78"/>
        <v>12</v>
      </c>
      <c r="G118" s="90">
        <f t="shared" si="79"/>
        <v>30.389177531614546</v>
      </c>
      <c r="H118" s="90">
        <f t="shared" si="80"/>
        <v>56.64</v>
      </c>
      <c r="I118" s="91" t="str">
        <f>I117</f>
        <v>1동6라인</v>
      </c>
      <c r="J118" s="92" t="s">
        <v>220</v>
      </c>
      <c r="L118" s="89">
        <v>2</v>
      </c>
      <c r="M118" s="306">
        <f t="shared" si="71"/>
        <v>6</v>
      </c>
      <c r="N118" s="306"/>
      <c r="O118" s="306">
        <f t="shared" si="76"/>
        <v>12</v>
      </c>
    </row>
    <row r="119" spans="1:16" ht="18" customHeight="1">
      <c r="A119" s="85"/>
      <c r="B119" s="86"/>
      <c r="C119" s="87"/>
      <c r="D119" s="88"/>
      <c r="E119" s="88"/>
      <c r="F119" s="89"/>
      <c r="G119" s="90">
        <f t="shared" si="79"/>
        <v>0</v>
      </c>
      <c r="H119" s="90">
        <f t="shared" si="80"/>
        <v>0</v>
      </c>
      <c r="I119" s="91"/>
      <c r="J119" s="92"/>
      <c r="L119" s="250"/>
      <c r="M119" s="250"/>
      <c r="N119" s="250"/>
      <c r="O119" s="250"/>
    </row>
    <row r="120" spans="1:16" ht="18" customHeight="1">
      <c r="A120" s="85"/>
      <c r="B120" s="93"/>
      <c r="C120" s="87"/>
      <c r="D120" s="325" t="s">
        <v>0</v>
      </c>
      <c r="E120" s="325"/>
      <c r="F120" s="94">
        <f>SUM(F117:F119)</f>
        <v>12</v>
      </c>
      <c r="G120" s="95">
        <f>SUM(G117:G119)</f>
        <v>30.389177531614546</v>
      </c>
      <c r="H120" s="95">
        <f>SUM(H117:H119)</f>
        <v>56.64</v>
      </c>
      <c r="I120" s="97"/>
      <c r="J120" s="98"/>
      <c r="L120" s="250"/>
      <c r="M120" s="250"/>
      <c r="N120" s="250"/>
      <c r="O120" s="250"/>
    </row>
    <row r="121" spans="1:16" ht="18" customHeight="1">
      <c r="A121" s="253"/>
      <c r="B121" s="254"/>
      <c r="C121" s="255"/>
      <c r="D121" s="361"/>
      <c r="E121" s="361"/>
      <c r="F121" s="256"/>
      <c r="G121" s="257"/>
      <c r="H121" s="258"/>
      <c r="I121" s="259"/>
      <c r="J121" s="260"/>
      <c r="L121" s="250"/>
      <c r="M121" s="250"/>
      <c r="N121" s="250"/>
      <c r="O121" s="250"/>
    </row>
    <row r="122" spans="1:16" ht="18" customHeight="1">
      <c r="A122" s="85">
        <v>74</v>
      </c>
      <c r="B122" s="23" t="s">
        <v>196</v>
      </c>
      <c r="C122" s="24">
        <v>22</v>
      </c>
      <c r="D122" s="88">
        <v>861</v>
      </c>
      <c r="E122" s="88">
        <v>1810</v>
      </c>
      <c r="F122" s="89">
        <f t="shared" ref="F122:F126" si="81">O122</f>
        <v>4</v>
      </c>
      <c r="G122" s="90">
        <f t="shared" ref="G122:G126" si="82">D122*E122/91809*F122</f>
        <v>67.897918504721758</v>
      </c>
      <c r="H122" s="90">
        <f t="shared" ref="H122:H126" si="83">(D122/1000)*4*F122+(E122/1000)*4*F122</f>
        <v>42.736000000000004</v>
      </c>
      <c r="I122" s="91" t="s">
        <v>246</v>
      </c>
      <c r="J122" s="92" t="s">
        <v>205</v>
      </c>
      <c r="L122" s="89">
        <v>1</v>
      </c>
      <c r="M122" s="306">
        <v>4</v>
      </c>
      <c r="N122" s="84"/>
      <c r="O122" s="306">
        <f>L122*M122-N122*L122</f>
        <v>4</v>
      </c>
      <c r="P122" s="64"/>
    </row>
    <row r="123" spans="1:16" ht="18" customHeight="1">
      <c r="A123" s="85"/>
      <c r="B123" s="86"/>
      <c r="C123" s="87"/>
      <c r="D123" s="88">
        <v>738</v>
      </c>
      <c r="E123" s="88">
        <v>1310</v>
      </c>
      <c r="F123" s="89">
        <f t="shared" si="81"/>
        <v>16</v>
      </c>
      <c r="G123" s="90">
        <f t="shared" si="82"/>
        <v>168.48544260366631</v>
      </c>
      <c r="H123" s="90">
        <f t="shared" si="83"/>
        <v>131.072</v>
      </c>
      <c r="I123" s="91" t="str">
        <f>I122</f>
        <v>2동1,2라인</v>
      </c>
      <c r="J123" s="92" t="s">
        <v>207</v>
      </c>
      <c r="L123" s="89">
        <v>4</v>
      </c>
      <c r="M123" s="306">
        <f>M122</f>
        <v>4</v>
      </c>
      <c r="N123" s="84"/>
      <c r="O123" s="306">
        <f t="shared" ref="O123:O126" si="84">L123*M123-N123*L123</f>
        <v>16</v>
      </c>
    </row>
    <row r="124" spans="1:16" ht="18" customHeight="1">
      <c r="A124" s="85"/>
      <c r="B124" s="86"/>
      <c r="C124" s="87"/>
      <c r="D124" s="88">
        <v>288</v>
      </c>
      <c r="E124" s="88">
        <v>910</v>
      </c>
      <c r="F124" s="89">
        <f t="shared" si="81"/>
        <v>8</v>
      </c>
      <c r="G124" s="90">
        <f t="shared" si="82"/>
        <v>22.836976766983629</v>
      </c>
      <c r="H124" s="90">
        <f t="shared" si="83"/>
        <v>38.335999999999999</v>
      </c>
      <c r="I124" s="91" t="str">
        <f t="shared" ref="I124:I125" si="85">I123</f>
        <v>2동1,2라인</v>
      </c>
      <c r="J124" s="92" t="s">
        <v>208</v>
      </c>
      <c r="L124" s="89">
        <v>2</v>
      </c>
      <c r="M124" s="306">
        <f t="shared" ref="M124" si="86">M123</f>
        <v>4</v>
      </c>
      <c r="N124" s="306"/>
      <c r="O124" s="306">
        <f t="shared" si="84"/>
        <v>8</v>
      </c>
    </row>
    <row r="125" spans="1:16" ht="18" customHeight="1">
      <c r="A125" s="85"/>
      <c r="B125" s="86"/>
      <c r="C125" s="87"/>
      <c r="D125" s="88">
        <v>228</v>
      </c>
      <c r="E125" s="88">
        <v>910</v>
      </c>
      <c r="F125" s="89">
        <f t="shared" si="81"/>
        <v>8</v>
      </c>
      <c r="G125" s="90">
        <f t="shared" si="82"/>
        <v>18.079273273862039</v>
      </c>
      <c r="H125" s="90">
        <f t="shared" si="83"/>
        <v>36.416000000000004</v>
      </c>
      <c r="I125" s="91" t="str">
        <f t="shared" si="85"/>
        <v>2동1,2라인</v>
      </c>
      <c r="J125" s="92" t="s">
        <v>209</v>
      </c>
      <c r="L125" s="89">
        <v>2</v>
      </c>
      <c r="M125" s="306">
        <f>M124</f>
        <v>4</v>
      </c>
      <c r="N125" s="306"/>
      <c r="O125" s="306">
        <f t="shared" si="84"/>
        <v>8</v>
      </c>
    </row>
    <row r="126" spans="1:16" ht="18" customHeight="1">
      <c r="A126" s="85"/>
      <c r="B126" s="86"/>
      <c r="C126" s="87"/>
      <c r="D126" s="88">
        <v>438</v>
      </c>
      <c r="E126" s="88">
        <v>270</v>
      </c>
      <c r="F126" s="89">
        <f t="shared" si="81"/>
        <v>8</v>
      </c>
      <c r="G126" s="90">
        <f t="shared" si="82"/>
        <v>10.304872071365553</v>
      </c>
      <c r="H126" s="90">
        <f t="shared" si="83"/>
        <v>22.655999999999999</v>
      </c>
      <c r="I126" s="91" t="str">
        <f>I124</f>
        <v>2동1,2라인</v>
      </c>
      <c r="J126" s="92" t="s">
        <v>210</v>
      </c>
      <c r="L126" s="89">
        <v>2</v>
      </c>
      <c r="M126" s="306">
        <f>M124</f>
        <v>4</v>
      </c>
      <c r="N126" s="306"/>
      <c r="O126" s="306">
        <f t="shared" si="84"/>
        <v>8</v>
      </c>
    </row>
    <row r="127" spans="1:16" ht="18" customHeight="1">
      <c r="A127" s="85"/>
      <c r="B127" s="93"/>
      <c r="C127" s="87"/>
      <c r="D127" s="325" t="s">
        <v>0</v>
      </c>
      <c r="E127" s="325"/>
      <c r="F127" s="94">
        <f>SUM(F122:F126)</f>
        <v>44</v>
      </c>
      <c r="G127" s="95">
        <f>SUM(G122:G126)</f>
        <v>287.60448322059926</v>
      </c>
      <c r="H127" s="96">
        <f>SUM(H122:H126)</f>
        <v>271.21600000000001</v>
      </c>
      <c r="I127" s="97"/>
      <c r="J127" s="162"/>
    </row>
    <row r="128" spans="1:16" ht="18" customHeight="1">
      <c r="A128" s="85"/>
      <c r="B128" s="93"/>
      <c r="C128" s="87"/>
      <c r="D128" s="161"/>
      <c r="E128" s="161"/>
      <c r="F128" s="89"/>
      <c r="G128" s="100"/>
      <c r="H128" s="101"/>
      <c r="I128" s="102"/>
      <c r="J128" s="121"/>
      <c r="L128" s="252"/>
      <c r="M128" s="252"/>
      <c r="N128" s="252"/>
      <c r="O128" s="252"/>
    </row>
    <row r="129" spans="1:16" ht="18" customHeight="1">
      <c r="A129" s="85"/>
      <c r="B129" s="23" t="s">
        <v>198</v>
      </c>
      <c r="C129" s="24">
        <v>22</v>
      </c>
      <c r="D129" s="88">
        <v>861</v>
      </c>
      <c r="E129" s="88">
        <v>1810</v>
      </c>
      <c r="F129" s="89">
        <f t="shared" ref="F129:F134" si="87">O129</f>
        <v>4</v>
      </c>
      <c r="G129" s="90">
        <f t="shared" ref="G129:G134" si="88">D129*E129/91809*F129</f>
        <v>67.897918504721758</v>
      </c>
      <c r="H129" s="90">
        <f t="shared" ref="H129:H134" si="89">(D129/1000)*4*F129+(E129/1000)*4*F129</f>
        <v>42.736000000000004</v>
      </c>
      <c r="I129" s="91" t="str">
        <f>I122</f>
        <v>2동1,2라인</v>
      </c>
      <c r="J129" s="92" t="s">
        <v>212</v>
      </c>
      <c r="L129" s="89">
        <v>1</v>
      </c>
      <c r="M129" s="306">
        <f>M122</f>
        <v>4</v>
      </c>
      <c r="N129" s="84"/>
      <c r="O129" s="306">
        <f>L129*M129-N129*L129</f>
        <v>4</v>
      </c>
    </row>
    <row r="130" spans="1:16" ht="18" customHeight="1">
      <c r="A130" s="85"/>
      <c r="B130" s="86"/>
      <c r="C130" s="87"/>
      <c r="D130" s="88">
        <v>2114</v>
      </c>
      <c r="E130" s="88">
        <v>1810</v>
      </c>
      <c r="F130" s="89">
        <f t="shared" si="87"/>
        <v>4</v>
      </c>
      <c r="G130" s="90">
        <f t="shared" si="88"/>
        <v>166.7087104750079</v>
      </c>
      <c r="H130" s="90">
        <f t="shared" si="89"/>
        <v>62.783999999999999</v>
      </c>
      <c r="I130" s="91" t="str">
        <f>I122</f>
        <v>2동1,2라인</v>
      </c>
      <c r="J130" s="92" t="s">
        <v>213</v>
      </c>
      <c r="L130" s="89">
        <v>1</v>
      </c>
      <c r="M130" s="306">
        <f>M129</f>
        <v>4</v>
      </c>
      <c r="N130" s="84"/>
      <c r="O130" s="306">
        <f>L130*M130-N130*L130</f>
        <v>4</v>
      </c>
    </row>
    <row r="131" spans="1:16" ht="18" customHeight="1">
      <c r="A131" s="104"/>
      <c r="B131" s="93"/>
      <c r="C131" s="87"/>
      <c r="D131" s="88">
        <v>738</v>
      </c>
      <c r="E131" s="88">
        <v>1310</v>
      </c>
      <c r="F131" s="89">
        <f t="shared" si="87"/>
        <v>16</v>
      </c>
      <c r="G131" s="90">
        <f t="shared" si="88"/>
        <v>168.48544260366631</v>
      </c>
      <c r="H131" s="90">
        <f t="shared" si="89"/>
        <v>131.072</v>
      </c>
      <c r="I131" s="91" t="str">
        <f>I130</f>
        <v>2동1,2라인</v>
      </c>
      <c r="J131" s="92" t="s">
        <v>214</v>
      </c>
      <c r="L131" s="89">
        <v>4</v>
      </c>
      <c r="M131" s="306">
        <f t="shared" ref="M131:M134" si="90">M130</f>
        <v>4</v>
      </c>
      <c r="N131" s="84"/>
      <c r="O131" s="306">
        <f t="shared" ref="O131:O134" si="91">L131*M131-N131*L131</f>
        <v>16</v>
      </c>
    </row>
    <row r="132" spans="1:16" ht="18" customHeight="1">
      <c r="A132" s="104"/>
      <c r="B132" s="93"/>
      <c r="C132" s="87"/>
      <c r="D132" s="88">
        <v>288</v>
      </c>
      <c r="E132" s="88">
        <v>910</v>
      </c>
      <c r="F132" s="89">
        <f t="shared" si="87"/>
        <v>8</v>
      </c>
      <c r="G132" s="90">
        <f t="shared" si="88"/>
        <v>22.836976766983629</v>
      </c>
      <c r="H132" s="90">
        <f t="shared" si="89"/>
        <v>38.335999999999999</v>
      </c>
      <c r="I132" s="91" t="str">
        <f>I131</f>
        <v>2동1,2라인</v>
      </c>
      <c r="J132" s="92" t="s">
        <v>215</v>
      </c>
      <c r="L132" s="89">
        <v>2</v>
      </c>
      <c r="M132" s="306">
        <f>M131</f>
        <v>4</v>
      </c>
      <c r="N132" s="84"/>
      <c r="O132" s="306">
        <f t="shared" si="91"/>
        <v>8</v>
      </c>
    </row>
    <row r="133" spans="1:16" ht="18" customHeight="1">
      <c r="A133" s="104"/>
      <c r="B133" s="93"/>
      <c r="C133" s="87"/>
      <c r="D133" s="88">
        <v>228</v>
      </c>
      <c r="E133" s="88">
        <v>910</v>
      </c>
      <c r="F133" s="89">
        <f t="shared" si="87"/>
        <v>8</v>
      </c>
      <c r="G133" s="90">
        <f t="shared" si="88"/>
        <v>18.079273273862039</v>
      </c>
      <c r="H133" s="90">
        <f t="shared" si="89"/>
        <v>36.416000000000004</v>
      </c>
      <c r="I133" s="91" t="str">
        <f>I131</f>
        <v>2동1,2라인</v>
      </c>
      <c r="J133" s="92" t="s">
        <v>216</v>
      </c>
      <c r="L133" s="89">
        <v>2</v>
      </c>
      <c r="M133" s="306">
        <f>M131</f>
        <v>4</v>
      </c>
      <c r="N133" s="306"/>
      <c r="O133" s="306">
        <f t="shared" si="91"/>
        <v>8</v>
      </c>
    </row>
    <row r="134" spans="1:16" ht="18" customHeight="1">
      <c r="A134" s="104"/>
      <c r="B134" s="93"/>
      <c r="C134" s="87"/>
      <c r="D134" s="88">
        <v>438</v>
      </c>
      <c r="E134" s="88">
        <v>270</v>
      </c>
      <c r="F134" s="89">
        <f t="shared" si="87"/>
        <v>8</v>
      </c>
      <c r="G134" s="90">
        <f t="shared" si="88"/>
        <v>10.304872071365553</v>
      </c>
      <c r="H134" s="90">
        <f t="shared" si="89"/>
        <v>22.655999999999999</v>
      </c>
      <c r="I134" s="91" t="str">
        <f t="shared" ref="I134" si="92">I133</f>
        <v>2동1,2라인</v>
      </c>
      <c r="J134" s="92" t="s">
        <v>217</v>
      </c>
      <c r="L134" s="89">
        <v>2</v>
      </c>
      <c r="M134" s="306">
        <f t="shared" si="90"/>
        <v>4</v>
      </c>
      <c r="N134" s="306"/>
      <c r="O134" s="306">
        <f t="shared" si="91"/>
        <v>8</v>
      </c>
    </row>
    <row r="135" spans="1:16" ht="18" customHeight="1">
      <c r="A135" s="104"/>
      <c r="B135" s="87"/>
      <c r="C135" s="87"/>
      <c r="D135" s="325" t="s">
        <v>0</v>
      </c>
      <c r="E135" s="325"/>
      <c r="F135" s="171">
        <f>SUM(F129:F134)</f>
        <v>48</v>
      </c>
      <c r="G135" s="95">
        <f>SUM(G129:G134)</f>
        <v>454.3131936956072</v>
      </c>
      <c r="H135" s="95">
        <f>SUM(H129:H134)</f>
        <v>334</v>
      </c>
      <c r="I135" s="97"/>
      <c r="J135" s="98"/>
    </row>
    <row r="136" spans="1:16">
      <c r="A136" s="105"/>
      <c r="B136" s="9"/>
      <c r="C136" s="9"/>
      <c r="D136" s="51"/>
      <c r="E136" s="51"/>
      <c r="F136" s="51"/>
      <c r="G136" s="106"/>
      <c r="H136" s="106"/>
      <c r="I136" s="9"/>
      <c r="J136" s="107"/>
    </row>
    <row r="137" spans="1:16" ht="18" customHeight="1">
      <c r="A137" s="85"/>
      <c r="B137" s="23" t="s">
        <v>237</v>
      </c>
      <c r="C137" s="24">
        <v>22</v>
      </c>
      <c r="D137" s="88">
        <v>2114</v>
      </c>
      <c r="E137" s="88">
        <v>1810</v>
      </c>
      <c r="F137" s="89">
        <f t="shared" ref="F137" si="93">O137</f>
        <v>4</v>
      </c>
      <c r="G137" s="90">
        <f t="shared" ref="G137" si="94">D137*E137/91809*F137</f>
        <v>166.7087104750079</v>
      </c>
      <c r="H137" s="90">
        <f t="shared" ref="H137" si="95">(D137/1000)*4*F137+(E137/1000)*4*F137</f>
        <v>62.783999999999999</v>
      </c>
      <c r="I137" s="91" t="str">
        <f>I129</f>
        <v>2동1,2라인</v>
      </c>
      <c r="J137" s="92" t="s">
        <v>206</v>
      </c>
      <c r="L137" s="89">
        <v>1</v>
      </c>
      <c r="M137" s="306">
        <f>M122</f>
        <v>4</v>
      </c>
      <c r="N137" s="84"/>
      <c r="O137" s="306">
        <f>L137*M137-N137*L137</f>
        <v>4</v>
      </c>
    </row>
    <row r="138" spans="1:16" ht="18" customHeight="1">
      <c r="A138" s="85"/>
      <c r="B138" s="93"/>
      <c r="C138" s="87"/>
      <c r="D138" s="325" t="s">
        <v>0</v>
      </c>
      <c r="E138" s="325"/>
      <c r="F138" s="94">
        <f>SUM(F137:F137)</f>
        <v>4</v>
      </c>
      <c r="G138" s="95">
        <f>SUM(G137:G137)</f>
        <v>166.7087104750079</v>
      </c>
      <c r="H138" s="95">
        <f>SUM(H137:H137)</f>
        <v>62.783999999999999</v>
      </c>
      <c r="I138" s="97"/>
      <c r="J138" s="98"/>
    </row>
    <row r="139" spans="1:16" ht="18" customHeight="1">
      <c r="A139" s="218"/>
      <c r="B139" s="219"/>
      <c r="C139" s="220"/>
      <c r="D139" s="161"/>
      <c r="E139" s="161"/>
      <c r="F139" s="89"/>
      <c r="G139" s="100"/>
      <c r="H139" s="100"/>
      <c r="I139" s="102"/>
      <c r="J139" s="221"/>
    </row>
    <row r="140" spans="1:16" ht="18" customHeight="1">
      <c r="A140" s="85"/>
      <c r="B140" s="23" t="s">
        <v>200</v>
      </c>
      <c r="C140" s="24">
        <v>22</v>
      </c>
      <c r="D140" s="88">
        <v>638</v>
      </c>
      <c r="E140" s="88">
        <v>1810</v>
      </c>
      <c r="F140" s="89">
        <f t="shared" ref="F140:F141" si="96">O140</f>
        <v>4</v>
      </c>
      <c r="G140" s="90">
        <f t="shared" ref="G140:G141" si="97">D140*E140/91809*F140</f>
        <v>50.312278752627741</v>
      </c>
      <c r="H140" s="90">
        <f t="shared" ref="H140:H141" si="98">(D140/1000)*4*F140+(E140/1000)*4*F140</f>
        <v>39.167999999999999</v>
      </c>
      <c r="I140" s="91" t="str">
        <f>I137</f>
        <v>2동1,2라인</v>
      </c>
      <c r="J140" s="92" t="s">
        <v>219</v>
      </c>
      <c r="L140" s="89">
        <v>2</v>
      </c>
      <c r="M140" s="306">
        <f>M137</f>
        <v>4</v>
      </c>
      <c r="N140" s="84">
        <v>2</v>
      </c>
      <c r="O140" s="306">
        <f>L140*M140-N140*L140</f>
        <v>4</v>
      </c>
      <c r="P140" s="64" t="s">
        <v>247</v>
      </c>
    </row>
    <row r="141" spans="1:16" ht="18" customHeight="1">
      <c r="A141" s="85"/>
      <c r="B141" s="86"/>
      <c r="C141" s="87"/>
      <c r="D141" s="88">
        <v>250</v>
      </c>
      <c r="E141" s="88">
        <v>930</v>
      </c>
      <c r="F141" s="89">
        <f t="shared" si="96"/>
        <v>8</v>
      </c>
      <c r="G141" s="90">
        <f t="shared" si="97"/>
        <v>20.259451687743031</v>
      </c>
      <c r="H141" s="90">
        <f t="shared" si="98"/>
        <v>37.760000000000005</v>
      </c>
      <c r="I141" s="91" t="str">
        <f>I140</f>
        <v>2동1,2라인</v>
      </c>
      <c r="J141" s="92" t="s">
        <v>220</v>
      </c>
      <c r="L141" s="89">
        <v>2</v>
      </c>
      <c r="M141" s="306">
        <f>M140</f>
        <v>4</v>
      </c>
      <c r="N141" s="84"/>
      <c r="O141" s="306">
        <f t="shared" ref="O141" si="99">L141*M141-N141*L141</f>
        <v>8</v>
      </c>
    </row>
    <row r="142" spans="1:16" ht="18" customHeight="1">
      <c r="A142" s="85"/>
      <c r="B142" s="93"/>
      <c r="C142" s="87"/>
      <c r="D142" s="325" t="s">
        <v>0</v>
      </c>
      <c r="E142" s="325"/>
      <c r="F142" s="94">
        <f>SUM(F140:F141)</f>
        <v>12</v>
      </c>
      <c r="G142" s="95">
        <f>SUM(G140:G141)</f>
        <v>70.571730440370771</v>
      </c>
      <c r="H142" s="96">
        <f>SUM(H140:H141)</f>
        <v>76.927999999999997</v>
      </c>
      <c r="I142" s="97"/>
      <c r="J142" s="162"/>
    </row>
    <row r="143" spans="1:16">
      <c r="A143" s="16"/>
      <c r="B143" s="16"/>
      <c r="C143" s="16"/>
      <c r="D143" s="261"/>
      <c r="E143" s="261"/>
      <c r="F143" s="261"/>
      <c r="G143" s="19"/>
      <c r="H143" s="19"/>
      <c r="I143" s="16"/>
      <c r="J143" s="16"/>
    </row>
    <row r="144" spans="1:16" ht="18" customHeight="1">
      <c r="A144" s="85" t="s">
        <v>235</v>
      </c>
      <c r="B144" s="23" t="s">
        <v>196</v>
      </c>
      <c r="C144" s="24">
        <v>22</v>
      </c>
      <c r="D144" s="88">
        <v>861</v>
      </c>
      <c r="E144" s="88">
        <v>1810</v>
      </c>
      <c r="F144" s="89">
        <f t="shared" ref="F144:F147" si="100">O144</f>
        <v>4</v>
      </c>
      <c r="G144" s="90">
        <f t="shared" ref="G144:G147" si="101">D144*E144/91809*F144</f>
        <v>67.897918504721758</v>
      </c>
      <c r="H144" s="90">
        <f t="shared" ref="H144:H147" si="102">(D144/1000)*4*F144+(E144/1000)*4*F144</f>
        <v>42.736000000000004</v>
      </c>
      <c r="I144" s="91" t="s">
        <v>248</v>
      </c>
      <c r="J144" s="92" t="s">
        <v>205</v>
      </c>
      <c r="L144" s="89">
        <v>1</v>
      </c>
      <c r="M144" s="306">
        <v>4</v>
      </c>
      <c r="N144" s="84"/>
      <c r="O144" s="306">
        <f>L144*M144-N144*L144</f>
        <v>4</v>
      </c>
      <c r="P144" s="64"/>
    </row>
    <row r="145" spans="1:16" ht="18" customHeight="1">
      <c r="A145" s="85"/>
      <c r="B145" s="86"/>
      <c r="C145" s="87"/>
      <c r="D145" s="88">
        <v>738</v>
      </c>
      <c r="E145" s="88">
        <v>1310</v>
      </c>
      <c r="F145" s="89">
        <f t="shared" si="100"/>
        <v>16</v>
      </c>
      <c r="G145" s="90">
        <f t="shared" si="101"/>
        <v>168.48544260366631</v>
      </c>
      <c r="H145" s="90">
        <f t="shared" si="102"/>
        <v>131.072</v>
      </c>
      <c r="I145" s="91" t="str">
        <f>I144</f>
        <v>2동3라인</v>
      </c>
      <c r="J145" s="92" t="s">
        <v>207</v>
      </c>
      <c r="L145" s="89">
        <v>4</v>
      </c>
      <c r="M145" s="306">
        <f>M144</f>
        <v>4</v>
      </c>
      <c r="N145" s="84"/>
      <c r="O145" s="306">
        <f t="shared" ref="O145:O147" si="103">L145*M145-N145*L145</f>
        <v>16</v>
      </c>
    </row>
    <row r="146" spans="1:16" ht="18" customHeight="1">
      <c r="A146" s="85"/>
      <c r="B146" s="86"/>
      <c r="C146" s="87"/>
      <c r="D146" s="88">
        <v>228</v>
      </c>
      <c r="E146" s="88">
        <v>910</v>
      </c>
      <c r="F146" s="89">
        <f t="shared" si="100"/>
        <v>8</v>
      </c>
      <c r="G146" s="90">
        <f t="shared" si="101"/>
        <v>18.079273273862039</v>
      </c>
      <c r="H146" s="90">
        <f t="shared" si="102"/>
        <v>36.416000000000004</v>
      </c>
      <c r="I146" s="91" t="str">
        <f t="shared" ref="I146:I147" si="104">I145</f>
        <v>2동3라인</v>
      </c>
      <c r="J146" s="92" t="s">
        <v>209</v>
      </c>
      <c r="L146" s="89">
        <v>2</v>
      </c>
      <c r="M146" s="306">
        <f t="shared" ref="M146:M147" si="105">M145</f>
        <v>4</v>
      </c>
      <c r="N146" s="306"/>
      <c r="O146" s="306">
        <f t="shared" si="103"/>
        <v>8</v>
      </c>
    </row>
    <row r="147" spans="1:16" ht="18" customHeight="1">
      <c r="A147" s="85"/>
      <c r="B147" s="86"/>
      <c r="C147" s="87"/>
      <c r="D147" s="88">
        <v>438</v>
      </c>
      <c r="E147" s="88">
        <v>270</v>
      </c>
      <c r="F147" s="89">
        <f t="shared" si="100"/>
        <v>8</v>
      </c>
      <c r="G147" s="90">
        <f t="shared" si="101"/>
        <v>10.304872071365553</v>
      </c>
      <c r="H147" s="90">
        <f t="shared" si="102"/>
        <v>22.655999999999999</v>
      </c>
      <c r="I147" s="91" t="str">
        <f t="shared" si="104"/>
        <v>2동3라인</v>
      </c>
      <c r="J147" s="92" t="s">
        <v>210</v>
      </c>
      <c r="L147" s="89">
        <v>2</v>
      </c>
      <c r="M147" s="306">
        <f t="shared" si="105"/>
        <v>4</v>
      </c>
      <c r="N147" s="306"/>
      <c r="O147" s="306">
        <f t="shared" si="103"/>
        <v>8</v>
      </c>
    </row>
    <row r="148" spans="1:16" ht="18" customHeight="1">
      <c r="A148" s="85"/>
      <c r="B148" s="93"/>
      <c r="C148" s="87"/>
      <c r="D148" s="325" t="s">
        <v>0</v>
      </c>
      <c r="E148" s="325"/>
      <c r="F148" s="94">
        <f>SUM(F144:F147)</f>
        <v>36</v>
      </c>
      <c r="G148" s="95">
        <f>SUM(G144:G147)</f>
        <v>264.76750645361568</v>
      </c>
      <c r="H148" s="96">
        <f>SUM(H144:H147)</f>
        <v>232.88</v>
      </c>
      <c r="I148" s="97"/>
      <c r="J148" s="162"/>
    </row>
    <row r="149" spans="1:16" ht="18" customHeight="1">
      <c r="A149" s="85"/>
      <c r="B149" s="93"/>
      <c r="C149" s="87"/>
      <c r="D149" s="161"/>
      <c r="E149" s="161"/>
      <c r="F149" s="89"/>
      <c r="G149" s="100"/>
      <c r="H149" s="101"/>
      <c r="I149" s="102"/>
      <c r="J149" s="121"/>
      <c r="L149" s="252"/>
      <c r="M149" s="252"/>
      <c r="N149" s="252"/>
      <c r="O149" s="252"/>
    </row>
    <row r="150" spans="1:16" ht="18" customHeight="1">
      <c r="A150" s="85"/>
      <c r="B150" s="23" t="s">
        <v>198</v>
      </c>
      <c r="C150" s="24">
        <v>22</v>
      </c>
      <c r="D150" s="88">
        <v>861</v>
      </c>
      <c r="E150" s="88">
        <v>1810</v>
      </c>
      <c r="F150" s="89">
        <f t="shared" ref="F150:F154" si="106">O150</f>
        <v>4</v>
      </c>
      <c r="G150" s="90">
        <f t="shared" ref="G150:G154" si="107">D150*E150/91809*F150</f>
        <v>67.897918504721758</v>
      </c>
      <c r="H150" s="90">
        <f t="shared" ref="H150:H154" si="108">(D150/1000)*4*F150+(E150/1000)*4*F150</f>
        <v>42.736000000000004</v>
      </c>
      <c r="I150" s="91" t="str">
        <f>I144</f>
        <v>2동3라인</v>
      </c>
      <c r="J150" s="92" t="s">
        <v>212</v>
      </c>
      <c r="L150" s="89">
        <v>1</v>
      </c>
      <c r="M150" s="306">
        <f>M144</f>
        <v>4</v>
      </c>
      <c r="N150" s="84"/>
      <c r="O150" s="306">
        <f>L150*M150-N150*L150</f>
        <v>4</v>
      </c>
    </row>
    <row r="151" spans="1:16" ht="18" customHeight="1">
      <c r="A151" s="85"/>
      <c r="B151" s="86"/>
      <c r="C151" s="87"/>
      <c r="D151" s="88">
        <v>2114</v>
      </c>
      <c r="E151" s="88">
        <v>1810</v>
      </c>
      <c r="F151" s="89">
        <f t="shared" si="106"/>
        <v>4</v>
      </c>
      <c r="G151" s="90">
        <f t="shared" si="107"/>
        <v>166.7087104750079</v>
      </c>
      <c r="H151" s="90">
        <f t="shared" si="108"/>
        <v>62.783999999999999</v>
      </c>
      <c r="I151" s="91" t="str">
        <f>I144</f>
        <v>2동3라인</v>
      </c>
      <c r="J151" s="92" t="s">
        <v>213</v>
      </c>
      <c r="L151" s="89">
        <v>1</v>
      </c>
      <c r="M151" s="306">
        <f>M150</f>
        <v>4</v>
      </c>
      <c r="N151" s="84"/>
      <c r="O151" s="306">
        <f>L151*M151-N151*L151</f>
        <v>4</v>
      </c>
    </row>
    <row r="152" spans="1:16" ht="18" customHeight="1">
      <c r="A152" s="104"/>
      <c r="B152" s="93"/>
      <c r="C152" s="87"/>
      <c r="D152" s="88">
        <v>738</v>
      </c>
      <c r="E152" s="88">
        <v>1310</v>
      </c>
      <c r="F152" s="89">
        <f t="shared" si="106"/>
        <v>16</v>
      </c>
      <c r="G152" s="90">
        <f t="shared" si="107"/>
        <v>168.48544260366631</v>
      </c>
      <c r="H152" s="90">
        <f t="shared" si="108"/>
        <v>131.072</v>
      </c>
      <c r="I152" s="91" t="str">
        <f>I151</f>
        <v>2동3라인</v>
      </c>
      <c r="J152" s="92" t="s">
        <v>214</v>
      </c>
      <c r="L152" s="89">
        <v>4</v>
      </c>
      <c r="M152" s="306">
        <f t="shared" ref="M152:M154" si="109">M151</f>
        <v>4</v>
      </c>
      <c r="N152" s="84"/>
      <c r="O152" s="306">
        <f t="shared" ref="O152:O154" si="110">L152*M152-N152*L152</f>
        <v>16</v>
      </c>
    </row>
    <row r="153" spans="1:16" ht="18" customHeight="1">
      <c r="A153" s="104"/>
      <c r="B153" s="93"/>
      <c r="C153" s="87"/>
      <c r="D153" s="88">
        <v>228</v>
      </c>
      <c r="E153" s="88">
        <v>910</v>
      </c>
      <c r="F153" s="89">
        <f t="shared" si="106"/>
        <v>8</v>
      </c>
      <c r="G153" s="90">
        <f t="shared" si="107"/>
        <v>18.079273273862039</v>
      </c>
      <c r="H153" s="90">
        <f t="shared" si="108"/>
        <v>36.416000000000004</v>
      </c>
      <c r="I153" s="91" t="str">
        <f t="shared" ref="I153:I154" si="111">I152</f>
        <v>2동3라인</v>
      </c>
      <c r="J153" s="92" t="s">
        <v>216</v>
      </c>
      <c r="L153" s="89">
        <v>2</v>
      </c>
      <c r="M153" s="306">
        <f t="shared" si="109"/>
        <v>4</v>
      </c>
      <c r="N153" s="306"/>
      <c r="O153" s="306">
        <f t="shared" si="110"/>
        <v>8</v>
      </c>
    </row>
    <row r="154" spans="1:16" ht="18" customHeight="1">
      <c r="A154" s="104"/>
      <c r="B154" s="93"/>
      <c r="C154" s="87"/>
      <c r="D154" s="88">
        <v>438</v>
      </c>
      <c r="E154" s="88">
        <v>270</v>
      </c>
      <c r="F154" s="89">
        <f t="shared" si="106"/>
        <v>8</v>
      </c>
      <c r="G154" s="90">
        <f t="shared" si="107"/>
        <v>10.304872071365553</v>
      </c>
      <c r="H154" s="90">
        <f t="shared" si="108"/>
        <v>22.655999999999999</v>
      </c>
      <c r="I154" s="91" t="str">
        <f t="shared" si="111"/>
        <v>2동3라인</v>
      </c>
      <c r="J154" s="92" t="s">
        <v>217</v>
      </c>
      <c r="L154" s="89">
        <v>2</v>
      </c>
      <c r="M154" s="306">
        <f t="shared" si="109"/>
        <v>4</v>
      </c>
      <c r="N154" s="306"/>
      <c r="O154" s="306">
        <f t="shared" si="110"/>
        <v>8</v>
      </c>
    </row>
    <row r="155" spans="1:16" ht="18" customHeight="1">
      <c r="A155" s="104"/>
      <c r="B155" s="87"/>
      <c r="C155" s="87"/>
      <c r="D155" s="325" t="s">
        <v>0</v>
      </c>
      <c r="E155" s="325"/>
      <c r="F155" s="171">
        <f>SUM(F150:F154)</f>
        <v>40</v>
      </c>
      <c r="G155" s="95">
        <f>SUM(G150:G154)</f>
        <v>431.47621692862356</v>
      </c>
      <c r="H155" s="95">
        <f>SUM(H150:H154)</f>
        <v>295.66400000000004</v>
      </c>
      <c r="I155" s="97"/>
      <c r="J155" s="98"/>
    </row>
    <row r="156" spans="1:16">
      <c r="A156" s="105"/>
      <c r="B156" s="9"/>
      <c r="C156" s="9"/>
      <c r="D156" s="51"/>
      <c r="E156" s="51"/>
      <c r="F156" s="51"/>
      <c r="G156" s="106"/>
      <c r="H156" s="106"/>
      <c r="I156" s="9"/>
      <c r="J156" s="107"/>
    </row>
    <row r="157" spans="1:16" ht="18" customHeight="1">
      <c r="A157" s="85"/>
      <c r="B157" s="23" t="s">
        <v>237</v>
      </c>
      <c r="C157" s="24">
        <v>22</v>
      </c>
      <c r="D157" s="88">
        <v>2114</v>
      </c>
      <c r="E157" s="88">
        <v>1810</v>
      </c>
      <c r="F157" s="89">
        <f t="shared" ref="F157" si="112">O157</f>
        <v>4</v>
      </c>
      <c r="G157" s="90">
        <f t="shared" ref="G157" si="113">D157*E157/91809*F157</f>
        <v>166.7087104750079</v>
      </c>
      <c r="H157" s="90">
        <f t="shared" ref="H157" si="114">(D157/1000)*4*F157+(E157/1000)*4*F157</f>
        <v>62.783999999999999</v>
      </c>
      <c r="I157" s="91" t="str">
        <f>I150</f>
        <v>2동3라인</v>
      </c>
      <c r="J157" s="92" t="s">
        <v>206</v>
      </c>
      <c r="L157" s="89">
        <v>1</v>
      </c>
      <c r="M157" s="306">
        <f>M144</f>
        <v>4</v>
      </c>
      <c r="N157" s="84"/>
      <c r="O157" s="306">
        <f>L157*M157-N157*L157</f>
        <v>4</v>
      </c>
    </row>
    <row r="158" spans="1:16" ht="18" customHeight="1">
      <c r="A158" s="85"/>
      <c r="B158" s="93"/>
      <c r="C158" s="87"/>
      <c r="D158" s="325" t="s">
        <v>0</v>
      </c>
      <c r="E158" s="325"/>
      <c r="F158" s="94">
        <f>SUM(F157:F157)</f>
        <v>4</v>
      </c>
      <c r="G158" s="95">
        <f>SUM(G157:G157)</f>
        <v>166.7087104750079</v>
      </c>
      <c r="H158" s="95">
        <f>SUM(H157:H157)</f>
        <v>62.783999999999999</v>
      </c>
      <c r="I158" s="97"/>
      <c r="J158" s="98"/>
    </row>
    <row r="159" spans="1:16" ht="18" customHeight="1">
      <c r="A159" s="218"/>
      <c r="B159" s="219"/>
      <c r="C159" s="220"/>
      <c r="D159" s="161"/>
      <c r="E159" s="161"/>
      <c r="F159" s="89"/>
      <c r="G159" s="100"/>
      <c r="H159" s="100"/>
      <c r="I159" s="102"/>
      <c r="J159" s="221"/>
    </row>
    <row r="160" spans="1:16" ht="18" customHeight="1">
      <c r="A160" s="85"/>
      <c r="B160" s="23" t="s">
        <v>200</v>
      </c>
      <c r="C160" s="24">
        <v>22</v>
      </c>
      <c r="D160" s="88">
        <v>738</v>
      </c>
      <c r="E160" s="88">
        <v>1810</v>
      </c>
      <c r="F160" s="89">
        <f t="shared" ref="F160:F161" si="115">O160</f>
        <v>0</v>
      </c>
      <c r="G160" s="90">
        <f t="shared" ref="G160:G161" si="116">D160*E160/91809*F160</f>
        <v>0</v>
      </c>
      <c r="H160" s="90">
        <f t="shared" ref="H160:H161" si="117">(D160/1000)*4*F160+(E160/1000)*4*F160</f>
        <v>0</v>
      </c>
      <c r="I160" s="91" t="str">
        <f>I157</f>
        <v>2동3라인</v>
      </c>
      <c r="J160" s="92" t="s">
        <v>219</v>
      </c>
      <c r="L160" s="89">
        <v>2</v>
      </c>
      <c r="M160" s="306">
        <f>M157</f>
        <v>4</v>
      </c>
      <c r="N160" s="84">
        <v>4</v>
      </c>
      <c r="O160" s="306">
        <f>L160*M160-N160*L160</f>
        <v>0</v>
      </c>
      <c r="P160" s="64" t="s">
        <v>279</v>
      </c>
    </row>
    <row r="161" spans="1:16" ht="18" customHeight="1">
      <c r="A161" s="85"/>
      <c r="B161" s="86"/>
      <c r="C161" s="87"/>
      <c r="D161" s="88">
        <v>250</v>
      </c>
      <c r="E161" s="88">
        <v>930</v>
      </c>
      <c r="F161" s="89">
        <f t="shared" si="115"/>
        <v>8</v>
      </c>
      <c r="G161" s="90">
        <f t="shared" si="116"/>
        <v>20.259451687743031</v>
      </c>
      <c r="H161" s="90">
        <f t="shared" si="117"/>
        <v>37.760000000000005</v>
      </c>
      <c r="I161" s="91" t="str">
        <f>I160</f>
        <v>2동3라인</v>
      </c>
      <c r="J161" s="92" t="s">
        <v>220</v>
      </c>
      <c r="L161" s="89">
        <v>2</v>
      </c>
      <c r="M161" s="306">
        <f>M160</f>
        <v>4</v>
      </c>
      <c r="N161" s="84"/>
      <c r="O161" s="306">
        <f t="shared" ref="O161" si="118">L161*M161-N161*L161</f>
        <v>8</v>
      </c>
    </row>
    <row r="162" spans="1:16" ht="18" customHeight="1">
      <c r="A162" s="85"/>
      <c r="B162" s="93"/>
      <c r="C162" s="87"/>
      <c r="D162" s="325" t="s">
        <v>0</v>
      </c>
      <c r="E162" s="325"/>
      <c r="F162" s="94">
        <f>SUM(F160:F161)</f>
        <v>8</v>
      </c>
      <c r="G162" s="95">
        <f>SUM(G160:G161)</f>
        <v>20.259451687743031</v>
      </c>
      <c r="H162" s="96">
        <f>SUM(H160:H161)</f>
        <v>37.760000000000005</v>
      </c>
      <c r="I162" s="97"/>
      <c r="J162" s="162"/>
    </row>
    <row r="163" spans="1:16" ht="18" customHeight="1" thickBot="1">
      <c r="A163" s="222"/>
      <c r="B163" s="223"/>
      <c r="C163" s="224"/>
      <c r="D163" s="225"/>
      <c r="E163" s="225"/>
      <c r="F163" s="226"/>
      <c r="G163" s="227"/>
      <c r="H163" s="228"/>
      <c r="I163" s="229"/>
      <c r="J163" s="230"/>
      <c r="L163" s="306" t="s">
        <v>48</v>
      </c>
      <c r="M163" s="306" t="s">
        <v>49</v>
      </c>
      <c r="N163" s="306" t="s">
        <v>50</v>
      </c>
      <c r="O163" s="306" t="s">
        <v>55</v>
      </c>
    </row>
    <row r="164" spans="1:16" ht="18" customHeight="1">
      <c r="A164" s="79" t="s">
        <v>234</v>
      </c>
      <c r="B164" s="231" t="s">
        <v>195</v>
      </c>
      <c r="C164" s="232">
        <v>22</v>
      </c>
      <c r="D164" s="80">
        <v>761</v>
      </c>
      <c r="E164" s="80">
        <v>1810</v>
      </c>
      <c r="F164" s="233">
        <f>O164</f>
        <v>8</v>
      </c>
      <c r="G164" s="81">
        <f t="shared" ref="G164:G170" si="119">D164*E164/91809*F164</f>
        <v>120.02396279231884</v>
      </c>
      <c r="H164" s="81">
        <f t="shared" ref="H164:H170" si="120">(D164/1000)*4*F164+(E164/1000)*4*F164</f>
        <v>82.272000000000006</v>
      </c>
      <c r="I164" s="82" t="s">
        <v>249</v>
      </c>
      <c r="J164" s="83" t="s">
        <v>205</v>
      </c>
      <c r="L164" s="89">
        <v>2</v>
      </c>
      <c r="M164" s="306">
        <v>4</v>
      </c>
      <c r="N164" s="84"/>
      <c r="O164" s="306">
        <f>L164*M164-N164*L164</f>
        <v>8</v>
      </c>
      <c r="P164" s="64"/>
    </row>
    <row r="165" spans="1:16" ht="18" customHeight="1">
      <c r="A165" s="85"/>
      <c r="B165" s="86"/>
      <c r="C165" s="87"/>
      <c r="D165" s="88">
        <v>1688</v>
      </c>
      <c r="E165" s="88">
        <v>1810</v>
      </c>
      <c r="F165" s="89">
        <f t="shared" ref="F165:F170" si="121">O165</f>
        <v>4</v>
      </c>
      <c r="G165" s="90">
        <f t="shared" si="119"/>
        <v>133.11461839253232</v>
      </c>
      <c r="H165" s="90">
        <f t="shared" si="120"/>
        <v>55.968000000000004</v>
      </c>
      <c r="I165" s="91" t="str">
        <f>I164</f>
        <v>2동4라인</v>
      </c>
      <c r="J165" s="92" t="s">
        <v>206</v>
      </c>
      <c r="L165" s="89">
        <v>1</v>
      </c>
      <c r="M165" s="306">
        <f>M164</f>
        <v>4</v>
      </c>
      <c r="N165" s="84"/>
      <c r="O165" s="306">
        <f t="shared" ref="O165:O170" si="122">L165*M165-N165*L165</f>
        <v>4</v>
      </c>
    </row>
    <row r="166" spans="1:16" ht="18" customHeight="1">
      <c r="A166" s="85"/>
      <c r="B166" s="86"/>
      <c r="C166" s="87"/>
      <c r="D166" s="88">
        <v>738</v>
      </c>
      <c r="E166" s="88">
        <v>1310</v>
      </c>
      <c r="F166" s="89">
        <f t="shared" si="121"/>
        <v>16</v>
      </c>
      <c r="G166" s="90">
        <f t="shared" si="119"/>
        <v>168.48544260366631</v>
      </c>
      <c r="H166" s="90">
        <f t="shared" si="120"/>
        <v>131.072</v>
      </c>
      <c r="I166" s="91" t="str">
        <f t="shared" ref="I166:I170" si="123">I165</f>
        <v>2동4라인</v>
      </c>
      <c r="J166" s="92" t="s">
        <v>207</v>
      </c>
      <c r="L166" s="89">
        <v>4</v>
      </c>
      <c r="M166" s="306">
        <f t="shared" ref="M166:M169" si="124">M165</f>
        <v>4</v>
      </c>
      <c r="N166" s="306"/>
      <c r="O166" s="306">
        <f t="shared" si="122"/>
        <v>16</v>
      </c>
    </row>
    <row r="167" spans="1:16" ht="18" customHeight="1">
      <c r="A167" s="85"/>
      <c r="B167" s="86"/>
      <c r="C167" s="87"/>
      <c r="D167" s="88">
        <v>288</v>
      </c>
      <c r="E167" s="88">
        <v>910</v>
      </c>
      <c r="F167" s="89">
        <f t="shared" si="121"/>
        <v>8</v>
      </c>
      <c r="G167" s="90">
        <f t="shared" si="119"/>
        <v>22.836976766983629</v>
      </c>
      <c r="H167" s="90">
        <f t="shared" si="120"/>
        <v>38.335999999999999</v>
      </c>
      <c r="I167" s="91" t="str">
        <f t="shared" si="123"/>
        <v>2동4라인</v>
      </c>
      <c r="J167" s="92" t="s">
        <v>208</v>
      </c>
      <c r="L167" s="89">
        <v>2</v>
      </c>
      <c r="M167" s="306">
        <f t="shared" si="124"/>
        <v>4</v>
      </c>
      <c r="N167" s="306"/>
      <c r="O167" s="306">
        <f t="shared" si="122"/>
        <v>8</v>
      </c>
    </row>
    <row r="168" spans="1:16" ht="18" customHeight="1">
      <c r="A168" s="85"/>
      <c r="B168" s="86"/>
      <c r="C168" s="87"/>
      <c r="D168" s="88">
        <v>228</v>
      </c>
      <c r="E168" s="88">
        <v>910</v>
      </c>
      <c r="F168" s="89">
        <f t="shared" si="121"/>
        <v>8</v>
      </c>
      <c r="G168" s="90">
        <f t="shared" si="119"/>
        <v>18.079273273862039</v>
      </c>
      <c r="H168" s="90">
        <f t="shared" si="120"/>
        <v>36.416000000000004</v>
      </c>
      <c r="I168" s="91" t="str">
        <f t="shared" si="123"/>
        <v>2동4라인</v>
      </c>
      <c r="J168" s="92" t="s">
        <v>209</v>
      </c>
      <c r="L168" s="89">
        <v>2</v>
      </c>
      <c r="M168" s="306">
        <f t="shared" si="124"/>
        <v>4</v>
      </c>
      <c r="N168" s="306"/>
      <c r="O168" s="306">
        <f t="shared" si="122"/>
        <v>8</v>
      </c>
    </row>
    <row r="169" spans="1:16" ht="18" customHeight="1">
      <c r="A169" s="85"/>
      <c r="B169" s="86"/>
      <c r="C169" s="87"/>
      <c r="D169" s="88">
        <v>438</v>
      </c>
      <c r="E169" s="88">
        <v>270</v>
      </c>
      <c r="F169" s="89">
        <f t="shared" si="121"/>
        <v>8</v>
      </c>
      <c r="G169" s="90">
        <f t="shared" si="119"/>
        <v>10.304872071365553</v>
      </c>
      <c r="H169" s="90">
        <f t="shared" si="120"/>
        <v>22.655999999999999</v>
      </c>
      <c r="I169" s="91" t="str">
        <f t="shared" si="123"/>
        <v>2동4라인</v>
      </c>
      <c r="J169" s="92" t="s">
        <v>210</v>
      </c>
      <c r="L169" s="89">
        <v>2</v>
      </c>
      <c r="M169" s="306">
        <f t="shared" si="124"/>
        <v>4</v>
      </c>
      <c r="N169" s="306"/>
      <c r="O169" s="306">
        <f t="shared" si="122"/>
        <v>8</v>
      </c>
    </row>
    <row r="170" spans="1:16" ht="18" customHeight="1">
      <c r="A170" s="85"/>
      <c r="B170" s="86"/>
      <c r="C170" s="87"/>
      <c r="D170" s="88">
        <v>208</v>
      </c>
      <c r="E170" s="88">
        <v>910</v>
      </c>
      <c r="F170" s="89">
        <f t="shared" si="121"/>
        <v>8</v>
      </c>
      <c r="G170" s="90">
        <f t="shared" si="119"/>
        <v>16.493372109488178</v>
      </c>
      <c r="H170" s="90">
        <f t="shared" si="120"/>
        <v>35.776000000000003</v>
      </c>
      <c r="I170" s="91" t="str">
        <f t="shared" si="123"/>
        <v>2동4라인</v>
      </c>
      <c r="J170" s="92" t="s">
        <v>211</v>
      </c>
      <c r="L170" s="89">
        <v>2</v>
      </c>
      <c r="M170" s="306">
        <f>M169</f>
        <v>4</v>
      </c>
      <c r="N170" s="306"/>
      <c r="O170" s="306">
        <f t="shared" si="122"/>
        <v>8</v>
      </c>
    </row>
    <row r="171" spans="1:16" ht="18" customHeight="1">
      <c r="A171" s="85"/>
      <c r="B171" s="93"/>
      <c r="C171" s="87"/>
      <c r="D171" s="325" t="s">
        <v>0</v>
      </c>
      <c r="E171" s="325"/>
      <c r="F171" s="94">
        <f>SUM(F164:F170)</f>
        <v>60</v>
      </c>
      <c r="G171" s="95">
        <f>SUM(G164:G170)</f>
        <v>489.33851801021683</v>
      </c>
      <c r="H171" s="96">
        <f>SUM(H164:H170)</f>
        <v>402.49600000000004</v>
      </c>
      <c r="I171" s="97"/>
      <c r="J171" s="162"/>
    </row>
    <row r="172" spans="1:16" ht="18" customHeight="1">
      <c r="A172" s="85"/>
      <c r="B172" s="93"/>
      <c r="C172" s="87"/>
      <c r="D172" s="161"/>
      <c r="E172" s="161"/>
      <c r="F172" s="89"/>
      <c r="G172" s="100"/>
      <c r="H172" s="101"/>
      <c r="I172" s="102"/>
      <c r="J172" s="121"/>
      <c r="L172" s="306" t="s">
        <v>48</v>
      </c>
      <c r="M172" s="306" t="s">
        <v>54</v>
      </c>
      <c r="N172" s="306" t="s">
        <v>50</v>
      </c>
      <c r="O172" s="306" t="s">
        <v>55</v>
      </c>
    </row>
    <row r="173" spans="1:16" ht="18" customHeight="1">
      <c r="A173" s="85"/>
      <c r="B173" s="23" t="s">
        <v>197</v>
      </c>
      <c r="C173" s="24">
        <v>22</v>
      </c>
      <c r="D173" s="88">
        <v>761</v>
      </c>
      <c r="E173" s="88">
        <v>1810</v>
      </c>
      <c r="F173" s="89">
        <f t="shared" ref="F173:F179" si="125">O173</f>
        <v>8</v>
      </c>
      <c r="G173" s="90">
        <f t="shared" ref="G173:G179" si="126">D173*E173/91809*F173</f>
        <v>120.02396279231884</v>
      </c>
      <c r="H173" s="90">
        <f t="shared" ref="H173:H179" si="127">(D173/1000)*4*F173+(E173/1000)*4*F173</f>
        <v>82.272000000000006</v>
      </c>
      <c r="I173" s="91" t="str">
        <f t="shared" ref="I173:I179" si="128">I164</f>
        <v>2동4라인</v>
      </c>
      <c r="J173" s="92" t="s">
        <v>212</v>
      </c>
      <c r="L173" s="89">
        <v>2</v>
      </c>
      <c r="M173" s="306">
        <f>M164</f>
        <v>4</v>
      </c>
      <c r="N173" s="84"/>
      <c r="O173" s="306">
        <f>L173*M173-N173*L173</f>
        <v>8</v>
      </c>
    </row>
    <row r="174" spans="1:16" ht="18" customHeight="1">
      <c r="A174" s="85"/>
      <c r="B174" s="86"/>
      <c r="C174" s="87"/>
      <c r="D174" s="88">
        <v>1688</v>
      </c>
      <c r="E174" s="88">
        <v>1810</v>
      </c>
      <c r="F174" s="89">
        <f t="shared" si="125"/>
        <v>4</v>
      </c>
      <c r="G174" s="90">
        <f t="shared" si="126"/>
        <v>133.11461839253232</v>
      </c>
      <c r="H174" s="90">
        <f t="shared" si="127"/>
        <v>55.968000000000004</v>
      </c>
      <c r="I174" s="91" t="str">
        <f t="shared" si="128"/>
        <v>2동4라인</v>
      </c>
      <c r="J174" s="92" t="s">
        <v>213</v>
      </c>
      <c r="L174" s="89">
        <v>1</v>
      </c>
      <c r="M174" s="306">
        <f>M173</f>
        <v>4</v>
      </c>
      <c r="N174" s="84"/>
      <c r="O174" s="306">
        <f>L174*M174-N174*L174</f>
        <v>4</v>
      </c>
    </row>
    <row r="175" spans="1:16" ht="18" customHeight="1">
      <c r="A175" s="104"/>
      <c r="B175" s="93"/>
      <c r="C175" s="87"/>
      <c r="D175" s="88">
        <v>738</v>
      </c>
      <c r="E175" s="88">
        <v>1310</v>
      </c>
      <c r="F175" s="89">
        <f t="shared" si="125"/>
        <v>16</v>
      </c>
      <c r="G175" s="90">
        <f t="shared" si="126"/>
        <v>168.48544260366631</v>
      </c>
      <c r="H175" s="90">
        <f t="shared" si="127"/>
        <v>131.072</v>
      </c>
      <c r="I175" s="91" t="str">
        <f t="shared" si="128"/>
        <v>2동4라인</v>
      </c>
      <c r="J175" s="92" t="s">
        <v>214</v>
      </c>
      <c r="L175" s="89">
        <v>4</v>
      </c>
      <c r="M175" s="306">
        <f t="shared" ref="M175:M179" si="129">M174</f>
        <v>4</v>
      </c>
      <c r="N175" s="84"/>
      <c r="O175" s="306">
        <f t="shared" ref="O175:O179" si="130">L175*M175-N175*L175</f>
        <v>16</v>
      </c>
    </row>
    <row r="176" spans="1:16" ht="18" customHeight="1">
      <c r="A176" s="104"/>
      <c r="B176" s="93"/>
      <c r="C176" s="87"/>
      <c r="D176" s="88">
        <v>288</v>
      </c>
      <c r="E176" s="88">
        <v>910</v>
      </c>
      <c r="F176" s="89">
        <f t="shared" si="125"/>
        <v>8</v>
      </c>
      <c r="G176" s="90">
        <f t="shared" si="126"/>
        <v>22.836976766983629</v>
      </c>
      <c r="H176" s="90">
        <f t="shared" si="127"/>
        <v>38.335999999999999</v>
      </c>
      <c r="I176" s="91" t="str">
        <f t="shared" si="128"/>
        <v>2동4라인</v>
      </c>
      <c r="J176" s="92" t="s">
        <v>215</v>
      </c>
      <c r="L176" s="89">
        <v>2</v>
      </c>
      <c r="M176" s="306">
        <f t="shared" si="129"/>
        <v>4</v>
      </c>
      <c r="N176" s="306"/>
      <c r="O176" s="306">
        <f t="shared" si="130"/>
        <v>8</v>
      </c>
    </row>
    <row r="177" spans="1:16" ht="18" customHeight="1">
      <c r="A177" s="104"/>
      <c r="B177" s="93"/>
      <c r="C177" s="87"/>
      <c r="D177" s="88">
        <v>228</v>
      </c>
      <c r="E177" s="88">
        <v>910</v>
      </c>
      <c r="F177" s="89">
        <f t="shared" si="125"/>
        <v>8</v>
      </c>
      <c r="G177" s="90">
        <f t="shared" si="126"/>
        <v>18.079273273862039</v>
      </c>
      <c r="H177" s="90">
        <f t="shared" si="127"/>
        <v>36.416000000000004</v>
      </c>
      <c r="I177" s="91" t="str">
        <f t="shared" si="128"/>
        <v>2동4라인</v>
      </c>
      <c r="J177" s="92" t="s">
        <v>216</v>
      </c>
      <c r="L177" s="89">
        <v>2</v>
      </c>
      <c r="M177" s="306">
        <f t="shared" si="129"/>
        <v>4</v>
      </c>
      <c r="N177" s="306"/>
      <c r="O177" s="306">
        <f t="shared" si="130"/>
        <v>8</v>
      </c>
    </row>
    <row r="178" spans="1:16" ht="18" customHeight="1">
      <c r="A178" s="104"/>
      <c r="B178" s="93"/>
      <c r="C178" s="87"/>
      <c r="D178" s="88">
        <v>438</v>
      </c>
      <c r="E178" s="88">
        <v>270</v>
      </c>
      <c r="F178" s="89">
        <f t="shared" si="125"/>
        <v>8</v>
      </c>
      <c r="G178" s="90">
        <f t="shared" si="126"/>
        <v>10.304872071365553</v>
      </c>
      <c r="H178" s="90">
        <f t="shared" si="127"/>
        <v>22.655999999999999</v>
      </c>
      <c r="I178" s="91" t="str">
        <f t="shared" si="128"/>
        <v>2동4라인</v>
      </c>
      <c r="J178" s="92" t="s">
        <v>217</v>
      </c>
      <c r="L178" s="89">
        <v>2</v>
      </c>
      <c r="M178" s="306">
        <f t="shared" si="129"/>
        <v>4</v>
      </c>
      <c r="N178" s="306"/>
      <c r="O178" s="306">
        <f t="shared" si="130"/>
        <v>8</v>
      </c>
    </row>
    <row r="179" spans="1:16" ht="18" customHeight="1">
      <c r="A179" s="104"/>
      <c r="B179" s="93"/>
      <c r="C179" s="87"/>
      <c r="D179" s="88">
        <v>208</v>
      </c>
      <c r="E179" s="88">
        <v>910</v>
      </c>
      <c r="F179" s="89">
        <f t="shared" si="125"/>
        <v>8</v>
      </c>
      <c r="G179" s="90">
        <f t="shared" si="126"/>
        <v>16.493372109488178</v>
      </c>
      <c r="H179" s="90">
        <f t="shared" si="127"/>
        <v>35.776000000000003</v>
      </c>
      <c r="I179" s="91" t="str">
        <f t="shared" si="128"/>
        <v>2동4라인</v>
      </c>
      <c r="J179" s="92" t="s">
        <v>218</v>
      </c>
      <c r="L179" s="89">
        <v>2</v>
      </c>
      <c r="M179" s="306">
        <f t="shared" si="129"/>
        <v>4</v>
      </c>
      <c r="N179" s="306"/>
      <c r="O179" s="306">
        <f t="shared" si="130"/>
        <v>8</v>
      </c>
    </row>
    <row r="180" spans="1:16" ht="18" customHeight="1">
      <c r="A180" s="104"/>
      <c r="B180" s="87"/>
      <c r="C180" s="87"/>
      <c r="D180" s="325" t="s">
        <v>0</v>
      </c>
      <c r="E180" s="325"/>
      <c r="F180" s="171">
        <f>SUM(F173:F179)</f>
        <v>60</v>
      </c>
      <c r="G180" s="95">
        <f>SUM(G173:G179)</f>
        <v>489.33851801021683</v>
      </c>
      <c r="H180" s="95">
        <f>SUM(H173:H179)</f>
        <v>402.49600000000004</v>
      </c>
      <c r="I180" s="97"/>
      <c r="J180" s="98"/>
    </row>
    <row r="181" spans="1:16">
      <c r="A181" s="105"/>
      <c r="B181" s="9"/>
      <c r="C181" s="9"/>
      <c r="D181" s="51"/>
      <c r="E181" s="51"/>
      <c r="F181" s="51"/>
      <c r="G181" s="106"/>
      <c r="H181" s="106"/>
      <c r="I181" s="9"/>
      <c r="J181" s="107"/>
    </row>
    <row r="182" spans="1:16" ht="18" customHeight="1">
      <c r="A182" s="85"/>
      <c r="B182" s="163" t="s">
        <v>199</v>
      </c>
      <c r="C182" s="163">
        <v>22</v>
      </c>
      <c r="D182" s="88">
        <v>738</v>
      </c>
      <c r="E182" s="88">
        <v>1810</v>
      </c>
      <c r="F182" s="89">
        <f t="shared" ref="F182:F183" si="131">O182</f>
        <v>8</v>
      </c>
      <c r="G182" s="90">
        <f t="shared" ref="G182:G183" si="132">D182*E182/91809*F182</f>
        <v>116.39643172238016</v>
      </c>
      <c r="H182" s="90">
        <f t="shared" ref="H182:H183" si="133">(D182/1000)*4*F182+(E182/1000)*4*F182</f>
        <v>81.536000000000001</v>
      </c>
      <c r="I182" s="91" t="str">
        <f>I173</f>
        <v>2동4라인</v>
      </c>
      <c r="J182" s="92" t="s">
        <v>219</v>
      </c>
      <c r="L182" s="89">
        <v>2</v>
      </c>
      <c r="M182" s="306">
        <f>M164</f>
        <v>4</v>
      </c>
      <c r="N182" s="84"/>
      <c r="O182" s="306">
        <f>L182*M182-N182*L182</f>
        <v>8</v>
      </c>
      <c r="P182" s="64"/>
    </row>
    <row r="183" spans="1:16" ht="18" customHeight="1">
      <c r="A183" s="85"/>
      <c r="B183" s="86"/>
      <c r="C183" s="87"/>
      <c r="D183" s="88">
        <v>250</v>
      </c>
      <c r="E183" s="88">
        <v>930</v>
      </c>
      <c r="F183" s="89">
        <f t="shared" si="131"/>
        <v>8</v>
      </c>
      <c r="G183" s="90">
        <f t="shared" si="132"/>
        <v>20.259451687743031</v>
      </c>
      <c r="H183" s="90">
        <f t="shared" si="133"/>
        <v>37.760000000000005</v>
      </c>
      <c r="I183" s="91" t="str">
        <f>I182</f>
        <v>2동4라인</v>
      </c>
      <c r="J183" s="92" t="s">
        <v>220</v>
      </c>
      <c r="L183" s="89">
        <v>2</v>
      </c>
      <c r="M183" s="306">
        <f>M182</f>
        <v>4</v>
      </c>
      <c r="N183" s="84"/>
      <c r="O183" s="306">
        <f t="shared" ref="O183" si="134">L183*M183-N183*L183</f>
        <v>8</v>
      </c>
    </row>
    <row r="184" spans="1:16" ht="18" customHeight="1">
      <c r="A184" s="85"/>
      <c r="B184" s="93"/>
      <c r="C184" s="87"/>
      <c r="D184" s="325" t="s">
        <v>0</v>
      </c>
      <c r="E184" s="325"/>
      <c r="F184" s="94">
        <f>SUM(F182:F183)</f>
        <v>16</v>
      </c>
      <c r="G184" s="95">
        <f>SUM(G182:G183)</f>
        <v>136.65588341012318</v>
      </c>
      <c r="H184" s="95">
        <f>SUM(H182:H183)</f>
        <v>119.29600000000001</v>
      </c>
      <c r="I184" s="97"/>
      <c r="J184" s="98"/>
    </row>
    <row r="185" spans="1:16" ht="18" customHeight="1">
      <c r="A185" s="108"/>
      <c r="B185" s="164"/>
      <c r="C185" s="109"/>
      <c r="D185" s="363"/>
      <c r="E185" s="363"/>
      <c r="F185" s="110"/>
      <c r="G185" s="111"/>
      <c r="H185" s="234"/>
      <c r="I185" s="112"/>
      <c r="J185" s="235"/>
    </row>
    <row r="186" spans="1:16" ht="18" customHeight="1">
      <c r="A186" s="262" t="s">
        <v>234</v>
      </c>
      <c r="B186" s="263" t="s">
        <v>195</v>
      </c>
      <c r="C186" s="264">
        <v>22</v>
      </c>
      <c r="D186" s="265">
        <v>761</v>
      </c>
      <c r="E186" s="265">
        <v>1810</v>
      </c>
      <c r="F186" s="251">
        <f>O186</f>
        <v>16</v>
      </c>
      <c r="G186" s="266">
        <f t="shared" ref="G186:G192" si="135">D186*E186/91809*F186</f>
        <v>240.04792558463768</v>
      </c>
      <c r="H186" s="266">
        <f t="shared" ref="H186:H192" si="136">(D186/1000)*4*F186+(E186/1000)*4*F186</f>
        <v>164.54400000000001</v>
      </c>
      <c r="I186" s="267" t="s">
        <v>250</v>
      </c>
      <c r="J186" s="268" t="s">
        <v>205</v>
      </c>
      <c r="L186" s="89">
        <v>2</v>
      </c>
      <c r="M186" s="306">
        <v>8</v>
      </c>
      <c r="N186" s="84"/>
      <c r="O186" s="306">
        <f>L186*M186-N186*L186</f>
        <v>16</v>
      </c>
      <c r="P186" s="64"/>
    </row>
    <row r="187" spans="1:16" ht="18" customHeight="1">
      <c r="A187" s="85"/>
      <c r="B187" s="86"/>
      <c r="C187" s="87"/>
      <c r="D187" s="88">
        <v>1688</v>
      </c>
      <c r="E187" s="88">
        <v>1810</v>
      </c>
      <c r="F187" s="89">
        <f t="shared" ref="F187:F192" si="137">O187</f>
        <v>8</v>
      </c>
      <c r="G187" s="90">
        <f t="shared" si="135"/>
        <v>266.22923678506464</v>
      </c>
      <c r="H187" s="90">
        <f t="shared" si="136"/>
        <v>111.93600000000001</v>
      </c>
      <c r="I187" s="91" t="str">
        <f>I186</f>
        <v>2동5,6라인</v>
      </c>
      <c r="J187" s="92" t="s">
        <v>206</v>
      </c>
      <c r="L187" s="89">
        <v>1</v>
      </c>
      <c r="M187" s="306">
        <f>M186</f>
        <v>8</v>
      </c>
      <c r="N187" s="84"/>
      <c r="O187" s="306">
        <f t="shared" ref="O187:O192" si="138">L187*M187-N187*L187</f>
        <v>8</v>
      </c>
    </row>
    <row r="188" spans="1:16" ht="18" customHeight="1">
      <c r="A188" s="85"/>
      <c r="B188" s="86"/>
      <c r="C188" s="87"/>
      <c r="D188" s="88">
        <v>738</v>
      </c>
      <c r="E188" s="88">
        <v>1310</v>
      </c>
      <c r="F188" s="89">
        <f t="shared" si="137"/>
        <v>32</v>
      </c>
      <c r="G188" s="90">
        <f t="shared" si="135"/>
        <v>336.97088520733263</v>
      </c>
      <c r="H188" s="90">
        <f t="shared" si="136"/>
        <v>262.14400000000001</v>
      </c>
      <c r="I188" s="91" t="str">
        <f t="shared" ref="I188:I192" si="139">I187</f>
        <v>2동5,6라인</v>
      </c>
      <c r="J188" s="92" t="s">
        <v>207</v>
      </c>
      <c r="L188" s="89">
        <v>4</v>
      </c>
      <c r="M188" s="306">
        <f t="shared" ref="M188:M191" si="140">M187</f>
        <v>8</v>
      </c>
      <c r="N188" s="306"/>
      <c r="O188" s="306">
        <f t="shared" si="138"/>
        <v>32</v>
      </c>
    </row>
    <row r="189" spans="1:16" ht="18" customHeight="1">
      <c r="A189" s="85"/>
      <c r="B189" s="86"/>
      <c r="C189" s="87"/>
      <c r="D189" s="88">
        <v>288</v>
      </c>
      <c r="E189" s="88">
        <v>910</v>
      </c>
      <c r="F189" s="89">
        <f t="shared" si="137"/>
        <v>16</v>
      </c>
      <c r="G189" s="90">
        <f t="shared" si="135"/>
        <v>45.673953533967257</v>
      </c>
      <c r="H189" s="90">
        <f t="shared" si="136"/>
        <v>76.671999999999997</v>
      </c>
      <c r="I189" s="91" t="str">
        <f t="shared" si="139"/>
        <v>2동5,6라인</v>
      </c>
      <c r="J189" s="92" t="s">
        <v>208</v>
      </c>
      <c r="L189" s="89">
        <v>2</v>
      </c>
      <c r="M189" s="306">
        <f t="shared" si="140"/>
        <v>8</v>
      </c>
      <c r="N189" s="306"/>
      <c r="O189" s="306">
        <f t="shared" si="138"/>
        <v>16</v>
      </c>
    </row>
    <row r="190" spans="1:16" ht="18" customHeight="1">
      <c r="A190" s="85"/>
      <c r="B190" s="86"/>
      <c r="C190" s="87"/>
      <c r="D190" s="88">
        <v>228</v>
      </c>
      <c r="E190" s="88">
        <v>910</v>
      </c>
      <c r="F190" s="89">
        <f t="shared" si="137"/>
        <v>16</v>
      </c>
      <c r="G190" s="90">
        <f t="shared" si="135"/>
        <v>36.158546547724079</v>
      </c>
      <c r="H190" s="90">
        <f t="shared" si="136"/>
        <v>72.832000000000008</v>
      </c>
      <c r="I190" s="91" t="str">
        <f t="shared" si="139"/>
        <v>2동5,6라인</v>
      </c>
      <c r="J190" s="92" t="s">
        <v>209</v>
      </c>
      <c r="L190" s="89">
        <v>2</v>
      </c>
      <c r="M190" s="306">
        <f t="shared" si="140"/>
        <v>8</v>
      </c>
      <c r="N190" s="306"/>
      <c r="O190" s="306">
        <f t="shared" si="138"/>
        <v>16</v>
      </c>
    </row>
    <row r="191" spans="1:16" ht="18" customHeight="1">
      <c r="A191" s="85"/>
      <c r="B191" s="86"/>
      <c r="C191" s="87"/>
      <c r="D191" s="88">
        <v>438</v>
      </c>
      <c r="E191" s="88">
        <v>270</v>
      </c>
      <c r="F191" s="89">
        <f t="shared" si="137"/>
        <v>16</v>
      </c>
      <c r="G191" s="90">
        <f t="shared" si="135"/>
        <v>20.609744142731106</v>
      </c>
      <c r="H191" s="90">
        <f t="shared" si="136"/>
        <v>45.311999999999998</v>
      </c>
      <c r="I191" s="91" t="str">
        <f t="shared" si="139"/>
        <v>2동5,6라인</v>
      </c>
      <c r="J191" s="92" t="s">
        <v>210</v>
      </c>
      <c r="L191" s="89">
        <v>2</v>
      </c>
      <c r="M191" s="306">
        <f t="shared" si="140"/>
        <v>8</v>
      </c>
      <c r="N191" s="306"/>
      <c r="O191" s="306">
        <f t="shared" si="138"/>
        <v>16</v>
      </c>
    </row>
    <row r="192" spans="1:16" ht="18" customHeight="1">
      <c r="A192" s="85"/>
      <c r="B192" s="86"/>
      <c r="C192" s="87"/>
      <c r="D192" s="88">
        <v>208</v>
      </c>
      <c r="E192" s="88">
        <v>910</v>
      </c>
      <c r="F192" s="89">
        <f t="shared" si="137"/>
        <v>16</v>
      </c>
      <c r="G192" s="90">
        <f t="shared" si="135"/>
        <v>32.986744218976355</v>
      </c>
      <c r="H192" s="90">
        <f t="shared" si="136"/>
        <v>71.552000000000007</v>
      </c>
      <c r="I192" s="91" t="str">
        <f t="shared" si="139"/>
        <v>2동5,6라인</v>
      </c>
      <c r="J192" s="92" t="s">
        <v>211</v>
      </c>
      <c r="L192" s="89">
        <v>2</v>
      </c>
      <c r="M192" s="306">
        <f>M191</f>
        <v>8</v>
      </c>
      <c r="N192" s="306"/>
      <c r="O192" s="306">
        <f t="shared" si="138"/>
        <v>16</v>
      </c>
    </row>
    <row r="193" spans="1:16" ht="18" customHeight="1">
      <c r="A193" s="85"/>
      <c r="B193" s="93"/>
      <c r="C193" s="87"/>
      <c r="D193" s="325" t="s">
        <v>0</v>
      </c>
      <c r="E193" s="325"/>
      <c r="F193" s="94">
        <f>SUM(F186:F192)</f>
        <v>120</v>
      </c>
      <c r="G193" s="95">
        <f>SUM(G186:G192)</f>
        <v>978.67703602043366</v>
      </c>
      <c r="H193" s="96">
        <f>SUM(H186:H192)</f>
        <v>804.99200000000008</v>
      </c>
      <c r="I193" s="97"/>
      <c r="J193" s="162"/>
    </row>
    <row r="194" spans="1:16" ht="18" customHeight="1">
      <c r="A194" s="85"/>
      <c r="B194" s="93"/>
      <c r="C194" s="87"/>
      <c r="D194" s="161"/>
      <c r="E194" s="161"/>
      <c r="F194" s="89"/>
      <c r="G194" s="100"/>
      <c r="H194" s="101"/>
      <c r="I194" s="102"/>
      <c r="J194" s="121"/>
      <c r="L194" s="306" t="s">
        <v>48</v>
      </c>
      <c r="M194" s="306" t="s">
        <v>54</v>
      </c>
      <c r="N194" s="306" t="s">
        <v>50</v>
      </c>
      <c r="O194" s="306" t="s">
        <v>55</v>
      </c>
    </row>
    <row r="195" spans="1:16" ht="18" customHeight="1">
      <c r="A195" s="85"/>
      <c r="B195" s="23" t="s">
        <v>197</v>
      </c>
      <c r="C195" s="24">
        <v>22</v>
      </c>
      <c r="D195" s="88">
        <v>761</v>
      </c>
      <c r="E195" s="88">
        <v>1810</v>
      </c>
      <c r="F195" s="89">
        <f t="shared" ref="F195:F201" si="141">O195</f>
        <v>16</v>
      </c>
      <c r="G195" s="90">
        <f t="shared" ref="G195:G201" si="142">D195*E195/91809*F195</f>
        <v>240.04792558463768</v>
      </c>
      <c r="H195" s="90">
        <f t="shared" ref="H195:H201" si="143">(D195/1000)*4*F195+(E195/1000)*4*F195</f>
        <v>164.54400000000001</v>
      </c>
      <c r="I195" s="91" t="str">
        <f t="shared" ref="I195:I201" si="144">I186</f>
        <v>2동5,6라인</v>
      </c>
      <c r="J195" s="92" t="s">
        <v>212</v>
      </c>
      <c r="L195" s="89">
        <v>2</v>
      </c>
      <c r="M195" s="306">
        <f>M186</f>
        <v>8</v>
      </c>
      <c r="N195" s="84"/>
      <c r="O195" s="306">
        <f>L195*M195-N195*L195</f>
        <v>16</v>
      </c>
    </row>
    <row r="196" spans="1:16" ht="18" customHeight="1">
      <c r="A196" s="85"/>
      <c r="B196" s="86"/>
      <c r="C196" s="87"/>
      <c r="D196" s="88">
        <v>1688</v>
      </c>
      <c r="E196" s="88">
        <v>1810</v>
      </c>
      <c r="F196" s="89">
        <f t="shared" si="141"/>
        <v>8</v>
      </c>
      <c r="G196" s="90">
        <f t="shared" si="142"/>
        <v>266.22923678506464</v>
      </c>
      <c r="H196" s="90">
        <f t="shared" si="143"/>
        <v>111.93600000000001</v>
      </c>
      <c r="I196" s="91" t="str">
        <f t="shared" si="144"/>
        <v>2동5,6라인</v>
      </c>
      <c r="J196" s="92" t="s">
        <v>213</v>
      </c>
      <c r="L196" s="89">
        <v>1</v>
      </c>
      <c r="M196" s="306">
        <f>M195</f>
        <v>8</v>
      </c>
      <c r="N196" s="84"/>
      <c r="O196" s="306">
        <f>L196*M196-N196*L196</f>
        <v>8</v>
      </c>
    </row>
    <row r="197" spans="1:16" ht="18" customHeight="1">
      <c r="A197" s="104"/>
      <c r="B197" s="93"/>
      <c r="C197" s="87"/>
      <c r="D197" s="88">
        <v>738</v>
      </c>
      <c r="E197" s="88">
        <v>1310</v>
      </c>
      <c r="F197" s="89">
        <f t="shared" si="141"/>
        <v>32</v>
      </c>
      <c r="G197" s="90">
        <f t="shared" si="142"/>
        <v>336.97088520733263</v>
      </c>
      <c r="H197" s="90">
        <f t="shared" si="143"/>
        <v>262.14400000000001</v>
      </c>
      <c r="I197" s="91" t="str">
        <f t="shared" si="144"/>
        <v>2동5,6라인</v>
      </c>
      <c r="J197" s="92" t="s">
        <v>214</v>
      </c>
      <c r="L197" s="89">
        <v>4</v>
      </c>
      <c r="M197" s="306">
        <f t="shared" ref="M197:M201" si="145">M196</f>
        <v>8</v>
      </c>
      <c r="N197" s="84"/>
      <c r="O197" s="306">
        <f t="shared" ref="O197:O201" si="146">L197*M197-N197*L197</f>
        <v>32</v>
      </c>
    </row>
    <row r="198" spans="1:16" ht="18" customHeight="1">
      <c r="A198" s="104"/>
      <c r="B198" s="93"/>
      <c r="C198" s="87"/>
      <c r="D198" s="88">
        <v>288</v>
      </c>
      <c r="E198" s="88">
        <v>910</v>
      </c>
      <c r="F198" s="89">
        <f t="shared" si="141"/>
        <v>16</v>
      </c>
      <c r="G198" s="90">
        <f t="shared" si="142"/>
        <v>45.673953533967257</v>
      </c>
      <c r="H198" s="90">
        <f t="shared" si="143"/>
        <v>76.671999999999997</v>
      </c>
      <c r="I198" s="91" t="str">
        <f t="shared" si="144"/>
        <v>2동5,6라인</v>
      </c>
      <c r="J198" s="92" t="s">
        <v>215</v>
      </c>
      <c r="L198" s="89">
        <v>2</v>
      </c>
      <c r="M198" s="306">
        <f t="shared" si="145"/>
        <v>8</v>
      </c>
      <c r="N198" s="306"/>
      <c r="O198" s="306">
        <f t="shared" si="146"/>
        <v>16</v>
      </c>
    </row>
    <row r="199" spans="1:16" ht="18" customHeight="1">
      <c r="A199" s="104"/>
      <c r="B199" s="93"/>
      <c r="C199" s="87"/>
      <c r="D199" s="88">
        <v>228</v>
      </c>
      <c r="E199" s="88">
        <v>910</v>
      </c>
      <c r="F199" s="89">
        <f t="shared" si="141"/>
        <v>16</v>
      </c>
      <c r="G199" s="90">
        <f t="shared" si="142"/>
        <v>36.158546547724079</v>
      </c>
      <c r="H199" s="90">
        <f t="shared" si="143"/>
        <v>72.832000000000008</v>
      </c>
      <c r="I199" s="91" t="str">
        <f t="shared" si="144"/>
        <v>2동5,6라인</v>
      </c>
      <c r="J199" s="92" t="s">
        <v>216</v>
      </c>
      <c r="L199" s="89">
        <v>2</v>
      </c>
      <c r="M199" s="306">
        <f t="shared" si="145"/>
        <v>8</v>
      </c>
      <c r="N199" s="306"/>
      <c r="O199" s="306">
        <f t="shared" si="146"/>
        <v>16</v>
      </c>
    </row>
    <row r="200" spans="1:16" ht="18" customHeight="1">
      <c r="A200" s="104"/>
      <c r="B200" s="93"/>
      <c r="C200" s="87"/>
      <c r="D200" s="88">
        <v>438</v>
      </c>
      <c r="E200" s="88">
        <v>270</v>
      </c>
      <c r="F200" s="89">
        <f t="shared" si="141"/>
        <v>16</v>
      </c>
      <c r="G200" s="90">
        <f t="shared" si="142"/>
        <v>20.609744142731106</v>
      </c>
      <c r="H200" s="90">
        <f t="shared" si="143"/>
        <v>45.311999999999998</v>
      </c>
      <c r="I200" s="91" t="str">
        <f t="shared" si="144"/>
        <v>2동5,6라인</v>
      </c>
      <c r="J200" s="92" t="s">
        <v>217</v>
      </c>
      <c r="L200" s="89">
        <v>2</v>
      </c>
      <c r="M200" s="306">
        <f t="shared" si="145"/>
        <v>8</v>
      </c>
      <c r="N200" s="306"/>
      <c r="O200" s="306">
        <f t="shared" si="146"/>
        <v>16</v>
      </c>
    </row>
    <row r="201" spans="1:16" ht="18" customHeight="1">
      <c r="A201" s="104"/>
      <c r="B201" s="93"/>
      <c r="C201" s="87"/>
      <c r="D201" s="88">
        <v>208</v>
      </c>
      <c r="E201" s="88">
        <v>910</v>
      </c>
      <c r="F201" s="89">
        <f t="shared" si="141"/>
        <v>16</v>
      </c>
      <c r="G201" s="90">
        <f t="shared" si="142"/>
        <v>32.986744218976355</v>
      </c>
      <c r="H201" s="90">
        <f t="shared" si="143"/>
        <v>71.552000000000007</v>
      </c>
      <c r="I201" s="91" t="str">
        <f t="shared" si="144"/>
        <v>2동5,6라인</v>
      </c>
      <c r="J201" s="92" t="s">
        <v>218</v>
      </c>
      <c r="L201" s="89">
        <v>2</v>
      </c>
      <c r="M201" s="306">
        <f t="shared" si="145"/>
        <v>8</v>
      </c>
      <c r="N201" s="306"/>
      <c r="O201" s="306">
        <f t="shared" si="146"/>
        <v>16</v>
      </c>
    </row>
    <row r="202" spans="1:16" ht="18" customHeight="1">
      <c r="A202" s="104"/>
      <c r="B202" s="87"/>
      <c r="C202" s="87"/>
      <c r="D202" s="325" t="s">
        <v>0</v>
      </c>
      <c r="E202" s="325"/>
      <c r="F202" s="171">
        <f>SUM(F195:F201)</f>
        <v>120</v>
      </c>
      <c r="G202" s="95">
        <f>SUM(G195:G201)</f>
        <v>978.67703602043366</v>
      </c>
      <c r="H202" s="95">
        <f>SUM(H195:H201)</f>
        <v>804.99200000000008</v>
      </c>
      <c r="I202" s="97"/>
      <c r="J202" s="98"/>
    </row>
    <row r="203" spans="1:16">
      <c r="A203" s="105"/>
      <c r="B203" s="9"/>
      <c r="C203" s="9"/>
      <c r="D203" s="51"/>
      <c r="E203" s="51"/>
      <c r="F203" s="51"/>
      <c r="G203" s="106"/>
      <c r="H203" s="106"/>
      <c r="I203" s="9"/>
      <c r="J203" s="107"/>
    </row>
    <row r="204" spans="1:16" ht="18" customHeight="1">
      <c r="A204" s="85"/>
      <c r="B204" s="163" t="s">
        <v>199</v>
      </c>
      <c r="C204" s="163">
        <v>22</v>
      </c>
      <c r="D204" s="88">
        <v>738</v>
      </c>
      <c r="E204" s="88">
        <v>1810</v>
      </c>
      <c r="F204" s="89">
        <f t="shared" ref="F204:F205" si="147">O204</f>
        <v>16</v>
      </c>
      <c r="G204" s="90">
        <f t="shared" ref="G204:G205" si="148">D204*E204/91809*F204</f>
        <v>232.79286344476031</v>
      </c>
      <c r="H204" s="90">
        <f t="shared" ref="H204:H205" si="149">(D204/1000)*4*F204+(E204/1000)*4*F204</f>
        <v>163.072</v>
      </c>
      <c r="I204" s="91" t="str">
        <f>I195</f>
        <v>2동5,6라인</v>
      </c>
      <c r="J204" s="92" t="s">
        <v>219</v>
      </c>
      <c r="L204" s="89">
        <v>2</v>
      </c>
      <c r="M204" s="306">
        <f>M186</f>
        <v>8</v>
      </c>
      <c r="N204" s="84"/>
      <c r="O204" s="306">
        <f>L204*M204-N204*L204</f>
        <v>16</v>
      </c>
      <c r="P204" s="64"/>
    </row>
    <row r="205" spans="1:16" ht="18" customHeight="1">
      <c r="A205" s="85"/>
      <c r="B205" s="86"/>
      <c r="C205" s="87"/>
      <c r="D205" s="88">
        <v>250</v>
      </c>
      <c r="E205" s="88">
        <v>930</v>
      </c>
      <c r="F205" s="89">
        <f t="shared" si="147"/>
        <v>16</v>
      </c>
      <c r="G205" s="90">
        <f t="shared" si="148"/>
        <v>40.518903375486062</v>
      </c>
      <c r="H205" s="90">
        <f t="shared" si="149"/>
        <v>75.52000000000001</v>
      </c>
      <c r="I205" s="91" t="str">
        <f>I204</f>
        <v>2동5,6라인</v>
      </c>
      <c r="J205" s="92" t="s">
        <v>220</v>
      </c>
      <c r="L205" s="89">
        <v>2</v>
      </c>
      <c r="M205" s="306">
        <f>M204</f>
        <v>8</v>
      </c>
      <c r="N205" s="84"/>
      <c r="O205" s="306">
        <f t="shared" ref="O205" si="150">L205*M205-N205*L205</f>
        <v>16</v>
      </c>
    </row>
    <row r="206" spans="1:16" ht="18" customHeight="1">
      <c r="A206" s="85"/>
      <c r="B206" s="93"/>
      <c r="C206" s="87"/>
      <c r="D206" s="325" t="s">
        <v>0</v>
      </c>
      <c r="E206" s="325"/>
      <c r="F206" s="94">
        <f>SUM(F204:F205)</f>
        <v>32</v>
      </c>
      <c r="G206" s="95">
        <f>SUM(G204:G205)</f>
        <v>273.31176682024636</v>
      </c>
      <c r="H206" s="95">
        <f>SUM(H204:H205)</f>
        <v>238.59200000000001</v>
      </c>
      <c r="I206" s="97"/>
      <c r="J206" s="98"/>
    </row>
    <row r="207" spans="1:16" ht="18" customHeight="1">
      <c r="A207" s="253"/>
      <c r="B207" s="254"/>
      <c r="C207" s="255"/>
      <c r="D207" s="361"/>
      <c r="E207" s="361"/>
      <c r="F207" s="256"/>
      <c r="G207" s="257"/>
      <c r="H207" s="258"/>
      <c r="I207" s="259"/>
      <c r="J207" s="260"/>
      <c r="L207" s="250"/>
      <c r="M207" s="250"/>
      <c r="N207" s="250"/>
      <c r="O207" s="250"/>
    </row>
    <row r="208" spans="1:16" ht="18" customHeight="1">
      <c r="A208" s="85">
        <v>74</v>
      </c>
      <c r="B208" s="23" t="s">
        <v>196</v>
      </c>
      <c r="C208" s="24">
        <v>22</v>
      </c>
      <c r="D208" s="88">
        <v>861</v>
      </c>
      <c r="E208" s="88">
        <v>1810</v>
      </c>
      <c r="F208" s="89">
        <f t="shared" ref="F208:F212" si="151">O208</f>
        <v>8</v>
      </c>
      <c r="G208" s="90">
        <f t="shared" ref="G208:G212" si="152">D208*E208/91809*F208</f>
        <v>135.79583700944352</v>
      </c>
      <c r="H208" s="90">
        <f t="shared" ref="H208:H212" si="153">(D208/1000)*4*F208+(E208/1000)*4*F208</f>
        <v>85.472000000000008</v>
      </c>
      <c r="I208" s="91" t="s">
        <v>251</v>
      </c>
      <c r="J208" s="92" t="s">
        <v>205</v>
      </c>
      <c r="L208" s="89">
        <v>1</v>
      </c>
      <c r="M208" s="306">
        <v>8</v>
      </c>
      <c r="N208" s="84"/>
      <c r="O208" s="306">
        <f>L208*M208-N208*L208</f>
        <v>8</v>
      </c>
      <c r="P208" s="64"/>
    </row>
    <row r="209" spans="1:15" ht="18" customHeight="1">
      <c r="A209" s="85"/>
      <c r="B209" s="86"/>
      <c r="C209" s="87"/>
      <c r="D209" s="88">
        <v>738</v>
      </c>
      <c r="E209" s="88">
        <v>1310</v>
      </c>
      <c r="F209" s="89">
        <f t="shared" si="151"/>
        <v>32</v>
      </c>
      <c r="G209" s="90">
        <f t="shared" si="152"/>
        <v>336.97088520733263</v>
      </c>
      <c r="H209" s="90">
        <f t="shared" si="153"/>
        <v>262.14400000000001</v>
      </c>
      <c r="I209" s="91" t="str">
        <f>I208</f>
        <v>3동1,2라인</v>
      </c>
      <c r="J209" s="92" t="s">
        <v>207</v>
      </c>
      <c r="L209" s="89">
        <v>4</v>
      </c>
      <c r="M209" s="306">
        <f>M208</f>
        <v>8</v>
      </c>
      <c r="N209" s="84"/>
      <c r="O209" s="306">
        <f t="shared" ref="O209:O212" si="154">L209*M209-N209*L209</f>
        <v>32</v>
      </c>
    </row>
    <row r="210" spans="1:15" ht="18" customHeight="1">
      <c r="A210" s="85"/>
      <c r="B210" s="86"/>
      <c r="C210" s="87"/>
      <c r="D210" s="88">
        <v>288</v>
      </c>
      <c r="E210" s="88">
        <v>910</v>
      </c>
      <c r="F210" s="89">
        <f t="shared" si="151"/>
        <v>16</v>
      </c>
      <c r="G210" s="90">
        <f t="shared" si="152"/>
        <v>45.673953533967257</v>
      </c>
      <c r="H210" s="90">
        <f t="shared" si="153"/>
        <v>76.671999999999997</v>
      </c>
      <c r="I210" s="91" t="str">
        <f t="shared" ref="I210:I211" si="155">I209</f>
        <v>3동1,2라인</v>
      </c>
      <c r="J210" s="92" t="s">
        <v>208</v>
      </c>
      <c r="L210" s="89">
        <v>2</v>
      </c>
      <c r="M210" s="306">
        <f t="shared" ref="M210" si="156">M209</f>
        <v>8</v>
      </c>
      <c r="N210" s="306"/>
      <c r="O210" s="306">
        <f t="shared" si="154"/>
        <v>16</v>
      </c>
    </row>
    <row r="211" spans="1:15" ht="18" customHeight="1">
      <c r="A211" s="85"/>
      <c r="B211" s="86"/>
      <c r="C211" s="87"/>
      <c r="D211" s="88">
        <v>228</v>
      </c>
      <c r="E211" s="88">
        <v>910</v>
      </c>
      <c r="F211" s="89">
        <f t="shared" si="151"/>
        <v>16</v>
      </c>
      <c r="G211" s="90">
        <f t="shared" si="152"/>
        <v>36.158546547724079</v>
      </c>
      <c r="H211" s="90">
        <f t="shared" si="153"/>
        <v>72.832000000000008</v>
      </c>
      <c r="I211" s="91" t="str">
        <f t="shared" si="155"/>
        <v>3동1,2라인</v>
      </c>
      <c r="J211" s="92" t="s">
        <v>209</v>
      </c>
      <c r="L211" s="89">
        <v>2</v>
      </c>
      <c r="M211" s="306">
        <f>M210</f>
        <v>8</v>
      </c>
      <c r="N211" s="306"/>
      <c r="O211" s="306">
        <f t="shared" si="154"/>
        <v>16</v>
      </c>
    </row>
    <row r="212" spans="1:15" ht="18" customHeight="1">
      <c r="A212" s="85"/>
      <c r="B212" s="86"/>
      <c r="C212" s="87"/>
      <c r="D212" s="88">
        <v>438</v>
      </c>
      <c r="E212" s="88">
        <v>270</v>
      </c>
      <c r="F212" s="89">
        <f t="shared" si="151"/>
        <v>16</v>
      </c>
      <c r="G212" s="90">
        <f t="shared" si="152"/>
        <v>20.609744142731106</v>
      </c>
      <c r="H212" s="90">
        <f t="shared" si="153"/>
        <v>45.311999999999998</v>
      </c>
      <c r="I212" s="91" t="str">
        <f>I210</f>
        <v>3동1,2라인</v>
      </c>
      <c r="J212" s="92" t="s">
        <v>210</v>
      </c>
      <c r="L212" s="89">
        <v>2</v>
      </c>
      <c r="M212" s="306">
        <f>M210</f>
        <v>8</v>
      </c>
      <c r="N212" s="306"/>
      <c r="O212" s="306">
        <f t="shared" si="154"/>
        <v>16</v>
      </c>
    </row>
    <row r="213" spans="1:15" ht="18" customHeight="1">
      <c r="A213" s="85"/>
      <c r="B213" s="93"/>
      <c r="C213" s="87"/>
      <c r="D213" s="325" t="s">
        <v>0</v>
      </c>
      <c r="E213" s="325"/>
      <c r="F213" s="94">
        <f>SUM(F208:F212)</f>
        <v>88</v>
      </c>
      <c r="G213" s="95">
        <f>SUM(G208:G212)</f>
        <v>575.20896644119853</v>
      </c>
      <c r="H213" s="96">
        <f>SUM(H208:H212)</f>
        <v>542.43200000000002</v>
      </c>
      <c r="I213" s="97"/>
      <c r="J213" s="162"/>
    </row>
    <row r="214" spans="1:15" ht="18" customHeight="1">
      <c r="A214" s="85"/>
      <c r="B214" s="93"/>
      <c r="C214" s="87"/>
      <c r="D214" s="161"/>
      <c r="E214" s="161"/>
      <c r="F214" s="89"/>
      <c r="G214" s="100"/>
      <c r="H214" s="101"/>
      <c r="I214" s="102"/>
      <c r="J214" s="121"/>
      <c r="L214" s="252"/>
      <c r="M214" s="252"/>
      <c r="N214" s="252"/>
      <c r="O214" s="252"/>
    </row>
    <row r="215" spans="1:15" ht="18" customHeight="1">
      <c r="A215" s="85"/>
      <c r="B215" s="23" t="s">
        <v>198</v>
      </c>
      <c r="C215" s="24">
        <v>22</v>
      </c>
      <c r="D215" s="88">
        <v>861</v>
      </c>
      <c r="E215" s="88">
        <v>1810</v>
      </c>
      <c r="F215" s="89">
        <f t="shared" ref="F215:F220" si="157">O215</f>
        <v>8</v>
      </c>
      <c r="G215" s="90">
        <f t="shared" ref="G215:G220" si="158">D215*E215/91809*F215</f>
        <v>135.79583700944352</v>
      </c>
      <c r="H215" s="90">
        <f t="shared" ref="H215:H220" si="159">(D215/1000)*4*F215+(E215/1000)*4*F215</f>
        <v>85.472000000000008</v>
      </c>
      <c r="I215" s="91" t="str">
        <f>I208</f>
        <v>3동1,2라인</v>
      </c>
      <c r="J215" s="92" t="s">
        <v>212</v>
      </c>
      <c r="L215" s="89">
        <v>1</v>
      </c>
      <c r="M215" s="306">
        <f>M208</f>
        <v>8</v>
      </c>
      <c r="N215" s="84"/>
      <c r="O215" s="306">
        <f>L215*M215-N215*L215</f>
        <v>8</v>
      </c>
    </row>
    <row r="216" spans="1:15" ht="18" customHeight="1">
      <c r="A216" s="85"/>
      <c r="B216" s="86"/>
      <c r="C216" s="87"/>
      <c r="D216" s="88">
        <v>2114</v>
      </c>
      <c r="E216" s="88">
        <v>1810</v>
      </c>
      <c r="F216" s="89">
        <f t="shared" si="157"/>
        <v>8</v>
      </c>
      <c r="G216" s="90">
        <f t="shared" si="158"/>
        <v>333.41742095001581</v>
      </c>
      <c r="H216" s="90">
        <f t="shared" si="159"/>
        <v>125.568</v>
      </c>
      <c r="I216" s="91" t="str">
        <f>I208</f>
        <v>3동1,2라인</v>
      </c>
      <c r="J216" s="92" t="s">
        <v>213</v>
      </c>
      <c r="L216" s="89">
        <v>1</v>
      </c>
      <c r="M216" s="306">
        <f>M215</f>
        <v>8</v>
      </c>
      <c r="N216" s="84"/>
      <c r="O216" s="306">
        <f>L216*M216-N216*L216</f>
        <v>8</v>
      </c>
    </row>
    <row r="217" spans="1:15" ht="18" customHeight="1">
      <c r="A217" s="104"/>
      <c r="B217" s="93"/>
      <c r="C217" s="87"/>
      <c r="D217" s="88">
        <v>738</v>
      </c>
      <c r="E217" s="88">
        <v>1310</v>
      </c>
      <c r="F217" s="89">
        <f t="shared" si="157"/>
        <v>32</v>
      </c>
      <c r="G217" s="90">
        <f t="shared" si="158"/>
        <v>336.97088520733263</v>
      </c>
      <c r="H217" s="90">
        <f t="shared" si="159"/>
        <v>262.14400000000001</v>
      </c>
      <c r="I217" s="91" t="str">
        <f>I216</f>
        <v>3동1,2라인</v>
      </c>
      <c r="J217" s="92" t="s">
        <v>214</v>
      </c>
      <c r="L217" s="89">
        <v>4</v>
      </c>
      <c r="M217" s="306">
        <f t="shared" ref="M217:M220" si="160">M216</f>
        <v>8</v>
      </c>
      <c r="N217" s="84"/>
      <c r="O217" s="306">
        <f t="shared" ref="O217:O220" si="161">L217*M217-N217*L217</f>
        <v>32</v>
      </c>
    </row>
    <row r="218" spans="1:15" ht="18" customHeight="1">
      <c r="A218" s="104"/>
      <c r="B218" s="93"/>
      <c r="C218" s="87"/>
      <c r="D218" s="88">
        <v>288</v>
      </c>
      <c r="E218" s="88">
        <v>910</v>
      </c>
      <c r="F218" s="89">
        <f t="shared" si="157"/>
        <v>16</v>
      </c>
      <c r="G218" s="90">
        <f t="shared" si="158"/>
        <v>45.673953533967257</v>
      </c>
      <c r="H218" s="90">
        <f t="shared" si="159"/>
        <v>76.671999999999997</v>
      </c>
      <c r="I218" s="91" t="str">
        <f>I217</f>
        <v>3동1,2라인</v>
      </c>
      <c r="J218" s="92" t="s">
        <v>215</v>
      </c>
      <c r="L218" s="89">
        <v>2</v>
      </c>
      <c r="M218" s="306">
        <f>M217</f>
        <v>8</v>
      </c>
      <c r="N218" s="84"/>
      <c r="O218" s="306">
        <f t="shared" si="161"/>
        <v>16</v>
      </c>
    </row>
    <row r="219" spans="1:15" ht="18" customHeight="1">
      <c r="A219" s="104"/>
      <c r="B219" s="93"/>
      <c r="C219" s="87"/>
      <c r="D219" s="88">
        <v>228</v>
      </c>
      <c r="E219" s="88">
        <v>910</v>
      </c>
      <c r="F219" s="89">
        <f t="shared" si="157"/>
        <v>16</v>
      </c>
      <c r="G219" s="90">
        <f t="shared" si="158"/>
        <v>36.158546547724079</v>
      </c>
      <c r="H219" s="90">
        <f t="shared" si="159"/>
        <v>72.832000000000008</v>
      </c>
      <c r="I219" s="91" t="str">
        <f>I217</f>
        <v>3동1,2라인</v>
      </c>
      <c r="J219" s="92" t="s">
        <v>216</v>
      </c>
      <c r="L219" s="89">
        <v>2</v>
      </c>
      <c r="M219" s="306">
        <f>M217</f>
        <v>8</v>
      </c>
      <c r="N219" s="306"/>
      <c r="O219" s="306">
        <f t="shared" si="161"/>
        <v>16</v>
      </c>
    </row>
    <row r="220" spans="1:15" ht="18" customHeight="1">
      <c r="A220" s="104"/>
      <c r="B220" s="93"/>
      <c r="C220" s="87"/>
      <c r="D220" s="88">
        <v>438</v>
      </c>
      <c r="E220" s="88">
        <v>270</v>
      </c>
      <c r="F220" s="89">
        <f t="shared" si="157"/>
        <v>16</v>
      </c>
      <c r="G220" s="90">
        <f t="shared" si="158"/>
        <v>20.609744142731106</v>
      </c>
      <c r="H220" s="90">
        <f t="shared" si="159"/>
        <v>45.311999999999998</v>
      </c>
      <c r="I220" s="91" t="str">
        <f t="shared" ref="I220" si="162">I219</f>
        <v>3동1,2라인</v>
      </c>
      <c r="J220" s="92" t="s">
        <v>217</v>
      </c>
      <c r="L220" s="89">
        <v>2</v>
      </c>
      <c r="M220" s="306">
        <f t="shared" si="160"/>
        <v>8</v>
      </c>
      <c r="N220" s="306"/>
      <c r="O220" s="306">
        <f t="shared" si="161"/>
        <v>16</v>
      </c>
    </row>
    <row r="221" spans="1:15" ht="18" customHeight="1">
      <c r="A221" s="104"/>
      <c r="B221" s="87"/>
      <c r="C221" s="87"/>
      <c r="D221" s="325" t="s">
        <v>0</v>
      </c>
      <c r="E221" s="325"/>
      <c r="F221" s="171">
        <f>SUM(F215:F220)</f>
        <v>96</v>
      </c>
      <c r="G221" s="95">
        <f>SUM(G215:G220)</f>
        <v>908.62638739121439</v>
      </c>
      <c r="H221" s="95">
        <f>SUM(H215:H220)</f>
        <v>668</v>
      </c>
      <c r="I221" s="97"/>
      <c r="J221" s="98"/>
    </row>
    <row r="222" spans="1:15">
      <c r="A222" s="105"/>
      <c r="B222" s="9"/>
      <c r="C222" s="9"/>
      <c r="D222" s="51"/>
      <c r="E222" s="51"/>
      <c r="F222" s="51"/>
      <c r="G222" s="106"/>
      <c r="H222" s="106"/>
      <c r="I222" s="9"/>
      <c r="J222" s="107"/>
    </row>
    <row r="223" spans="1:15" ht="18" customHeight="1">
      <c r="A223" s="85"/>
      <c r="B223" s="23" t="s">
        <v>237</v>
      </c>
      <c r="C223" s="24">
        <v>22</v>
      </c>
      <c r="D223" s="88">
        <v>2114</v>
      </c>
      <c r="E223" s="88">
        <v>1810</v>
      </c>
      <c r="F223" s="89">
        <f t="shared" ref="F223" si="163">O223</f>
        <v>8</v>
      </c>
      <c r="G223" s="90">
        <f t="shared" ref="G223" si="164">D223*E223/91809*F223</f>
        <v>333.41742095001581</v>
      </c>
      <c r="H223" s="90">
        <f t="shared" ref="H223" si="165">(D223/1000)*4*F223+(E223/1000)*4*F223</f>
        <v>125.568</v>
      </c>
      <c r="I223" s="91" t="str">
        <f>I215</f>
        <v>3동1,2라인</v>
      </c>
      <c r="J223" s="92" t="s">
        <v>206</v>
      </c>
      <c r="L223" s="89">
        <v>1</v>
      </c>
      <c r="M223" s="306">
        <f>M208</f>
        <v>8</v>
      </c>
      <c r="N223" s="84"/>
      <c r="O223" s="306">
        <f>L223*M223-N223*L223</f>
        <v>8</v>
      </c>
    </row>
    <row r="224" spans="1:15" ht="18" customHeight="1">
      <c r="A224" s="85"/>
      <c r="B224" s="93"/>
      <c r="C224" s="87"/>
      <c r="D224" s="325" t="s">
        <v>0</v>
      </c>
      <c r="E224" s="325"/>
      <c r="F224" s="94">
        <f>SUM(F223:F223)</f>
        <v>8</v>
      </c>
      <c r="G224" s="95">
        <f>SUM(G223:G223)</f>
        <v>333.41742095001581</v>
      </c>
      <c r="H224" s="95">
        <f>SUM(H223:H223)</f>
        <v>125.568</v>
      </c>
      <c r="I224" s="97"/>
      <c r="J224" s="98"/>
    </row>
    <row r="225" spans="1:16" ht="18" customHeight="1">
      <c r="A225" s="218"/>
      <c r="B225" s="219"/>
      <c r="C225" s="220"/>
      <c r="D225" s="161"/>
      <c r="E225" s="161"/>
      <c r="F225" s="89"/>
      <c r="G225" s="100"/>
      <c r="H225" s="100"/>
      <c r="I225" s="102"/>
      <c r="J225" s="221"/>
    </row>
    <row r="226" spans="1:16" ht="18" customHeight="1">
      <c r="A226" s="85"/>
      <c r="B226" s="23" t="s">
        <v>200</v>
      </c>
      <c r="C226" s="24">
        <v>22</v>
      </c>
      <c r="D226" s="88">
        <v>638</v>
      </c>
      <c r="E226" s="88">
        <v>1810</v>
      </c>
      <c r="F226" s="89">
        <f t="shared" ref="F226:F227" si="166">O226</f>
        <v>8</v>
      </c>
      <c r="G226" s="90">
        <f t="shared" ref="G226:G227" si="167">D226*E226/91809*F226</f>
        <v>100.62455750525548</v>
      </c>
      <c r="H226" s="90">
        <f t="shared" ref="H226:H227" si="168">(D226/1000)*4*F226+(E226/1000)*4*F226</f>
        <v>78.335999999999999</v>
      </c>
      <c r="I226" s="91" t="str">
        <f>I223</f>
        <v>3동1,2라인</v>
      </c>
      <c r="J226" s="92" t="s">
        <v>219</v>
      </c>
      <c r="L226" s="89">
        <v>2</v>
      </c>
      <c r="M226" s="306">
        <f>M223</f>
        <v>8</v>
      </c>
      <c r="N226" s="84">
        <v>4</v>
      </c>
      <c r="O226" s="306">
        <f>L226*M226-N226*L226</f>
        <v>8</v>
      </c>
      <c r="P226" s="64" t="s">
        <v>247</v>
      </c>
    </row>
    <row r="227" spans="1:16" ht="18" customHeight="1">
      <c r="A227" s="85"/>
      <c r="B227" s="86"/>
      <c r="C227" s="87"/>
      <c r="D227" s="88">
        <v>250</v>
      </c>
      <c r="E227" s="88">
        <v>930</v>
      </c>
      <c r="F227" s="89">
        <f t="shared" si="166"/>
        <v>16</v>
      </c>
      <c r="G227" s="90">
        <f t="shared" si="167"/>
        <v>40.518903375486062</v>
      </c>
      <c r="H227" s="90">
        <f t="shared" si="168"/>
        <v>75.52000000000001</v>
      </c>
      <c r="I227" s="91" t="str">
        <f>I226</f>
        <v>3동1,2라인</v>
      </c>
      <c r="J227" s="92" t="s">
        <v>220</v>
      </c>
      <c r="L227" s="89">
        <v>2</v>
      </c>
      <c r="M227" s="306">
        <f>M226</f>
        <v>8</v>
      </c>
      <c r="N227" s="84"/>
      <c r="O227" s="306">
        <f t="shared" ref="O227" si="169">L227*M227-N227*L227</f>
        <v>16</v>
      </c>
    </row>
    <row r="228" spans="1:16" ht="18" customHeight="1">
      <c r="A228" s="85"/>
      <c r="B228" s="93"/>
      <c r="C228" s="87"/>
      <c r="D228" s="325" t="s">
        <v>0</v>
      </c>
      <c r="E228" s="325"/>
      <c r="F228" s="94">
        <f>SUM(F226:F227)</f>
        <v>24</v>
      </c>
      <c r="G228" s="95">
        <f>SUM(G226:G227)</f>
        <v>141.14346088074154</v>
      </c>
      <c r="H228" s="96">
        <f>SUM(H226:H227)</f>
        <v>153.85599999999999</v>
      </c>
      <c r="I228" s="97"/>
      <c r="J228" s="162"/>
    </row>
    <row r="229" spans="1:16">
      <c r="A229" s="16"/>
      <c r="B229" s="16"/>
      <c r="C229" s="16"/>
      <c r="D229" s="261"/>
      <c r="E229" s="261"/>
      <c r="F229" s="261"/>
      <c r="G229" s="19"/>
      <c r="H229" s="19"/>
      <c r="I229" s="16"/>
      <c r="J229" s="16"/>
    </row>
    <row r="230" spans="1:16" ht="18" customHeight="1">
      <c r="A230" s="85" t="s">
        <v>235</v>
      </c>
      <c r="B230" s="23" t="s">
        <v>196</v>
      </c>
      <c r="C230" s="24">
        <v>22</v>
      </c>
      <c r="D230" s="88">
        <v>861</v>
      </c>
      <c r="E230" s="88">
        <v>1810</v>
      </c>
      <c r="F230" s="89">
        <f t="shared" ref="F230:F233" si="170">O230</f>
        <v>4</v>
      </c>
      <c r="G230" s="90">
        <f t="shared" ref="G230:G233" si="171">D230*E230/91809*F230</f>
        <v>67.897918504721758</v>
      </c>
      <c r="H230" s="90">
        <f t="shared" ref="H230:H233" si="172">(D230/1000)*4*F230+(E230/1000)*4*F230</f>
        <v>42.736000000000004</v>
      </c>
      <c r="I230" s="91" t="s">
        <v>252</v>
      </c>
      <c r="J230" s="92" t="s">
        <v>205</v>
      </c>
      <c r="L230" s="89">
        <v>1</v>
      </c>
      <c r="M230" s="306">
        <v>4</v>
      </c>
      <c r="N230" s="84"/>
      <c r="O230" s="306">
        <f>L230*M230-N230*L230</f>
        <v>4</v>
      </c>
      <c r="P230" s="64"/>
    </row>
    <row r="231" spans="1:16" ht="18" customHeight="1">
      <c r="A231" s="85"/>
      <c r="B231" s="86"/>
      <c r="C231" s="87"/>
      <c r="D231" s="88">
        <v>738</v>
      </c>
      <c r="E231" s="88">
        <v>1310</v>
      </c>
      <c r="F231" s="89">
        <f t="shared" si="170"/>
        <v>16</v>
      </c>
      <c r="G231" s="90">
        <f t="shared" si="171"/>
        <v>168.48544260366631</v>
      </c>
      <c r="H231" s="90">
        <f t="shared" si="172"/>
        <v>131.072</v>
      </c>
      <c r="I231" s="91" t="str">
        <f>I230</f>
        <v>3동3라인</v>
      </c>
      <c r="J231" s="92" t="s">
        <v>207</v>
      </c>
      <c r="L231" s="89">
        <v>4</v>
      </c>
      <c r="M231" s="306">
        <f>M230</f>
        <v>4</v>
      </c>
      <c r="N231" s="84"/>
      <c r="O231" s="306">
        <f t="shared" ref="O231:O233" si="173">L231*M231-N231*L231</f>
        <v>16</v>
      </c>
    </row>
    <row r="232" spans="1:16" ht="18" customHeight="1">
      <c r="A232" s="85"/>
      <c r="B232" s="86"/>
      <c r="C232" s="87"/>
      <c r="D232" s="88">
        <v>228</v>
      </c>
      <c r="E232" s="88">
        <v>910</v>
      </c>
      <c r="F232" s="89">
        <f t="shared" si="170"/>
        <v>8</v>
      </c>
      <c r="G232" s="90">
        <f t="shared" si="171"/>
        <v>18.079273273862039</v>
      </c>
      <c r="H232" s="90">
        <f t="shared" si="172"/>
        <v>36.416000000000004</v>
      </c>
      <c r="I232" s="91" t="str">
        <f t="shared" ref="I232:I233" si="174">I231</f>
        <v>3동3라인</v>
      </c>
      <c r="J232" s="92" t="s">
        <v>209</v>
      </c>
      <c r="L232" s="89">
        <v>2</v>
      </c>
      <c r="M232" s="306">
        <f t="shared" ref="M232:M233" si="175">M231</f>
        <v>4</v>
      </c>
      <c r="N232" s="306"/>
      <c r="O232" s="306">
        <f t="shared" si="173"/>
        <v>8</v>
      </c>
    </row>
    <row r="233" spans="1:16" ht="18" customHeight="1">
      <c r="A233" s="85"/>
      <c r="B233" s="86"/>
      <c r="C233" s="87"/>
      <c r="D233" s="88">
        <v>438</v>
      </c>
      <c r="E233" s="88">
        <v>270</v>
      </c>
      <c r="F233" s="89">
        <f t="shared" si="170"/>
        <v>8</v>
      </c>
      <c r="G233" s="90">
        <f t="shared" si="171"/>
        <v>10.304872071365553</v>
      </c>
      <c r="H233" s="90">
        <f t="shared" si="172"/>
        <v>22.655999999999999</v>
      </c>
      <c r="I233" s="91" t="str">
        <f t="shared" si="174"/>
        <v>3동3라인</v>
      </c>
      <c r="J233" s="92" t="s">
        <v>210</v>
      </c>
      <c r="L233" s="89">
        <v>2</v>
      </c>
      <c r="M233" s="306">
        <f t="shared" si="175"/>
        <v>4</v>
      </c>
      <c r="N233" s="306"/>
      <c r="O233" s="306">
        <f t="shared" si="173"/>
        <v>8</v>
      </c>
    </row>
    <row r="234" spans="1:16" ht="18" customHeight="1">
      <c r="A234" s="85"/>
      <c r="B234" s="93"/>
      <c r="C234" s="87"/>
      <c r="D234" s="325" t="s">
        <v>0</v>
      </c>
      <c r="E234" s="325"/>
      <c r="F234" s="94">
        <f>SUM(F230:F233)</f>
        <v>36</v>
      </c>
      <c r="G234" s="95">
        <f>SUM(G230:G233)</f>
        <v>264.76750645361568</v>
      </c>
      <c r="H234" s="96">
        <f>SUM(H230:H233)</f>
        <v>232.88</v>
      </c>
      <c r="I234" s="97"/>
      <c r="J234" s="162"/>
    </row>
    <row r="235" spans="1:16" ht="18" customHeight="1">
      <c r="A235" s="85"/>
      <c r="B235" s="93"/>
      <c r="C235" s="87"/>
      <c r="D235" s="161"/>
      <c r="E235" s="161"/>
      <c r="F235" s="89"/>
      <c r="G235" s="100"/>
      <c r="H235" s="101"/>
      <c r="I235" s="102"/>
      <c r="J235" s="121"/>
      <c r="L235" s="252"/>
      <c r="M235" s="252"/>
      <c r="N235" s="252"/>
      <c r="O235" s="252"/>
    </row>
    <row r="236" spans="1:16" ht="18" customHeight="1">
      <c r="A236" s="85"/>
      <c r="B236" s="23" t="s">
        <v>198</v>
      </c>
      <c r="C236" s="24">
        <v>22</v>
      </c>
      <c r="D236" s="88">
        <v>861</v>
      </c>
      <c r="E236" s="88">
        <v>1810</v>
      </c>
      <c r="F236" s="89">
        <f t="shared" ref="F236:F240" si="176">O236</f>
        <v>4</v>
      </c>
      <c r="G236" s="90">
        <f t="shared" ref="G236:G240" si="177">D236*E236/91809*F236</f>
        <v>67.897918504721758</v>
      </c>
      <c r="H236" s="90">
        <f t="shared" ref="H236:H240" si="178">(D236/1000)*4*F236+(E236/1000)*4*F236</f>
        <v>42.736000000000004</v>
      </c>
      <c r="I236" s="91" t="str">
        <f>I230</f>
        <v>3동3라인</v>
      </c>
      <c r="J236" s="92" t="s">
        <v>212</v>
      </c>
      <c r="L236" s="89">
        <v>1</v>
      </c>
      <c r="M236" s="306">
        <f>M230</f>
        <v>4</v>
      </c>
      <c r="N236" s="84"/>
      <c r="O236" s="306">
        <f>L236*M236-N236*L236</f>
        <v>4</v>
      </c>
    </row>
    <row r="237" spans="1:16" ht="18" customHeight="1">
      <c r="A237" s="85"/>
      <c r="B237" s="86"/>
      <c r="C237" s="87"/>
      <c r="D237" s="88">
        <v>2114</v>
      </c>
      <c r="E237" s="88">
        <v>1810</v>
      </c>
      <c r="F237" s="89">
        <f t="shared" si="176"/>
        <v>4</v>
      </c>
      <c r="G237" s="90">
        <f t="shared" si="177"/>
        <v>166.7087104750079</v>
      </c>
      <c r="H237" s="90">
        <f t="shared" si="178"/>
        <v>62.783999999999999</v>
      </c>
      <c r="I237" s="91" t="str">
        <f>I230</f>
        <v>3동3라인</v>
      </c>
      <c r="J237" s="92" t="s">
        <v>213</v>
      </c>
      <c r="L237" s="89">
        <v>1</v>
      </c>
      <c r="M237" s="306">
        <f>M236</f>
        <v>4</v>
      </c>
      <c r="N237" s="84"/>
      <c r="O237" s="306">
        <f>L237*M237-N237*L237</f>
        <v>4</v>
      </c>
    </row>
    <row r="238" spans="1:16" ht="18" customHeight="1">
      <c r="A238" s="104"/>
      <c r="B238" s="93"/>
      <c r="C238" s="87"/>
      <c r="D238" s="88">
        <v>738</v>
      </c>
      <c r="E238" s="88">
        <v>1310</v>
      </c>
      <c r="F238" s="89">
        <f t="shared" si="176"/>
        <v>16</v>
      </c>
      <c r="G238" s="90">
        <f t="shared" si="177"/>
        <v>168.48544260366631</v>
      </c>
      <c r="H238" s="90">
        <f t="shared" si="178"/>
        <v>131.072</v>
      </c>
      <c r="I238" s="91" t="str">
        <f>I237</f>
        <v>3동3라인</v>
      </c>
      <c r="J238" s="92" t="s">
        <v>214</v>
      </c>
      <c r="L238" s="89">
        <v>4</v>
      </c>
      <c r="M238" s="306">
        <f t="shared" ref="M238:M240" si="179">M237</f>
        <v>4</v>
      </c>
      <c r="N238" s="84"/>
      <c r="O238" s="306">
        <f t="shared" ref="O238:O240" si="180">L238*M238-N238*L238</f>
        <v>16</v>
      </c>
    </row>
    <row r="239" spans="1:16" ht="18" customHeight="1">
      <c r="A239" s="104"/>
      <c r="B239" s="93"/>
      <c r="C239" s="87"/>
      <c r="D239" s="88">
        <v>228</v>
      </c>
      <c r="E239" s="88">
        <v>910</v>
      </c>
      <c r="F239" s="89">
        <f t="shared" si="176"/>
        <v>8</v>
      </c>
      <c r="G239" s="90">
        <f t="shared" si="177"/>
        <v>18.079273273862039</v>
      </c>
      <c r="H239" s="90">
        <f t="shared" si="178"/>
        <v>36.416000000000004</v>
      </c>
      <c r="I239" s="91" t="str">
        <f t="shared" ref="I239:I240" si="181">I238</f>
        <v>3동3라인</v>
      </c>
      <c r="J239" s="92" t="s">
        <v>216</v>
      </c>
      <c r="L239" s="89">
        <v>2</v>
      </c>
      <c r="M239" s="306">
        <f t="shared" si="179"/>
        <v>4</v>
      </c>
      <c r="N239" s="306"/>
      <c r="O239" s="306">
        <f t="shared" si="180"/>
        <v>8</v>
      </c>
    </row>
    <row r="240" spans="1:16" ht="18" customHeight="1">
      <c r="A240" s="104"/>
      <c r="B240" s="93"/>
      <c r="C240" s="87"/>
      <c r="D240" s="88">
        <v>438</v>
      </c>
      <c r="E240" s="88">
        <v>270</v>
      </c>
      <c r="F240" s="89">
        <f t="shared" si="176"/>
        <v>8</v>
      </c>
      <c r="G240" s="90">
        <f t="shared" si="177"/>
        <v>10.304872071365553</v>
      </c>
      <c r="H240" s="90">
        <f t="shared" si="178"/>
        <v>22.655999999999999</v>
      </c>
      <c r="I240" s="91" t="str">
        <f t="shared" si="181"/>
        <v>3동3라인</v>
      </c>
      <c r="J240" s="92" t="s">
        <v>217</v>
      </c>
      <c r="L240" s="89">
        <v>2</v>
      </c>
      <c r="M240" s="306">
        <f t="shared" si="179"/>
        <v>4</v>
      </c>
      <c r="N240" s="306"/>
      <c r="O240" s="306">
        <f t="shared" si="180"/>
        <v>8</v>
      </c>
    </row>
    <row r="241" spans="1:16" ht="18" customHeight="1">
      <c r="A241" s="104"/>
      <c r="B241" s="87"/>
      <c r="C241" s="87"/>
      <c r="D241" s="325" t="s">
        <v>0</v>
      </c>
      <c r="E241" s="325"/>
      <c r="F241" s="171">
        <f>SUM(F236:F240)</f>
        <v>40</v>
      </c>
      <c r="G241" s="95">
        <f>SUM(G236:G240)</f>
        <v>431.47621692862356</v>
      </c>
      <c r="H241" s="95">
        <f>SUM(H236:H240)</f>
        <v>295.66400000000004</v>
      </c>
      <c r="I241" s="97"/>
      <c r="J241" s="98"/>
    </row>
    <row r="242" spans="1:16">
      <c r="A242" s="105"/>
      <c r="B242" s="9"/>
      <c r="C242" s="9"/>
      <c r="D242" s="51"/>
      <c r="E242" s="51"/>
      <c r="F242" s="51"/>
      <c r="G242" s="106"/>
      <c r="H242" s="106"/>
      <c r="I242" s="9"/>
      <c r="J242" s="107"/>
    </row>
    <row r="243" spans="1:16" ht="18" customHeight="1">
      <c r="A243" s="85"/>
      <c r="B243" s="23" t="s">
        <v>237</v>
      </c>
      <c r="C243" s="24">
        <v>22</v>
      </c>
      <c r="D243" s="88">
        <v>2114</v>
      </c>
      <c r="E243" s="88">
        <v>1810</v>
      </c>
      <c r="F243" s="89">
        <f t="shared" ref="F243" si="182">O243</f>
        <v>4</v>
      </c>
      <c r="G243" s="90">
        <f t="shared" ref="G243" si="183">D243*E243/91809*F243</f>
        <v>166.7087104750079</v>
      </c>
      <c r="H243" s="90">
        <f t="shared" ref="H243" si="184">(D243/1000)*4*F243+(E243/1000)*4*F243</f>
        <v>62.783999999999999</v>
      </c>
      <c r="I243" s="91" t="str">
        <f>I236</f>
        <v>3동3라인</v>
      </c>
      <c r="J243" s="92" t="s">
        <v>206</v>
      </c>
      <c r="L243" s="89">
        <v>1</v>
      </c>
      <c r="M243" s="306">
        <f>M230</f>
        <v>4</v>
      </c>
      <c r="N243" s="84"/>
      <c r="O243" s="306">
        <f>L243*M243-N243*L243</f>
        <v>4</v>
      </c>
    </row>
    <row r="244" spans="1:16" ht="18" customHeight="1">
      <c r="A244" s="85"/>
      <c r="B244" s="93"/>
      <c r="C244" s="87"/>
      <c r="D244" s="325" t="s">
        <v>0</v>
      </c>
      <c r="E244" s="325"/>
      <c r="F244" s="94">
        <f>SUM(F243:F243)</f>
        <v>4</v>
      </c>
      <c r="G244" s="95">
        <f>SUM(G243:G243)</f>
        <v>166.7087104750079</v>
      </c>
      <c r="H244" s="95">
        <f>SUM(H243:H243)</f>
        <v>62.783999999999999</v>
      </c>
      <c r="I244" s="97"/>
      <c r="J244" s="98"/>
    </row>
    <row r="245" spans="1:16" ht="18" customHeight="1">
      <c r="A245" s="218"/>
      <c r="B245" s="219"/>
      <c r="C245" s="220"/>
      <c r="D245" s="161"/>
      <c r="E245" s="161"/>
      <c r="F245" s="89"/>
      <c r="G245" s="100"/>
      <c r="H245" s="100"/>
      <c r="I245" s="102"/>
      <c r="J245" s="221"/>
    </row>
    <row r="246" spans="1:16" ht="18" customHeight="1">
      <c r="A246" s="85"/>
      <c r="B246" s="23" t="s">
        <v>200</v>
      </c>
      <c r="C246" s="24">
        <v>22</v>
      </c>
      <c r="D246" s="88">
        <v>738</v>
      </c>
      <c r="E246" s="88">
        <v>1810</v>
      </c>
      <c r="F246" s="89">
        <f t="shared" ref="F246:F247" si="185">O246</f>
        <v>8</v>
      </c>
      <c r="G246" s="90">
        <f t="shared" ref="G246:G247" si="186">D246*E246/91809*F246</f>
        <v>116.39643172238016</v>
      </c>
      <c r="H246" s="90">
        <f t="shared" ref="H246:H247" si="187">(D246/1000)*4*F246+(E246/1000)*4*F246</f>
        <v>81.536000000000001</v>
      </c>
      <c r="I246" s="91" t="str">
        <f>I243</f>
        <v>3동3라인</v>
      </c>
      <c r="J246" s="92" t="s">
        <v>219</v>
      </c>
      <c r="L246" s="89">
        <v>2</v>
      </c>
      <c r="M246" s="306">
        <f>M243</f>
        <v>4</v>
      </c>
      <c r="N246" s="84"/>
      <c r="O246" s="306">
        <f>L246*M246-N246*L246</f>
        <v>8</v>
      </c>
      <c r="P246" s="64"/>
    </row>
    <row r="247" spans="1:16" ht="18" customHeight="1">
      <c r="A247" s="85"/>
      <c r="B247" s="86"/>
      <c r="C247" s="87"/>
      <c r="D247" s="88">
        <v>250</v>
      </c>
      <c r="E247" s="88">
        <v>930</v>
      </c>
      <c r="F247" s="89">
        <f t="shared" si="185"/>
        <v>8</v>
      </c>
      <c r="G247" s="90">
        <f t="shared" si="186"/>
        <v>20.259451687743031</v>
      </c>
      <c r="H247" s="90">
        <f t="shared" si="187"/>
        <v>37.760000000000005</v>
      </c>
      <c r="I247" s="91" t="str">
        <f>I246</f>
        <v>3동3라인</v>
      </c>
      <c r="J247" s="92" t="s">
        <v>220</v>
      </c>
      <c r="L247" s="89">
        <v>2</v>
      </c>
      <c r="M247" s="306">
        <f>M246</f>
        <v>4</v>
      </c>
      <c r="N247" s="84"/>
      <c r="O247" s="306">
        <f t="shared" ref="O247" si="188">L247*M247-N247*L247</f>
        <v>8</v>
      </c>
    </row>
    <row r="248" spans="1:16" ht="18" customHeight="1">
      <c r="A248" s="85"/>
      <c r="B248" s="93"/>
      <c r="C248" s="87"/>
      <c r="D248" s="325" t="s">
        <v>0</v>
      </c>
      <c r="E248" s="325"/>
      <c r="F248" s="94">
        <f>SUM(F246:F247)</f>
        <v>16</v>
      </c>
      <c r="G248" s="95">
        <f>SUM(G246:G247)</f>
        <v>136.65588341012318</v>
      </c>
      <c r="H248" s="96">
        <f>SUM(H246:H247)</f>
        <v>119.29600000000001</v>
      </c>
      <c r="I248" s="97"/>
      <c r="J248" s="162"/>
    </row>
    <row r="249" spans="1:16" ht="18" customHeight="1" thickBot="1">
      <c r="A249" s="222"/>
      <c r="B249" s="223"/>
      <c r="C249" s="224"/>
      <c r="D249" s="225"/>
      <c r="E249" s="225"/>
      <c r="F249" s="226"/>
      <c r="G249" s="227"/>
      <c r="H249" s="228"/>
      <c r="I249" s="229"/>
      <c r="J249" s="230"/>
      <c r="L249" s="306" t="s">
        <v>48</v>
      </c>
      <c r="M249" s="306" t="s">
        <v>49</v>
      </c>
      <c r="N249" s="306" t="s">
        <v>50</v>
      </c>
      <c r="O249" s="306" t="s">
        <v>55</v>
      </c>
    </row>
    <row r="250" spans="1:16" ht="18" customHeight="1">
      <c r="A250" s="79" t="s">
        <v>234</v>
      </c>
      <c r="B250" s="231" t="s">
        <v>195</v>
      </c>
      <c r="C250" s="232">
        <v>22</v>
      </c>
      <c r="D250" s="80">
        <v>761</v>
      </c>
      <c r="E250" s="80">
        <v>1810</v>
      </c>
      <c r="F250" s="233">
        <f>O250</f>
        <v>8</v>
      </c>
      <c r="G250" s="81">
        <f t="shared" ref="G250:G256" si="189">D250*E250/91809*F250</f>
        <v>120.02396279231884</v>
      </c>
      <c r="H250" s="81">
        <f t="shared" ref="H250:H256" si="190">(D250/1000)*4*F250+(E250/1000)*4*F250</f>
        <v>82.272000000000006</v>
      </c>
      <c r="I250" s="82" t="s">
        <v>253</v>
      </c>
      <c r="J250" s="83" t="s">
        <v>205</v>
      </c>
      <c r="L250" s="89">
        <v>2</v>
      </c>
      <c r="M250" s="306">
        <v>4</v>
      </c>
      <c r="N250" s="84"/>
      <c r="O250" s="306">
        <f>L250*M250-N250*L250</f>
        <v>8</v>
      </c>
      <c r="P250" s="64"/>
    </row>
    <row r="251" spans="1:16" ht="18" customHeight="1">
      <c r="A251" s="85"/>
      <c r="B251" s="86"/>
      <c r="C251" s="87"/>
      <c r="D251" s="88">
        <v>1688</v>
      </c>
      <c r="E251" s="88">
        <v>1810</v>
      </c>
      <c r="F251" s="89">
        <f t="shared" ref="F251:F256" si="191">O251</f>
        <v>4</v>
      </c>
      <c r="G251" s="90">
        <f t="shared" si="189"/>
        <v>133.11461839253232</v>
      </c>
      <c r="H251" s="90">
        <f t="shared" si="190"/>
        <v>55.968000000000004</v>
      </c>
      <c r="I251" s="91" t="str">
        <f>I250</f>
        <v>3동4라인</v>
      </c>
      <c r="J251" s="92" t="s">
        <v>206</v>
      </c>
      <c r="L251" s="89">
        <v>1</v>
      </c>
      <c r="M251" s="306">
        <f>M250</f>
        <v>4</v>
      </c>
      <c r="N251" s="84"/>
      <c r="O251" s="306">
        <f t="shared" ref="O251:O256" si="192">L251*M251-N251*L251</f>
        <v>4</v>
      </c>
    </row>
    <row r="252" spans="1:16" ht="18" customHeight="1">
      <c r="A252" s="85"/>
      <c r="B252" s="86"/>
      <c r="C252" s="87"/>
      <c r="D252" s="88">
        <v>738</v>
      </c>
      <c r="E252" s="88">
        <v>1310</v>
      </c>
      <c r="F252" s="89">
        <f t="shared" si="191"/>
        <v>16</v>
      </c>
      <c r="G252" s="90">
        <f t="shared" si="189"/>
        <v>168.48544260366631</v>
      </c>
      <c r="H252" s="90">
        <f t="shared" si="190"/>
        <v>131.072</v>
      </c>
      <c r="I252" s="91" t="str">
        <f t="shared" ref="I252:I256" si="193">I251</f>
        <v>3동4라인</v>
      </c>
      <c r="J252" s="92" t="s">
        <v>207</v>
      </c>
      <c r="L252" s="89">
        <v>4</v>
      </c>
      <c r="M252" s="306">
        <f t="shared" ref="M252:M255" si="194">M251</f>
        <v>4</v>
      </c>
      <c r="N252" s="306"/>
      <c r="O252" s="306">
        <f t="shared" si="192"/>
        <v>16</v>
      </c>
    </row>
    <row r="253" spans="1:16" ht="18" customHeight="1">
      <c r="A253" s="85"/>
      <c r="B253" s="86"/>
      <c r="C253" s="87"/>
      <c r="D253" s="88">
        <v>288</v>
      </c>
      <c r="E253" s="88">
        <v>910</v>
      </c>
      <c r="F253" s="89">
        <f t="shared" si="191"/>
        <v>8</v>
      </c>
      <c r="G253" s="90">
        <f t="shared" si="189"/>
        <v>22.836976766983629</v>
      </c>
      <c r="H253" s="90">
        <f t="shared" si="190"/>
        <v>38.335999999999999</v>
      </c>
      <c r="I253" s="91" t="str">
        <f t="shared" si="193"/>
        <v>3동4라인</v>
      </c>
      <c r="J253" s="92" t="s">
        <v>208</v>
      </c>
      <c r="L253" s="89">
        <v>2</v>
      </c>
      <c r="M253" s="306">
        <f t="shared" si="194"/>
        <v>4</v>
      </c>
      <c r="N253" s="306"/>
      <c r="O253" s="306">
        <f t="shared" si="192"/>
        <v>8</v>
      </c>
    </row>
    <row r="254" spans="1:16" ht="18" customHeight="1">
      <c r="A254" s="85"/>
      <c r="B254" s="86"/>
      <c r="C254" s="87"/>
      <c r="D254" s="88">
        <v>228</v>
      </c>
      <c r="E254" s="88">
        <v>910</v>
      </c>
      <c r="F254" s="89">
        <f t="shared" si="191"/>
        <v>8</v>
      </c>
      <c r="G254" s="90">
        <f t="shared" si="189"/>
        <v>18.079273273862039</v>
      </c>
      <c r="H254" s="90">
        <f t="shared" si="190"/>
        <v>36.416000000000004</v>
      </c>
      <c r="I254" s="91" t="str">
        <f t="shared" si="193"/>
        <v>3동4라인</v>
      </c>
      <c r="J254" s="92" t="s">
        <v>209</v>
      </c>
      <c r="L254" s="89">
        <v>2</v>
      </c>
      <c r="M254" s="306">
        <f t="shared" si="194"/>
        <v>4</v>
      </c>
      <c r="N254" s="306"/>
      <c r="O254" s="306">
        <f t="shared" si="192"/>
        <v>8</v>
      </c>
    </row>
    <row r="255" spans="1:16" ht="18" customHeight="1">
      <c r="A255" s="85"/>
      <c r="B255" s="86"/>
      <c r="C255" s="87"/>
      <c r="D255" s="88">
        <v>438</v>
      </c>
      <c r="E255" s="88">
        <v>270</v>
      </c>
      <c r="F255" s="89">
        <f t="shared" si="191"/>
        <v>8</v>
      </c>
      <c r="G255" s="90">
        <f t="shared" si="189"/>
        <v>10.304872071365553</v>
      </c>
      <c r="H255" s="90">
        <f t="shared" si="190"/>
        <v>22.655999999999999</v>
      </c>
      <c r="I255" s="91" t="str">
        <f t="shared" si="193"/>
        <v>3동4라인</v>
      </c>
      <c r="J255" s="92" t="s">
        <v>210</v>
      </c>
      <c r="L255" s="89">
        <v>2</v>
      </c>
      <c r="M255" s="306">
        <f t="shared" si="194"/>
        <v>4</v>
      </c>
      <c r="N255" s="306"/>
      <c r="O255" s="306">
        <f t="shared" si="192"/>
        <v>8</v>
      </c>
    </row>
    <row r="256" spans="1:16" ht="18" customHeight="1">
      <c r="A256" s="85"/>
      <c r="B256" s="86"/>
      <c r="C256" s="87"/>
      <c r="D256" s="88">
        <v>208</v>
      </c>
      <c r="E256" s="88">
        <v>910</v>
      </c>
      <c r="F256" s="89">
        <f t="shared" si="191"/>
        <v>8</v>
      </c>
      <c r="G256" s="90">
        <f t="shared" si="189"/>
        <v>16.493372109488178</v>
      </c>
      <c r="H256" s="90">
        <f t="shared" si="190"/>
        <v>35.776000000000003</v>
      </c>
      <c r="I256" s="91" t="str">
        <f t="shared" si="193"/>
        <v>3동4라인</v>
      </c>
      <c r="J256" s="92" t="s">
        <v>211</v>
      </c>
      <c r="L256" s="89">
        <v>2</v>
      </c>
      <c r="M256" s="306">
        <f>M255</f>
        <v>4</v>
      </c>
      <c r="N256" s="306"/>
      <c r="O256" s="306">
        <f t="shared" si="192"/>
        <v>8</v>
      </c>
    </row>
    <row r="257" spans="1:16" ht="18" customHeight="1">
      <c r="A257" s="85"/>
      <c r="B257" s="93"/>
      <c r="C257" s="87"/>
      <c r="D257" s="325" t="s">
        <v>0</v>
      </c>
      <c r="E257" s="325"/>
      <c r="F257" s="94">
        <f>SUM(F250:F256)</f>
        <v>60</v>
      </c>
      <c r="G257" s="95">
        <f>SUM(G250:G256)</f>
        <v>489.33851801021683</v>
      </c>
      <c r="H257" s="96">
        <f>SUM(H250:H256)</f>
        <v>402.49600000000004</v>
      </c>
      <c r="I257" s="97"/>
      <c r="J257" s="162"/>
    </row>
    <row r="258" spans="1:16" ht="18" customHeight="1">
      <c r="A258" s="85"/>
      <c r="B258" s="93"/>
      <c r="C258" s="87"/>
      <c r="D258" s="161"/>
      <c r="E258" s="161"/>
      <c r="F258" s="89"/>
      <c r="G258" s="100"/>
      <c r="H258" s="101"/>
      <c r="I258" s="102"/>
      <c r="J258" s="121"/>
      <c r="L258" s="306" t="s">
        <v>48</v>
      </c>
      <c r="M258" s="306" t="s">
        <v>54</v>
      </c>
      <c r="N258" s="306" t="s">
        <v>50</v>
      </c>
      <c r="O258" s="306" t="s">
        <v>55</v>
      </c>
    </row>
    <row r="259" spans="1:16" ht="18" customHeight="1">
      <c r="A259" s="85"/>
      <c r="B259" s="23" t="s">
        <v>197</v>
      </c>
      <c r="C259" s="24">
        <v>22</v>
      </c>
      <c r="D259" s="88">
        <v>761</v>
      </c>
      <c r="E259" s="88">
        <v>1810</v>
      </c>
      <c r="F259" s="89">
        <f t="shared" ref="F259:F265" si="195">O259</f>
        <v>8</v>
      </c>
      <c r="G259" s="90">
        <f t="shared" ref="G259:G265" si="196">D259*E259/91809*F259</f>
        <v>120.02396279231884</v>
      </c>
      <c r="H259" s="90">
        <f t="shared" ref="H259:H265" si="197">(D259/1000)*4*F259+(E259/1000)*4*F259</f>
        <v>82.272000000000006</v>
      </c>
      <c r="I259" s="91" t="str">
        <f t="shared" ref="I259:I265" si="198">I250</f>
        <v>3동4라인</v>
      </c>
      <c r="J259" s="92" t="s">
        <v>212</v>
      </c>
      <c r="L259" s="89">
        <v>2</v>
      </c>
      <c r="M259" s="306">
        <f>M250</f>
        <v>4</v>
      </c>
      <c r="N259" s="84"/>
      <c r="O259" s="306">
        <f>L259*M259-N259*L259</f>
        <v>8</v>
      </c>
    </row>
    <row r="260" spans="1:16" ht="18" customHeight="1">
      <c r="A260" s="85"/>
      <c r="B260" s="86"/>
      <c r="C260" s="87"/>
      <c r="D260" s="88">
        <v>1688</v>
      </c>
      <c r="E260" s="88">
        <v>1810</v>
      </c>
      <c r="F260" s="89">
        <f t="shared" si="195"/>
        <v>4</v>
      </c>
      <c r="G260" s="90">
        <f t="shared" si="196"/>
        <v>133.11461839253232</v>
      </c>
      <c r="H260" s="90">
        <f t="shared" si="197"/>
        <v>55.968000000000004</v>
      </c>
      <c r="I260" s="91" t="str">
        <f t="shared" si="198"/>
        <v>3동4라인</v>
      </c>
      <c r="J260" s="92" t="s">
        <v>213</v>
      </c>
      <c r="L260" s="89">
        <v>1</v>
      </c>
      <c r="M260" s="306">
        <f>M259</f>
        <v>4</v>
      </c>
      <c r="N260" s="84"/>
      <c r="O260" s="306">
        <f>L260*M260-N260*L260</f>
        <v>4</v>
      </c>
    </row>
    <row r="261" spans="1:16" ht="18" customHeight="1">
      <c r="A261" s="104"/>
      <c r="B261" s="93"/>
      <c r="C261" s="87"/>
      <c r="D261" s="88">
        <v>738</v>
      </c>
      <c r="E261" s="88">
        <v>1310</v>
      </c>
      <c r="F261" s="89">
        <f t="shared" si="195"/>
        <v>16</v>
      </c>
      <c r="G261" s="90">
        <f t="shared" si="196"/>
        <v>168.48544260366631</v>
      </c>
      <c r="H261" s="90">
        <f t="shared" si="197"/>
        <v>131.072</v>
      </c>
      <c r="I261" s="91" t="str">
        <f t="shared" si="198"/>
        <v>3동4라인</v>
      </c>
      <c r="J261" s="92" t="s">
        <v>214</v>
      </c>
      <c r="L261" s="89">
        <v>4</v>
      </c>
      <c r="M261" s="306">
        <f t="shared" ref="M261:M265" si="199">M260</f>
        <v>4</v>
      </c>
      <c r="N261" s="84"/>
      <c r="O261" s="306">
        <f t="shared" ref="O261:O265" si="200">L261*M261-N261*L261</f>
        <v>16</v>
      </c>
    </row>
    <row r="262" spans="1:16" ht="18" customHeight="1">
      <c r="A262" s="104"/>
      <c r="B262" s="93"/>
      <c r="C262" s="87"/>
      <c r="D262" s="88">
        <v>288</v>
      </c>
      <c r="E262" s="88">
        <v>910</v>
      </c>
      <c r="F262" s="89">
        <f t="shared" si="195"/>
        <v>8</v>
      </c>
      <c r="G262" s="90">
        <f t="shared" si="196"/>
        <v>22.836976766983629</v>
      </c>
      <c r="H262" s="90">
        <f t="shared" si="197"/>
        <v>38.335999999999999</v>
      </c>
      <c r="I262" s="91" t="str">
        <f t="shared" si="198"/>
        <v>3동4라인</v>
      </c>
      <c r="J262" s="92" t="s">
        <v>215</v>
      </c>
      <c r="L262" s="89">
        <v>2</v>
      </c>
      <c r="M262" s="306">
        <f t="shared" si="199"/>
        <v>4</v>
      </c>
      <c r="N262" s="306"/>
      <c r="O262" s="306">
        <f t="shared" si="200"/>
        <v>8</v>
      </c>
    </row>
    <row r="263" spans="1:16" ht="18" customHeight="1">
      <c r="A263" s="104"/>
      <c r="B263" s="93"/>
      <c r="C263" s="87"/>
      <c r="D263" s="88">
        <v>228</v>
      </c>
      <c r="E263" s="88">
        <v>910</v>
      </c>
      <c r="F263" s="89">
        <f t="shared" si="195"/>
        <v>8</v>
      </c>
      <c r="G263" s="90">
        <f t="shared" si="196"/>
        <v>18.079273273862039</v>
      </c>
      <c r="H263" s="90">
        <f t="shared" si="197"/>
        <v>36.416000000000004</v>
      </c>
      <c r="I263" s="91" t="str">
        <f t="shared" si="198"/>
        <v>3동4라인</v>
      </c>
      <c r="J263" s="92" t="s">
        <v>216</v>
      </c>
      <c r="L263" s="89">
        <v>2</v>
      </c>
      <c r="M263" s="306">
        <f t="shared" si="199"/>
        <v>4</v>
      </c>
      <c r="N263" s="306"/>
      <c r="O263" s="306">
        <f t="shared" si="200"/>
        <v>8</v>
      </c>
    </row>
    <row r="264" spans="1:16" ht="18" customHeight="1">
      <c r="A264" s="104"/>
      <c r="B264" s="93"/>
      <c r="C264" s="87"/>
      <c r="D264" s="88">
        <v>438</v>
      </c>
      <c r="E264" s="88">
        <v>270</v>
      </c>
      <c r="F264" s="89">
        <f t="shared" si="195"/>
        <v>8</v>
      </c>
      <c r="G264" s="90">
        <f t="shared" si="196"/>
        <v>10.304872071365553</v>
      </c>
      <c r="H264" s="90">
        <f t="shared" si="197"/>
        <v>22.655999999999999</v>
      </c>
      <c r="I264" s="91" t="str">
        <f t="shared" si="198"/>
        <v>3동4라인</v>
      </c>
      <c r="J264" s="92" t="s">
        <v>217</v>
      </c>
      <c r="L264" s="89">
        <v>2</v>
      </c>
      <c r="M264" s="306">
        <f t="shared" si="199"/>
        <v>4</v>
      </c>
      <c r="N264" s="306"/>
      <c r="O264" s="306">
        <f t="shared" si="200"/>
        <v>8</v>
      </c>
    </row>
    <row r="265" spans="1:16" ht="18" customHeight="1">
      <c r="A265" s="104"/>
      <c r="B265" s="93"/>
      <c r="C265" s="87"/>
      <c r="D265" s="88">
        <v>208</v>
      </c>
      <c r="E265" s="88">
        <v>910</v>
      </c>
      <c r="F265" s="89">
        <f t="shared" si="195"/>
        <v>8</v>
      </c>
      <c r="G265" s="90">
        <f t="shared" si="196"/>
        <v>16.493372109488178</v>
      </c>
      <c r="H265" s="90">
        <f t="shared" si="197"/>
        <v>35.776000000000003</v>
      </c>
      <c r="I265" s="91" t="str">
        <f t="shared" si="198"/>
        <v>3동4라인</v>
      </c>
      <c r="J265" s="92" t="s">
        <v>218</v>
      </c>
      <c r="L265" s="89">
        <v>2</v>
      </c>
      <c r="M265" s="306">
        <f t="shared" si="199"/>
        <v>4</v>
      </c>
      <c r="N265" s="306"/>
      <c r="O265" s="306">
        <f t="shared" si="200"/>
        <v>8</v>
      </c>
    </row>
    <row r="266" spans="1:16" ht="18" customHeight="1">
      <c r="A266" s="104"/>
      <c r="B266" s="87"/>
      <c r="C266" s="87"/>
      <c r="D266" s="325" t="s">
        <v>0</v>
      </c>
      <c r="E266" s="325"/>
      <c r="F266" s="171">
        <f>SUM(F259:F265)</f>
        <v>60</v>
      </c>
      <c r="G266" s="95">
        <f>SUM(G259:G265)</f>
        <v>489.33851801021683</v>
      </c>
      <c r="H266" s="95">
        <f>SUM(H259:H265)</f>
        <v>402.49600000000004</v>
      </c>
      <c r="I266" s="97"/>
      <c r="J266" s="98"/>
    </row>
    <row r="267" spans="1:16">
      <c r="A267" s="105"/>
      <c r="B267" s="9"/>
      <c r="C267" s="9"/>
      <c r="D267" s="51"/>
      <c r="E267" s="51"/>
      <c r="F267" s="51"/>
      <c r="G267" s="106"/>
      <c r="H267" s="106"/>
      <c r="I267" s="9"/>
      <c r="J267" s="107"/>
    </row>
    <row r="268" spans="1:16" ht="18" customHeight="1">
      <c r="A268" s="85"/>
      <c r="B268" s="163" t="s">
        <v>199</v>
      </c>
      <c r="C268" s="163">
        <v>22</v>
      </c>
      <c r="D268" s="88">
        <v>738</v>
      </c>
      <c r="E268" s="88">
        <v>1810</v>
      </c>
      <c r="F268" s="89">
        <f t="shared" ref="F268:F269" si="201">O268</f>
        <v>8</v>
      </c>
      <c r="G268" s="90">
        <f t="shared" ref="G268:G269" si="202">D268*E268/91809*F268</f>
        <v>116.39643172238016</v>
      </c>
      <c r="H268" s="90">
        <f t="shared" ref="H268:H269" si="203">(D268/1000)*4*F268+(E268/1000)*4*F268</f>
        <v>81.536000000000001</v>
      </c>
      <c r="I268" s="91" t="str">
        <f>I259</f>
        <v>3동4라인</v>
      </c>
      <c r="J268" s="92" t="s">
        <v>219</v>
      </c>
      <c r="L268" s="89">
        <v>2</v>
      </c>
      <c r="M268" s="306">
        <f>M250</f>
        <v>4</v>
      </c>
      <c r="N268" s="84"/>
      <c r="O268" s="306">
        <f>L268*M268-N268*L268</f>
        <v>8</v>
      </c>
      <c r="P268" s="64"/>
    </row>
    <row r="269" spans="1:16" ht="18" customHeight="1">
      <c r="A269" s="85"/>
      <c r="B269" s="86"/>
      <c r="C269" s="87"/>
      <c r="D269" s="88">
        <v>250</v>
      </c>
      <c r="E269" s="88">
        <v>930</v>
      </c>
      <c r="F269" s="89">
        <f t="shared" si="201"/>
        <v>8</v>
      </c>
      <c r="G269" s="90">
        <f t="shared" si="202"/>
        <v>20.259451687743031</v>
      </c>
      <c r="H269" s="90">
        <f t="shared" si="203"/>
        <v>37.760000000000005</v>
      </c>
      <c r="I269" s="91" t="str">
        <f>I268</f>
        <v>3동4라인</v>
      </c>
      <c r="J269" s="92" t="s">
        <v>220</v>
      </c>
      <c r="L269" s="89">
        <v>2</v>
      </c>
      <c r="M269" s="306">
        <f>M268</f>
        <v>4</v>
      </c>
      <c r="N269" s="84"/>
      <c r="O269" s="306">
        <f t="shared" ref="O269" si="204">L269*M269-N269*L269</f>
        <v>8</v>
      </c>
    </row>
    <row r="270" spans="1:16" ht="18" customHeight="1">
      <c r="A270" s="85"/>
      <c r="B270" s="93"/>
      <c r="C270" s="87"/>
      <c r="D270" s="325" t="s">
        <v>0</v>
      </c>
      <c r="E270" s="325"/>
      <c r="F270" s="94">
        <f>SUM(F268:F269)</f>
        <v>16</v>
      </c>
      <c r="G270" s="95">
        <f>SUM(G268:G269)</f>
        <v>136.65588341012318</v>
      </c>
      <c r="H270" s="95">
        <f>SUM(H268:H269)</f>
        <v>119.29600000000001</v>
      </c>
      <c r="I270" s="97"/>
      <c r="J270" s="98"/>
    </row>
    <row r="271" spans="1:16" ht="18" customHeight="1">
      <c r="A271" s="108"/>
      <c r="B271" s="164"/>
      <c r="C271" s="109"/>
      <c r="D271" s="363"/>
      <c r="E271" s="363"/>
      <c r="F271" s="110"/>
      <c r="G271" s="111"/>
      <c r="H271" s="234"/>
      <c r="I271" s="112"/>
      <c r="J271" s="235"/>
    </row>
    <row r="272" spans="1:16" ht="18" customHeight="1">
      <c r="A272" s="262" t="s">
        <v>234</v>
      </c>
      <c r="B272" s="263" t="s">
        <v>195</v>
      </c>
      <c r="C272" s="264">
        <v>22</v>
      </c>
      <c r="D272" s="265">
        <v>761</v>
      </c>
      <c r="E272" s="265">
        <v>1810</v>
      </c>
      <c r="F272" s="251">
        <f>O272</f>
        <v>16</v>
      </c>
      <c r="G272" s="266">
        <f t="shared" ref="G272:G278" si="205">D272*E272/91809*F272</f>
        <v>240.04792558463768</v>
      </c>
      <c r="H272" s="266">
        <f t="shared" ref="H272:H278" si="206">(D272/1000)*4*F272+(E272/1000)*4*F272</f>
        <v>164.54400000000001</v>
      </c>
      <c r="I272" s="267" t="s">
        <v>254</v>
      </c>
      <c r="J272" s="268" t="s">
        <v>205</v>
      </c>
      <c r="L272" s="89">
        <v>2</v>
      </c>
      <c r="M272" s="306">
        <v>8</v>
      </c>
      <c r="N272" s="84"/>
      <c r="O272" s="306">
        <f>L272*M272-N272*L272</f>
        <v>16</v>
      </c>
      <c r="P272" s="64"/>
    </row>
    <row r="273" spans="1:15" ht="18" customHeight="1">
      <c r="A273" s="85"/>
      <c r="B273" s="86"/>
      <c r="C273" s="87"/>
      <c r="D273" s="88">
        <v>1688</v>
      </c>
      <c r="E273" s="88">
        <v>1810</v>
      </c>
      <c r="F273" s="89">
        <f t="shared" ref="F273:F278" si="207">O273</f>
        <v>8</v>
      </c>
      <c r="G273" s="90">
        <f t="shared" si="205"/>
        <v>266.22923678506464</v>
      </c>
      <c r="H273" s="90">
        <f t="shared" si="206"/>
        <v>111.93600000000001</v>
      </c>
      <c r="I273" s="91" t="str">
        <f>I272</f>
        <v>3동5,6라인</v>
      </c>
      <c r="J273" s="92" t="s">
        <v>206</v>
      </c>
      <c r="L273" s="89">
        <v>1</v>
      </c>
      <c r="M273" s="306">
        <f>M272</f>
        <v>8</v>
      </c>
      <c r="N273" s="84"/>
      <c r="O273" s="306">
        <f t="shared" ref="O273:O278" si="208">L273*M273-N273*L273</f>
        <v>8</v>
      </c>
    </row>
    <row r="274" spans="1:15" ht="18" customHeight="1">
      <c r="A274" s="85"/>
      <c r="B274" s="86"/>
      <c r="C274" s="87"/>
      <c r="D274" s="88">
        <v>738</v>
      </c>
      <c r="E274" s="88">
        <v>1310</v>
      </c>
      <c r="F274" s="89">
        <f t="shared" si="207"/>
        <v>32</v>
      </c>
      <c r="G274" s="90">
        <f t="shared" si="205"/>
        <v>336.97088520733263</v>
      </c>
      <c r="H274" s="90">
        <f t="shared" si="206"/>
        <v>262.14400000000001</v>
      </c>
      <c r="I274" s="91" t="str">
        <f t="shared" ref="I274:I278" si="209">I273</f>
        <v>3동5,6라인</v>
      </c>
      <c r="J274" s="92" t="s">
        <v>207</v>
      </c>
      <c r="L274" s="89">
        <v>4</v>
      </c>
      <c r="M274" s="306">
        <f t="shared" ref="M274:M277" si="210">M273</f>
        <v>8</v>
      </c>
      <c r="N274" s="306"/>
      <c r="O274" s="306">
        <f t="shared" si="208"/>
        <v>32</v>
      </c>
    </row>
    <row r="275" spans="1:15" ht="18" customHeight="1">
      <c r="A275" s="85"/>
      <c r="B275" s="86"/>
      <c r="C275" s="87"/>
      <c r="D275" s="88">
        <v>288</v>
      </c>
      <c r="E275" s="88">
        <v>910</v>
      </c>
      <c r="F275" s="89">
        <f t="shared" si="207"/>
        <v>16</v>
      </c>
      <c r="G275" s="90">
        <f t="shared" si="205"/>
        <v>45.673953533967257</v>
      </c>
      <c r="H275" s="90">
        <f t="shared" si="206"/>
        <v>76.671999999999997</v>
      </c>
      <c r="I275" s="91" t="str">
        <f t="shared" si="209"/>
        <v>3동5,6라인</v>
      </c>
      <c r="J275" s="92" t="s">
        <v>208</v>
      </c>
      <c r="L275" s="89">
        <v>2</v>
      </c>
      <c r="M275" s="306">
        <f t="shared" si="210"/>
        <v>8</v>
      </c>
      <c r="N275" s="306"/>
      <c r="O275" s="306">
        <f t="shared" si="208"/>
        <v>16</v>
      </c>
    </row>
    <row r="276" spans="1:15" ht="18" customHeight="1">
      <c r="A276" s="85"/>
      <c r="B276" s="86"/>
      <c r="C276" s="87"/>
      <c r="D276" s="88">
        <v>228</v>
      </c>
      <c r="E276" s="88">
        <v>910</v>
      </c>
      <c r="F276" s="89">
        <f t="shared" si="207"/>
        <v>16</v>
      </c>
      <c r="G276" s="90">
        <f t="shared" si="205"/>
        <v>36.158546547724079</v>
      </c>
      <c r="H276" s="90">
        <f t="shared" si="206"/>
        <v>72.832000000000008</v>
      </c>
      <c r="I276" s="91" t="str">
        <f t="shared" si="209"/>
        <v>3동5,6라인</v>
      </c>
      <c r="J276" s="92" t="s">
        <v>209</v>
      </c>
      <c r="L276" s="89">
        <v>2</v>
      </c>
      <c r="M276" s="306">
        <f t="shared" si="210"/>
        <v>8</v>
      </c>
      <c r="N276" s="306"/>
      <c r="O276" s="306">
        <f t="shared" si="208"/>
        <v>16</v>
      </c>
    </row>
    <row r="277" spans="1:15" ht="18" customHeight="1">
      <c r="A277" s="85"/>
      <c r="B277" s="86"/>
      <c r="C277" s="87"/>
      <c r="D277" s="88">
        <v>438</v>
      </c>
      <c r="E277" s="88">
        <v>270</v>
      </c>
      <c r="F277" s="89">
        <f t="shared" si="207"/>
        <v>16</v>
      </c>
      <c r="G277" s="90">
        <f t="shared" si="205"/>
        <v>20.609744142731106</v>
      </c>
      <c r="H277" s="90">
        <f t="shared" si="206"/>
        <v>45.311999999999998</v>
      </c>
      <c r="I277" s="91" t="str">
        <f t="shared" si="209"/>
        <v>3동5,6라인</v>
      </c>
      <c r="J277" s="92" t="s">
        <v>210</v>
      </c>
      <c r="L277" s="89">
        <v>2</v>
      </c>
      <c r="M277" s="306">
        <f t="shared" si="210"/>
        <v>8</v>
      </c>
      <c r="N277" s="306"/>
      <c r="O277" s="306">
        <f t="shared" si="208"/>
        <v>16</v>
      </c>
    </row>
    <row r="278" spans="1:15" ht="18" customHeight="1">
      <c r="A278" s="85"/>
      <c r="B278" s="86"/>
      <c r="C278" s="87"/>
      <c r="D278" s="88">
        <v>208</v>
      </c>
      <c r="E278" s="88">
        <v>910</v>
      </c>
      <c r="F278" s="89">
        <f t="shared" si="207"/>
        <v>16</v>
      </c>
      <c r="G278" s="90">
        <f t="shared" si="205"/>
        <v>32.986744218976355</v>
      </c>
      <c r="H278" s="90">
        <f t="shared" si="206"/>
        <v>71.552000000000007</v>
      </c>
      <c r="I278" s="91" t="str">
        <f t="shared" si="209"/>
        <v>3동5,6라인</v>
      </c>
      <c r="J278" s="92" t="s">
        <v>211</v>
      </c>
      <c r="L278" s="89">
        <v>2</v>
      </c>
      <c r="M278" s="306">
        <f>M277</f>
        <v>8</v>
      </c>
      <c r="N278" s="306"/>
      <c r="O278" s="306">
        <f t="shared" si="208"/>
        <v>16</v>
      </c>
    </row>
    <row r="279" spans="1:15" ht="18" customHeight="1">
      <c r="A279" s="85"/>
      <c r="B279" s="93"/>
      <c r="C279" s="87"/>
      <c r="D279" s="325" t="s">
        <v>0</v>
      </c>
      <c r="E279" s="325"/>
      <c r="F279" s="94">
        <f>SUM(F272:F278)</f>
        <v>120</v>
      </c>
      <c r="G279" s="95">
        <f>SUM(G272:G278)</f>
        <v>978.67703602043366</v>
      </c>
      <c r="H279" s="96">
        <f>SUM(H272:H278)</f>
        <v>804.99200000000008</v>
      </c>
      <c r="I279" s="97"/>
      <c r="J279" s="162"/>
    </row>
    <row r="280" spans="1:15" ht="18" customHeight="1">
      <c r="A280" s="85"/>
      <c r="B280" s="93"/>
      <c r="C280" s="87"/>
      <c r="D280" s="161"/>
      <c r="E280" s="161"/>
      <c r="F280" s="89"/>
      <c r="G280" s="100"/>
      <c r="H280" s="101"/>
      <c r="I280" s="102"/>
      <c r="J280" s="121"/>
      <c r="L280" s="306" t="s">
        <v>48</v>
      </c>
      <c r="M280" s="306" t="s">
        <v>54</v>
      </c>
      <c r="N280" s="306" t="s">
        <v>50</v>
      </c>
      <c r="O280" s="306" t="s">
        <v>55</v>
      </c>
    </row>
    <row r="281" spans="1:15" ht="18" customHeight="1">
      <c r="A281" s="85"/>
      <c r="B281" s="23" t="s">
        <v>197</v>
      </c>
      <c r="C281" s="24">
        <v>22</v>
      </c>
      <c r="D281" s="88">
        <v>761</v>
      </c>
      <c r="E281" s="88">
        <v>1810</v>
      </c>
      <c r="F281" s="89">
        <f t="shared" ref="F281:F287" si="211">O281</f>
        <v>16</v>
      </c>
      <c r="G281" s="90">
        <f t="shared" ref="G281:G287" si="212">D281*E281/91809*F281</f>
        <v>240.04792558463768</v>
      </c>
      <c r="H281" s="90">
        <f t="shared" ref="H281:H287" si="213">(D281/1000)*4*F281+(E281/1000)*4*F281</f>
        <v>164.54400000000001</v>
      </c>
      <c r="I281" s="91" t="str">
        <f t="shared" ref="I281:I287" si="214">I272</f>
        <v>3동5,6라인</v>
      </c>
      <c r="J281" s="92" t="s">
        <v>212</v>
      </c>
      <c r="L281" s="89">
        <v>2</v>
      </c>
      <c r="M281" s="306">
        <f>M272</f>
        <v>8</v>
      </c>
      <c r="N281" s="84"/>
      <c r="O281" s="306">
        <f>L281*M281-N281*L281</f>
        <v>16</v>
      </c>
    </row>
    <row r="282" spans="1:15" ht="18" customHeight="1">
      <c r="A282" s="85"/>
      <c r="B282" s="86"/>
      <c r="C282" s="87"/>
      <c r="D282" s="88">
        <v>1688</v>
      </c>
      <c r="E282" s="88">
        <v>1810</v>
      </c>
      <c r="F282" s="89">
        <f t="shared" si="211"/>
        <v>8</v>
      </c>
      <c r="G282" s="90">
        <f t="shared" si="212"/>
        <v>266.22923678506464</v>
      </c>
      <c r="H282" s="90">
        <f t="shared" si="213"/>
        <v>111.93600000000001</v>
      </c>
      <c r="I282" s="91" t="str">
        <f t="shared" si="214"/>
        <v>3동5,6라인</v>
      </c>
      <c r="J282" s="92" t="s">
        <v>213</v>
      </c>
      <c r="L282" s="89">
        <v>1</v>
      </c>
      <c r="M282" s="306">
        <f>M281</f>
        <v>8</v>
      </c>
      <c r="N282" s="84"/>
      <c r="O282" s="306">
        <f>L282*M282-N282*L282</f>
        <v>8</v>
      </c>
    </row>
    <row r="283" spans="1:15" ht="18" customHeight="1">
      <c r="A283" s="104"/>
      <c r="B283" s="93"/>
      <c r="C283" s="87"/>
      <c r="D283" s="88">
        <v>738</v>
      </c>
      <c r="E283" s="88">
        <v>1310</v>
      </c>
      <c r="F283" s="89">
        <f t="shared" si="211"/>
        <v>32</v>
      </c>
      <c r="G283" s="90">
        <f t="shared" si="212"/>
        <v>336.97088520733263</v>
      </c>
      <c r="H283" s="90">
        <f t="shared" si="213"/>
        <v>262.14400000000001</v>
      </c>
      <c r="I283" s="91" t="str">
        <f t="shared" si="214"/>
        <v>3동5,6라인</v>
      </c>
      <c r="J283" s="92" t="s">
        <v>214</v>
      </c>
      <c r="L283" s="89">
        <v>4</v>
      </c>
      <c r="M283" s="306">
        <f t="shared" ref="M283:M287" si="215">M282</f>
        <v>8</v>
      </c>
      <c r="N283" s="84"/>
      <c r="O283" s="306">
        <f t="shared" ref="O283:O287" si="216">L283*M283-N283*L283</f>
        <v>32</v>
      </c>
    </row>
    <row r="284" spans="1:15" ht="18" customHeight="1">
      <c r="A284" s="104"/>
      <c r="B284" s="93"/>
      <c r="C284" s="87"/>
      <c r="D284" s="88">
        <v>288</v>
      </c>
      <c r="E284" s="88">
        <v>910</v>
      </c>
      <c r="F284" s="89">
        <f t="shared" si="211"/>
        <v>16</v>
      </c>
      <c r="G284" s="90">
        <f t="shared" si="212"/>
        <v>45.673953533967257</v>
      </c>
      <c r="H284" s="90">
        <f t="shared" si="213"/>
        <v>76.671999999999997</v>
      </c>
      <c r="I284" s="91" t="str">
        <f t="shared" si="214"/>
        <v>3동5,6라인</v>
      </c>
      <c r="J284" s="92" t="s">
        <v>215</v>
      </c>
      <c r="L284" s="89">
        <v>2</v>
      </c>
      <c r="M284" s="306">
        <f t="shared" si="215"/>
        <v>8</v>
      </c>
      <c r="N284" s="306"/>
      <c r="O284" s="306">
        <f t="shared" si="216"/>
        <v>16</v>
      </c>
    </row>
    <row r="285" spans="1:15" ht="18" customHeight="1">
      <c r="A285" s="104"/>
      <c r="B285" s="93"/>
      <c r="C285" s="87"/>
      <c r="D285" s="88">
        <v>228</v>
      </c>
      <c r="E285" s="88">
        <v>910</v>
      </c>
      <c r="F285" s="89">
        <f t="shared" si="211"/>
        <v>16</v>
      </c>
      <c r="G285" s="90">
        <f t="shared" si="212"/>
        <v>36.158546547724079</v>
      </c>
      <c r="H285" s="90">
        <f t="shared" si="213"/>
        <v>72.832000000000008</v>
      </c>
      <c r="I285" s="91" t="str">
        <f t="shared" si="214"/>
        <v>3동5,6라인</v>
      </c>
      <c r="J285" s="92" t="s">
        <v>216</v>
      </c>
      <c r="L285" s="89">
        <v>2</v>
      </c>
      <c r="M285" s="306">
        <f t="shared" si="215"/>
        <v>8</v>
      </c>
      <c r="N285" s="306"/>
      <c r="O285" s="306">
        <f t="shared" si="216"/>
        <v>16</v>
      </c>
    </row>
    <row r="286" spans="1:15" ht="18" customHeight="1">
      <c r="A286" s="104"/>
      <c r="B286" s="93"/>
      <c r="C286" s="87"/>
      <c r="D286" s="88">
        <v>438</v>
      </c>
      <c r="E286" s="88">
        <v>270</v>
      </c>
      <c r="F286" s="89">
        <f t="shared" si="211"/>
        <v>16</v>
      </c>
      <c r="G286" s="90">
        <f t="shared" si="212"/>
        <v>20.609744142731106</v>
      </c>
      <c r="H286" s="90">
        <f t="shared" si="213"/>
        <v>45.311999999999998</v>
      </c>
      <c r="I286" s="91" t="str">
        <f t="shared" si="214"/>
        <v>3동5,6라인</v>
      </c>
      <c r="J286" s="92" t="s">
        <v>217</v>
      </c>
      <c r="L286" s="89">
        <v>2</v>
      </c>
      <c r="M286" s="306">
        <f t="shared" si="215"/>
        <v>8</v>
      </c>
      <c r="N286" s="306"/>
      <c r="O286" s="306">
        <f t="shared" si="216"/>
        <v>16</v>
      </c>
    </row>
    <row r="287" spans="1:15" ht="18" customHeight="1">
      <c r="A287" s="104"/>
      <c r="B287" s="93"/>
      <c r="C287" s="87"/>
      <c r="D287" s="88">
        <v>208</v>
      </c>
      <c r="E287" s="88">
        <v>910</v>
      </c>
      <c r="F287" s="89">
        <f t="shared" si="211"/>
        <v>16</v>
      </c>
      <c r="G287" s="90">
        <f t="shared" si="212"/>
        <v>32.986744218976355</v>
      </c>
      <c r="H287" s="90">
        <f t="shared" si="213"/>
        <v>71.552000000000007</v>
      </c>
      <c r="I287" s="91" t="str">
        <f t="shared" si="214"/>
        <v>3동5,6라인</v>
      </c>
      <c r="J287" s="92" t="s">
        <v>218</v>
      </c>
      <c r="L287" s="89">
        <v>2</v>
      </c>
      <c r="M287" s="306">
        <f t="shared" si="215"/>
        <v>8</v>
      </c>
      <c r="N287" s="306"/>
      <c r="O287" s="306">
        <f t="shared" si="216"/>
        <v>16</v>
      </c>
    </row>
    <row r="288" spans="1:15" ht="18" customHeight="1">
      <c r="A288" s="104"/>
      <c r="B288" s="87"/>
      <c r="C288" s="87"/>
      <c r="D288" s="325" t="s">
        <v>0</v>
      </c>
      <c r="E288" s="325"/>
      <c r="F288" s="171">
        <f>SUM(F281:F287)</f>
        <v>120</v>
      </c>
      <c r="G288" s="95">
        <f>SUM(G281:G287)</f>
        <v>978.67703602043366</v>
      </c>
      <c r="H288" s="95">
        <f>SUM(H281:H287)</f>
        <v>804.99200000000008</v>
      </c>
      <c r="I288" s="97"/>
      <c r="J288" s="98"/>
    </row>
    <row r="289" spans="1:16">
      <c r="A289" s="105"/>
      <c r="B289" s="9"/>
      <c r="C289" s="9"/>
      <c r="D289" s="51"/>
      <c r="E289" s="51"/>
      <c r="F289" s="51"/>
      <c r="G289" s="106"/>
      <c r="H289" s="106"/>
      <c r="I289" s="9"/>
      <c r="J289" s="107"/>
    </row>
    <row r="290" spans="1:16" ht="18" customHeight="1">
      <c r="A290" s="85"/>
      <c r="B290" s="163" t="s">
        <v>199</v>
      </c>
      <c r="C290" s="163">
        <v>22</v>
      </c>
      <c r="D290" s="88">
        <v>738</v>
      </c>
      <c r="E290" s="88">
        <v>1810</v>
      </c>
      <c r="F290" s="89">
        <f t="shared" ref="F290:F291" si="217">O290</f>
        <v>16</v>
      </c>
      <c r="G290" s="90">
        <f t="shared" ref="G290:G291" si="218">D290*E290/91809*F290</f>
        <v>232.79286344476031</v>
      </c>
      <c r="H290" s="90">
        <f t="shared" ref="H290:H291" si="219">(D290/1000)*4*F290+(E290/1000)*4*F290</f>
        <v>163.072</v>
      </c>
      <c r="I290" s="91" t="str">
        <f>I281</f>
        <v>3동5,6라인</v>
      </c>
      <c r="J290" s="92" t="s">
        <v>219</v>
      </c>
      <c r="L290" s="89">
        <v>2</v>
      </c>
      <c r="M290" s="306">
        <f>M272</f>
        <v>8</v>
      </c>
      <c r="N290" s="84"/>
      <c r="O290" s="306">
        <f>L290*M290-N290*L290</f>
        <v>16</v>
      </c>
      <c r="P290" s="64"/>
    </row>
    <row r="291" spans="1:16" ht="18" customHeight="1">
      <c r="A291" s="85"/>
      <c r="B291" s="86"/>
      <c r="C291" s="87"/>
      <c r="D291" s="88">
        <v>250</v>
      </c>
      <c r="E291" s="88">
        <v>930</v>
      </c>
      <c r="F291" s="89">
        <f t="shared" si="217"/>
        <v>16</v>
      </c>
      <c r="G291" s="90">
        <f t="shared" si="218"/>
        <v>40.518903375486062</v>
      </c>
      <c r="H291" s="90">
        <f t="shared" si="219"/>
        <v>75.52000000000001</v>
      </c>
      <c r="I291" s="91" t="str">
        <f>I290</f>
        <v>3동5,6라인</v>
      </c>
      <c r="J291" s="92" t="s">
        <v>220</v>
      </c>
      <c r="L291" s="89">
        <v>2</v>
      </c>
      <c r="M291" s="306">
        <f>M290</f>
        <v>8</v>
      </c>
      <c r="N291" s="84"/>
      <c r="O291" s="306">
        <f t="shared" ref="O291" si="220">L291*M291-N291*L291</f>
        <v>16</v>
      </c>
    </row>
    <row r="292" spans="1:16" ht="18" customHeight="1">
      <c r="A292" s="85"/>
      <c r="B292" s="93"/>
      <c r="C292" s="87"/>
      <c r="D292" s="325" t="s">
        <v>0</v>
      </c>
      <c r="E292" s="325"/>
      <c r="F292" s="94">
        <f>SUM(F290:F291)</f>
        <v>32</v>
      </c>
      <c r="G292" s="95">
        <f>SUM(G290:G291)</f>
        <v>273.31176682024636</v>
      </c>
      <c r="H292" s="95">
        <f>SUM(H290:H291)</f>
        <v>238.59200000000001</v>
      </c>
      <c r="I292" s="97"/>
      <c r="J292" s="98"/>
    </row>
    <row r="293" spans="1:16" ht="18" customHeight="1">
      <c r="A293" s="114"/>
      <c r="B293" s="169"/>
      <c r="C293" s="115"/>
      <c r="D293" s="170"/>
      <c r="E293" s="170"/>
      <c r="F293" s="116"/>
      <c r="G293" s="117"/>
      <c r="H293" s="117"/>
      <c r="I293" s="118"/>
      <c r="J293" s="119"/>
    </row>
    <row r="294" spans="1:16" ht="18" customHeight="1">
      <c r="A294" s="262" t="s">
        <v>234</v>
      </c>
      <c r="B294" s="263" t="s">
        <v>195</v>
      </c>
      <c r="C294" s="264">
        <v>22</v>
      </c>
      <c r="D294" s="265">
        <v>761</v>
      </c>
      <c r="E294" s="265">
        <v>1810</v>
      </c>
      <c r="F294" s="251">
        <f>O294</f>
        <v>16</v>
      </c>
      <c r="G294" s="266">
        <f t="shared" ref="G294:G300" si="221">D294*E294/91809*F294</f>
        <v>240.04792558463768</v>
      </c>
      <c r="H294" s="266">
        <f t="shared" ref="H294:H300" si="222">(D294/1000)*4*F294+(E294/1000)*4*F294</f>
        <v>164.54400000000001</v>
      </c>
      <c r="I294" s="267" t="s">
        <v>255</v>
      </c>
      <c r="J294" s="268" t="s">
        <v>205</v>
      </c>
      <c r="L294" s="89">
        <v>2</v>
      </c>
      <c r="M294" s="306">
        <v>8</v>
      </c>
      <c r="N294" s="84"/>
      <c r="O294" s="306">
        <f>L294*M294-N294*L294</f>
        <v>16</v>
      </c>
      <c r="P294" s="64"/>
    </row>
    <row r="295" spans="1:16" ht="18" customHeight="1">
      <c r="A295" s="85"/>
      <c r="B295" s="86"/>
      <c r="C295" s="87"/>
      <c r="D295" s="88">
        <v>1688</v>
      </c>
      <c r="E295" s="88">
        <v>1810</v>
      </c>
      <c r="F295" s="89">
        <f t="shared" ref="F295:F300" si="223">O295</f>
        <v>8</v>
      </c>
      <c r="G295" s="90">
        <f t="shared" si="221"/>
        <v>266.22923678506464</v>
      </c>
      <c r="H295" s="90">
        <f t="shared" si="222"/>
        <v>111.93600000000001</v>
      </c>
      <c r="I295" s="91" t="str">
        <f>I294</f>
        <v>9동1,2라인</v>
      </c>
      <c r="J295" s="92" t="s">
        <v>206</v>
      </c>
      <c r="L295" s="89">
        <v>1</v>
      </c>
      <c r="M295" s="306">
        <f>M294</f>
        <v>8</v>
      </c>
      <c r="N295" s="84"/>
      <c r="O295" s="306">
        <f t="shared" ref="O295:O300" si="224">L295*M295-N295*L295</f>
        <v>8</v>
      </c>
    </row>
    <row r="296" spans="1:16" ht="18" customHeight="1">
      <c r="A296" s="85"/>
      <c r="B296" s="86"/>
      <c r="C296" s="87"/>
      <c r="D296" s="88">
        <v>738</v>
      </c>
      <c r="E296" s="88">
        <v>1310</v>
      </c>
      <c r="F296" s="89">
        <f t="shared" si="223"/>
        <v>32</v>
      </c>
      <c r="G296" s="90">
        <f t="shared" si="221"/>
        <v>336.97088520733263</v>
      </c>
      <c r="H296" s="90">
        <f t="shared" si="222"/>
        <v>262.14400000000001</v>
      </c>
      <c r="I296" s="91" t="str">
        <f t="shared" ref="I296:I300" si="225">I295</f>
        <v>9동1,2라인</v>
      </c>
      <c r="J296" s="92" t="s">
        <v>207</v>
      </c>
      <c r="L296" s="89">
        <v>4</v>
      </c>
      <c r="M296" s="306">
        <f t="shared" ref="M296:M299" si="226">M295</f>
        <v>8</v>
      </c>
      <c r="N296" s="306"/>
      <c r="O296" s="306">
        <f t="shared" si="224"/>
        <v>32</v>
      </c>
    </row>
    <row r="297" spans="1:16" ht="18" customHeight="1">
      <c r="A297" s="85"/>
      <c r="B297" s="86"/>
      <c r="C297" s="87"/>
      <c r="D297" s="88">
        <v>288</v>
      </c>
      <c r="E297" s="88">
        <v>910</v>
      </c>
      <c r="F297" s="89">
        <f t="shared" si="223"/>
        <v>16</v>
      </c>
      <c r="G297" s="90">
        <f t="shared" si="221"/>
        <v>45.673953533967257</v>
      </c>
      <c r="H297" s="90">
        <f t="shared" si="222"/>
        <v>76.671999999999997</v>
      </c>
      <c r="I297" s="91" t="str">
        <f t="shared" si="225"/>
        <v>9동1,2라인</v>
      </c>
      <c r="J297" s="92" t="s">
        <v>208</v>
      </c>
      <c r="L297" s="89">
        <v>2</v>
      </c>
      <c r="M297" s="306">
        <f t="shared" si="226"/>
        <v>8</v>
      </c>
      <c r="N297" s="306"/>
      <c r="O297" s="306">
        <f t="shared" si="224"/>
        <v>16</v>
      </c>
    </row>
    <row r="298" spans="1:16" ht="18" customHeight="1">
      <c r="A298" s="85"/>
      <c r="B298" s="86"/>
      <c r="C298" s="87"/>
      <c r="D298" s="88">
        <v>228</v>
      </c>
      <c r="E298" s="88">
        <v>910</v>
      </c>
      <c r="F298" s="89">
        <f t="shared" si="223"/>
        <v>16</v>
      </c>
      <c r="G298" s="90">
        <f t="shared" si="221"/>
        <v>36.158546547724079</v>
      </c>
      <c r="H298" s="90">
        <f t="shared" si="222"/>
        <v>72.832000000000008</v>
      </c>
      <c r="I298" s="91" t="str">
        <f t="shared" si="225"/>
        <v>9동1,2라인</v>
      </c>
      <c r="J298" s="92" t="s">
        <v>209</v>
      </c>
      <c r="L298" s="89">
        <v>2</v>
      </c>
      <c r="M298" s="306">
        <f t="shared" si="226"/>
        <v>8</v>
      </c>
      <c r="N298" s="306"/>
      <c r="O298" s="306">
        <f t="shared" si="224"/>
        <v>16</v>
      </c>
    </row>
    <row r="299" spans="1:16" ht="18" customHeight="1">
      <c r="A299" s="85"/>
      <c r="B299" s="86"/>
      <c r="C299" s="87"/>
      <c r="D299" s="88">
        <v>438</v>
      </c>
      <c r="E299" s="88">
        <v>270</v>
      </c>
      <c r="F299" s="89">
        <f t="shared" si="223"/>
        <v>16</v>
      </c>
      <c r="G299" s="90">
        <f t="shared" si="221"/>
        <v>20.609744142731106</v>
      </c>
      <c r="H299" s="90">
        <f t="shared" si="222"/>
        <v>45.311999999999998</v>
      </c>
      <c r="I299" s="91" t="str">
        <f t="shared" si="225"/>
        <v>9동1,2라인</v>
      </c>
      <c r="J299" s="92" t="s">
        <v>210</v>
      </c>
      <c r="L299" s="89">
        <v>2</v>
      </c>
      <c r="M299" s="306">
        <f t="shared" si="226"/>
        <v>8</v>
      </c>
      <c r="N299" s="306"/>
      <c r="O299" s="306">
        <f t="shared" si="224"/>
        <v>16</v>
      </c>
    </row>
    <row r="300" spans="1:16" ht="18" customHeight="1">
      <c r="A300" s="85"/>
      <c r="B300" s="86"/>
      <c r="C300" s="87"/>
      <c r="D300" s="88">
        <v>208</v>
      </c>
      <c r="E300" s="88">
        <v>910</v>
      </c>
      <c r="F300" s="89">
        <f t="shared" si="223"/>
        <v>16</v>
      </c>
      <c r="G300" s="90">
        <f t="shared" si="221"/>
        <v>32.986744218976355</v>
      </c>
      <c r="H300" s="90">
        <f t="shared" si="222"/>
        <v>71.552000000000007</v>
      </c>
      <c r="I300" s="91" t="str">
        <f t="shared" si="225"/>
        <v>9동1,2라인</v>
      </c>
      <c r="J300" s="92" t="s">
        <v>211</v>
      </c>
      <c r="L300" s="89">
        <v>2</v>
      </c>
      <c r="M300" s="306">
        <f>M299</f>
        <v>8</v>
      </c>
      <c r="N300" s="306"/>
      <c r="O300" s="306">
        <f t="shared" si="224"/>
        <v>16</v>
      </c>
    </row>
    <row r="301" spans="1:16" ht="18" customHeight="1">
      <c r="A301" s="85"/>
      <c r="B301" s="93"/>
      <c r="C301" s="87"/>
      <c r="D301" s="325" t="s">
        <v>0</v>
      </c>
      <c r="E301" s="325"/>
      <c r="F301" s="94">
        <f>SUM(F294:F300)</f>
        <v>120</v>
      </c>
      <c r="G301" s="95">
        <f>SUM(G294:G300)</f>
        <v>978.67703602043366</v>
      </c>
      <c r="H301" s="96">
        <f>SUM(H294:H300)</f>
        <v>804.99200000000008</v>
      </c>
      <c r="I301" s="97"/>
      <c r="J301" s="162"/>
    </row>
    <row r="302" spans="1:16" ht="18" customHeight="1">
      <c r="A302" s="85"/>
      <c r="B302" s="93"/>
      <c r="C302" s="87"/>
      <c r="D302" s="161"/>
      <c r="E302" s="161"/>
      <c r="F302" s="89"/>
      <c r="G302" s="100"/>
      <c r="H302" s="101"/>
      <c r="I302" s="102"/>
      <c r="J302" s="121"/>
      <c r="L302" s="306" t="s">
        <v>48</v>
      </c>
      <c r="M302" s="306" t="s">
        <v>54</v>
      </c>
      <c r="N302" s="306" t="s">
        <v>50</v>
      </c>
      <c r="O302" s="306" t="s">
        <v>55</v>
      </c>
    </row>
    <row r="303" spans="1:16" ht="18" customHeight="1">
      <c r="A303" s="85"/>
      <c r="B303" s="23" t="s">
        <v>197</v>
      </c>
      <c r="C303" s="24">
        <v>22</v>
      </c>
      <c r="D303" s="88">
        <v>761</v>
      </c>
      <c r="E303" s="88">
        <v>1810</v>
      </c>
      <c r="F303" s="89">
        <f t="shared" ref="F303:F309" si="227">O303</f>
        <v>16</v>
      </c>
      <c r="G303" s="90">
        <f t="shared" ref="G303:G309" si="228">D303*E303/91809*F303</f>
        <v>240.04792558463768</v>
      </c>
      <c r="H303" s="90">
        <f t="shared" ref="H303:H309" si="229">(D303/1000)*4*F303+(E303/1000)*4*F303</f>
        <v>164.54400000000001</v>
      </c>
      <c r="I303" s="91" t="str">
        <f t="shared" ref="I303:I309" si="230">I294</f>
        <v>9동1,2라인</v>
      </c>
      <c r="J303" s="92" t="s">
        <v>212</v>
      </c>
      <c r="L303" s="89">
        <v>2</v>
      </c>
      <c r="M303" s="306">
        <f>M294</f>
        <v>8</v>
      </c>
      <c r="N303" s="84"/>
      <c r="O303" s="306">
        <f>L303*M303-N303*L303</f>
        <v>16</v>
      </c>
    </row>
    <row r="304" spans="1:16" ht="18" customHeight="1">
      <c r="A304" s="85"/>
      <c r="B304" s="86"/>
      <c r="C304" s="87"/>
      <c r="D304" s="88">
        <v>1688</v>
      </c>
      <c r="E304" s="88">
        <v>1810</v>
      </c>
      <c r="F304" s="89">
        <f t="shared" si="227"/>
        <v>8</v>
      </c>
      <c r="G304" s="90">
        <f t="shared" si="228"/>
        <v>266.22923678506464</v>
      </c>
      <c r="H304" s="90">
        <f t="shared" si="229"/>
        <v>111.93600000000001</v>
      </c>
      <c r="I304" s="91" t="str">
        <f t="shared" si="230"/>
        <v>9동1,2라인</v>
      </c>
      <c r="J304" s="92" t="s">
        <v>213</v>
      </c>
      <c r="L304" s="89">
        <v>1</v>
      </c>
      <c r="M304" s="306">
        <f>M303</f>
        <v>8</v>
      </c>
      <c r="N304" s="84"/>
      <c r="O304" s="306">
        <f>L304*M304-N304*L304</f>
        <v>8</v>
      </c>
    </row>
    <row r="305" spans="1:16" ht="18" customHeight="1">
      <c r="A305" s="104"/>
      <c r="B305" s="93"/>
      <c r="C305" s="87"/>
      <c r="D305" s="88">
        <v>738</v>
      </c>
      <c r="E305" s="88">
        <v>1310</v>
      </c>
      <c r="F305" s="89">
        <f t="shared" si="227"/>
        <v>32</v>
      </c>
      <c r="G305" s="90">
        <f t="shared" si="228"/>
        <v>336.97088520733263</v>
      </c>
      <c r="H305" s="90">
        <f t="shared" si="229"/>
        <v>262.14400000000001</v>
      </c>
      <c r="I305" s="91" t="str">
        <f t="shared" si="230"/>
        <v>9동1,2라인</v>
      </c>
      <c r="J305" s="92" t="s">
        <v>214</v>
      </c>
      <c r="L305" s="89">
        <v>4</v>
      </c>
      <c r="M305" s="306">
        <f t="shared" ref="M305:M309" si="231">M304</f>
        <v>8</v>
      </c>
      <c r="N305" s="84"/>
      <c r="O305" s="306">
        <f t="shared" ref="O305:O309" si="232">L305*M305-N305*L305</f>
        <v>32</v>
      </c>
    </row>
    <row r="306" spans="1:16" ht="18" customHeight="1">
      <c r="A306" s="104"/>
      <c r="B306" s="93"/>
      <c r="C306" s="87"/>
      <c r="D306" s="88">
        <v>288</v>
      </c>
      <c r="E306" s="88">
        <v>910</v>
      </c>
      <c r="F306" s="89">
        <f t="shared" si="227"/>
        <v>16</v>
      </c>
      <c r="G306" s="90">
        <f t="shared" si="228"/>
        <v>45.673953533967257</v>
      </c>
      <c r="H306" s="90">
        <f t="shared" si="229"/>
        <v>76.671999999999997</v>
      </c>
      <c r="I306" s="91" t="str">
        <f t="shared" si="230"/>
        <v>9동1,2라인</v>
      </c>
      <c r="J306" s="92" t="s">
        <v>215</v>
      </c>
      <c r="L306" s="89">
        <v>2</v>
      </c>
      <c r="M306" s="306">
        <f t="shared" si="231"/>
        <v>8</v>
      </c>
      <c r="N306" s="306"/>
      <c r="O306" s="306">
        <f t="shared" si="232"/>
        <v>16</v>
      </c>
    </row>
    <row r="307" spans="1:16" ht="18" customHeight="1">
      <c r="A307" s="104"/>
      <c r="B307" s="93"/>
      <c r="C307" s="87"/>
      <c r="D307" s="88">
        <v>228</v>
      </c>
      <c r="E307" s="88">
        <v>910</v>
      </c>
      <c r="F307" s="89">
        <f t="shared" si="227"/>
        <v>16</v>
      </c>
      <c r="G307" s="90">
        <f t="shared" si="228"/>
        <v>36.158546547724079</v>
      </c>
      <c r="H307" s="90">
        <f t="shared" si="229"/>
        <v>72.832000000000008</v>
      </c>
      <c r="I307" s="91" t="str">
        <f t="shared" si="230"/>
        <v>9동1,2라인</v>
      </c>
      <c r="J307" s="92" t="s">
        <v>216</v>
      </c>
      <c r="L307" s="89">
        <v>2</v>
      </c>
      <c r="M307" s="306">
        <f t="shared" si="231"/>
        <v>8</v>
      </c>
      <c r="N307" s="306"/>
      <c r="O307" s="306">
        <f t="shared" si="232"/>
        <v>16</v>
      </c>
    </row>
    <row r="308" spans="1:16" ht="18" customHeight="1">
      <c r="A308" s="104"/>
      <c r="B308" s="93"/>
      <c r="C308" s="87"/>
      <c r="D308" s="88">
        <v>438</v>
      </c>
      <c r="E308" s="88">
        <v>270</v>
      </c>
      <c r="F308" s="89">
        <f t="shared" si="227"/>
        <v>16</v>
      </c>
      <c r="G308" s="90">
        <f t="shared" si="228"/>
        <v>20.609744142731106</v>
      </c>
      <c r="H308" s="90">
        <f t="shared" si="229"/>
        <v>45.311999999999998</v>
      </c>
      <c r="I308" s="91" t="str">
        <f t="shared" si="230"/>
        <v>9동1,2라인</v>
      </c>
      <c r="J308" s="92" t="s">
        <v>217</v>
      </c>
      <c r="L308" s="89">
        <v>2</v>
      </c>
      <c r="M308" s="306">
        <f t="shared" si="231"/>
        <v>8</v>
      </c>
      <c r="N308" s="306"/>
      <c r="O308" s="306">
        <f t="shared" si="232"/>
        <v>16</v>
      </c>
    </row>
    <row r="309" spans="1:16" ht="18" customHeight="1">
      <c r="A309" s="104"/>
      <c r="B309" s="93"/>
      <c r="C309" s="87"/>
      <c r="D309" s="88">
        <v>208</v>
      </c>
      <c r="E309" s="88">
        <v>910</v>
      </c>
      <c r="F309" s="89">
        <f t="shared" si="227"/>
        <v>16</v>
      </c>
      <c r="G309" s="90">
        <f t="shared" si="228"/>
        <v>32.986744218976355</v>
      </c>
      <c r="H309" s="90">
        <f t="shared" si="229"/>
        <v>71.552000000000007</v>
      </c>
      <c r="I309" s="91" t="str">
        <f t="shared" si="230"/>
        <v>9동1,2라인</v>
      </c>
      <c r="J309" s="92" t="s">
        <v>218</v>
      </c>
      <c r="L309" s="89">
        <v>2</v>
      </c>
      <c r="M309" s="306">
        <f t="shared" si="231"/>
        <v>8</v>
      </c>
      <c r="N309" s="306"/>
      <c r="O309" s="306">
        <f t="shared" si="232"/>
        <v>16</v>
      </c>
    </row>
    <row r="310" spans="1:16" ht="18" customHeight="1">
      <c r="A310" s="104"/>
      <c r="B310" s="87"/>
      <c r="C310" s="87"/>
      <c r="D310" s="325" t="s">
        <v>0</v>
      </c>
      <c r="E310" s="325"/>
      <c r="F310" s="171">
        <f>SUM(F303:F309)</f>
        <v>120</v>
      </c>
      <c r="G310" s="95">
        <f>SUM(G303:G309)</f>
        <v>978.67703602043366</v>
      </c>
      <c r="H310" s="95">
        <f>SUM(H303:H309)</f>
        <v>804.99200000000008</v>
      </c>
      <c r="I310" s="97"/>
      <c r="J310" s="98"/>
    </row>
    <row r="311" spans="1:16">
      <c r="A311" s="105"/>
      <c r="B311" s="9"/>
      <c r="C311" s="9"/>
      <c r="D311" s="51"/>
      <c r="E311" s="51"/>
      <c r="F311" s="51"/>
      <c r="G311" s="106"/>
      <c r="H311" s="106"/>
      <c r="I311" s="9"/>
      <c r="J311" s="107"/>
    </row>
    <row r="312" spans="1:16" ht="18" customHeight="1">
      <c r="A312" s="85"/>
      <c r="B312" s="163" t="s">
        <v>199</v>
      </c>
      <c r="C312" s="163">
        <v>22</v>
      </c>
      <c r="D312" s="88">
        <v>738</v>
      </c>
      <c r="E312" s="88">
        <v>1810</v>
      </c>
      <c r="F312" s="89">
        <f t="shared" ref="F312:F313" si="233">O312</f>
        <v>8</v>
      </c>
      <c r="G312" s="90">
        <f t="shared" ref="G312:G313" si="234">D312*E312/91809*F312</f>
        <v>116.39643172238016</v>
      </c>
      <c r="H312" s="90">
        <f t="shared" ref="H312:H313" si="235">(D312/1000)*4*F312+(E312/1000)*4*F312</f>
        <v>81.536000000000001</v>
      </c>
      <c r="I312" s="91" t="str">
        <f>I303</f>
        <v>9동1,2라인</v>
      </c>
      <c r="J312" s="92" t="s">
        <v>219</v>
      </c>
      <c r="L312" s="89">
        <v>2</v>
      </c>
      <c r="M312" s="306">
        <f>M294</f>
        <v>8</v>
      </c>
      <c r="N312" s="84">
        <v>4</v>
      </c>
      <c r="O312" s="306">
        <f>L312*M312-N312*L312</f>
        <v>8</v>
      </c>
      <c r="P312" s="64" t="s">
        <v>244</v>
      </c>
    </row>
    <row r="313" spans="1:16" ht="18" customHeight="1">
      <c r="A313" s="85"/>
      <c r="B313" s="86"/>
      <c r="C313" s="87"/>
      <c r="D313" s="88">
        <v>250</v>
      </c>
      <c r="E313" s="88">
        <v>930</v>
      </c>
      <c r="F313" s="89">
        <f t="shared" si="233"/>
        <v>16</v>
      </c>
      <c r="G313" s="90">
        <f t="shared" si="234"/>
        <v>40.518903375486062</v>
      </c>
      <c r="H313" s="90">
        <f t="shared" si="235"/>
        <v>75.52000000000001</v>
      </c>
      <c r="I313" s="91" t="str">
        <f>I312</f>
        <v>9동1,2라인</v>
      </c>
      <c r="J313" s="92" t="s">
        <v>220</v>
      </c>
      <c r="L313" s="89">
        <v>2</v>
      </c>
      <c r="M313" s="306">
        <f>M312</f>
        <v>8</v>
      </c>
      <c r="N313" s="84"/>
      <c r="O313" s="306">
        <f t="shared" ref="O313" si="236">L313*M313-N313*L313</f>
        <v>16</v>
      </c>
    </row>
    <row r="314" spans="1:16" ht="18" customHeight="1">
      <c r="A314" s="85"/>
      <c r="B314" s="93"/>
      <c r="C314" s="87"/>
      <c r="D314" s="325" t="s">
        <v>0</v>
      </c>
      <c r="E314" s="325"/>
      <c r="F314" s="94">
        <f>SUM(F312:F313)</f>
        <v>24</v>
      </c>
      <c r="G314" s="95">
        <f>SUM(G312:G313)</f>
        <v>156.9153350978662</v>
      </c>
      <c r="H314" s="95">
        <f>SUM(H312:H313)</f>
        <v>157.05600000000001</v>
      </c>
      <c r="I314" s="97"/>
      <c r="J314" s="98"/>
    </row>
    <row r="315" spans="1:16" ht="18" customHeight="1">
      <c r="A315" s="108"/>
      <c r="B315" s="164"/>
      <c r="C315" s="109"/>
      <c r="D315" s="305"/>
      <c r="E315" s="305"/>
      <c r="F315" s="110"/>
      <c r="G315" s="111"/>
      <c r="H315" s="111"/>
      <c r="I315" s="112"/>
      <c r="J315" s="113"/>
    </row>
    <row r="316" spans="1:16" ht="18" customHeight="1">
      <c r="A316" s="85" t="s">
        <v>235</v>
      </c>
      <c r="B316" s="23" t="s">
        <v>196</v>
      </c>
      <c r="C316" s="24">
        <v>22</v>
      </c>
      <c r="D316" s="88">
        <v>861</v>
      </c>
      <c r="E316" s="88">
        <v>1810</v>
      </c>
      <c r="F316" s="89">
        <f t="shared" ref="F316:F319" si="237">O316</f>
        <v>4</v>
      </c>
      <c r="G316" s="90">
        <f t="shared" ref="G316:G319" si="238">D316*E316/91809*F316</f>
        <v>67.897918504721758</v>
      </c>
      <c r="H316" s="90">
        <f t="shared" ref="H316:H319" si="239">(D316/1000)*4*F316+(E316/1000)*4*F316</f>
        <v>42.736000000000004</v>
      </c>
      <c r="I316" s="91" t="s">
        <v>256</v>
      </c>
      <c r="J316" s="92" t="s">
        <v>205</v>
      </c>
      <c r="L316" s="89">
        <v>1</v>
      </c>
      <c r="M316" s="306">
        <v>4</v>
      </c>
      <c r="N316" s="84"/>
      <c r="O316" s="306">
        <f>L316*M316-N316*L316</f>
        <v>4</v>
      </c>
      <c r="P316" s="64"/>
    </row>
    <row r="317" spans="1:16" ht="18" customHeight="1">
      <c r="A317" s="85"/>
      <c r="B317" s="86"/>
      <c r="C317" s="87"/>
      <c r="D317" s="88">
        <v>738</v>
      </c>
      <c r="E317" s="88">
        <v>1310</v>
      </c>
      <c r="F317" s="89">
        <f t="shared" si="237"/>
        <v>16</v>
      </c>
      <c r="G317" s="90">
        <f t="shared" si="238"/>
        <v>168.48544260366631</v>
      </c>
      <c r="H317" s="90">
        <f t="shared" si="239"/>
        <v>131.072</v>
      </c>
      <c r="I317" s="91" t="str">
        <f>I316</f>
        <v>9동3라인</v>
      </c>
      <c r="J317" s="92" t="s">
        <v>207</v>
      </c>
      <c r="L317" s="89">
        <v>4</v>
      </c>
      <c r="M317" s="306">
        <f>M316</f>
        <v>4</v>
      </c>
      <c r="N317" s="84"/>
      <c r="O317" s="306">
        <f t="shared" ref="O317:O319" si="240">L317*M317-N317*L317</f>
        <v>16</v>
      </c>
    </row>
    <row r="318" spans="1:16" ht="18" customHeight="1">
      <c r="A318" s="85"/>
      <c r="B318" s="86"/>
      <c r="C318" s="87"/>
      <c r="D318" s="88">
        <v>228</v>
      </c>
      <c r="E318" s="88">
        <v>910</v>
      </c>
      <c r="F318" s="89">
        <f t="shared" si="237"/>
        <v>8</v>
      </c>
      <c r="G318" s="90">
        <f t="shared" si="238"/>
        <v>18.079273273862039</v>
      </c>
      <c r="H318" s="90">
        <f t="shared" si="239"/>
        <v>36.416000000000004</v>
      </c>
      <c r="I318" s="91" t="str">
        <f t="shared" ref="I318:I319" si="241">I317</f>
        <v>9동3라인</v>
      </c>
      <c r="J318" s="92" t="s">
        <v>209</v>
      </c>
      <c r="L318" s="89">
        <v>2</v>
      </c>
      <c r="M318" s="306">
        <f t="shared" ref="M318:M319" si="242">M317</f>
        <v>4</v>
      </c>
      <c r="N318" s="306"/>
      <c r="O318" s="306">
        <f t="shared" si="240"/>
        <v>8</v>
      </c>
    </row>
    <row r="319" spans="1:16" ht="18" customHeight="1">
      <c r="A319" s="85"/>
      <c r="B319" s="86"/>
      <c r="C319" s="87"/>
      <c r="D319" s="88">
        <v>438</v>
      </c>
      <c r="E319" s="88">
        <v>270</v>
      </c>
      <c r="F319" s="89">
        <f t="shared" si="237"/>
        <v>8</v>
      </c>
      <c r="G319" s="90">
        <f t="shared" si="238"/>
        <v>10.304872071365553</v>
      </c>
      <c r="H319" s="90">
        <f t="shared" si="239"/>
        <v>22.655999999999999</v>
      </c>
      <c r="I319" s="91" t="str">
        <f t="shared" si="241"/>
        <v>9동3라인</v>
      </c>
      <c r="J319" s="92" t="s">
        <v>210</v>
      </c>
      <c r="L319" s="89">
        <v>2</v>
      </c>
      <c r="M319" s="306">
        <f t="shared" si="242"/>
        <v>4</v>
      </c>
      <c r="N319" s="306"/>
      <c r="O319" s="306">
        <f t="shared" si="240"/>
        <v>8</v>
      </c>
    </row>
    <row r="320" spans="1:16" ht="18" customHeight="1">
      <c r="A320" s="85"/>
      <c r="B320" s="93"/>
      <c r="C320" s="87"/>
      <c r="D320" s="325" t="s">
        <v>0</v>
      </c>
      <c r="E320" s="325"/>
      <c r="F320" s="94">
        <f>SUM(F316:F319)</f>
        <v>36</v>
      </c>
      <c r="G320" s="95">
        <f>SUM(G316:G319)</f>
        <v>264.76750645361568</v>
      </c>
      <c r="H320" s="96">
        <f>SUM(H316:H319)</f>
        <v>232.88</v>
      </c>
      <c r="I320" s="97"/>
      <c r="J320" s="162"/>
    </row>
    <row r="321" spans="1:16" ht="18" customHeight="1">
      <c r="A321" s="85"/>
      <c r="B321" s="93"/>
      <c r="C321" s="87"/>
      <c r="D321" s="161"/>
      <c r="E321" s="161"/>
      <c r="F321" s="89"/>
      <c r="G321" s="100"/>
      <c r="H321" s="101"/>
      <c r="I321" s="102"/>
      <c r="J321" s="121"/>
      <c r="L321" s="252"/>
      <c r="M321" s="252"/>
      <c r="N321" s="252"/>
      <c r="O321" s="252"/>
    </row>
    <row r="322" spans="1:16" ht="18" customHeight="1">
      <c r="A322" s="85"/>
      <c r="B322" s="23" t="s">
        <v>198</v>
      </c>
      <c r="C322" s="24">
        <v>22</v>
      </c>
      <c r="D322" s="88">
        <v>861</v>
      </c>
      <c r="E322" s="88">
        <v>1810</v>
      </c>
      <c r="F322" s="89">
        <f t="shared" ref="F322:F326" si="243">O322</f>
        <v>4</v>
      </c>
      <c r="G322" s="90">
        <f t="shared" ref="G322:G326" si="244">D322*E322/91809*F322</f>
        <v>67.897918504721758</v>
      </c>
      <c r="H322" s="90">
        <f t="shared" ref="H322:H326" si="245">(D322/1000)*4*F322+(E322/1000)*4*F322</f>
        <v>42.736000000000004</v>
      </c>
      <c r="I322" s="103" t="str">
        <f>I316</f>
        <v>9동3라인</v>
      </c>
      <c r="J322" s="92" t="s">
        <v>212</v>
      </c>
      <c r="L322" s="89">
        <v>1</v>
      </c>
      <c r="M322" s="306">
        <f>M316</f>
        <v>4</v>
      </c>
      <c r="N322" s="84"/>
      <c r="O322" s="306">
        <f>L322*M322-N322*L322</f>
        <v>4</v>
      </c>
    </row>
    <row r="323" spans="1:16" ht="18" customHeight="1">
      <c r="A323" s="85"/>
      <c r="B323" s="86"/>
      <c r="C323" s="87"/>
      <c r="D323" s="88">
        <v>2114</v>
      </c>
      <c r="E323" s="88">
        <v>1810</v>
      </c>
      <c r="F323" s="89">
        <f t="shared" si="243"/>
        <v>4</v>
      </c>
      <c r="G323" s="90">
        <f t="shared" si="244"/>
        <v>166.7087104750079</v>
      </c>
      <c r="H323" s="90">
        <f t="shared" si="245"/>
        <v>62.783999999999999</v>
      </c>
      <c r="I323" s="91" t="str">
        <f>I316</f>
        <v>9동3라인</v>
      </c>
      <c r="J323" s="92" t="s">
        <v>213</v>
      </c>
      <c r="L323" s="89">
        <v>1</v>
      </c>
      <c r="M323" s="306">
        <f>M322</f>
        <v>4</v>
      </c>
      <c r="N323" s="84"/>
      <c r="O323" s="306">
        <f>L323*M323-N323*L323</f>
        <v>4</v>
      </c>
    </row>
    <row r="324" spans="1:16" ht="18" customHeight="1">
      <c r="A324" s="104"/>
      <c r="B324" s="93"/>
      <c r="C324" s="87"/>
      <c r="D324" s="88">
        <v>738</v>
      </c>
      <c r="E324" s="88">
        <v>1310</v>
      </c>
      <c r="F324" s="89">
        <f t="shared" si="243"/>
        <v>16</v>
      </c>
      <c r="G324" s="90">
        <f t="shared" si="244"/>
        <v>168.48544260366631</v>
      </c>
      <c r="H324" s="90">
        <f t="shared" si="245"/>
        <v>131.072</v>
      </c>
      <c r="I324" s="91" t="str">
        <f>I323</f>
        <v>9동3라인</v>
      </c>
      <c r="J324" s="92" t="s">
        <v>214</v>
      </c>
      <c r="L324" s="89">
        <v>4</v>
      </c>
      <c r="M324" s="306">
        <f t="shared" ref="M324:M326" si="246">M323</f>
        <v>4</v>
      </c>
      <c r="N324" s="84"/>
      <c r="O324" s="306">
        <f t="shared" ref="O324:O326" si="247">L324*M324-N324*L324</f>
        <v>16</v>
      </c>
    </row>
    <row r="325" spans="1:16" ht="18" customHeight="1">
      <c r="A325" s="104"/>
      <c r="B325" s="93"/>
      <c r="C325" s="87"/>
      <c r="D325" s="88">
        <v>228</v>
      </c>
      <c r="E325" s="88">
        <v>910</v>
      </c>
      <c r="F325" s="89">
        <f t="shared" si="243"/>
        <v>8</v>
      </c>
      <c r="G325" s="90">
        <f t="shared" si="244"/>
        <v>18.079273273862039</v>
      </c>
      <c r="H325" s="90">
        <f t="shared" si="245"/>
        <v>36.416000000000004</v>
      </c>
      <c r="I325" s="91" t="str">
        <f t="shared" ref="I325:I326" si="248">I324</f>
        <v>9동3라인</v>
      </c>
      <c r="J325" s="92" t="s">
        <v>216</v>
      </c>
      <c r="L325" s="89">
        <v>2</v>
      </c>
      <c r="M325" s="306">
        <f t="shared" si="246"/>
        <v>4</v>
      </c>
      <c r="N325" s="306"/>
      <c r="O325" s="306">
        <f t="shared" si="247"/>
        <v>8</v>
      </c>
    </row>
    <row r="326" spans="1:16" ht="18" customHeight="1">
      <c r="A326" s="104"/>
      <c r="B326" s="93"/>
      <c r="C326" s="87"/>
      <c r="D326" s="88">
        <v>438</v>
      </c>
      <c r="E326" s="88">
        <v>270</v>
      </c>
      <c r="F326" s="89">
        <f t="shared" si="243"/>
        <v>8</v>
      </c>
      <c r="G326" s="90">
        <f t="shared" si="244"/>
        <v>10.304872071365553</v>
      </c>
      <c r="H326" s="90">
        <f t="shared" si="245"/>
        <v>22.655999999999999</v>
      </c>
      <c r="I326" s="91" t="str">
        <f t="shared" si="248"/>
        <v>9동3라인</v>
      </c>
      <c r="J326" s="92" t="s">
        <v>217</v>
      </c>
      <c r="L326" s="89">
        <v>2</v>
      </c>
      <c r="M326" s="306">
        <f t="shared" si="246"/>
        <v>4</v>
      </c>
      <c r="N326" s="306"/>
      <c r="O326" s="306">
        <f t="shared" si="247"/>
        <v>8</v>
      </c>
    </row>
    <row r="327" spans="1:16" ht="18" customHeight="1">
      <c r="A327" s="104"/>
      <c r="B327" s="87"/>
      <c r="C327" s="87"/>
      <c r="D327" s="325" t="s">
        <v>0</v>
      </c>
      <c r="E327" s="325"/>
      <c r="F327" s="171">
        <f>SUM(F322:F326)</f>
        <v>40</v>
      </c>
      <c r="G327" s="95">
        <f>SUM(G322:G326)</f>
        <v>431.47621692862356</v>
      </c>
      <c r="H327" s="95">
        <f>SUM(H322:H326)</f>
        <v>295.66400000000004</v>
      </c>
      <c r="I327" s="97"/>
      <c r="J327" s="98"/>
    </row>
    <row r="328" spans="1:16">
      <c r="A328" s="105"/>
      <c r="B328" s="9"/>
      <c r="C328" s="9"/>
      <c r="D328" s="51"/>
      <c r="E328" s="51"/>
      <c r="F328" s="51"/>
      <c r="G328" s="106"/>
      <c r="H328" s="106"/>
      <c r="I328" s="9"/>
      <c r="J328" s="107"/>
    </row>
    <row r="329" spans="1:16" ht="18" customHeight="1">
      <c r="A329" s="85"/>
      <c r="B329" s="23" t="s">
        <v>237</v>
      </c>
      <c r="C329" s="24">
        <v>22</v>
      </c>
      <c r="D329" s="88">
        <v>2114</v>
      </c>
      <c r="E329" s="88">
        <v>1810</v>
      </c>
      <c r="F329" s="89">
        <f t="shared" ref="F329" si="249">O329</f>
        <v>4</v>
      </c>
      <c r="G329" s="90">
        <f t="shared" ref="G329" si="250">D329*E329/91809*F329</f>
        <v>166.7087104750079</v>
      </c>
      <c r="H329" s="90">
        <f t="shared" ref="H329" si="251">(D329/1000)*4*F329+(E329/1000)*4*F329</f>
        <v>62.783999999999999</v>
      </c>
      <c r="I329" s="91" t="str">
        <f>I322</f>
        <v>9동3라인</v>
      </c>
      <c r="J329" s="92" t="s">
        <v>206</v>
      </c>
      <c r="L329" s="89">
        <v>1</v>
      </c>
      <c r="M329" s="306">
        <f>M316</f>
        <v>4</v>
      </c>
      <c r="N329" s="84"/>
      <c r="O329" s="306">
        <f>L329*M329-N329*L329</f>
        <v>4</v>
      </c>
    </row>
    <row r="330" spans="1:16" ht="18" customHeight="1">
      <c r="A330" s="85"/>
      <c r="B330" s="93"/>
      <c r="C330" s="87"/>
      <c r="D330" s="325" t="s">
        <v>0</v>
      </c>
      <c r="E330" s="325"/>
      <c r="F330" s="94">
        <f>SUM(F329:F329)</f>
        <v>4</v>
      </c>
      <c r="G330" s="95">
        <f>SUM(G329:G329)</f>
        <v>166.7087104750079</v>
      </c>
      <c r="H330" s="95">
        <f>SUM(H329:H329)</f>
        <v>62.783999999999999</v>
      </c>
      <c r="I330" s="97"/>
      <c r="J330" s="98"/>
    </row>
    <row r="331" spans="1:16" ht="18" customHeight="1">
      <c r="A331" s="218"/>
      <c r="B331" s="219"/>
      <c r="C331" s="220"/>
      <c r="D331" s="161"/>
      <c r="E331" s="161"/>
      <c r="F331" s="89"/>
      <c r="G331" s="100"/>
      <c r="H331" s="100"/>
      <c r="I331" s="102"/>
      <c r="J331" s="221"/>
    </row>
    <row r="332" spans="1:16" ht="18" customHeight="1">
      <c r="A332" s="85"/>
      <c r="B332" s="23" t="s">
        <v>200</v>
      </c>
      <c r="C332" s="24">
        <v>22</v>
      </c>
      <c r="D332" s="88">
        <v>738</v>
      </c>
      <c r="E332" s="88">
        <v>1810</v>
      </c>
      <c r="F332" s="89">
        <f t="shared" ref="F332:F333" si="252">O332</f>
        <v>8</v>
      </c>
      <c r="G332" s="90">
        <f t="shared" ref="G332:G333" si="253">D332*E332/91809*F332</f>
        <v>116.39643172238016</v>
      </c>
      <c r="H332" s="90">
        <f t="shared" ref="H332:H333" si="254">(D332/1000)*4*F332+(E332/1000)*4*F332</f>
        <v>81.536000000000001</v>
      </c>
      <c r="I332" s="91" t="str">
        <f>I329</f>
        <v>9동3라인</v>
      </c>
      <c r="J332" s="92" t="s">
        <v>219</v>
      </c>
      <c r="L332" s="89">
        <v>2</v>
      </c>
      <c r="M332" s="306">
        <f>M329</f>
        <v>4</v>
      </c>
      <c r="N332" s="84"/>
      <c r="O332" s="306">
        <f>L332*M332-N332*L332</f>
        <v>8</v>
      </c>
      <c r="P332" s="64"/>
    </row>
    <row r="333" spans="1:16" ht="18" customHeight="1">
      <c r="A333" s="85"/>
      <c r="B333" s="86"/>
      <c r="C333" s="87"/>
      <c r="D333" s="88">
        <v>250</v>
      </c>
      <c r="E333" s="88">
        <v>930</v>
      </c>
      <c r="F333" s="89">
        <f t="shared" si="252"/>
        <v>8</v>
      </c>
      <c r="G333" s="90">
        <f t="shared" si="253"/>
        <v>20.259451687743031</v>
      </c>
      <c r="H333" s="90">
        <f t="shared" si="254"/>
        <v>37.760000000000005</v>
      </c>
      <c r="I333" s="91" t="str">
        <f>I332</f>
        <v>9동3라인</v>
      </c>
      <c r="J333" s="92" t="s">
        <v>220</v>
      </c>
      <c r="L333" s="89">
        <v>2</v>
      </c>
      <c r="M333" s="306">
        <f>M332</f>
        <v>4</v>
      </c>
      <c r="N333" s="84"/>
      <c r="O333" s="306">
        <f t="shared" ref="O333" si="255">L333*M333-N333*L333</f>
        <v>8</v>
      </c>
    </row>
    <row r="334" spans="1:16" ht="18" customHeight="1">
      <c r="A334" s="85"/>
      <c r="B334" s="93"/>
      <c r="C334" s="87"/>
      <c r="D334" s="325" t="s">
        <v>0</v>
      </c>
      <c r="E334" s="325"/>
      <c r="F334" s="94">
        <f>SUM(F332:F333)</f>
        <v>16</v>
      </c>
      <c r="G334" s="95">
        <f>SUM(G332:G333)</f>
        <v>136.65588341012318</v>
      </c>
      <c r="H334" s="96">
        <f>SUM(H332:H333)</f>
        <v>119.29600000000001</v>
      </c>
      <c r="I334" s="97"/>
      <c r="J334" s="162"/>
    </row>
    <row r="335" spans="1:16" ht="18" customHeight="1" thickBot="1">
      <c r="A335" s="222"/>
      <c r="B335" s="223"/>
      <c r="C335" s="224"/>
      <c r="D335" s="225"/>
      <c r="E335" s="225"/>
      <c r="F335" s="226"/>
      <c r="G335" s="227"/>
      <c r="H335" s="228"/>
      <c r="I335" s="229"/>
      <c r="J335" s="230"/>
      <c r="L335" s="306" t="s">
        <v>48</v>
      </c>
      <c r="M335" s="306" t="s">
        <v>49</v>
      </c>
      <c r="N335" s="306" t="s">
        <v>50</v>
      </c>
      <c r="O335" s="306" t="s">
        <v>55</v>
      </c>
    </row>
    <row r="336" spans="1:16" ht="18" customHeight="1">
      <c r="A336" s="79" t="s">
        <v>234</v>
      </c>
      <c r="B336" s="231" t="s">
        <v>195</v>
      </c>
      <c r="C336" s="232">
        <v>22</v>
      </c>
      <c r="D336" s="80">
        <v>761</v>
      </c>
      <c r="E336" s="80">
        <v>1810</v>
      </c>
      <c r="F336" s="233">
        <f>O336</f>
        <v>8</v>
      </c>
      <c r="G336" s="81">
        <f t="shared" ref="G336:G342" si="256">D336*E336/91809*F336</f>
        <v>120.02396279231884</v>
      </c>
      <c r="H336" s="81">
        <f t="shared" ref="H336:H342" si="257">(D336/1000)*4*F336+(E336/1000)*4*F336</f>
        <v>82.272000000000006</v>
      </c>
      <c r="I336" s="82" t="s">
        <v>257</v>
      </c>
      <c r="J336" s="83" t="s">
        <v>205</v>
      </c>
      <c r="L336" s="89">
        <v>2</v>
      </c>
      <c r="M336" s="306">
        <v>4</v>
      </c>
      <c r="N336" s="84"/>
      <c r="O336" s="306">
        <f>L336*M336-N336*L336</f>
        <v>8</v>
      </c>
      <c r="P336" s="64"/>
    </row>
    <row r="337" spans="1:15" ht="18" customHeight="1">
      <c r="A337" s="85"/>
      <c r="B337" s="86"/>
      <c r="C337" s="87"/>
      <c r="D337" s="88">
        <v>1688</v>
      </c>
      <c r="E337" s="88">
        <v>1810</v>
      </c>
      <c r="F337" s="89">
        <f t="shared" ref="F337:F342" si="258">O337</f>
        <v>4</v>
      </c>
      <c r="G337" s="90">
        <f t="shared" si="256"/>
        <v>133.11461839253232</v>
      </c>
      <c r="H337" s="90">
        <f t="shared" si="257"/>
        <v>55.968000000000004</v>
      </c>
      <c r="I337" s="91" t="str">
        <f>I336</f>
        <v>9동4라인</v>
      </c>
      <c r="J337" s="92" t="s">
        <v>206</v>
      </c>
      <c r="L337" s="89">
        <v>1</v>
      </c>
      <c r="M337" s="306">
        <f>M336</f>
        <v>4</v>
      </c>
      <c r="N337" s="84"/>
      <c r="O337" s="306">
        <f t="shared" ref="O337:O342" si="259">L337*M337-N337*L337</f>
        <v>4</v>
      </c>
    </row>
    <row r="338" spans="1:15" ht="18" customHeight="1">
      <c r="A338" s="85"/>
      <c r="B338" s="86"/>
      <c r="C338" s="87"/>
      <c r="D338" s="88">
        <v>738</v>
      </c>
      <c r="E338" s="88">
        <v>1310</v>
      </c>
      <c r="F338" s="89">
        <f t="shared" si="258"/>
        <v>16</v>
      </c>
      <c r="G338" s="90">
        <f t="shared" si="256"/>
        <v>168.48544260366631</v>
      </c>
      <c r="H338" s="90">
        <f t="shared" si="257"/>
        <v>131.072</v>
      </c>
      <c r="I338" s="91" t="str">
        <f t="shared" ref="I338:I342" si="260">I337</f>
        <v>9동4라인</v>
      </c>
      <c r="J338" s="92" t="s">
        <v>207</v>
      </c>
      <c r="L338" s="89">
        <v>4</v>
      </c>
      <c r="M338" s="306">
        <f t="shared" ref="M338:M341" si="261">M337</f>
        <v>4</v>
      </c>
      <c r="N338" s="306"/>
      <c r="O338" s="306">
        <f t="shared" si="259"/>
        <v>16</v>
      </c>
    </row>
    <row r="339" spans="1:15" ht="18" customHeight="1">
      <c r="A339" s="85"/>
      <c r="B339" s="86"/>
      <c r="C339" s="87"/>
      <c r="D339" s="88">
        <v>288</v>
      </c>
      <c r="E339" s="88">
        <v>910</v>
      </c>
      <c r="F339" s="89">
        <f t="shared" si="258"/>
        <v>8</v>
      </c>
      <c r="G339" s="90">
        <f t="shared" si="256"/>
        <v>22.836976766983629</v>
      </c>
      <c r="H339" s="90">
        <f t="shared" si="257"/>
        <v>38.335999999999999</v>
      </c>
      <c r="I339" s="91" t="str">
        <f t="shared" si="260"/>
        <v>9동4라인</v>
      </c>
      <c r="J339" s="92" t="s">
        <v>208</v>
      </c>
      <c r="L339" s="89">
        <v>2</v>
      </c>
      <c r="M339" s="306">
        <f t="shared" si="261"/>
        <v>4</v>
      </c>
      <c r="N339" s="306"/>
      <c r="O339" s="306">
        <f t="shared" si="259"/>
        <v>8</v>
      </c>
    </row>
    <row r="340" spans="1:15" ht="18" customHeight="1">
      <c r="A340" s="85"/>
      <c r="B340" s="86"/>
      <c r="C340" s="87"/>
      <c r="D340" s="88">
        <v>228</v>
      </c>
      <c r="E340" s="88">
        <v>910</v>
      </c>
      <c r="F340" s="89">
        <f t="shared" si="258"/>
        <v>8</v>
      </c>
      <c r="G340" s="90">
        <f t="shared" si="256"/>
        <v>18.079273273862039</v>
      </c>
      <c r="H340" s="90">
        <f t="shared" si="257"/>
        <v>36.416000000000004</v>
      </c>
      <c r="I340" s="91" t="str">
        <f t="shared" si="260"/>
        <v>9동4라인</v>
      </c>
      <c r="J340" s="92" t="s">
        <v>209</v>
      </c>
      <c r="L340" s="89">
        <v>2</v>
      </c>
      <c r="M340" s="306">
        <f t="shared" si="261"/>
        <v>4</v>
      </c>
      <c r="N340" s="306"/>
      <c r="O340" s="306">
        <f t="shared" si="259"/>
        <v>8</v>
      </c>
    </row>
    <row r="341" spans="1:15" ht="18" customHeight="1">
      <c r="A341" s="85"/>
      <c r="B341" s="86"/>
      <c r="C341" s="87"/>
      <c r="D341" s="88">
        <v>438</v>
      </c>
      <c r="E341" s="88">
        <v>270</v>
      </c>
      <c r="F341" s="89">
        <f t="shared" si="258"/>
        <v>8</v>
      </c>
      <c r="G341" s="90">
        <f t="shared" si="256"/>
        <v>10.304872071365553</v>
      </c>
      <c r="H341" s="90">
        <f t="shared" si="257"/>
        <v>22.655999999999999</v>
      </c>
      <c r="I341" s="91" t="str">
        <f t="shared" si="260"/>
        <v>9동4라인</v>
      </c>
      <c r="J341" s="92" t="s">
        <v>210</v>
      </c>
      <c r="L341" s="89">
        <v>2</v>
      </c>
      <c r="M341" s="306">
        <f t="shared" si="261"/>
        <v>4</v>
      </c>
      <c r="N341" s="306"/>
      <c r="O341" s="306">
        <f t="shared" si="259"/>
        <v>8</v>
      </c>
    </row>
    <row r="342" spans="1:15" ht="18" customHeight="1">
      <c r="A342" s="85"/>
      <c r="B342" s="86"/>
      <c r="C342" s="87"/>
      <c r="D342" s="88">
        <v>208</v>
      </c>
      <c r="E342" s="88">
        <v>910</v>
      </c>
      <c r="F342" s="89">
        <f t="shared" si="258"/>
        <v>8</v>
      </c>
      <c r="G342" s="90">
        <f t="shared" si="256"/>
        <v>16.493372109488178</v>
      </c>
      <c r="H342" s="90">
        <f t="shared" si="257"/>
        <v>35.776000000000003</v>
      </c>
      <c r="I342" s="91" t="str">
        <f t="shared" si="260"/>
        <v>9동4라인</v>
      </c>
      <c r="J342" s="92" t="s">
        <v>211</v>
      </c>
      <c r="L342" s="89">
        <v>2</v>
      </c>
      <c r="M342" s="306">
        <f>M341</f>
        <v>4</v>
      </c>
      <c r="N342" s="306"/>
      <c r="O342" s="306">
        <f t="shared" si="259"/>
        <v>8</v>
      </c>
    </row>
    <row r="343" spans="1:15" ht="18" customHeight="1">
      <c r="A343" s="85"/>
      <c r="B343" s="93"/>
      <c r="C343" s="87"/>
      <c r="D343" s="325" t="s">
        <v>0</v>
      </c>
      <c r="E343" s="325"/>
      <c r="F343" s="94">
        <f>SUM(F336:F342)</f>
        <v>60</v>
      </c>
      <c r="G343" s="95">
        <f>SUM(G336:G342)</f>
        <v>489.33851801021683</v>
      </c>
      <c r="H343" s="96">
        <f>SUM(H336:H342)</f>
        <v>402.49600000000004</v>
      </c>
      <c r="I343" s="97"/>
      <c r="J343" s="162"/>
    </row>
    <row r="344" spans="1:15" ht="18" customHeight="1">
      <c r="A344" s="85"/>
      <c r="B344" s="93"/>
      <c r="C344" s="87"/>
      <c r="D344" s="161"/>
      <c r="E344" s="161"/>
      <c r="F344" s="89"/>
      <c r="G344" s="100"/>
      <c r="H344" s="101"/>
      <c r="I344" s="102"/>
      <c r="J344" s="121"/>
      <c r="L344" s="306" t="s">
        <v>48</v>
      </c>
      <c r="M344" s="306" t="s">
        <v>54</v>
      </c>
      <c r="N344" s="306" t="s">
        <v>50</v>
      </c>
      <c r="O344" s="306" t="s">
        <v>55</v>
      </c>
    </row>
    <row r="345" spans="1:15" ht="18" customHeight="1">
      <c r="A345" s="85"/>
      <c r="B345" s="23" t="s">
        <v>197</v>
      </c>
      <c r="C345" s="24">
        <v>22</v>
      </c>
      <c r="D345" s="88">
        <v>761</v>
      </c>
      <c r="E345" s="88">
        <v>1810</v>
      </c>
      <c r="F345" s="89">
        <f t="shared" ref="F345:F351" si="262">O345</f>
        <v>8</v>
      </c>
      <c r="G345" s="90">
        <f t="shared" ref="G345:G351" si="263">D345*E345/91809*F345</f>
        <v>120.02396279231884</v>
      </c>
      <c r="H345" s="90">
        <f t="shared" ref="H345:H351" si="264">(D345/1000)*4*F345+(E345/1000)*4*F345</f>
        <v>82.272000000000006</v>
      </c>
      <c r="I345" s="91" t="str">
        <f t="shared" ref="I345:I351" si="265">I336</f>
        <v>9동4라인</v>
      </c>
      <c r="J345" s="92" t="s">
        <v>212</v>
      </c>
      <c r="L345" s="89">
        <v>2</v>
      </c>
      <c r="M345" s="306">
        <f>M336</f>
        <v>4</v>
      </c>
      <c r="N345" s="84"/>
      <c r="O345" s="306">
        <f>L345*M345-N345*L345</f>
        <v>8</v>
      </c>
    </row>
    <row r="346" spans="1:15" ht="18" customHeight="1">
      <c r="A346" s="85"/>
      <c r="B346" s="86"/>
      <c r="C346" s="87"/>
      <c r="D346" s="88">
        <v>1688</v>
      </c>
      <c r="E346" s="88">
        <v>1810</v>
      </c>
      <c r="F346" s="89">
        <f t="shared" si="262"/>
        <v>4</v>
      </c>
      <c r="G346" s="90">
        <f t="shared" si="263"/>
        <v>133.11461839253232</v>
      </c>
      <c r="H346" s="90">
        <f t="shared" si="264"/>
        <v>55.968000000000004</v>
      </c>
      <c r="I346" s="91" t="str">
        <f t="shared" si="265"/>
        <v>9동4라인</v>
      </c>
      <c r="J346" s="92" t="s">
        <v>213</v>
      </c>
      <c r="L346" s="89">
        <v>1</v>
      </c>
      <c r="M346" s="306">
        <f>M345</f>
        <v>4</v>
      </c>
      <c r="N346" s="84"/>
      <c r="O346" s="306">
        <f>L346*M346-N346*L346</f>
        <v>4</v>
      </c>
    </row>
    <row r="347" spans="1:15" ht="18" customHeight="1">
      <c r="A347" s="104"/>
      <c r="B347" s="93"/>
      <c r="C347" s="87"/>
      <c r="D347" s="88">
        <v>738</v>
      </c>
      <c r="E347" s="88">
        <v>1310</v>
      </c>
      <c r="F347" s="89">
        <f t="shared" si="262"/>
        <v>16</v>
      </c>
      <c r="G347" s="90">
        <f t="shared" si="263"/>
        <v>168.48544260366631</v>
      </c>
      <c r="H347" s="90">
        <f t="shared" si="264"/>
        <v>131.072</v>
      </c>
      <c r="I347" s="91" t="str">
        <f t="shared" si="265"/>
        <v>9동4라인</v>
      </c>
      <c r="J347" s="92" t="s">
        <v>214</v>
      </c>
      <c r="L347" s="89">
        <v>4</v>
      </c>
      <c r="M347" s="306">
        <f t="shared" ref="M347:M351" si="266">M346</f>
        <v>4</v>
      </c>
      <c r="N347" s="84"/>
      <c r="O347" s="306">
        <f t="shared" ref="O347:O351" si="267">L347*M347-N347*L347</f>
        <v>16</v>
      </c>
    </row>
    <row r="348" spans="1:15" ht="18" customHeight="1">
      <c r="A348" s="104"/>
      <c r="B348" s="93"/>
      <c r="C348" s="87"/>
      <c r="D348" s="88">
        <v>288</v>
      </c>
      <c r="E348" s="88">
        <v>910</v>
      </c>
      <c r="F348" s="89">
        <f t="shared" si="262"/>
        <v>8</v>
      </c>
      <c r="G348" s="90">
        <f t="shared" si="263"/>
        <v>22.836976766983629</v>
      </c>
      <c r="H348" s="90">
        <f t="shared" si="264"/>
        <v>38.335999999999999</v>
      </c>
      <c r="I348" s="91" t="str">
        <f t="shared" si="265"/>
        <v>9동4라인</v>
      </c>
      <c r="J348" s="92" t="s">
        <v>215</v>
      </c>
      <c r="L348" s="89">
        <v>2</v>
      </c>
      <c r="M348" s="306">
        <f t="shared" si="266"/>
        <v>4</v>
      </c>
      <c r="N348" s="306"/>
      <c r="O348" s="306">
        <f t="shared" si="267"/>
        <v>8</v>
      </c>
    </row>
    <row r="349" spans="1:15" ht="18" customHeight="1">
      <c r="A349" s="104"/>
      <c r="B349" s="93"/>
      <c r="C349" s="87"/>
      <c r="D349" s="88">
        <v>228</v>
      </c>
      <c r="E349" s="88">
        <v>910</v>
      </c>
      <c r="F349" s="89">
        <f t="shared" si="262"/>
        <v>8</v>
      </c>
      <c r="G349" s="90">
        <f t="shared" si="263"/>
        <v>18.079273273862039</v>
      </c>
      <c r="H349" s="90">
        <f t="shared" si="264"/>
        <v>36.416000000000004</v>
      </c>
      <c r="I349" s="91" t="str">
        <f t="shared" si="265"/>
        <v>9동4라인</v>
      </c>
      <c r="J349" s="92" t="s">
        <v>216</v>
      </c>
      <c r="L349" s="89">
        <v>2</v>
      </c>
      <c r="M349" s="306">
        <f t="shared" si="266"/>
        <v>4</v>
      </c>
      <c r="N349" s="306"/>
      <c r="O349" s="306">
        <f t="shared" si="267"/>
        <v>8</v>
      </c>
    </row>
    <row r="350" spans="1:15" ht="18" customHeight="1">
      <c r="A350" s="104"/>
      <c r="B350" s="93"/>
      <c r="C350" s="87"/>
      <c r="D350" s="88">
        <v>438</v>
      </c>
      <c r="E350" s="88">
        <v>270</v>
      </c>
      <c r="F350" s="89">
        <f t="shared" si="262"/>
        <v>8</v>
      </c>
      <c r="G350" s="90">
        <f t="shared" si="263"/>
        <v>10.304872071365553</v>
      </c>
      <c r="H350" s="90">
        <f t="shared" si="264"/>
        <v>22.655999999999999</v>
      </c>
      <c r="I350" s="91" t="str">
        <f t="shared" si="265"/>
        <v>9동4라인</v>
      </c>
      <c r="J350" s="92" t="s">
        <v>217</v>
      </c>
      <c r="L350" s="89">
        <v>2</v>
      </c>
      <c r="M350" s="306">
        <f t="shared" si="266"/>
        <v>4</v>
      </c>
      <c r="N350" s="306"/>
      <c r="O350" s="306">
        <f t="shared" si="267"/>
        <v>8</v>
      </c>
    </row>
    <row r="351" spans="1:15" ht="18" customHeight="1">
      <c r="A351" s="104"/>
      <c r="B351" s="93"/>
      <c r="C351" s="87"/>
      <c r="D351" s="88">
        <v>208</v>
      </c>
      <c r="E351" s="88">
        <v>910</v>
      </c>
      <c r="F351" s="89">
        <f t="shared" si="262"/>
        <v>8</v>
      </c>
      <c r="G351" s="90">
        <f t="shared" si="263"/>
        <v>16.493372109488178</v>
      </c>
      <c r="H351" s="90">
        <f t="shared" si="264"/>
        <v>35.776000000000003</v>
      </c>
      <c r="I351" s="91" t="str">
        <f t="shared" si="265"/>
        <v>9동4라인</v>
      </c>
      <c r="J351" s="92" t="s">
        <v>218</v>
      </c>
      <c r="L351" s="89">
        <v>2</v>
      </c>
      <c r="M351" s="306">
        <f t="shared" si="266"/>
        <v>4</v>
      </c>
      <c r="N351" s="306"/>
      <c r="O351" s="306">
        <f t="shared" si="267"/>
        <v>8</v>
      </c>
    </row>
    <row r="352" spans="1:15" ht="18" customHeight="1">
      <c r="A352" s="104"/>
      <c r="B352" s="87"/>
      <c r="C352" s="87"/>
      <c r="D352" s="325" t="s">
        <v>0</v>
      </c>
      <c r="E352" s="325"/>
      <c r="F352" s="171">
        <f>SUM(F345:F351)</f>
        <v>60</v>
      </c>
      <c r="G352" s="95">
        <f>SUM(G345:G351)</f>
        <v>489.33851801021683</v>
      </c>
      <c r="H352" s="95">
        <f>SUM(H345:H351)</f>
        <v>402.49600000000004</v>
      </c>
      <c r="I352" s="97"/>
      <c r="J352" s="98"/>
    </row>
    <row r="353" spans="1:16">
      <c r="A353" s="105"/>
      <c r="B353" s="9"/>
      <c r="C353" s="9"/>
      <c r="D353" s="51"/>
      <c r="E353" s="51"/>
      <c r="F353" s="51"/>
      <c r="G353" s="106"/>
      <c r="H353" s="106"/>
      <c r="I353" s="9"/>
      <c r="J353" s="107"/>
    </row>
    <row r="354" spans="1:16" ht="18" customHeight="1">
      <c r="A354" s="85"/>
      <c r="B354" s="163" t="s">
        <v>199</v>
      </c>
      <c r="C354" s="163">
        <v>22</v>
      </c>
      <c r="D354" s="88">
        <v>738</v>
      </c>
      <c r="E354" s="88">
        <v>1810</v>
      </c>
      <c r="F354" s="89">
        <f t="shared" ref="F354:F355" si="268">O354</f>
        <v>8</v>
      </c>
      <c r="G354" s="90">
        <f t="shared" ref="G354:G355" si="269">D354*E354/91809*F354</f>
        <v>116.39643172238016</v>
      </c>
      <c r="H354" s="90">
        <f t="shared" ref="H354:H355" si="270">(D354/1000)*4*F354+(E354/1000)*4*F354</f>
        <v>81.536000000000001</v>
      </c>
      <c r="I354" s="91" t="str">
        <f>I345</f>
        <v>9동4라인</v>
      </c>
      <c r="J354" s="92" t="s">
        <v>219</v>
      </c>
      <c r="L354" s="89">
        <v>2</v>
      </c>
      <c r="M354" s="306">
        <f>M336</f>
        <v>4</v>
      </c>
      <c r="N354" s="84"/>
      <c r="O354" s="306">
        <f>L354*M354-N354*L354</f>
        <v>8</v>
      </c>
      <c r="P354" s="64"/>
    </row>
    <row r="355" spans="1:16" ht="18" customHeight="1">
      <c r="A355" s="85"/>
      <c r="B355" s="86"/>
      <c r="C355" s="87"/>
      <c r="D355" s="88">
        <v>250</v>
      </c>
      <c r="E355" s="88">
        <v>930</v>
      </c>
      <c r="F355" s="89">
        <f t="shared" si="268"/>
        <v>8</v>
      </c>
      <c r="G355" s="90">
        <f t="shared" si="269"/>
        <v>20.259451687743031</v>
      </c>
      <c r="H355" s="90">
        <f t="shared" si="270"/>
        <v>37.760000000000005</v>
      </c>
      <c r="I355" s="91" t="str">
        <f>I354</f>
        <v>9동4라인</v>
      </c>
      <c r="J355" s="92" t="s">
        <v>220</v>
      </c>
      <c r="L355" s="89">
        <v>2</v>
      </c>
      <c r="M355" s="306">
        <f>M354</f>
        <v>4</v>
      </c>
      <c r="N355" s="84"/>
      <c r="O355" s="306">
        <f t="shared" ref="O355" si="271">L355*M355-N355*L355</f>
        <v>8</v>
      </c>
    </row>
    <row r="356" spans="1:16" ht="18" customHeight="1">
      <c r="A356" s="85"/>
      <c r="B356" s="93"/>
      <c r="C356" s="87"/>
      <c r="D356" s="325" t="s">
        <v>0</v>
      </c>
      <c r="E356" s="325"/>
      <c r="F356" s="94">
        <f>SUM(F354:F355)</f>
        <v>16</v>
      </c>
      <c r="G356" s="95">
        <f>SUM(G354:G355)</f>
        <v>136.65588341012318</v>
      </c>
      <c r="H356" s="95">
        <f>SUM(H354:H355)</f>
        <v>119.29600000000001</v>
      </c>
      <c r="I356" s="97"/>
      <c r="J356" s="98"/>
    </row>
    <row r="357" spans="1:16" ht="18" customHeight="1">
      <c r="A357" s="236"/>
      <c r="B357" s="237"/>
      <c r="C357" s="238"/>
      <c r="D357" s="362"/>
      <c r="E357" s="362"/>
      <c r="F357" s="239"/>
      <c r="G357" s="240"/>
      <c r="H357" s="241"/>
      <c r="I357" s="242"/>
      <c r="J357" s="243"/>
    </row>
    <row r="358" spans="1:16" ht="18" customHeight="1">
      <c r="A358" s="244" t="s">
        <v>234</v>
      </c>
      <c r="B358" s="23" t="s">
        <v>195</v>
      </c>
      <c r="C358" s="24">
        <v>22</v>
      </c>
      <c r="D358" s="88">
        <v>761</v>
      </c>
      <c r="E358" s="88">
        <v>1810</v>
      </c>
      <c r="F358" s="89">
        <f>O358</f>
        <v>8</v>
      </c>
      <c r="G358" s="90">
        <f t="shared" ref="G358:G364" si="272">D358*E358/91809*F358</f>
        <v>120.02396279231884</v>
      </c>
      <c r="H358" s="90">
        <f t="shared" ref="H358:H364" si="273">(D358/1000)*4*F358+(E358/1000)*4*F358</f>
        <v>82.272000000000006</v>
      </c>
      <c r="I358" s="91" t="s">
        <v>258</v>
      </c>
      <c r="J358" s="163" t="s">
        <v>205</v>
      </c>
      <c r="L358" s="89">
        <v>2</v>
      </c>
      <c r="M358" s="306">
        <v>4</v>
      </c>
      <c r="N358" s="84"/>
      <c r="O358" s="306">
        <f>L358*M358-N358*L358</f>
        <v>8</v>
      </c>
      <c r="P358" s="64"/>
    </row>
    <row r="359" spans="1:16" ht="18" customHeight="1">
      <c r="A359" s="85"/>
      <c r="B359" s="86"/>
      <c r="C359" s="87"/>
      <c r="D359" s="88">
        <v>1688</v>
      </c>
      <c r="E359" s="88">
        <v>1810</v>
      </c>
      <c r="F359" s="89">
        <f t="shared" ref="F359:F364" si="274">O359</f>
        <v>4</v>
      </c>
      <c r="G359" s="90">
        <f t="shared" si="272"/>
        <v>133.11461839253232</v>
      </c>
      <c r="H359" s="90">
        <f t="shared" si="273"/>
        <v>55.968000000000004</v>
      </c>
      <c r="I359" s="91" t="str">
        <f>I358</f>
        <v>9동5라인</v>
      </c>
      <c r="J359" s="92" t="s">
        <v>206</v>
      </c>
      <c r="L359" s="89">
        <v>1</v>
      </c>
      <c r="M359" s="306">
        <f>M358</f>
        <v>4</v>
      </c>
      <c r="N359" s="84"/>
      <c r="O359" s="306">
        <f t="shared" ref="O359:O364" si="275">L359*M359-N359*L359</f>
        <v>4</v>
      </c>
    </row>
    <row r="360" spans="1:16" ht="18" customHeight="1">
      <c r="A360" s="85"/>
      <c r="B360" s="86"/>
      <c r="C360" s="87"/>
      <c r="D360" s="88">
        <v>738</v>
      </c>
      <c r="E360" s="88">
        <v>1310</v>
      </c>
      <c r="F360" s="89">
        <f t="shared" si="274"/>
        <v>16</v>
      </c>
      <c r="G360" s="90">
        <f t="shared" si="272"/>
        <v>168.48544260366631</v>
      </c>
      <c r="H360" s="90">
        <f t="shared" si="273"/>
        <v>131.072</v>
      </c>
      <c r="I360" s="91" t="str">
        <f t="shared" ref="I360:I364" si="276">I359</f>
        <v>9동5라인</v>
      </c>
      <c r="J360" s="92" t="s">
        <v>207</v>
      </c>
      <c r="L360" s="89">
        <v>4</v>
      </c>
      <c r="M360" s="306">
        <f t="shared" ref="M360:M363" si="277">M359</f>
        <v>4</v>
      </c>
      <c r="N360" s="306"/>
      <c r="O360" s="306">
        <f t="shared" si="275"/>
        <v>16</v>
      </c>
    </row>
    <row r="361" spans="1:16" ht="18" customHeight="1">
      <c r="A361" s="85"/>
      <c r="B361" s="86"/>
      <c r="C361" s="87"/>
      <c r="D361" s="88">
        <v>288</v>
      </c>
      <c r="E361" s="88">
        <v>910</v>
      </c>
      <c r="F361" s="89">
        <f t="shared" si="274"/>
        <v>8</v>
      </c>
      <c r="G361" s="90">
        <f t="shared" si="272"/>
        <v>22.836976766983629</v>
      </c>
      <c r="H361" s="90">
        <f t="shared" si="273"/>
        <v>38.335999999999999</v>
      </c>
      <c r="I361" s="91" t="str">
        <f t="shared" si="276"/>
        <v>9동5라인</v>
      </c>
      <c r="J361" s="92" t="s">
        <v>208</v>
      </c>
      <c r="L361" s="89">
        <v>2</v>
      </c>
      <c r="M361" s="306">
        <f t="shared" si="277"/>
        <v>4</v>
      </c>
      <c r="N361" s="306"/>
      <c r="O361" s="306">
        <f t="shared" si="275"/>
        <v>8</v>
      </c>
    </row>
    <row r="362" spans="1:16" ht="18" customHeight="1">
      <c r="A362" s="85"/>
      <c r="B362" s="86"/>
      <c r="C362" s="87"/>
      <c r="D362" s="88">
        <v>228</v>
      </c>
      <c r="E362" s="88">
        <v>910</v>
      </c>
      <c r="F362" s="89">
        <f t="shared" si="274"/>
        <v>8</v>
      </c>
      <c r="G362" s="90">
        <f t="shared" si="272"/>
        <v>18.079273273862039</v>
      </c>
      <c r="H362" s="90">
        <f t="shared" si="273"/>
        <v>36.416000000000004</v>
      </c>
      <c r="I362" s="91" t="str">
        <f t="shared" si="276"/>
        <v>9동5라인</v>
      </c>
      <c r="J362" s="92" t="s">
        <v>209</v>
      </c>
      <c r="L362" s="89">
        <v>2</v>
      </c>
      <c r="M362" s="306">
        <f t="shared" si="277"/>
        <v>4</v>
      </c>
      <c r="N362" s="306"/>
      <c r="O362" s="306">
        <f t="shared" si="275"/>
        <v>8</v>
      </c>
    </row>
    <row r="363" spans="1:16" ht="18" customHeight="1">
      <c r="A363" s="85"/>
      <c r="B363" s="86"/>
      <c r="C363" s="87"/>
      <c r="D363" s="88">
        <v>438</v>
      </c>
      <c r="E363" s="88">
        <v>270</v>
      </c>
      <c r="F363" s="89">
        <f t="shared" si="274"/>
        <v>8</v>
      </c>
      <c r="G363" s="90">
        <f t="shared" si="272"/>
        <v>10.304872071365553</v>
      </c>
      <c r="H363" s="90">
        <f t="shared" si="273"/>
        <v>22.655999999999999</v>
      </c>
      <c r="I363" s="91" t="str">
        <f t="shared" si="276"/>
        <v>9동5라인</v>
      </c>
      <c r="J363" s="92" t="s">
        <v>210</v>
      </c>
      <c r="L363" s="89">
        <v>2</v>
      </c>
      <c r="M363" s="306">
        <f t="shared" si="277"/>
        <v>4</v>
      </c>
      <c r="N363" s="306"/>
      <c r="O363" s="306">
        <f t="shared" si="275"/>
        <v>8</v>
      </c>
    </row>
    <row r="364" spans="1:16" ht="18" customHeight="1">
      <c r="A364" s="85"/>
      <c r="B364" s="86"/>
      <c r="C364" s="87"/>
      <c r="D364" s="88">
        <v>208</v>
      </c>
      <c r="E364" s="88">
        <v>910</v>
      </c>
      <c r="F364" s="89">
        <f t="shared" si="274"/>
        <v>8</v>
      </c>
      <c r="G364" s="90">
        <f t="shared" si="272"/>
        <v>16.493372109488178</v>
      </c>
      <c r="H364" s="90">
        <f t="shared" si="273"/>
        <v>35.776000000000003</v>
      </c>
      <c r="I364" s="91" t="str">
        <f t="shared" si="276"/>
        <v>9동5라인</v>
      </c>
      <c r="J364" s="92" t="s">
        <v>211</v>
      </c>
      <c r="L364" s="89">
        <v>2</v>
      </c>
      <c r="M364" s="306">
        <f>M363</f>
        <v>4</v>
      </c>
      <c r="N364" s="306"/>
      <c r="O364" s="306">
        <f t="shared" si="275"/>
        <v>8</v>
      </c>
    </row>
    <row r="365" spans="1:16" ht="18" customHeight="1">
      <c r="A365" s="85"/>
      <c r="B365" s="93"/>
      <c r="C365" s="87"/>
      <c r="D365" s="325" t="s">
        <v>0</v>
      </c>
      <c r="E365" s="325"/>
      <c r="F365" s="94">
        <f>SUM(F358:F364)</f>
        <v>60</v>
      </c>
      <c r="G365" s="95">
        <f>SUM(G358:G364)</f>
        <v>489.33851801021683</v>
      </c>
      <c r="H365" s="96">
        <f>SUM(H358:H364)</f>
        <v>402.49600000000004</v>
      </c>
      <c r="I365" s="97"/>
      <c r="J365" s="162"/>
    </row>
    <row r="366" spans="1:16" ht="18" customHeight="1">
      <c r="A366" s="85"/>
      <c r="B366" s="93"/>
      <c r="C366" s="87"/>
      <c r="D366" s="161"/>
      <c r="E366" s="161"/>
      <c r="F366" s="89"/>
      <c r="G366" s="100"/>
      <c r="H366" s="101"/>
      <c r="I366" s="102"/>
      <c r="J366" s="121"/>
      <c r="L366" s="306" t="s">
        <v>48</v>
      </c>
      <c r="M366" s="306" t="s">
        <v>54</v>
      </c>
      <c r="N366" s="306" t="s">
        <v>50</v>
      </c>
      <c r="O366" s="306" t="s">
        <v>55</v>
      </c>
    </row>
    <row r="367" spans="1:16" ht="18" customHeight="1">
      <c r="A367" s="85"/>
      <c r="B367" s="23" t="s">
        <v>197</v>
      </c>
      <c r="C367" s="24">
        <v>22</v>
      </c>
      <c r="D367" s="88">
        <v>761</v>
      </c>
      <c r="E367" s="88">
        <v>1810</v>
      </c>
      <c r="F367" s="89">
        <f t="shared" ref="F367:F373" si="278">O367</f>
        <v>8</v>
      </c>
      <c r="G367" s="90">
        <f t="shared" ref="G367:G373" si="279">D367*E367/91809*F367</f>
        <v>120.02396279231884</v>
      </c>
      <c r="H367" s="90">
        <f t="shared" ref="H367:H373" si="280">(D367/1000)*4*F367+(E367/1000)*4*F367</f>
        <v>82.272000000000006</v>
      </c>
      <c r="I367" s="91" t="str">
        <f t="shared" ref="I367:I373" si="281">I358</f>
        <v>9동5라인</v>
      </c>
      <c r="J367" s="92" t="s">
        <v>212</v>
      </c>
      <c r="L367" s="89">
        <v>2</v>
      </c>
      <c r="M367" s="306">
        <f>M358</f>
        <v>4</v>
      </c>
      <c r="N367" s="84"/>
      <c r="O367" s="306">
        <f>L367*M367-N367*L367</f>
        <v>8</v>
      </c>
    </row>
    <row r="368" spans="1:16" ht="18" customHeight="1">
      <c r="A368" s="85"/>
      <c r="B368" s="86"/>
      <c r="C368" s="87"/>
      <c r="D368" s="88">
        <v>1688</v>
      </c>
      <c r="E368" s="88">
        <v>1810</v>
      </c>
      <c r="F368" s="89">
        <f t="shared" si="278"/>
        <v>4</v>
      </c>
      <c r="G368" s="90">
        <f t="shared" si="279"/>
        <v>133.11461839253232</v>
      </c>
      <c r="H368" s="90">
        <f t="shared" si="280"/>
        <v>55.968000000000004</v>
      </c>
      <c r="I368" s="91" t="str">
        <f t="shared" si="281"/>
        <v>9동5라인</v>
      </c>
      <c r="J368" s="92" t="s">
        <v>213</v>
      </c>
      <c r="L368" s="89">
        <v>1</v>
      </c>
      <c r="M368" s="306">
        <f>M367</f>
        <v>4</v>
      </c>
      <c r="N368" s="84"/>
      <c r="O368" s="306">
        <f>L368*M368-N368*L368</f>
        <v>4</v>
      </c>
    </row>
    <row r="369" spans="1:16" ht="18" customHeight="1">
      <c r="A369" s="104"/>
      <c r="B369" s="93"/>
      <c r="C369" s="87"/>
      <c r="D369" s="88">
        <v>738</v>
      </c>
      <c r="E369" s="88">
        <v>1310</v>
      </c>
      <c r="F369" s="89">
        <f t="shared" si="278"/>
        <v>16</v>
      </c>
      <c r="G369" s="90">
        <f t="shared" si="279"/>
        <v>168.48544260366631</v>
      </c>
      <c r="H369" s="90">
        <f t="shared" si="280"/>
        <v>131.072</v>
      </c>
      <c r="I369" s="91" t="str">
        <f t="shared" si="281"/>
        <v>9동5라인</v>
      </c>
      <c r="J369" s="92" t="s">
        <v>214</v>
      </c>
      <c r="L369" s="89">
        <v>4</v>
      </c>
      <c r="M369" s="306">
        <f t="shared" ref="M369:M373" si="282">M368</f>
        <v>4</v>
      </c>
      <c r="N369" s="84"/>
      <c r="O369" s="306">
        <f t="shared" ref="O369:O373" si="283">L369*M369-N369*L369</f>
        <v>16</v>
      </c>
    </row>
    <row r="370" spans="1:16" ht="18" customHeight="1">
      <c r="A370" s="104"/>
      <c r="B370" s="93"/>
      <c r="C370" s="87"/>
      <c r="D370" s="88">
        <v>288</v>
      </c>
      <c r="E370" s="88">
        <v>910</v>
      </c>
      <c r="F370" s="89">
        <f t="shared" si="278"/>
        <v>8</v>
      </c>
      <c r="G370" s="90">
        <f t="shared" si="279"/>
        <v>22.836976766983629</v>
      </c>
      <c r="H370" s="90">
        <f t="shared" si="280"/>
        <v>38.335999999999999</v>
      </c>
      <c r="I370" s="91" t="str">
        <f t="shared" si="281"/>
        <v>9동5라인</v>
      </c>
      <c r="J370" s="92" t="s">
        <v>215</v>
      </c>
      <c r="L370" s="89">
        <v>2</v>
      </c>
      <c r="M370" s="306">
        <f t="shared" si="282"/>
        <v>4</v>
      </c>
      <c r="N370" s="306"/>
      <c r="O370" s="306">
        <f t="shared" si="283"/>
        <v>8</v>
      </c>
    </row>
    <row r="371" spans="1:16" ht="18" customHeight="1">
      <c r="A371" s="104"/>
      <c r="B371" s="93"/>
      <c r="C371" s="87"/>
      <c r="D371" s="88">
        <v>228</v>
      </c>
      <c r="E371" s="88">
        <v>910</v>
      </c>
      <c r="F371" s="89">
        <f t="shared" si="278"/>
        <v>8</v>
      </c>
      <c r="G371" s="90">
        <f t="shared" si="279"/>
        <v>18.079273273862039</v>
      </c>
      <c r="H371" s="90">
        <f t="shared" si="280"/>
        <v>36.416000000000004</v>
      </c>
      <c r="I371" s="91" t="str">
        <f t="shared" si="281"/>
        <v>9동5라인</v>
      </c>
      <c r="J371" s="92" t="s">
        <v>216</v>
      </c>
      <c r="L371" s="89">
        <v>2</v>
      </c>
      <c r="M371" s="306">
        <f t="shared" si="282"/>
        <v>4</v>
      </c>
      <c r="N371" s="306"/>
      <c r="O371" s="306">
        <f t="shared" si="283"/>
        <v>8</v>
      </c>
    </row>
    <row r="372" spans="1:16" ht="18" customHeight="1">
      <c r="A372" s="104"/>
      <c r="B372" s="93"/>
      <c r="C372" s="87"/>
      <c r="D372" s="88">
        <v>438</v>
      </c>
      <c r="E372" s="88">
        <v>270</v>
      </c>
      <c r="F372" s="89">
        <f t="shared" si="278"/>
        <v>8</v>
      </c>
      <c r="G372" s="90">
        <f t="shared" si="279"/>
        <v>10.304872071365553</v>
      </c>
      <c r="H372" s="90">
        <f t="shared" si="280"/>
        <v>22.655999999999999</v>
      </c>
      <c r="I372" s="91" t="str">
        <f t="shared" si="281"/>
        <v>9동5라인</v>
      </c>
      <c r="J372" s="92" t="s">
        <v>217</v>
      </c>
      <c r="L372" s="89">
        <v>2</v>
      </c>
      <c r="M372" s="306">
        <f t="shared" si="282"/>
        <v>4</v>
      </c>
      <c r="N372" s="306"/>
      <c r="O372" s="306">
        <f t="shared" si="283"/>
        <v>8</v>
      </c>
    </row>
    <row r="373" spans="1:16" ht="18" customHeight="1">
      <c r="A373" s="104"/>
      <c r="B373" s="93"/>
      <c r="C373" s="87"/>
      <c r="D373" s="88">
        <v>208</v>
      </c>
      <c r="E373" s="88">
        <v>910</v>
      </c>
      <c r="F373" s="89">
        <f t="shared" si="278"/>
        <v>8</v>
      </c>
      <c r="G373" s="90">
        <f t="shared" si="279"/>
        <v>16.493372109488178</v>
      </c>
      <c r="H373" s="90">
        <f t="shared" si="280"/>
        <v>35.776000000000003</v>
      </c>
      <c r="I373" s="91" t="str">
        <f t="shared" si="281"/>
        <v>9동5라인</v>
      </c>
      <c r="J373" s="92" t="s">
        <v>218</v>
      </c>
      <c r="L373" s="89">
        <v>2</v>
      </c>
      <c r="M373" s="306">
        <f t="shared" si="282"/>
        <v>4</v>
      </c>
      <c r="N373" s="306"/>
      <c r="O373" s="306">
        <f t="shared" si="283"/>
        <v>8</v>
      </c>
    </row>
    <row r="374" spans="1:16" ht="18" customHeight="1">
      <c r="A374" s="104"/>
      <c r="B374" s="87"/>
      <c r="C374" s="87"/>
      <c r="D374" s="325" t="s">
        <v>0</v>
      </c>
      <c r="E374" s="325"/>
      <c r="F374" s="171">
        <f>SUM(F367:F373)</f>
        <v>60</v>
      </c>
      <c r="G374" s="95">
        <f>SUM(G367:G373)</f>
        <v>489.33851801021683</v>
      </c>
      <c r="H374" s="95">
        <f>SUM(H367:H373)</f>
        <v>402.49600000000004</v>
      </c>
      <c r="I374" s="97"/>
      <c r="J374" s="98"/>
    </row>
    <row r="375" spans="1:16">
      <c r="A375" s="105"/>
      <c r="B375" s="9"/>
      <c r="C375" s="9"/>
      <c r="D375" s="51"/>
      <c r="E375" s="51"/>
      <c r="F375" s="51"/>
      <c r="G375" s="106"/>
      <c r="H375" s="106"/>
      <c r="I375" s="9"/>
      <c r="J375" s="107"/>
    </row>
    <row r="376" spans="1:16" ht="18" customHeight="1">
      <c r="A376" s="85"/>
      <c r="B376" s="163" t="s">
        <v>199</v>
      </c>
      <c r="C376" s="163">
        <v>22</v>
      </c>
      <c r="D376" s="88">
        <v>738</v>
      </c>
      <c r="E376" s="88">
        <v>1810</v>
      </c>
      <c r="F376" s="89">
        <f t="shared" ref="F376:F377" si="284">O376</f>
        <v>8</v>
      </c>
      <c r="G376" s="90">
        <f t="shared" ref="G376:G377" si="285">D376*E376/91809*F376</f>
        <v>116.39643172238016</v>
      </c>
      <c r="H376" s="90">
        <f t="shared" ref="H376:H377" si="286">(D376/1000)*4*F376+(E376/1000)*4*F376</f>
        <v>81.536000000000001</v>
      </c>
      <c r="I376" s="91" t="str">
        <f>I367</f>
        <v>9동5라인</v>
      </c>
      <c r="J376" s="92" t="s">
        <v>219</v>
      </c>
      <c r="L376" s="89">
        <v>2</v>
      </c>
      <c r="M376" s="306">
        <f>M358</f>
        <v>4</v>
      </c>
      <c r="N376" s="84"/>
      <c r="O376" s="306">
        <f>L376*M376-N376*L376</f>
        <v>8</v>
      </c>
      <c r="P376" s="64"/>
    </row>
    <row r="377" spans="1:16" ht="18" customHeight="1">
      <c r="A377" s="85"/>
      <c r="B377" s="86"/>
      <c r="C377" s="87"/>
      <c r="D377" s="88">
        <v>250</v>
      </c>
      <c r="E377" s="88">
        <v>930</v>
      </c>
      <c r="F377" s="89">
        <f t="shared" si="284"/>
        <v>8</v>
      </c>
      <c r="G377" s="90">
        <f t="shared" si="285"/>
        <v>20.259451687743031</v>
      </c>
      <c r="H377" s="90">
        <f t="shared" si="286"/>
        <v>37.760000000000005</v>
      </c>
      <c r="I377" s="91" t="str">
        <f>I376</f>
        <v>9동5라인</v>
      </c>
      <c r="J377" s="92" t="s">
        <v>220</v>
      </c>
      <c r="L377" s="89">
        <v>2</v>
      </c>
      <c r="M377" s="306">
        <f>M376</f>
        <v>4</v>
      </c>
      <c r="N377" s="84"/>
      <c r="O377" s="306">
        <f t="shared" ref="O377" si="287">L377*M377-N377*L377</f>
        <v>8</v>
      </c>
    </row>
    <row r="378" spans="1:16" ht="18" customHeight="1">
      <c r="A378" s="85"/>
      <c r="B378" s="93"/>
      <c r="C378" s="87"/>
      <c r="D378" s="325" t="s">
        <v>0</v>
      </c>
      <c r="E378" s="325"/>
      <c r="F378" s="94">
        <f>SUM(F376:F377)</f>
        <v>16</v>
      </c>
      <c r="G378" s="95">
        <f>SUM(G376:G377)</f>
        <v>136.65588341012318</v>
      </c>
      <c r="H378" s="95">
        <f>SUM(H376:H377)</f>
        <v>119.29600000000001</v>
      </c>
      <c r="I378" s="97"/>
      <c r="J378" s="98"/>
    </row>
    <row r="379" spans="1:16" ht="18" customHeight="1" thickBot="1">
      <c r="A379" s="222"/>
      <c r="B379" s="245"/>
      <c r="C379" s="224"/>
      <c r="D379" s="246"/>
      <c r="E379" s="246"/>
      <c r="F379" s="226"/>
      <c r="G379" s="247"/>
      <c r="H379" s="247"/>
      <c r="I379" s="248"/>
      <c r="J379" s="249"/>
      <c r="L379" s="250"/>
      <c r="M379" s="250"/>
      <c r="N379" s="250"/>
      <c r="O379" s="250"/>
    </row>
    <row r="380" spans="1:16" ht="18" customHeight="1">
      <c r="A380" s="79" t="s">
        <v>242</v>
      </c>
      <c r="B380" s="231" t="s">
        <v>195</v>
      </c>
      <c r="C380" s="232">
        <v>22</v>
      </c>
      <c r="D380" s="80">
        <v>761</v>
      </c>
      <c r="E380" s="80">
        <v>1810</v>
      </c>
      <c r="F380" s="233">
        <f t="shared" ref="F380:F385" si="288">O380</f>
        <v>8</v>
      </c>
      <c r="G380" s="81">
        <f t="shared" ref="G380:G385" si="289">D380*E380/91809*F380</f>
        <v>120.02396279231884</v>
      </c>
      <c r="H380" s="81">
        <f t="shared" ref="H380:H385" si="290">(D380/1000)*4*F380+(E380/1000)*4*F380</f>
        <v>82.272000000000006</v>
      </c>
      <c r="I380" s="82" t="s">
        <v>259</v>
      </c>
      <c r="J380" s="83" t="s">
        <v>205</v>
      </c>
      <c r="L380" s="89">
        <v>2</v>
      </c>
      <c r="M380" s="306">
        <v>4</v>
      </c>
      <c r="N380" s="306"/>
      <c r="O380" s="306">
        <f t="shared" ref="O380:O385" si="291">L380*M380-N380*L380</f>
        <v>8</v>
      </c>
    </row>
    <row r="381" spans="1:16" ht="18" customHeight="1">
      <c r="A381" s="85"/>
      <c r="B381" s="86"/>
      <c r="C381" s="87"/>
      <c r="D381" s="88">
        <v>1688</v>
      </c>
      <c r="E381" s="88">
        <v>1810</v>
      </c>
      <c r="F381" s="89">
        <f t="shared" si="288"/>
        <v>4</v>
      </c>
      <c r="G381" s="90">
        <f t="shared" si="289"/>
        <v>133.11461839253232</v>
      </c>
      <c r="H381" s="90">
        <f t="shared" si="290"/>
        <v>55.968000000000004</v>
      </c>
      <c r="I381" s="91" t="str">
        <f>I380</f>
        <v>9동6라인</v>
      </c>
      <c r="J381" s="92" t="s">
        <v>206</v>
      </c>
      <c r="L381" s="89">
        <v>1</v>
      </c>
      <c r="M381" s="306">
        <f t="shared" ref="M381:M397" si="292">M380</f>
        <v>4</v>
      </c>
      <c r="N381" s="306"/>
      <c r="O381" s="306">
        <f t="shared" si="291"/>
        <v>4</v>
      </c>
    </row>
    <row r="382" spans="1:16" ht="18" customHeight="1">
      <c r="A382" s="85"/>
      <c r="B382" s="86"/>
      <c r="C382" s="87"/>
      <c r="D382" s="88">
        <v>738</v>
      </c>
      <c r="E382" s="88">
        <v>1310</v>
      </c>
      <c r="F382" s="89">
        <f t="shared" si="288"/>
        <v>16</v>
      </c>
      <c r="G382" s="90">
        <f t="shared" si="289"/>
        <v>168.48544260366631</v>
      </c>
      <c r="H382" s="90">
        <f t="shared" si="290"/>
        <v>131.072</v>
      </c>
      <c r="I382" s="91" t="str">
        <f t="shared" ref="I382:I385" si="293">I381</f>
        <v>9동6라인</v>
      </c>
      <c r="J382" s="92" t="s">
        <v>207</v>
      </c>
      <c r="L382" s="89">
        <v>4</v>
      </c>
      <c r="M382" s="306">
        <f t="shared" si="292"/>
        <v>4</v>
      </c>
      <c r="N382" s="306"/>
      <c r="O382" s="306">
        <f t="shared" si="291"/>
        <v>16</v>
      </c>
    </row>
    <row r="383" spans="1:16" ht="18" customHeight="1">
      <c r="A383" s="85"/>
      <c r="B383" s="86"/>
      <c r="C383" s="87"/>
      <c r="D383" s="88">
        <v>438</v>
      </c>
      <c r="E383" s="88">
        <v>910</v>
      </c>
      <c r="F383" s="89">
        <f t="shared" si="288"/>
        <v>8</v>
      </c>
      <c r="G383" s="90">
        <f t="shared" si="289"/>
        <v>34.731235499787601</v>
      </c>
      <c r="H383" s="90">
        <f t="shared" si="290"/>
        <v>43.136000000000003</v>
      </c>
      <c r="I383" s="91" t="str">
        <f t="shared" si="293"/>
        <v>9동6라인</v>
      </c>
      <c r="J383" s="92" t="s">
        <v>223</v>
      </c>
      <c r="L383" s="89">
        <v>2</v>
      </c>
      <c r="M383" s="306">
        <f t="shared" si="292"/>
        <v>4</v>
      </c>
      <c r="N383" s="306"/>
      <c r="O383" s="306">
        <f t="shared" si="291"/>
        <v>8</v>
      </c>
    </row>
    <row r="384" spans="1:16" ht="18" customHeight="1">
      <c r="A384" s="85"/>
      <c r="B384" s="86"/>
      <c r="C384" s="87"/>
      <c r="D384" s="88">
        <v>228</v>
      </c>
      <c r="E384" s="88">
        <v>910</v>
      </c>
      <c r="F384" s="89">
        <f t="shared" si="288"/>
        <v>8</v>
      </c>
      <c r="G384" s="90">
        <f t="shared" si="289"/>
        <v>18.079273273862039</v>
      </c>
      <c r="H384" s="90">
        <f t="shared" si="290"/>
        <v>36.416000000000004</v>
      </c>
      <c r="I384" s="91" t="str">
        <f t="shared" si="293"/>
        <v>9동6라인</v>
      </c>
      <c r="J384" s="92" t="s">
        <v>209</v>
      </c>
      <c r="L384" s="89">
        <v>2</v>
      </c>
      <c r="M384" s="306">
        <f t="shared" si="292"/>
        <v>4</v>
      </c>
      <c r="N384" s="306"/>
      <c r="O384" s="306">
        <f t="shared" si="291"/>
        <v>8</v>
      </c>
    </row>
    <row r="385" spans="1:16" ht="18" customHeight="1">
      <c r="A385" s="85"/>
      <c r="B385" s="86"/>
      <c r="C385" s="87"/>
      <c r="D385" s="88">
        <v>438</v>
      </c>
      <c r="E385" s="88">
        <v>270</v>
      </c>
      <c r="F385" s="89">
        <f t="shared" si="288"/>
        <v>8</v>
      </c>
      <c r="G385" s="90">
        <f t="shared" si="289"/>
        <v>10.304872071365553</v>
      </c>
      <c r="H385" s="90">
        <f t="shared" si="290"/>
        <v>22.655999999999999</v>
      </c>
      <c r="I385" s="91" t="str">
        <f t="shared" si="293"/>
        <v>9동6라인</v>
      </c>
      <c r="J385" s="92" t="s">
        <v>210</v>
      </c>
      <c r="L385" s="89">
        <v>2</v>
      </c>
      <c r="M385" s="306">
        <f t="shared" si="292"/>
        <v>4</v>
      </c>
      <c r="N385" s="306"/>
      <c r="O385" s="306">
        <f t="shared" si="291"/>
        <v>8</v>
      </c>
    </row>
    <row r="386" spans="1:16" ht="18" customHeight="1">
      <c r="A386" s="85"/>
      <c r="B386" s="93"/>
      <c r="C386" s="87"/>
      <c r="D386" s="325" t="s">
        <v>0</v>
      </c>
      <c r="E386" s="325"/>
      <c r="F386" s="94">
        <f>SUM(F380:F385)</f>
        <v>52</v>
      </c>
      <c r="G386" s="95">
        <f>SUM(G380:G385)</f>
        <v>484.73940463353262</v>
      </c>
      <c r="H386" s="96">
        <f>SUM(H380:H385)</f>
        <v>371.52000000000004</v>
      </c>
      <c r="I386" s="97"/>
      <c r="J386" s="162"/>
      <c r="L386" s="250"/>
      <c r="M386" s="250"/>
      <c r="N386" s="250"/>
      <c r="O386" s="250"/>
    </row>
    <row r="387" spans="1:16" ht="18" customHeight="1">
      <c r="A387" s="85"/>
      <c r="B387" s="93"/>
      <c r="C387" s="87"/>
      <c r="D387" s="161"/>
      <c r="E387" s="161"/>
      <c r="F387" s="89"/>
      <c r="G387" s="100"/>
      <c r="H387" s="101"/>
      <c r="I387" s="102"/>
      <c r="J387" s="121"/>
      <c r="L387" s="250"/>
      <c r="M387" s="250"/>
      <c r="N387" s="250"/>
      <c r="O387" s="250"/>
    </row>
    <row r="388" spans="1:16" ht="18" customHeight="1">
      <c r="A388" s="85"/>
      <c r="B388" s="23" t="s">
        <v>197</v>
      </c>
      <c r="C388" s="24">
        <v>22</v>
      </c>
      <c r="D388" s="88">
        <v>761</v>
      </c>
      <c r="E388" s="88">
        <v>1810</v>
      </c>
      <c r="F388" s="89">
        <f t="shared" ref="F388:F393" si="294">O388</f>
        <v>8</v>
      </c>
      <c r="G388" s="90">
        <f t="shared" ref="G388:G393" si="295">D388*E388/91809*F388</f>
        <v>120.02396279231884</v>
      </c>
      <c r="H388" s="90">
        <f t="shared" ref="H388:H393" si="296">(D388/1000)*4*F388+(E388/1000)*4*F388</f>
        <v>82.272000000000006</v>
      </c>
      <c r="I388" s="91" t="str">
        <f>I380</f>
        <v>9동6라인</v>
      </c>
      <c r="J388" s="92" t="s">
        <v>212</v>
      </c>
      <c r="L388" s="89">
        <v>2</v>
      </c>
      <c r="M388" s="306">
        <f>M385</f>
        <v>4</v>
      </c>
      <c r="N388" s="306"/>
      <c r="O388" s="306">
        <f t="shared" ref="O388:O393" si="297">L388*M388-N388*L388</f>
        <v>8</v>
      </c>
    </row>
    <row r="389" spans="1:16" ht="18" customHeight="1">
      <c r="A389" s="85"/>
      <c r="B389" s="86"/>
      <c r="C389" s="87"/>
      <c r="D389" s="88">
        <v>1688</v>
      </c>
      <c r="E389" s="88">
        <v>1810</v>
      </c>
      <c r="F389" s="89">
        <f t="shared" si="294"/>
        <v>4</v>
      </c>
      <c r="G389" s="90">
        <f t="shared" si="295"/>
        <v>133.11461839253232</v>
      </c>
      <c r="H389" s="90">
        <f t="shared" si="296"/>
        <v>55.968000000000004</v>
      </c>
      <c r="I389" s="91" t="str">
        <f>I380</f>
        <v>9동6라인</v>
      </c>
      <c r="J389" s="92" t="s">
        <v>213</v>
      </c>
      <c r="L389" s="89">
        <v>1</v>
      </c>
      <c r="M389" s="306">
        <f t="shared" si="292"/>
        <v>4</v>
      </c>
      <c r="N389" s="306"/>
      <c r="O389" s="306">
        <f t="shared" si="297"/>
        <v>4</v>
      </c>
    </row>
    <row r="390" spans="1:16">
      <c r="A390" s="104"/>
      <c r="B390" s="93"/>
      <c r="C390" s="87"/>
      <c r="D390" s="88">
        <v>738</v>
      </c>
      <c r="E390" s="88">
        <v>1310</v>
      </c>
      <c r="F390" s="89">
        <f t="shared" si="294"/>
        <v>16</v>
      </c>
      <c r="G390" s="90">
        <f t="shared" si="295"/>
        <v>168.48544260366631</v>
      </c>
      <c r="H390" s="90">
        <f t="shared" si="296"/>
        <v>131.072</v>
      </c>
      <c r="I390" s="91" t="str">
        <f>I389</f>
        <v>9동6라인</v>
      </c>
      <c r="J390" s="92" t="s">
        <v>214</v>
      </c>
      <c r="L390" s="89">
        <v>4</v>
      </c>
      <c r="M390" s="306">
        <f t="shared" si="292"/>
        <v>4</v>
      </c>
      <c r="N390" s="306"/>
      <c r="O390" s="306">
        <f t="shared" si="297"/>
        <v>16</v>
      </c>
    </row>
    <row r="391" spans="1:16" ht="18" customHeight="1">
      <c r="A391" s="104"/>
      <c r="B391" s="93"/>
      <c r="C391" s="87"/>
      <c r="D391" s="88">
        <v>438</v>
      </c>
      <c r="E391" s="88">
        <v>910</v>
      </c>
      <c r="F391" s="89">
        <f t="shared" si="294"/>
        <v>8</v>
      </c>
      <c r="G391" s="90">
        <f t="shared" si="295"/>
        <v>34.731235499787601</v>
      </c>
      <c r="H391" s="90">
        <f t="shared" si="296"/>
        <v>43.136000000000003</v>
      </c>
      <c r="I391" s="91" t="str">
        <f t="shared" ref="I391:I393" si="298">I390</f>
        <v>9동6라인</v>
      </c>
      <c r="J391" s="92" t="s">
        <v>225</v>
      </c>
      <c r="L391" s="89">
        <v>2</v>
      </c>
      <c r="M391" s="306">
        <f t="shared" si="292"/>
        <v>4</v>
      </c>
      <c r="N391" s="306"/>
      <c r="O391" s="306">
        <f t="shared" si="297"/>
        <v>8</v>
      </c>
      <c r="P391" s="64"/>
    </row>
    <row r="392" spans="1:16" ht="18" customHeight="1">
      <c r="A392" s="104"/>
      <c r="B392" s="93"/>
      <c r="C392" s="87"/>
      <c r="D392" s="88">
        <v>228</v>
      </c>
      <c r="E392" s="88">
        <v>910</v>
      </c>
      <c r="F392" s="89">
        <f t="shared" si="294"/>
        <v>8</v>
      </c>
      <c r="G392" s="90">
        <f t="shared" si="295"/>
        <v>18.079273273862039</v>
      </c>
      <c r="H392" s="90">
        <f t="shared" si="296"/>
        <v>36.416000000000004</v>
      </c>
      <c r="I392" s="91" t="str">
        <f t="shared" si="298"/>
        <v>9동6라인</v>
      </c>
      <c r="J392" s="92" t="s">
        <v>216</v>
      </c>
      <c r="L392" s="89">
        <v>2</v>
      </c>
      <c r="M392" s="306">
        <f t="shared" si="292"/>
        <v>4</v>
      </c>
      <c r="N392" s="306"/>
      <c r="O392" s="306">
        <f t="shared" si="297"/>
        <v>8</v>
      </c>
    </row>
    <row r="393" spans="1:16" ht="18" customHeight="1">
      <c r="A393" s="104"/>
      <c r="B393" s="93"/>
      <c r="C393" s="87"/>
      <c r="D393" s="88">
        <v>438</v>
      </c>
      <c r="E393" s="88">
        <v>270</v>
      </c>
      <c r="F393" s="89">
        <f t="shared" si="294"/>
        <v>8</v>
      </c>
      <c r="G393" s="90">
        <f t="shared" si="295"/>
        <v>10.304872071365553</v>
      </c>
      <c r="H393" s="90">
        <f t="shared" si="296"/>
        <v>22.655999999999999</v>
      </c>
      <c r="I393" s="91" t="str">
        <f t="shared" si="298"/>
        <v>9동6라인</v>
      </c>
      <c r="J393" s="92" t="s">
        <v>217</v>
      </c>
      <c r="L393" s="89">
        <v>2</v>
      </c>
      <c r="M393" s="306">
        <f t="shared" si="292"/>
        <v>4</v>
      </c>
      <c r="N393" s="306"/>
      <c r="O393" s="306">
        <f t="shared" si="297"/>
        <v>8</v>
      </c>
    </row>
    <row r="394" spans="1:16">
      <c r="A394" s="104"/>
      <c r="B394" s="87"/>
      <c r="C394" s="87"/>
      <c r="D394" s="325" t="s">
        <v>0</v>
      </c>
      <c r="E394" s="325"/>
      <c r="F394" s="171">
        <f>SUM(F388:F393)</f>
        <v>52</v>
      </c>
      <c r="G394" s="95">
        <f>SUM(G388:G393)</f>
        <v>484.73940463353262</v>
      </c>
      <c r="H394" s="95">
        <f>SUM(H388:H393)</f>
        <v>371.52000000000004</v>
      </c>
      <c r="I394" s="97"/>
      <c r="J394" s="98"/>
      <c r="L394" s="250"/>
      <c r="M394" s="250"/>
      <c r="N394" s="250"/>
      <c r="O394" s="250"/>
    </row>
    <row r="395" spans="1:16">
      <c r="A395" s="105"/>
      <c r="B395" s="9"/>
      <c r="C395" s="9"/>
      <c r="D395" s="51"/>
      <c r="E395" s="51"/>
      <c r="F395" s="51"/>
      <c r="G395" s="106"/>
      <c r="H395" s="106"/>
      <c r="I395" s="9"/>
      <c r="J395" s="107"/>
      <c r="L395" s="250"/>
      <c r="M395" s="250"/>
      <c r="N395" s="250"/>
      <c r="O395" s="250"/>
    </row>
    <row r="396" spans="1:16" ht="18" customHeight="1">
      <c r="A396" s="85"/>
      <c r="B396" s="163" t="s">
        <v>199</v>
      </c>
      <c r="C396" s="163">
        <v>22</v>
      </c>
      <c r="D396" s="88">
        <v>738</v>
      </c>
      <c r="E396" s="88">
        <v>1810</v>
      </c>
      <c r="F396" s="89">
        <f t="shared" ref="F396:F397" si="299">O396</f>
        <v>8</v>
      </c>
      <c r="G396" s="90">
        <f t="shared" ref="G396:G398" si="300">D396*E396/91809*F396</f>
        <v>116.39643172238016</v>
      </c>
      <c r="H396" s="90">
        <f t="shared" ref="H396:H398" si="301">(D396/1000)*4*F396+(E396/1000)*4*F396</f>
        <v>81.536000000000001</v>
      </c>
      <c r="I396" s="91" t="str">
        <f>I388</f>
        <v>9동6라인</v>
      </c>
      <c r="J396" s="92" t="s">
        <v>219</v>
      </c>
      <c r="L396" s="89">
        <v>2</v>
      </c>
      <c r="M396" s="306">
        <f>M393</f>
        <v>4</v>
      </c>
      <c r="N396" s="306"/>
      <c r="O396" s="306">
        <f t="shared" ref="O396:O397" si="302">L396*M396-N396*L396</f>
        <v>8</v>
      </c>
      <c r="P396" s="64"/>
    </row>
    <row r="397" spans="1:16" ht="18" customHeight="1">
      <c r="A397" s="85"/>
      <c r="B397" s="86"/>
      <c r="C397" s="87"/>
      <c r="D397" s="88">
        <v>250</v>
      </c>
      <c r="E397" s="88">
        <v>930</v>
      </c>
      <c r="F397" s="89">
        <f t="shared" si="299"/>
        <v>8</v>
      </c>
      <c r="G397" s="90">
        <f t="shared" si="300"/>
        <v>20.259451687743031</v>
      </c>
      <c r="H397" s="90">
        <f t="shared" si="301"/>
        <v>37.760000000000005</v>
      </c>
      <c r="I397" s="91" t="str">
        <f>I396</f>
        <v>9동6라인</v>
      </c>
      <c r="J397" s="92" t="s">
        <v>220</v>
      </c>
      <c r="L397" s="89">
        <v>2</v>
      </c>
      <c r="M397" s="306">
        <f t="shared" si="292"/>
        <v>4</v>
      </c>
      <c r="N397" s="306"/>
      <c r="O397" s="306">
        <f t="shared" si="302"/>
        <v>8</v>
      </c>
    </row>
    <row r="398" spans="1:16" ht="18" customHeight="1">
      <c r="A398" s="85"/>
      <c r="B398" s="86"/>
      <c r="C398" s="87"/>
      <c r="D398" s="88"/>
      <c r="E398" s="88"/>
      <c r="F398" s="89"/>
      <c r="G398" s="90">
        <f t="shared" si="300"/>
        <v>0</v>
      </c>
      <c r="H398" s="90">
        <f t="shared" si="301"/>
        <v>0</v>
      </c>
      <c r="I398" s="91"/>
      <c r="J398" s="92"/>
      <c r="L398" s="250"/>
      <c r="M398" s="250"/>
      <c r="N398" s="250"/>
      <c r="O398" s="250"/>
    </row>
    <row r="399" spans="1:16" ht="18" customHeight="1">
      <c r="A399" s="85"/>
      <c r="B399" s="93"/>
      <c r="C399" s="87"/>
      <c r="D399" s="325" t="s">
        <v>0</v>
      </c>
      <c r="E399" s="325"/>
      <c r="F399" s="94">
        <f>SUM(F396:F398)</f>
        <v>16</v>
      </c>
      <c r="G399" s="95">
        <f>SUM(G396:G398)</f>
        <v>136.65588341012318</v>
      </c>
      <c r="H399" s="95">
        <f>SUM(H396:H398)</f>
        <v>119.29600000000001</v>
      </c>
      <c r="I399" s="97"/>
      <c r="J399" s="98"/>
      <c r="L399" s="250"/>
      <c r="M399" s="250"/>
      <c r="N399" s="250"/>
      <c r="O399" s="250"/>
    </row>
    <row r="400" spans="1:16" ht="18" customHeight="1" thickBot="1">
      <c r="A400" s="253"/>
      <c r="B400" s="254"/>
      <c r="C400" s="255"/>
      <c r="D400" s="361"/>
      <c r="E400" s="361"/>
      <c r="F400" s="256"/>
      <c r="G400" s="257"/>
      <c r="H400" s="258"/>
      <c r="I400" s="259"/>
      <c r="J400" s="260"/>
      <c r="L400" s="250"/>
      <c r="M400" s="250"/>
      <c r="N400" s="250"/>
      <c r="O400" s="250"/>
    </row>
    <row r="401" spans="1:16" ht="18" customHeight="1">
      <c r="A401" s="79" t="s">
        <v>242</v>
      </c>
      <c r="B401" s="231" t="s">
        <v>195</v>
      </c>
      <c r="C401" s="232">
        <v>22</v>
      </c>
      <c r="D401" s="80">
        <v>761</v>
      </c>
      <c r="E401" s="80">
        <v>1810</v>
      </c>
      <c r="F401" s="233">
        <f t="shared" ref="F401:F406" si="303">O401</f>
        <v>14</v>
      </c>
      <c r="G401" s="81">
        <f t="shared" ref="G401:G406" si="304">D401*E401/91809*F401</f>
        <v>210.04193488655798</v>
      </c>
      <c r="H401" s="81">
        <f t="shared" ref="H401:H406" si="305">(D401/1000)*4*F401+(E401/1000)*4*F401</f>
        <v>143.976</v>
      </c>
      <c r="I401" s="82" t="s">
        <v>260</v>
      </c>
      <c r="J401" s="83" t="s">
        <v>205</v>
      </c>
      <c r="L401" s="89">
        <v>2</v>
      </c>
      <c r="M401" s="306">
        <v>7</v>
      </c>
      <c r="N401" s="306"/>
      <c r="O401" s="306">
        <f t="shared" ref="O401:O406" si="306">L401*M401-N401*L401</f>
        <v>14</v>
      </c>
    </row>
    <row r="402" spans="1:16" ht="18" customHeight="1">
      <c r="A402" s="85"/>
      <c r="B402" s="86"/>
      <c r="C402" s="87"/>
      <c r="D402" s="88">
        <v>1688</v>
      </c>
      <c r="E402" s="88">
        <v>1810</v>
      </c>
      <c r="F402" s="89">
        <f t="shared" si="303"/>
        <v>7</v>
      </c>
      <c r="G402" s="90">
        <f t="shared" si="304"/>
        <v>232.95058218693157</v>
      </c>
      <c r="H402" s="90">
        <f t="shared" si="305"/>
        <v>97.943999999999988</v>
      </c>
      <c r="I402" s="91" t="str">
        <f>I401</f>
        <v>10동1라인</v>
      </c>
      <c r="J402" s="92" t="s">
        <v>206</v>
      </c>
      <c r="L402" s="89">
        <v>1</v>
      </c>
      <c r="M402" s="306">
        <f t="shared" ref="M402:M418" si="307">M401</f>
        <v>7</v>
      </c>
      <c r="N402" s="306"/>
      <c r="O402" s="306">
        <f t="shared" si="306"/>
        <v>7</v>
      </c>
    </row>
    <row r="403" spans="1:16" ht="18" customHeight="1">
      <c r="A403" s="85"/>
      <c r="B403" s="86"/>
      <c r="C403" s="87"/>
      <c r="D403" s="88">
        <v>738</v>
      </c>
      <c r="E403" s="88">
        <v>1310</v>
      </c>
      <c r="F403" s="89">
        <f t="shared" si="303"/>
        <v>28</v>
      </c>
      <c r="G403" s="90">
        <f t="shared" si="304"/>
        <v>294.84952455641604</v>
      </c>
      <c r="H403" s="90">
        <f t="shared" si="305"/>
        <v>229.376</v>
      </c>
      <c r="I403" s="91" t="str">
        <f t="shared" ref="I403:I406" si="308">I402</f>
        <v>10동1라인</v>
      </c>
      <c r="J403" s="92" t="s">
        <v>207</v>
      </c>
      <c r="L403" s="89">
        <v>4</v>
      </c>
      <c r="M403" s="306">
        <f t="shared" si="307"/>
        <v>7</v>
      </c>
      <c r="N403" s="306"/>
      <c r="O403" s="306">
        <f t="shared" si="306"/>
        <v>28</v>
      </c>
    </row>
    <row r="404" spans="1:16" ht="18" customHeight="1">
      <c r="A404" s="85"/>
      <c r="B404" s="86"/>
      <c r="C404" s="87"/>
      <c r="D404" s="88">
        <v>438</v>
      </c>
      <c r="E404" s="88">
        <v>910</v>
      </c>
      <c r="F404" s="89">
        <f t="shared" si="303"/>
        <v>14</v>
      </c>
      <c r="G404" s="90">
        <f t="shared" si="304"/>
        <v>60.779662124628302</v>
      </c>
      <c r="H404" s="90">
        <f t="shared" si="305"/>
        <v>75.488</v>
      </c>
      <c r="I404" s="91" t="str">
        <f t="shared" si="308"/>
        <v>10동1라인</v>
      </c>
      <c r="J404" s="92" t="s">
        <v>223</v>
      </c>
      <c r="L404" s="89">
        <v>2</v>
      </c>
      <c r="M404" s="306">
        <f t="shared" si="307"/>
        <v>7</v>
      </c>
      <c r="N404" s="306"/>
      <c r="O404" s="306">
        <f t="shared" si="306"/>
        <v>14</v>
      </c>
    </row>
    <row r="405" spans="1:16" ht="18" customHeight="1">
      <c r="A405" s="85"/>
      <c r="B405" s="86"/>
      <c r="C405" s="87"/>
      <c r="D405" s="88">
        <v>228</v>
      </c>
      <c r="E405" s="88">
        <v>910</v>
      </c>
      <c r="F405" s="89">
        <f t="shared" si="303"/>
        <v>14</v>
      </c>
      <c r="G405" s="90">
        <f t="shared" si="304"/>
        <v>31.638728229258568</v>
      </c>
      <c r="H405" s="90">
        <f t="shared" si="305"/>
        <v>63.728000000000002</v>
      </c>
      <c r="I405" s="91" t="str">
        <f t="shared" si="308"/>
        <v>10동1라인</v>
      </c>
      <c r="J405" s="92" t="s">
        <v>209</v>
      </c>
      <c r="L405" s="89">
        <v>2</v>
      </c>
      <c r="M405" s="306">
        <f t="shared" si="307"/>
        <v>7</v>
      </c>
      <c r="N405" s="306"/>
      <c r="O405" s="306">
        <f t="shared" si="306"/>
        <v>14</v>
      </c>
    </row>
    <row r="406" spans="1:16" ht="18" customHeight="1">
      <c r="A406" s="85"/>
      <c r="B406" s="86"/>
      <c r="C406" s="87"/>
      <c r="D406" s="88">
        <v>438</v>
      </c>
      <c r="E406" s="88">
        <v>270</v>
      </c>
      <c r="F406" s="89">
        <f t="shared" si="303"/>
        <v>14</v>
      </c>
      <c r="G406" s="90">
        <f t="shared" si="304"/>
        <v>18.033526124889718</v>
      </c>
      <c r="H406" s="90">
        <f t="shared" si="305"/>
        <v>39.647999999999996</v>
      </c>
      <c r="I406" s="91" t="str">
        <f t="shared" si="308"/>
        <v>10동1라인</v>
      </c>
      <c r="J406" s="92" t="s">
        <v>210</v>
      </c>
      <c r="L406" s="89">
        <v>2</v>
      </c>
      <c r="M406" s="306">
        <f t="shared" si="307"/>
        <v>7</v>
      </c>
      <c r="N406" s="306"/>
      <c r="O406" s="306">
        <f t="shared" si="306"/>
        <v>14</v>
      </c>
    </row>
    <row r="407" spans="1:16" ht="18" customHeight="1">
      <c r="A407" s="85"/>
      <c r="B407" s="93"/>
      <c r="C407" s="87"/>
      <c r="D407" s="325" t="s">
        <v>0</v>
      </c>
      <c r="E407" s="325"/>
      <c r="F407" s="94">
        <f>SUM(F401:F406)</f>
        <v>91</v>
      </c>
      <c r="G407" s="95">
        <f>SUM(G401:G406)</f>
        <v>848.29395810868232</v>
      </c>
      <c r="H407" s="96">
        <f>SUM(H401:H406)</f>
        <v>650.16</v>
      </c>
      <c r="I407" s="97"/>
      <c r="J407" s="162"/>
      <c r="L407" s="250"/>
      <c r="M407" s="250"/>
      <c r="N407" s="250"/>
      <c r="O407" s="250"/>
    </row>
    <row r="408" spans="1:16" ht="18" customHeight="1">
      <c r="A408" s="85"/>
      <c r="B408" s="93"/>
      <c r="C408" s="87"/>
      <c r="D408" s="161"/>
      <c r="E408" s="161"/>
      <c r="F408" s="89"/>
      <c r="G408" s="100"/>
      <c r="H408" s="101"/>
      <c r="I408" s="102"/>
      <c r="J408" s="121"/>
      <c r="L408" s="250"/>
      <c r="M408" s="250"/>
      <c r="N408" s="250"/>
      <c r="O408" s="250"/>
    </row>
    <row r="409" spans="1:16" ht="18" customHeight="1">
      <c r="A409" s="85"/>
      <c r="B409" s="23" t="s">
        <v>197</v>
      </c>
      <c r="C409" s="24">
        <v>22</v>
      </c>
      <c r="D409" s="88">
        <v>761</v>
      </c>
      <c r="E409" s="88">
        <v>1810</v>
      </c>
      <c r="F409" s="89">
        <f t="shared" ref="F409:F414" si="309">O409</f>
        <v>14</v>
      </c>
      <c r="G409" s="90">
        <f t="shared" ref="G409:G414" si="310">D409*E409/91809*F409</f>
        <v>210.04193488655798</v>
      </c>
      <c r="H409" s="90">
        <f t="shared" ref="H409:H414" si="311">(D409/1000)*4*F409+(E409/1000)*4*F409</f>
        <v>143.976</v>
      </c>
      <c r="I409" s="91" t="str">
        <f>I401</f>
        <v>10동1라인</v>
      </c>
      <c r="J409" s="92" t="s">
        <v>212</v>
      </c>
      <c r="L409" s="89">
        <v>2</v>
      </c>
      <c r="M409" s="306">
        <f>M406</f>
        <v>7</v>
      </c>
      <c r="N409" s="306"/>
      <c r="O409" s="306">
        <f t="shared" ref="O409:O414" si="312">L409*M409-N409*L409</f>
        <v>14</v>
      </c>
    </row>
    <row r="410" spans="1:16" ht="18" customHeight="1">
      <c r="A410" s="85"/>
      <c r="B410" s="86"/>
      <c r="C410" s="87"/>
      <c r="D410" s="88">
        <v>1688</v>
      </c>
      <c r="E410" s="88">
        <v>1810</v>
      </c>
      <c r="F410" s="89">
        <f t="shared" si="309"/>
        <v>7</v>
      </c>
      <c r="G410" s="90">
        <f t="shared" si="310"/>
        <v>232.95058218693157</v>
      </c>
      <c r="H410" s="90">
        <f t="shared" si="311"/>
        <v>97.943999999999988</v>
      </c>
      <c r="I410" s="91" t="str">
        <f>I401</f>
        <v>10동1라인</v>
      </c>
      <c r="J410" s="92" t="s">
        <v>213</v>
      </c>
      <c r="L410" s="89">
        <v>1</v>
      </c>
      <c r="M410" s="306">
        <f t="shared" si="307"/>
        <v>7</v>
      </c>
      <c r="N410" s="306"/>
      <c r="O410" s="306">
        <f t="shared" si="312"/>
        <v>7</v>
      </c>
    </row>
    <row r="411" spans="1:16">
      <c r="A411" s="104"/>
      <c r="B411" s="93"/>
      <c r="C411" s="87"/>
      <c r="D411" s="88">
        <v>738</v>
      </c>
      <c r="E411" s="88">
        <v>1310</v>
      </c>
      <c r="F411" s="89">
        <f t="shared" si="309"/>
        <v>28</v>
      </c>
      <c r="G411" s="90">
        <f t="shared" si="310"/>
        <v>294.84952455641604</v>
      </c>
      <c r="H411" s="90">
        <f t="shared" si="311"/>
        <v>229.376</v>
      </c>
      <c r="I411" s="91" t="str">
        <f>I410</f>
        <v>10동1라인</v>
      </c>
      <c r="J411" s="92" t="s">
        <v>214</v>
      </c>
      <c r="L411" s="89">
        <v>4</v>
      </c>
      <c r="M411" s="306">
        <f t="shared" si="307"/>
        <v>7</v>
      </c>
      <c r="N411" s="306"/>
      <c r="O411" s="306">
        <f t="shared" si="312"/>
        <v>28</v>
      </c>
    </row>
    <row r="412" spans="1:16" ht="18" customHeight="1">
      <c r="A412" s="104"/>
      <c r="B412" s="93"/>
      <c r="C412" s="87"/>
      <c r="D412" s="88">
        <v>438</v>
      </c>
      <c r="E412" s="88">
        <v>910</v>
      </c>
      <c r="F412" s="89">
        <f t="shared" si="309"/>
        <v>14</v>
      </c>
      <c r="G412" s="90">
        <f t="shared" si="310"/>
        <v>60.779662124628302</v>
      </c>
      <c r="H412" s="90">
        <f t="shared" si="311"/>
        <v>75.488</v>
      </c>
      <c r="I412" s="91" t="str">
        <f t="shared" ref="I412:I414" si="313">I411</f>
        <v>10동1라인</v>
      </c>
      <c r="J412" s="92" t="s">
        <v>225</v>
      </c>
      <c r="L412" s="89">
        <v>2</v>
      </c>
      <c r="M412" s="306">
        <f t="shared" si="307"/>
        <v>7</v>
      </c>
      <c r="N412" s="306"/>
      <c r="O412" s="306">
        <f t="shared" si="312"/>
        <v>14</v>
      </c>
      <c r="P412" s="64"/>
    </row>
    <row r="413" spans="1:16" ht="18" customHeight="1">
      <c r="A413" s="104"/>
      <c r="B413" s="93"/>
      <c r="C413" s="87"/>
      <c r="D413" s="88">
        <v>228</v>
      </c>
      <c r="E413" s="88">
        <v>910</v>
      </c>
      <c r="F413" s="89">
        <f t="shared" si="309"/>
        <v>14</v>
      </c>
      <c r="G413" s="90">
        <f t="shared" si="310"/>
        <v>31.638728229258568</v>
      </c>
      <c r="H413" s="90">
        <f t="shared" si="311"/>
        <v>63.728000000000002</v>
      </c>
      <c r="I413" s="91" t="str">
        <f t="shared" si="313"/>
        <v>10동1라인</v>
      </c>
      <c r="J413" s="92" t="s">
        <v>216</v>
      </c>
      <c r="L413" s="89">
        <v>2</v>
      </c>
      <c r="M413" s="306">
        <f t="shared" si="307"/>
        <v>7</v>
      </c>
      <c r="N413" s="306"/>
      <c r="O413" s="306">
        <f t="shared" si="312"/>
        <v>14</v>
      </c>
    </row>
    <row r="414" spans="1:16" ht="18" customHeight="1">
      <c r="A414" s="104"/>
      <c r="B414" s="93"/>
      <c r="C414" s="87"/>
      <c r="D414" s="88">
        <v>438</v>
      </c>
      <c r="E414" s="88">
        <v>270</v>
      </c>
      <c r="F414" s="89">
        <f t="shared" si="309"/>
        <v>14</v>
      </c>
      <c r="G414" s="90">
        <f t="shared" si="310"/>
        <v>18.033526124889718</v>
      </c>
      <c r="H414" s="90">
        <f t="shared" si="311"/>
        <v>39.647999999999996</v>
      </c>
      <c r="I414" s="91" t="str">
        <f t="shared" si="313"/>
        <v>10동1라인</v>
      </c>
      <c r="J414" s="92" t="s">
        <v>217</v>
      </c>
      <c r="L414" s="89">
        <v>2</v>
      </c>
      <c r="M414" s="306">
        <f t="shared" si="307"/>
        <v>7</v>
      </c>
      <c r="N414" s="306"/>
      <c r="O414" s="306">
        <f t="shared" si="312"/>
        <v>14</v>
      </c>
    </row>
    <row r="415" spans="1:16">
      <c r="A415" s="104"/>
      <c r="B415" s="87"/>
      <c r="C415" s="87"/>
      <c r="D415" s="325" t="s">
        <v>0</v>
      </c>
      <c r="E415" s="325"/>
      <c r="F415" s="171">
        <f>SUM(F409:F414)</f>
        <v>91</v>
      </c>
      <c r="G415" s="95">
        <f>SUM(G409:G414)</f>
        <v>848.29395810868232</v>
      </c>
      <c r="H415" s="95">
        <f>SUM(H409:H414)</f>
        <v>650.16</v>
      </c>
      <c r="I415" s="97"/>
      <c r="J415" s="98"/>
      <c r="L415" s="250"/>
      <c r="M415" s="250"/>
      <c r="N415" s="250"/>
      <c r="O415" s="250"/>
    </row>
    <row r="416" spans="1:16">
      <c r="A416" s="105"/>
      <c r="B416" s="9"/>
      <c r="C416" s="9"/>
      <c r="D416" s="51"/>
      <c r="E416" s="51"/>
      <c r="F416" s="51"/>
      <c r="G416" s="106"/>
      <c r="H416" s="106"/>
      <c r="I416" s="9"/>
      <c r="J416" s="107"/>
      <c r="L416" s="250"/>
      <c r="M416" s="250"/>
      <c r="N416" s="250"/>
      <c r="O416" s="250"/>
    </row>
    <row r="417" spans="1:16" ht="18" customHeight="1">
      <c r="A417" s="85"/>
      <c r="B417" s="163" t="s">
        <v>199</v>
      </c>
      <c r="C417" s="163">
        <v>22</v>
      </c>
      <c r="D417" s="88">
        <v>738</v>
      </c>
      <c r="E417" s="88">
        <v>1810</v>
      </c>
      <c r="F417" s="89">
        <f t="shared" ref="F417:F418" si="314">O417</f>
        <v>14</v>
      </c>
      <c r="G417" s="90">
        <f t="shared" ref="G417:G419" si="315">D417*E417/91809*F417</f>
        <v>203.69375551416528</v>
      </c>
      <c r="H417" s="90">
        <f t="shared" ref="H417:H419" si="316">(D417/1000)*4*F417+(E417/1000)*4*F417</f>
        <v>142.68799999999999</v>
      </c>
      <c r="I417" s="91" t="str">
        <f>I409</f>
        <v>10동1라인</v>
      </c>
      <c r="J417" s="92" t="s">
        <v>219</v>
      </c>
      <c r="L417" s="89">
        <v>2</v>
      </c>
      <c r="M417" s="306">
        <f>M414</f>
        <v>7</v>
      </c>
      <c r="N417" s="306"/>
      <c r="O417" s="306">
        <f t="shared" ref="O417:O418" si="317">L417*M417-N417*L417</f>
        <v>14</v>
      </c>
      <c r="P417" s="64"/>
    </row>
    <row r="418" spans="1:16" ht="18" customHeight="1">
      <c r="A418" s="85"/>
      <c r="B418" s="86"/>
      <c r="C418" s="87"/>
      <c r="D418" s="88">
        <v>250</v>
      </c>
      <c r="E418" s="88">
        <v>930</v>
      </c>
      <c r="F418" s="89">
        <f t="shared" si="314"/>
        <v>14</v>
      </c>
      <c r="G418" s="90">
        <f t="shared" si="315"/>
        <v>35.454040453550306</v>
      </c>
      <c r="H418" s="90">
        <f t="shared" si="316"/>
        <v>66.080000000000013</v>
      </c>
      <c r="I418" s="91" t="str">
        <f>I417</f>
        <v>10동1라인</v>
      </c>
      <c r="J418" s="92" t="s">
        <v>220</v>
      </c>
      <c r="L418" s="89">
        <v>2</v>
      </c>
      <c r="M418" s="306">
        <f t="shared" si="307"/>
        <v>7</v>
      </c>
      <c r="N418" s="306"/>
      <c r="O418" s="306">
        <f t="shared" si="317"/>
        <v>14</v>
      </c>
    </row>
    <row r="419" spans="1:16" ht="18" customHeight="1">
      <c r="A419" s="85"/>
      <c r="B419" s="86"/>
      <c r="C419" s="87"/>
      <c r="D419" s="88"/>
      <c r="E419" s="88"/>
      <c r="F419" s="89"/>
      <c r="G419" s="90">
        <f t="shared" si="315"/>
        <v>0</v>
      </c>
      <c r="H419" s="90">
        <f t="shared" si="316"/>
        <v>0</v>
      </c>
      <c r="I419" s="91"/>
      <c r="J419" s="92"/>
      <c r="L419" s="250"/>
      <c r="M419" s="250"/>
      <c r="N419" s="250"/>
      <c r="O419" s="250"/>
    </row>
    <row r="420" spans="1:16" ht="18" customHeight="1" thickBot="1">
      <c r="A420" s="222"/>
      <c r="B420" s="223"/>
      <c r="C420" s="224"/>
      <c r="D420" s="364" t="s">
        <v>0</v>
      </c>
      <c r="E420" s="364"/>
      <c r="F420" s="269">
        <f>SUM(F417:F419)</f>
        <v>28</v>
      </c>
      <c r="G420" s="270">
        <f>SUM(G417:G419)</f>
        <v>239.14779596771558</v>
      </c>
      <c r="H420" s="270">
        <f>SUM(H417:H419)</f>
        <v>208.768</v>
      </c>
      <c r="I420" s="271"/>
      <c r="J420" s="272"/>
      <c r="L420" s="250"/>
      <c r="M420" s="250"/>
      <c r="N420" s="250"/>
      <c r="O420" s="250"/>
    </row>
    <row r="421" spans="1:16" ht="18" customHeight="1">
      <c r="A421" s="273" t="s">
        <v>234</v>
      </c>
      <c r="B421" s="231" t="s">
        <v>195</v>
      </c>
      <c r="C421" s="232">
        <v>22</v>
      </c>
      <c r="D421" s="80">
        <v>761</v>
      </c>
      <c r="E421" s="80">
        <v>1810</v>
      </c>
      <c r="F421" s="233">
        <f>O421</f>
        <v>14</v>
      </c>
      <c r="G421" s="81">
        <f t="shared" ref="G421:G427" si="318">D421*E421/91809*F421</f>
        <v>210.04193488655798</v>
      </c>
      <c r="H421" s="81">
        <f t="shared" ref="H421:H427" si="319">(D421/1000)*4*F421+(E421/1000)*4*F421</f>
        <v>143.976</v>
      </c>
      <c r="I421" s="82" t="s">
        <v>261</v>
      </c>
      <c r="J421" s="83" t="s">
        <v>205</v>
      </c>
      <c r="L421" s="89">
        <v>2</v>
      </c>
      <c r="M421" s="306">
        <v>7</v>
      </c>
      <c r="N421" s="84"/>
      <c r="O421" s="306">
        <f>L421*M421-N421*L421</f>
        <v>14</v>
      </c>
      <c r="P421" s="64"/>
    </row>
    <row r="422" spans="1:16" ht="18" customHeight="1">
      <c r="A422" s="85"/>
      <c r="B422" s="86"/>
      <c r="C422" s="87"/>
      <c r="D422" s="88">
        <v>1688</v>
      </c>
      <c r="E422" s="88">
        <v>1810</v>
      </c>
      <c r="F422" s="89">
        <f t="shared" ref="F422:F427" si="320">O422</f>
        <v>7</v>
      </c>
      <c r="G422" s="90">
        <f t="shared" si="318"/>
        <v>232.95058218693157</v>
      </c>
      <c r="H422" s="90">
        <f t="shared" si="319"/>
        <v>97.943999999999988</v>
      </c>
      <c r="I422" s="91" t="str">
        <f>I421</f>
        <v>10동2라인</v>
      </c>
      <c r="J422" s="92" t="s">
        <v>206</v>
      </c>
      <c r="L422" s="89">
        <v>1</v>
      </c>
      <c r="M422" s="306">
        <f>M421</f>
        <v>7</v>
      </c>
      <c r="N422" s="84"/>
      <c r="O422" s="306">
        <f t="shared" ref="O422:O427" si="321">L422*M422-N422*L422</f>
        <v>7</v>
      </c>
    </row>
    <row r="423" spans="1:16" ht="18" customHeight="1">
      <c r="A423" s="85"/>
      <c r="B423" s="86"/>
      <c r="C423" s="87"/>
      <c r="D423" s="88">
        <v>738</v>
      </c>
      <c r="E423" s="88">
        <v>1310</v>
      </c>
      <c r="F423" s="89">
        <f t="shared" si="320"/>
        <v>28</v>
      </c>
      <c r="G423" s="90">
        <f t="shared" si="318"/>
        <v>294.84952455641604</v>
      </c>
      <c r="H423" s="90">
        <f t="shared" si="319"/>
        <v>229.376</v>
      </c>
      <c r="I423" s="91" t="str">
        <f t="shared" ref="I423:I427" si="322">I422</f>
        <v>10동2라인</v>
      </c>
      <c r="J423" s="92" t="s">
        <v>207</v>
      </c>
      <c r="L423" s="89">
        <v>4</v>
      </c>
      <c r="M423" s="306">
        <f t="shared" ref="M423:M426" si="323">M422</f>
        <v>7</v>
      </c>
      <c r="N423" s="306"/>
      <c r="O423" s="306">
        <f t="shared" si="321"/>
        <v>28</v>
      </c>
    </row>
    <row r="424" spans="1:16" ht="18" customHeight="1">
      <c r="A424" s="85"/>
      <c r="B424" s="86"/>
      <c r="C424" s="87"/>
      <c r="D424" s="88">
        <v>288</v>
      </c>
      <c r="E424" s="88">
        <v>910</v>
      </c>
      <c r="F424" s="89">
        <f t="shared" si="320"/>
        <v>14</v>
      </c>
      <c r="G424" s="90">
        <f t="shared" si="318"/>
        <v>39.964709342221347</v>
      </c>
      <c r="H424" s="90">
        <f t="shared" si="319"/>
        <v>67.087999999999994</v>
      </c>
      <c r="I424" s="91" t="str">
        <f t="shared" si="322"/>
        <v>10동2라인</v>
      </c>
      <c r="J424" s="92" t="s">
        <v>208</v>
      </c>
      <c r="L424" s="89">
        <v>2</v>
      </c>
      <c r="M424" s="306">
        <f t="shared" si="323"/>
        <v>7</v>
      </c>
      <c r="N424" s="306"/>
      <c r="O424" s="306">
        <f t="shared" si="321"/>
        <v>14</v>
      </c>
    </row>
    <row r="425" spans="1:16" ht="18" customHeight="1">
      <c r="A425" s="85"/>
      <c r="B425" s="86"/>
      <c r="C425" s="87"/>
      <c r="D425" s="88">
        <v>228</v>
      </c>
      <c r="E425" s="88">
        <v>910</v>
      </c>
      <c r="F425" s="89">
        <f t="shared" si="320"/>
        <v>14</v>
      </c>
      <c r="G425" s="90">
        <f t="shared" si="318"/>
        <v>31.638728229258568</v>
      </c>
      <c r="H425" s="90">
        <f t="shared" si="319"/>
        <v>63.728000000000002</v>
      </c>
      <c r="I425" s="91" t="str">
        <f t="shared" si="322"/>
        <v>10동2라인</v>
      </c>
      <c r="J425" s="92" t="s">
        <v>209</v>
      </c>
      <c r="L425" s="89">
        <v>2</v>
      </c>
      <c r="M425" s="306">
        <f t="shared" si="323"/>
        <v>7</v>
      </c>
      <c r="N425" s="306"/>
      <c r="O425" s="306">
        <f t="shared" si="321"/>
        <v>14</v>
      </c>
    </row>
    <row r="426" spans="1:16" ht="18" customHeight="1">
      <c r="A426" s="85"/>
      <c r="B426" s="86"/>
      <c r="C426" s="87"/>
      <c r="D426" s="88">
        <v>438</v>
      </c>
      <c r="E426" s="88">
        <v>270</v>
      </c>
      <c r="F426" s="89">
        <f t="shared" si="320"/>
        <v>14</v>
      </c>
      <c r="G426" s="90">
        <f t="shared" si="318"/>
        <v>18.033526124889718</v>
      </c>
      <c r="H426" s="90">
        <f t="shared" si="319"/>
        <v>39.647999999999996</v>
      </c>
      <c r="I426" s="91" t="str">
        <f t="shared" si="322"/>
        <v>10동2라인</v>
      </c>
      <c r="J426" s="92" t="s">
        <v>210</v>
      </c>
      <c r="L426" s="89">
        <v>2</v>
      </c>
      <c r="M426" s="306">
        <f t="shared" si="323"/>
        <v>7</v>
      </c>
      <c r="N426" s="306"/>
      <c r="O426" s="306">
        <f t="shared" si="321"/>
        <v>14</v>
      </c>
    </row>
    <row r="427" spans="1:16" ht="18" customHeight="1">
      <c r="A427" s="85"/>
      <c r="B427" s="86"/>
      <c r="C427" s="87"/>
      <c r="D427" s="88">
        <v>208</v>
      </c>
      <c r="E427" s="88">
        <v>910</v>
      </c>
      <c r="F427" s="89">
        <f t="shared" si="320"/>
        <v>14</v>
      </c>
      <c r="G427" s="90">
        <f t="shared" si="318"/>
        <v>28.863401191604311</v>
      </c>
      <c r="H427" s="90">
        <f t="shared" si="319"/>
        <v>62.608000000000004</v>
      </c>
      <c r="I427" s="91" t="str">
        <f t="shared" si="322"/>
        <v>10동2라인</v>
      </c>
      <c r="J427" s="92" t="s">
        <v>211</v>
      </c>
      <c r="L427" s="89">
        <v>2</v>
      </c>
      <c r="M427" s="306">
        <f>M426</f>
        <v>7</v>
      </c>
      <c r="N427" s="306"/>
      <c r="O427" s="306">
        <f t="shared" si="321"/>
        <v>14</v>
      </c>
    </row>
    <row r="428" spans="1:16" ht="18" customHeight="1">
      <c r="A428" s="85"/>
      <c r="B428" s="93"/>
      <c r="C428" s="87"/>
      <c r="D428" s="325" t="s">
        <v>0</v>
      </c>
      <c r="E428" s="325"/>
      <c r="F428" s="94">
        <f>SUM(F421:F427)</f>
        <v>105</v>
      </c>
      <c r="G428" s="95">
        <f>SUM(G421:G427)</f>
        <v>856.34240651787968</v>
      </c>
      <c r="H428" s="96">
        <f>SUM(H421:H427)</f>
        <v>704.36799999999994</v>
      </c>
      <c r="I428" s="97"/>
      <c r="J428" s="162"/>
    </row>
    <row r="429" spans="1:16" ht="18" customHeight="1">
      <c r="A429" s="85"/>
      <c r="B429" s="93"/>
      <c r="C429" s="87"/>
      <c r="D429" s="161"/>
      <c r="E429" s="161"/>
      <c r="F429" s="89"/>
      <c r="G429" s="100"/>
      <c r="H429" s="101"/>
      <c r="I429" s="102"/>
      <c r="J429" s="121"/>
      <c r="L429" s="306" t="s">
        <v>48</v>
      </c>
      <c r="M429" s="306" t="s">
        <v>54</v>
      </c>
      <c r="N429" s="306" t="s">
        <v>50</v>
      </c>
      <c r="O429" s="306" t="s">
        <v>55</v>
      </c>
    </row>
    <row r="430" spans="1:16" ht="18" customHeight="1">
      <c r="A430" s="85"/>
      <c r="B430" s="23" t="s">
        <v>197</v>
      </c>
      <c r="C430" s="24">
        <v>22</v>
      </c>
      <c r="D430" s="88">
        <v>761</v>
      </c>
      <c r="E430" s="88">
        <v>1810</v>
      </c>
      <c r="F430" s="89">
        <f t="shared" ref="F430:F436" si="324">O430</f>
        <v>14</v>
      </c>
      <c r="G430" s="90">
        <f t="shared" ref="G430:G436" si="325">D430*E430/91809*F430</f>
        <v>210.04193488655798</v>
      </c>
      <c r="H430" s="90">
        <f t="shared" ref="H430:H436" si="326">(D430/1000)*4*F430+(E430/1000)*4*F430</f>
        <v>143.976</v>
      </c>
      <c r="I430" s="91" t="str">
        <f t="shared" ref="I430:I436" si="327">I421</f>
        <v>10동2라인</v>
      </c>
      <c r="J430" s="92" t="s">
        <v>212</v>
      </c>
      <c r="L430" s="89">
        <v>2</v>
      </c>
      <c r="M430" s="306">
        <f>M421</f>
        <v>7</v>
      </c>
      <c r="N430" s="84"/>
      <c r="O430" s="306">
        <f>L430*M430-N430*L430</f>
        <v>14</v>
      </c>
    </row>
    <row r="431" spans="1:16" ht="18" customHeight="1">
      <c r="A431" s="85"/>
      <c r="B431" s="86"/>
      <c r="C431" s="87"/>
      <c r="D431" s="88">
        <v>1688</v>
      </c>
      <c r="E431" s="88">
        <v>1810</v>
      </c>
      <c r="F431" s="89">
        <f t="shared" si="324"/>
        <v>7</v>
      </c>
      <c r="G431" s="90">
        <f t="shared" si="325"/>
        <v>232.95058218693157</v>
      </c>
      <c r="H431" s="90">
        <f t="shared" si="326"/>
        <v>97.943999999999988</v>
      </c>
      <c r="I431" s="91" t="str">
        <f t="shared" si="327"/>
        <v>10동2라인</v>
      </c>
      <c r="J431" s="92" t="s">
        <v>213</v>
      </c>
      <c r="L431" s="89">
        <v>1</v>
      </c>
      <c r="M431" s="306">
        <f>M430</f>
        <v>7</v>
      </c>
      <c r="N431" s="84"/>
      <c r="O431" s="306">
        <f>L431*M431-N431*L431</f>
        <v>7</v>
      </c>
    </row>
    <row r="432" spans="1:16" ht="18" customHeight="1">
      <c r="A432" s="104"/>
      <c r="B432" s="93"/>
      <c r="C432" s="87"/>
      <c r="D432" s="88">
        <v>738</v>
      </c>
      <c r="E432" s="88">
        <v>1310</v>
      </c>
      <c r="F432" s="89">
        <f t="shared" si="324"/>
        <v>28</v>
      </c>
      <c r="G432" s="90">
        <f t="shared" si="325"/>
        <v>294.84952455641604</v>
      </c>
      <c r="H432" s="90">
        <f t="shared" si="326"/>
        <v>229.376</v>
      </c>
      <c r="I432" s="91" t="str">
        <f t="shared" si="327"/>
        <v>10동2라인</v>
      </c>
      <c r="J432" s="92" t="s">
        <v>214</v>
      </c>
      <c r="L432" s="89">
        <v>4</v>
      </c>
      <c r="M432" s="306">
        <f t="shared" ref="M432:M436" si="328">M431</f>
        <v>7</v>
      </c>
      <c r="N432" s="84"/>
      <c r="O432" s="306">
        <f t="shared" ref="O432:O436" si="329">L432*M432-N432*L432</f>
        <v>28</v>
      </c>
    </row>
    <row r="433" spans="1:16" ht="18" customHeight="1">
      <c r="A433" s="104"/>
      <c r="B433" s="93"/>
      <c r="C433" s="87"/>
      <c r="D433" s="88">
        <v>288</v>
      </c>
      <c r="E433" s="88">
        <v>910</v>
      </c>
      <c r="F433" s="89">
        <f t="shared" si="324"/>
        <v>14</v>
      </c>
      <c r="G433" s="90">
        <f t="shared" si="325"/>
        <v>39.964709342221347</v>
      </c>
      <c r="H433" s="90">
        <f t="shared" si="326"/>
        <v>67.087999999999994</v>
      </c>
      <c r="I433" s="91" t="str">
        <f t="shared" si="327"/>
        <v>10동2라인</v>
      </c>
      <c r="J433" s="92" t="s">
        <v>215</v>
      </c>
      <c r="L433" s="89">
        <v>2</v>
      </c>
      <c r="M433" s="306">
        <f t="shared" si="328"/>
        <v>7</v>
      </c>
      <c r="N433" s="306"/>
      <c r="O433" s="306">
        <f t="shared" si="329"/>
        <v>14</v>
      </c>
    </row>
    <row r="434" spans="1:16" ht="18" customHeight="1">
      <c r="A434" s="104"/>
      <c r="B434" s="93"/>
      <c r="C434" s="87"/>
      <c r="D434" s="88">
        <v>228</v>
      </c>
      <c r="E434" s="88">
        <v>910</v>
      </c>
      <c r="F434" s="89">
        <f t="shared" si="324"/>
        <v>14</v>
      </c>
      <c r="G434" s="90">
        <f t="shared" si="325"/>
        <v>31.638728229258568</v>
      </c>
      <c r="H434" s="90">
        <f t="shared" si="326"/>
        <v>63.728000000000002</v>
      </c>
      <c r="I434" s="91" t="str">
        <f t="shared" si="327"/>
        <v>10동2라인</v>
      </c>
      <c r="J434" s="92" t="s">
        <v>216</v>
      </c>
      <c r="L434" s="89">
        <v>2</v>
      </c>
      <c r="M434" s="306">
        <f t="shared" si="328"/>
        <v>7</v>
      </c>
      <c r="N434" s="306"/>
      <c r="O434" s="306">
        <f t="shared" si="329"/>
        <v>14</v>
      </c>
    </row>
    <row r="435" spans="1:16" ht="18" customHeight="1">
      <c r="A435" s="104"/>
      <c r="B435" s="93"/>
      <c r="C435" s="87"/>
      <c r="D435" s="88">
        <v>438</v>
      </c>
      <c r="E435" s="88">
        <v>270</v>
      </c>
      <c r="F435" s="89">
        <f t="shared" si="324"/>
        <v>14</v>
      </c>
      <c r="G435" s="90">
        <f t="shared" si="325"/>
        <v>18.033526124889718</v>
      </c>
      <c r="H435" s="90">
        <f t="shared" si="326"/>
        <v>39.647999999999996</v>
      </c>
      <c r="I435" s="91" t="str">
        <f t="shared" si="327"/>
        <v>10동2라인</v>
      </c>
      <c r="J435" s="92" t="s">
        <v>217</v>
      </c>
      <c r="L435" s="89">
        <v>2</v>
      </c>
      <c r="M435" s="306">
        <f t="shared" si="328"/>
        <v>7</v>
      </c>
      <c r="N435" s="306"/>
      <c r="O435" s="306">
        <f t="shared" si="329"/>
        <v>14</v>
      </c>
    </row>
    <row r="436" spans="1:16" ht="18" customHeight="1">
      <c r="A436" s="104"/>
      <c r="B436" s="93"/>
      <c r="C436" s="87"/>
      <c r="D436" s="88">
        <v>208</v>
      </c>
      <c r="E436" s="88">
        <v>910</v>
      </c>
      <c r="F436" s="89">
        <f t="shared" si="324"/>
        <v>14</v>
      </c>
      <c r="G436" s="90">
        <f t="shared" si="325"/>
        <v>28.863401191604311</v>
      </c>
      <c r="H436" s="90">
        <f t="shared" si="326"/>
        <v>62.608000000000004</v>
      </c>
      <c r="I436" s="91" t="str">
        <f t="shared" si="327"/>
        <v>10동2라인</v>
      </c>
      <c r="J436" s="92" t="s">
        <v>218</v>
      </c>
      <c r="L436" s="89">
        <v>2</v>
      </c>
      <c r="M436" s="306">
        <f t="shared" si="328"/>
        <v>7</v>
      </c>
      <c r="N436" s="306"/>
      <c r="O436" s="306">
        <f t="shared" si="329"/>
        <v>14</v>
      </c>
    </row>
    <row r="437" spans="1:16" ht="18" customHeight="1">
      <c r="A437" s="104"/>
      <c r="B437" s="87"/>
      <c r="C437" s="87"/>
      <c r="D437" s="325" t="s">
        <v>0</v>
      </c>
      <c r="E437" s="325"/>
      <c r="F437" s="171">
        <f>SUM(F430:F436)</f>
        <v>105</v>
      </c>
      <c r="G437" s="95">
        <f>SUM(G430:G436)</f>
        <v>856.34240651787968</v>
      </c>
      <c r="H437" s="95">
        <f>SUM(H430:H436)</f>
        <v>704.36799999999994</v>
      </c>
      <c r="I437" s="97"/>
      <c r="J437" s="98"/>
    </row>
    <row r="438" spans="1:16">
      <c r="A438" s="105"/>
      <c r="B438" s="9"/>
      <c r="C438" s="9"/>
      <c r="D438" s="51"/>
      <c r="E438" s="51"/>
      <c r="F438" s="51"/>
      <c r="G438" s="106"/>
      <c r="H438" s="106"/>
      <c r="I438" s="9"/>
      <c r="J438" s="107"/>
    </row>
    <row r="439" spans="1:16" ht="18" customHeight="1">
      <c r="A439" s="85"/>
      <c r="B439" s="163" t="s">
        <v>199</v>
      </c>
      <c r="C439" s="163">
        <v>22</v>
      </c>
      <c r="D439" s="88">
        <v>738</v>
      </c>
      <c r="E439" s="88">
        <v>1810</v>
      </c>
      <c r="F439" s="89">
        <f t="shared" ref="F439:F440" si="330">O439</f>
        <v>0</v>
      </c>
      <c r="G439" s="90">
        <f t="shared" ref="G439:G440" si="331">D439*E439/91809*F439</f>
        <v>0</v>
      </c>
      <c r="H439" s="90">
        <f t="shared" ref="H439:H440" si="332">(D439/1000)*4*F439+(E439/1000)*4*F439</f>
        <v>0</v>
      </c>
      <c r="I439" s="91" t="str">
        <f>I430</f>
        <v>10동2라인</v>
      </c>
      <c r="J439" s="92" t="s">
        <v>219</v>
      </c>
      <c r="L439" s="89">
        <v>2</v>
      </c>
      <c r="M439" s="306">
        <f>M421</f>
        <v>7</v>
      </c>
      <c r="N439" s="84">
        <v>7</v>
      </c>
      <c r="O439" s="306">
        <f>L439*M439-N439*L439</f>
        <v>0</v>
      </c>
      <c r="P439" s="64" t="s">
        <v>247</v>
      </c>
    </row>
    <row r="440" spans="1:16" ht="18" customHeight="1">
      <c r="A440" s="85"/>
      <c r="B440" s="86"/>
      <c r="C440" s="87"/>
      <c r="D440" s="88">
        <v>250</v>
      </c>
      <c r="E440" s="88">
        <v>930</v>
      </c>
      <c r="F440" s="89">
        <f t="shared" si="330"/>
        <v>14</v>
      </c>
      <c r="G440" s="90">
        <f t="shared" si="331"/>
        <v>35.454040453550306</v>
      </c>
      <c r="H440" s="90">
        <f t="shared" si="332"/>
        <v>66.080000000000013</v>
      </c>
      <c r="I440" s="91" t="str">
        <f>I439</f>
        <v>10동2라인</v>
      </c>
      <c r="J440" s="92" t="s">
        <v>220</v>
      </c>
      <c r="L440" s="89">
        <v>2</v>
      </c>
      <c r="M440" s="306">
        <f>M439</f>
        <v>7</v>
      </c>
      <c r="N440" s="84"/>
      <c r="O440" s="306">
        <f t="shared" ref="O440" si="333">L440*M440-N440*L440</f>
        <v>14</v>
      </c>
    </row>
    <row r="441" spans="1:16" ht="18" customHeight="1">
      <c r="A441" s="85"/>
      <c r="B441" s="93"/>
      <c r="C441" s="87"/>
      <c r="D441" s="325" t="s">
        <v>0</v>
      </c>
      <c r="E441" s="325"/>
      <c r="F441" s="94">
        <f>SUM(F439:F440)</f>
        <v>14</v>
      </c>
      <c r="G441" s="95">
        <f>SUM(G439:G440)</f>
        <v>35.454040453550306</v>
      </c>
      <c r="H441" s="95">
        <f>SUM(H439:H440)</f>
        <v>66.080000000000013</v>
      </c>
      <c r="I441" s="97"/>
      <c r="J441" s="98"/>
    </row>
    <row r="442" spans="1:16">
      <c r="A442" s="236"/>
      <c r="B442" s="237"/>
      <c r="C442" s="238"/>
      <c r="D442" s="362"/>
      <c r="E442" s="362"/>
      <c r="F442" s="239"/>
      <c r="G442" s="240"/>
      <c r="H442" s="241"/>
      <c r="I442" s="242"/>
      <c r="J442" s="243"/>
    </row>
    <row r="443" spans="1:16" ht="18" customHeight="1">
      <c r="A443" s="244" t="s">
        <v>234</v>
      </c>
      <c r="B443" s="23" t="s">
        <v>195</v>
      </c>
      <c r="C443" s="24">
        <v>22</v>
      </c>
      <c r="D443" s="88">
        <v>761</v>
      </c>
      <c r="E443" s="88">
        <v>1810</v>
      </c>
      <c r="F443" s="89">
        <f>O443</f>
        <v>14</v>
      </c>
      <c r="G443" s="90">
        <f t="shared" ref="G443:G449" si="334">D443*E443/91809*F443</f>
        <v>210.04193488655798</v>
      </c>
      <c r="H443" s="90">
        <f t="shared" ref="H443:H449" si="335">(D443/1000)*4*F443+(E443/1000)*4*F443</f>
        <v>143.976</v>
      </c>
      <c r="I443" s="91" t="s">
        <v>262</v>
      </c>
      <c r="J443" s="92" t="s">
        <v>205</v>
      </c>
      <c r="L443" s="89">
        <v>2</v>
      </c>
      <c r="M443" s="306">
        <v>7</v>
      </c>
      <c r="N443" s="84"/>
      <c r="O443" s="306">
        <f>L443*M443-N443*L443</f>
        <v>14</v>
      </c>
      <c r="P443" s="64"/>
    </row>
    <row r="444" spans="1:16" ht="18" customHeight="1">
      <c r="A444" s="85"/>
      <c r="B444" s="86"/>
      <c r="C444" s="87"/>
      <c r="D444" s="88">
        <v>1688</v>
      </c>
      <c r="E444" s="88">
        <v>1810</v>
      </c>
      <c r="F444" s="89">
        <f t="shared" ref="F444:F449" si="336">O444</f>
        <v>7</v>
      </c>
      <c r="G444" s="90">
        <f t="shared" si="334"/>
        <v>232.95058218693157</v>
      </c>
      <c r="H444" s="90">
        <f t="shared" si="335"/>
        <v>97.943999999999988</v>
      </c>
      <c r="I444" s="91" t="str">
        <f>I443</f>
        <v>10동3라인</v>
      </c>
      <c r="J444" s="92" t="s">
        <v>206</v>
      </c>
      <c r="L444" s="89">
        <v>1</v>
      </c>
      <c r="M444" s="306">
        <f>M443</f>
        <v>7</v>
      </c>
      <c r="N444" s="84"/>
      <c r="O444" s="306">
        <f t="shared" ref="O444:O449" si="337">L444*M444-N444*L444</f>
        <v>7</v>
      </c>
    </row>
    <row r="445" spans="1:16" ht="18" customHeight="1">
      <c r="A445" s="85"/>
      <c r="B445" s="86"/>
      <c r="C445" s="87"/>
      <c r="D445" s="88">
        <v>738</v>
      </c>
      <c r="E445" s="88">
        <v>1310</v>
      </c>
      <c r="F445" s="89">
        <f t="shared" si="336"/>
        <v>28</v>
      </c>
      <c r="G445" s="90">
        <f t="shared" si="334"/>
        <v>294.84952455641604</v>
      </c>
      <c r="H445" s="90">
        <f t="shared" si="335"/>
        <v>229.376</v>
      </c>
      <c r="I445" s="91" t="str">
        <f t="shared" ref="I445:I449" si="338">I444</f>
        <v>10동3라인</v>
      </c>
      <c r="J445" s="92" t="s">
        <v>207</v>
      </c>
      <c r="L445" s="89">
        <v>4</v>
      </c>
      <c r="M445" s="306">
        <f t="shared" ref="M445:M448" si="339">M444</f>
        <v>7</v>
      </c>
      <c r="N445" s="306"/>
      <c r="O445" s="306">
        <f t="shared" si="337"/>
        <v>28</v>
      </c>
    </row>
    <row r="446" spans="1:16" ht="18" customHeight="1">
      <c r="A446" s="85"/>
      <c r="B446" s="86"/>
      <c r="C446" s="87"/>
      <c r="D446" s="88">
        <v>288</v>
      </c>
      <c r="E446" s="88">
        <v>910</v>
      </c>
      <c r="F446" s="89">
        <f t="shared" si="336"/>
        <v>14</v>
      </c>
      <c r="G446" s="90">
        <f t="shared" si="334"/>
        <v>39.964709342221347</v>
      </c>
      <c r="H446" s="90">
        <f t="shared" si="335"/>
        <v>67.087999999999994</v>
      </c>
      <c r="I446" s="91" t="str">
        <f t="shared" si="338"/>
        <v>10동3라인</v>
      </c>
      <c r="J446" s="92" t="s">
        <v>208</v>
      </c>
      <c r="L446" s="89">
        <v>2</v>
      </c>
      <c r="M446" s="306">
        <f t="shared" si="339"/>
        <v>7</v>
      </c>
      <c r="N446" s="306"/>
      <c r="O446" s="306">
        <f t="shared" si="337"/>
        <v>14</v>
      </c>
    </row>
    <row r="447" spans="1:16" ht="18" customHeight="1">
      <c r="A447" s="85"/>
      <c r="B447" s="86"/>
      <c r="C447" s="87"/>
      <c r="D447" s="88">
        <v>228</v>
      </c>
      <c r="E447" s="88">
        <v>910</v>
      </c>
      <c r="F447" s="89">
        <f t="shared" si="336"/>
        <v>14</v>
      </c>
      <c r="G447" s="90">
        <f t="shared" si="334"/>
        <v>31.638728229258568</v>
      </c>
      <c r="H447" s="90">
        <f t="shared" si="335"/>
        <v>63.728000000000002</v>
      </c>
      <c r="I447" s="91" t="str">
        <f t="shared" si="338"/>
        <v>10동3라인</v>
      </c>
      <c r="J447" s="92" t="s">
        <v>209</v>
      </c>
      <c r="L447" s="89">
        <v>2</v>
      </c>
      <c r="M447" s="306">
        <f t="shared" si="339"/>
        <v>7</v>
      </c>
      <c r="N447" s="306"/>
      <c r="O447" s="306">
        <f t="shared" si="337"/>
        <v>14</v>
      </c>
    </row>
    <row r="448" spans="1:16" ht="18" customHeight="1">
      <c r="A448" s="85"/>
      <c r="B448" s="86"/>
      <c r="C448" s="87"/>
      <c r="D448" s="88">
        <v>438</v>
      </c>
      <c r="E448" s="88">
        <v>270</v>
      </c>
      <c r="F448" s="89">
        <f t="shared" si="336"/>
        <v>14</v>
      </c>
      <c r="G448" s="90">
        <f t="shared" si="334"/>
        <v>18.033526124889718</v>
      </c>
      <c r="H448" s="90">
        <f t="shared" si="335"/>
        <v>39.647999999999996</v>
      </c>
      <c r="I448" s="91" t="str">
        <f t="shared" si="338"/>
        <v>10동3라인</v>
      </c>
      <c r="J448" s="92" t="s">
        <v>210</v>
      </c>
      <c r="L448" s="89">
        <v>2</v>
      </c>
      <c r="M448" s="306">
        <f t="shared" si="339"/>
        <v>7</v>
      </c>
      <c r="N448" s="306"/>
      <c r="O448" s="306">
        <f t="shared" si="337"/>
        <v>14</v>
      </c>
    </row>
    <row r="449" spans="1:16" ht="18" customHeight="1">
      <c r="A449" s="85"/>
      <c r="B449" s="86"/>
      <c r="C449" s="87"/>
      <c r="D449" s="88">
        <v>208</v>
      </c>
      <c r="E449" s="88">
        <v>910</v>
      </c>
      <c r="F449" s="89">
        <f t="shared" si="336"/>
        <v>14</v>
      </c>
      <c r="G449" s="90">
        <f t="shared" si="334"/>
        <v>28.863401191604311</v>
      </c>
      <c r="H449" s="90">
        <f t="shared" si="335"/>
        <v>62.608000000000004</v>
      </c>
      <c r="I449" s="91" t="str">
        <f t="shared" si="338"/>
        <v>10동3라인</v>
      </c>
      <c r="J449" s="92" t="s">
        <v>211</v>
      </c>
      <c r="L449" s="89">
        <v>2</v>
      </c>
      <c r="M449" s="306">
        <f>M448</f>
        <v>7</v>
      </c>
      <c r="N449" s="306"/>
      <c r="O449" s="306">
        <f t="shared" si="337"/>
        <v>14</v>
      </c>
    </row>
    <row r="450" spans="1:16" ht="18" customHeight="1">
      <c r="A450" s="85"/>
      <c r="B450" s="93"/>
      <c r="C450" s="87"/>
      <c r="D450" s="325" t="s">
        <v>0</v>
      </c>
      <c r="E450" s="325"/>
      <c r="F450" s="94">
        <f>SUM(F443:F449)</f>
        <v>105</v>
      </c>
      <c r="G450" s="95">
        <f>SUM(G443:G449)</f>
        <v>856.34240651787968</v>
      </c>
      <c r="H450" s="96">
        <f>SUM(H443:H449)</f>
        <v>704.36799999999994</v>
      </c>
      <c r="I450" s="97"/>
      <c r="J450" s="162"/>
    </row>
    <row r="451" spans="1:16" ht="18" customHeight="1">
      <c r="A451" s="85"/>
      <c r="B451" s="93"/>
      <c r="C451" s="87"/>
      <c r="D451" s="161"/>
      <c r="E451" s="161"/>
      <c r="F451" s="89"/>
      <c r="G451" s="100"/>
      <c r="H451" s="101"/>
      <c r="I451" s="102"/>
      <c r="J451" s="121"/>
      <c r="L451" s="306" t="s">
        <v>48</v>
      </c>
      <c r="M451" s="306" t="s">
        <v>54</v>
      </c>
      <c r="N451" s="306" t="s">
        <v>50</v>
      </c>
      <c r="O451" s="306" t="s">
        <v>55</v>
      </c>
    </row>
    <row r="452" spans="1:16" ht="18" customHeight="1">
      <c r="A452" s="85"/>
      <c r="B452" s="23" t="s">
        <v>197</v>
      </c>
      <c r="C452" s="24">
        <v>22</v>
      </c>
      <c r="D452" s="88">
        <v>761</v>
      </c>
      <c r="E452" s="88">
        <v>1810</v>
      </c>
      <c r="F452" s="89">
        <f t="shared" ref="F452:F458" si="340">O452</f>
        <v>14</v>
      </c>
      <c r="G452" s="90">
        <f t="shared" ref="G452:G458" si="341">D452*E452/91809*F452</f>
        <v>210.04193488655798</v>
      </c>
      <c r="H452" s="90">
        <f t="shared" ref="H452:H458" si="342">(D452/1000)*4*F452+(E452/1000)*4*F452</f>
        <v>143.976</v>
      </c>
      <c r="I452" s="91" t="str">
        <f t="shared" ref="I452:I458" si="343">I443</f>
        <v>10동3라인</v>
      </c>
      <c r="J452" s="92" t="s">
        <v>212</v>
      </c>
      <c r="L452" s="89">
        <v>2</v>
      </c>
      <c r="M452" s="306">
        <f>M443</f>
        <v>7</v>
      </c>
      <c r="N452" s="84"/>
      <c r="O452" s="306">
        <f>L452*M452-N452*L452</f>
        <v>14</v>
      </c>
    </row>
    <row r="453" spans="1:16" ht="18" customHeight="1">
      <c r="A453" s="85"/>
      <c r="B453" s="86"/>
      <c r="C453" s="87"/>
      <c r="D453" s="88">
        <v>1688</v>
      </c>
      <c r="E453" s="88">
        <v>1810</v>
      </c>
      <c r="F453" s="89">
        <f t="shared" si="340"/>
        <v>7</v>
      </c>
      <c r="G453" s="90">
        <f t="shared" si="341"/>
        <v>232.95058218693157</v>
      </c>
      <c r="H453" s="90">
        <f t="shared" si="342"/>
        <v>97.943999999999988</v>
      </c>
      <c r="I453" s="91" t="str">
        <f t="shared" si="343"/>
        <v>10동3라인</v>
      </c>
      <c r="J453" s="92" t="s">
        <v>213</v>
      </c>
      <c r="L453" s="89">
        <v>1</v>
      </c>
      <c r="M453" s="306">
        <f>M452</f>
        <v>7</v>
      </c>
      <c r="N453" s="84"/>
      <c r="O453" s="306">
        <f>L453*M453-N453*L453</f>
        <v>7</v>
      </c>
    </row>
    <row r="454" spans="1:16" ht="18" customHeight="1">
      <c r="A454" s="104"/>
      <c r="B454" s="93"/>
      <c r="C454" s="87"/>
      <c r="D454" s="88">
        <v>738</v>
      </c>
      <c r="E454" s="88">
        <v>1310</v>
      </c>
      <c r="F454" s="89">
        <f t="shared" si="340"/>
        <v>28</v>
      </c>
      <c r="G454" s="90">
        <f t="shared" si="341"/>
        <v>294.84952455641604</v>
      </c>
      <c r="H454" s="90">
        <f t="shared" si="342"/>
        <v>229.376</v>
      </c>
      <c r="I454" s="91" t="str">
        <f t="shared" si="343"/>
        <v>10동3라인</v>
      </c>
      <c r="J454" s="92" t="s">
        <v>214</v>
      </c>
      <c r="L454" s="89">
        <v>4</v>
      </c>
      <c r="M454" s="306">
        <f t="shared" ref="M454:M458" si="344">M453</f>
        <v>7</v>
      </c>
      <c r="N454" s="84"/>
      <c r="O454" s="306">
        <f t="shared" ref="O454:O458" si="345">L454*M454-N454*L454</f>
        <v>28</v>
      </c>
    </row>
    <row r="455" spans="1:16" ht="18" customHeight="1">
      <c r="A455" s="104"/>
      <c r="B455" s="93"/>
      <c r="C455" s="87"/>
      <c r="D455" s="88">
        <v>288</v>
      </c>
      <c r="E455" s="88">
        <v>910</v>
      </c>
      <c r="F455" s="89">
        <f t="shared" si="340"/>
        <v>14</v>
      </c>
      <c r="G455" s="90">
        <f t="shared" si="341"/>
        <v>39.964709342221347</v>
      </c>
      <c r="H455" s="90">
        <f t="shared" si="342"/>
        <v>67.087999999999994</v>
      </c>
      <c r="I455" s="91" t="str">
        <f t="shared" si="343"/>
        <v>10동3라인</v>
      </c>
      <c r="J455" s="92" t="s">
        <v>215</v>
      </c>
      <c r="L455" s="89">
        <v>2</v>
      </c>
      <c r="M455" s="306">
        <f t="shared" si="344"/>
        <v>7</v>
      </c>
      <c r="N455" s="306"/>
      <c r="O455" s="306">
        <f t="shared" si="345"/>
        <v>14</v>
      </c>
    </row>
    <row r="456" spans="1:16" ht="18" customHeight="1">
      <c r="A456" s="104"/>
      <c r="B456" s="93"/>
      <c r="C456" s="87"/>
      <c r="D456" s="88">
        <v>228</v>
      </c>
      <c r="E456" s="88">
        <v>910</v>
      </c>
      <c r="F456" s="89">
        <f t="shared" si="340"/>
        <v>14</v>
      </c>
      <c r="G456" s="90">
        <f t="shared" si="341"/>
        <v>31.638728229258568</v>
      </c>
      <c r="H456" s="90">
        <f t="shared" si="342"/>
        <v>63.728000000000002</v>
      </c>
      <c r="I456" s="91" t="str">
        <f t="shared" si="343"/>
        <v>10동3라인</v>
      </c>
      <c r="J456" s="92" t="s">
        <v>216</v>
      </c>
      <c r="L456" s="89">
        <v>2</v>
      </c>
      <c r="M456" s="306">
        <f t="shared" si="344"/>
        <v>7</v>
      </c>
      <c r="N456" s="306"/>
      <c r="O456" s="306">
        <f t="shared" si="345"/>
        <v>14</v>
      </c>
    </row>
    <row r="457" spans="1:16" ht="18" customHeight="1">
      <c r="A457" s="104"/>
      <c r="B457" s="93"/>
      <c r="C457" s="87"/>
      <c r="D457" s="88">
        <v>438</v>
      </c>
      <c r="E457" s="88">
        <v>270</v>
      </c>
      <c r="F457" s="89">
        <f t="shared" si="340"/>
        <v>14</v>
      </c>
      <c r="G457" s="90">
        <f t="shared" si="341"/>
        <v>18.033526124889718</v>
      </c>
      <c r="H457" s="90">
        <f t="shared" si="342"/>
        <v>39.647999999999996</v>
      </c>
      <c r="I457" s="91" t="str">
        <f t="shared" si="343"/>
        <v>10동3라인</v>
      </c>
      <c r="J457" s="92" t="s">
        <v>217</v>
      </c>
      <c r="L457" s="89">
        <v>2</v>
      </c>
      <c r="M457" s="306">
        <f t="shared" si="344"/>
        <v>7</v>
      </c>
      <c r="N457" s="306"/>
      <c r="O457" s="306">
        <f t="shared" si="345"/>
        <v>14</v>
      </c>
    </row>
    <row r="458" spans="1:16" ht="18" customHeight="1">
      <c r="A458" s="104"/>
      <c r="B458" s="93"/>
      <c r="C458" s="87"/>
      <c r="D458" s="88">
        <v>208</v>
      </c>
      <c r="E458" s="88">
        <v>910</v>
      </c>
      <c r="F458" s="89">
        <f t="shared" si="340"/>
        <v>14</v>
      </c>
      <c r="G458" s="90">
        <f t="shared" si="341"/>
        <v>28.863401191604311</v>
      </c>
      <c r="H458" s="90">
        <f t="shared" si="342"/>
        <v>62.608000000000004</v>
      </c>
      <c r="I458" s="91" t="str">
        <f t="shared" si="343"/>
        <v>10동3라인</v>
      </c>
      <c r="J458" s="92" t="s">
        <v>218</v>
      </c>
      <c r="L458" s="89">
        <v>2</v>
      </c>
      <c r="M458" s="306">
        <f t="shared" si="344"/>
        <v>7</v>
      </c>
      <c r="N458" s="306"/>
      <c r="O458" s="306">
        <f t="shared" si="345"/>
        <v>14</v>
      </c>
    </row>
    <row r="459" spans="1:16" ht="18" customHeight="1">
      <c r="A459" s="104"/>
      <c r="B459" s="87"/>
      <c r="C459" s="87"/>
      <c r="D459" s="325" t="s">
        <v>0</v>
      </c>
      <c r="E459" s="325"/>
      <c r="F459" s="171">
        <f>SUM(F452:F458)</f>
        <v>105</v>
      </c>
      <c r="G459" s="95">
        <f>SUM(G452:G458)</f>
        <v>856.34240651787968</v>
      </c>
      <c r="H459" s="95">
        <f>SUM(H452:H458)</f>
        <v>704.36799999999994</v>
      </c>
      <c r="I459" s="97"/>
      <c r="J459" s="98"/>
    </row>
    <row r="460" spans="1:16">
      <c r="A460" s="105"/>
      <c r="B460" s="9"/>
      <c r="C460" s="9"/>
      <c r="D460" s="51"/>
      <c r="E460" s="51"/>
      <c r="F460" s="51"/>
      <c r="G460" s="106"/>
      <c r="H460" s="106"/>
      <c r="I460" s="9"/>
      <c r="J460" s="107"/>
    </row>
    <row r="461" spans="1:16" ht="18" customHeight="1">
      <c r="A461" s="85"/>
      <c r="B461" s="163" t="s">
        <v>199</v>
      </c>
      <c r="C461" s="163">
        <v>22</v>
      </c>
      <c r="D461" s="88">
        <v>738</v>
      </c>
      <c r="E461" s="88">
        <v>1810</v>
      </c>
      <c r="F461" s="89">
        <f t="shared" ref="F461:F462" si="346">O461</f>
        <v>14</v>
      </c>
      <c r="G461" s="90">
        <f t="shared" ref="G461:G462" si="347">D461*E461/91809*F461</f>
        <v>203.69375551416528</v>
      </c>
      <c r="H461" s="90">
        <f t="shared" ref="H461:H462" si="348">(D461/1000)*4*F461+(E461/1000)*4*F461</f>
        <v>142.68799999999999</v>
      </c>
      <c r="I461" s="91" t="str">
        <f>I452</f>
        <v>10동3라인</v>
      </c>
      <c r="J461" s="92" t="s">
        <v>219</v>
      </c>
      <c r="L461" s="89">
        <v>2</v>
      </c>
      <c r="M461" s="306">
        <f>M443</f>
        <v>7</v>
      </c>
      <c r="N461" s="84"/>
      <c r="O461" s="306">
        <f>L461*M461-N461*L461</f>
        <v>14</v>
      </c>
      <c r="P461" s="64"/>
    </row>
    <row r="462" spans="1:16" ht="18" customHeight="1">
      <c r="A462" s="85"/>
      <c r="B462" s="86"/>
      <c r="C462" s="87"/>
      <c r="D462" s="88">
        <v>250</v>
      </c>
      <c r="E462" s="88">
        <v>930</v>
      </c>
      <c r="F462" s="89">
        <f t="shared" si="346"/>
        <v>14</v>
      </c>
      <c r="G462" s="90">
        <f t="shared" si="347"/>
        <v>35.454040453550306</v>
      </c>
      <c r="H462" s="90">
        <f t="shared" si="348"/>
        <v>66.080000000000013</v>
      </c>
      <c r="I462" s="91" t="str">
        <f>I461</f>
        <v>10동3라인</v>
      </c>
      <c r="J462" s="92" t="s">
        <v>220</v>
      </c>
      <c r="L462" s="89">
        <v>2</v>
      </c>
      <c r="M462" s="306">
        <f>M461</f>
        <v>7</v>
      </c>
      <c r="N462" s="84"/>
      <c r="O462" s="306">
        <f t="shared" ref="O462" si="349">L462*M462-N462*L462</f>
        <v>14</v>
      </c>
    </row>
    <row r="463" spans="1:16" ht="18" customHeight="1" thickBot="1">
      <c r="A463" s="222"/>
      <c r="B463" s="223"/>
      <c r="C463" s="224"/>
      <c r="D463" s="364" t="s">
        <v>0</v>
      </c>
      <c r="E463" s="364"/>
      <c r="F463" s="269">
        <f>SUM(F461:F462)</f>
        <v>28</v>
      </c>
      <c r="G463" s="270">
        <f>SUM(G461:G462)</f>
        <v>239.14779596771558</v>
      </c>
      <c r="H463" s="270">
        <f>SUM(H461:H462)</f>
        <v>208.768</v>
      </c>
      <c r="I463" s="271"/>
      <c r="J463" s="272"/>
    </row>
    <row r="464" spans="1:16" ht="18" customHeight="1">
      <c r="A464" s="79" t="s">
        <v>235</v>
      </c>
      <c r="B464" s="231" t="s">
        <v>196</v>
      </c>
      <c r="C464" s="232">
        <v>22</v>
      </c>
      <c r="D464" s="80">
        <v>861</v>
      </c>
      <c r="E464" s="80">
        <v>1810</v>
      </c>
      <c r="F464" s="233">
        <f t="shared" ref="F464:F467" si="350">O464</f>
        <v>7</v>
      </c>
      <c r="G464" s="81">
        <f t="shared" ref="G464:G467" si="351">D464*E464/91809*F464</f>
        <v>118.82135738326308</v>
      </c>
      <c r="H464" s="81">
        <f t="shared" ref="H464:H467" si="352">(D464/1000)*4*F464+(E464/1000)*4*F464</f>
        <v>74.787999999999997</v>
      </c>
      <c r="I464" s="82" t="s">
        <v>263</v>
      </c>
      <c r="J464" s="83" t="s">
        <v>205</v>
      </c>
      <c r="L464" s="89">
        <v>1</v>
      </c>
      <c r="M464" s="306">
        <v>7</v>
      </c>
      <c r="N464" s="84"/>
      <c r="O464" s="306">
        <f>L464*M464-N464*L464</f>
        <v>7</v>
      </c>
      <c r="P464" s="64"/>
    </row>
    <row r="465" spans="1:16" ht="18" customHeight="1">
      <c r="A465" s="85"/>
      <c r="B465" s="86"/>
      <c r="C465" s="87"/>
      <c r="D465" s="88">
        <v>738</v>
      </c>
      <c r="E465" s="88">
        <v>1310</v>
      </c>
      <c r="F465" s="89">
        <f t="shared" si="350"/>
        <v>28</v>
      </c>
      <c r="G465" s="90">
        <f t="shared" si="351"/>
        <v>294.84952455641604</v>
      </c>
      <c r="H465" s="90">
        <f t="shared" si="352"/>
        <v>229.376</v>
      </c>
      <c r="I465" s="91" t="str">
        <f>I464</f>
        <v>10동4라인</v>
      </c>
      <c r="J465" s="92" t="s">
        <v>207</v>
      </c>
      <c r="L465" s="89">
        <v>4</v>
      </c>
      <c r="M465" s="306">
        <f>M464</f>
        <v>7</v>
      </c>
      <c r="N465" s="84"/>
      <c r="O465" s="306">
        <f t="shared" ref="O465:O467" si="353">L465*M465-N465*L465</f>
        <v>28</v>
      </c>
    </row>
    <row r="466" spans="1:16" ht="18" customHeight="1">
      <c r="A466" s="85"/>
      <c r="B466" s="86"/>
      <c r="C466" s="87"/>
      <c r="D466" s="88">
        <v>228</v>
      </c>
      <c r="E466" s="88">
        <v>910</v>
      </c>
      <c r="F466" s="89">
        <f t="shared" si="350"/>
        <v>14</v>
      </c>
      <c r="G466" s="90">
        <f t="shared" si="351"/>
        <v>31.638728229258568</v>
      </c>
      <c r="H466" s="90">
        <f t="shared" si="352"/>
        <v>63.728000000000002</v>
      </c>
      <c r="I466" s="91" t="str">
        <f t="shared" ref="I466:I467" si="354">I465</f>
        <v>10동4라인</v>
      </c>
      <c r="J466" s="92" t="s">
        <v>209</v>
      </c>
      <c r="L466" s="89">
        <v>2</v>
      </c>
      <c r="M466" s="306">
        <f t="shared" ref="M466:M467" si="355">M465</f>
        <v>7</v>
      </c>
      <c r="N466" s="306"/>
      <c r="O466" s="306">
        <f t="shared" si="353"/>
        <v>14</v>
      </c>
    </row>
    <row r="467" spans="1:16" ht="18" customHeight="1">
      <c r="A467" s="85"/>
      <c r="B467" s="86"/>
      <c r="C467" s="87"/>
      <c r="D467" s="88">
        <v>438</v>
      </c>
      <c r="E467" s="88">
        <v>270</v>
      </c>
      <c r="F467" s="89">
        <f t="shared" si="350"/>
        <v>14</v>
      </c>
      <c r="G467" s="90">
        <f t="shared" si="351"/>
        <v>18.033526124889718</v>
      </c>
      <c r="H467" s="90">
        <f t="shared" si="352"/>
        <v>39.647999999999996</v>
      </c>
      <c r="I467" s="91" t="str">
        <f t="shared" si="354"/>
        <v>10동4라인</v>
      </c>
      <c r="J467" s="92" t="s">
        <v>210</v>
      </c>
      <c r="L467" s="89">
        <v>2</v>
      </c>
      <c r="M467" s="306">
        <f t="shared" si="355"/>
        <v>7</v>
      </c>
      <c r="N467" s="306"/>
      <c r="O467" s="306">
        <f t="shared" si="353"/>
        <v>14</v>
      </c>
    </row>
    <row r="468" spans="1:16" ht="18" customHeight="1">
      <c r="A468" s="85"/>
      <c r="B468" s="93"/>
      <c r="C468" s="87"/>
      <c r="D468" s="325" t="s">
        <v>0</v>
      </c>
      <c r="E468" s="325"/>
      <c r="F468" s="94">
        <f>SUM(F464:F467)</f>
        <v>63</v>
      </c>
      <c r="G468" s="95">
        <f>SUM(G464:G467)</f>
        <v>463.3431362938274</v>
      </c>
      <c r="H468" s="96">
        <f>SUM(H464:H467)</f>
        <v>407.53999999999996</v>
      </c>
      <c r="I468" s="97"/>
      <c r="J468" s="162"/>
    </row>
    <row r="469" spans="1:16" ht="18" customHeight="1">
      <c r="A469" s="85"/>
      <c r="B469" s="93"/>
      <c r="C469" s="87"/>
      <c r="D469" s="161"/>
      <c r="E469" s="161"/>
      <c r="F469" s="89"/>
      <c r="G469" s="100"/>
      <c r="H469" s="101"/>
      <c r="I469" s="102"/>
      <c r="J469" s="121"/>
      <c r="L469" s="252"/>
      <c r="M469" s="252"/>
      <c r="N469" s="252"/>
      <c r="O469" s="252"/>
    </row>
    <row r="470" spans="1:16" ht="18" customHeight="1">
      <c r="A470" s="85"/>
      <c r="B470" s="23" t="s">
        <v>198</v>
      </c>
      <c r="C470" s="24">
        <v>22</v>
      </c>
      <c r="D470" s="88">
        <v>861</v>
      </c>
      <c r="E470" s="88">
        <v>1810</v>
      </c>
      <c r="F470" s="89">
        <f t="shared" ref="F470:F474" si="356">O470</f>
        <v>7</v>
      </c>
      <c r="G470" s="90">
        <f t="shared" ref="G470:G474" si="357">D470*E470/91809*F470</f>
        <v>118.82135738326308</v>
      </c>
      <c r="H470" s="90">
        <f t="shared" ref="H470:H474" si="358">(D470/1000)*4*F470+(E470/1000)*4*F470</f>
        <v>74.787999999999997</v>
      </c>
      <c r="I470" s="103" t="str">
        <f>I464</f>
        <v>10동4라인</v>
      </c>
      <c r="J470" s="92" t="s">
        <v>212</v>
      </c>
      <c r="L470" s="89">
        <v>1</v>
      </c>
      <c r="M470" s="306">
        <f>M464</f>
        <v>7</v>
      </c>
      <c r="N470" s="84"/>
      <c r="O470" s="306">
        <f>L470*M470-N470*L470</f>
        <v>7</v>
      </c>
    </row>
    <row r="471" spans="1:16" ht="18" customHeight="1">
      <c r="A471" s="85"/>
      <c r="B471" s="86"/>
      <c r="C471" s="87"/>
      <c r="D471" s="88">
        <v>2114</v>
      </c>
      <c r="E471" s="88">
        <v>1810</v>
      </c>
      <c r="F471" s="89">
        <f t="shared" si="356"/>
        <v>7</v>
      </c>
      <c r="G471" s="90">
        <f t="shared" si="357"/>
        <v>291.74024333126385</v>
      </c>
      <c r="H471" s="90">
        <f t="shared" si="358"/>
        <v>109.87199999999999</v>
      </c>
      <c r="I471" s="91" t="str">
        <f>I464</f>
        <v>10동4라인</v>
      </c>
      <c r="J471" s="92" t="s">
        <v>213</v>
      </c>
      <c r="L471" s="89">
        <v>1</v>
      </c>
      <c r="M471" s="306">
        <f>M470</f>
        <v>7</v>
      </c>
      <c r="N471" s="84"/>
      <c r="O471" s="306">
        <f>L471*M471-N471*L471</f>
        <v>7</v>
      </c>
    </row>
    <row r="472" spans="1:16" ht="18" customHeight="1">
      <c r="A472" s="104"/>
      <c r="B472" s="93"/>
      <c r="C472" s="87"/>
      <c r="D472" s="88">
        <v>738</v>
      </c>
      <c r="E472" s="88">
        <v>1310</v>
      </c>
      <c r="F472" s="89">
        <f t="shared" si="356"/>
        <v>28</v>
      </c>
      <c r="G472" s="90">
        <f t="shared" si="357"/>
        <v>294.84952455641604</v>
      </c>
      <c r="H472" s="90">
        <f t="shared" si="358"/>
        <v>229.376</v>
      </c>
      <c r="I472" s="91" t="str">
        <f>I471</f>
        <v>10동4라인</v>
      </c>
      <c r="J472" s="92" t="s">
        <v>214</v>
      </c>
      <c r="L472" s="89">
        <v>4</v>
      </c>
      <c r="M472" s="306">
        <f t="shared" ref="M472:M474" si="359">M471</f>
        <v>7</v>
      </c>
      <c r="N472" s="84"/>
      <c r="O472" s="306">
        <f t="shared" ref="O472:O474" si="360">L472*M472-N472*L472</f>
        <v>28</v>
      </c>
    </row>
    <row r="473" spans="1:16" ht="18" customHeight="1">
      <c r="A473" s="104"/>
      <c r="B473" s="93"/>
      <c r="C473" s="87"/>
      <c r="D473" s="88">
        <v>228</v>
      </c>
      <c r="E473" s="88">
        <v>910</v>
      </c>
      <c r="F473" s="89">
        <f t="shared" si="356"/>
        <v>14</v>
      </c>
      <c r="G473" s="90">
        <f t="shared" si="357"/>
        <v>31.638728229258568</v>
      </c>
      <c r="H473" s="90">
        <f t="shared" si="358"/>
        <v>63.728000000000002</v>
      </c>
      <c r="I473" s="91" t="str">
        <f t="shared" ref="I473:I474" si="361">I472</f>
        <v>10동4라인</v>
      </c>
      <c r="J473" s="92" t="s">
        <v>216</v>
      </c>
      <c r="L473" s="89">
        <v>2</v>
      </c>
      <c r="M473" s="306">
        <f t="shared" si="359"/>
        <v>7</v>
      </c>
      <c r="N473" s="306"/>
      <c r="O473" s="306">
        <f t="shared" si="360"/>
        <v>14</v>
      </c>
    </row>
    <row r="474" spans="1:16" ht="18" customHeight="1">
      <c r="A474" s="104"/>
      <c r="B474" s="93"/>
      <c r="C474" s="87"/>
      <c r="D474" s="88">
        <v>438</v>
      </c>
      <c r="E474" s="88">
        <v>270</v>
      </c>
      <c r="F474" s="89">
        <f t="shared" si="356"/>
        <v>14</v>
      </c>
      <c r="G474" s="90">
        <f t="shared" si="357"/>
        <v>18.033526124889718</v>
      </c>
      <c r="H474" s="90">
        <f t="shared" si="358"/>
        <v>39.647999999999996</v>
      </c>
      <c r="I474" s="91" t="str">
        <f t="shared" si="361"/>
        <v>10동4라인</v>
      </c>
      <c r="J474" s="92" t="s">
        <v>217</v>
      </c>
      <c r="L474" s="89">
        <v>2</v>
      </c>
      <c r="M474" s="306">
        <f t="shared" si="359"/>
        <v>7</v>
      </c>
      <c r="N474" s="306"/>
      <c r="O474" s="306">
        <f t="shared" si="360"/>
        <v>14</v>
      </c>
    </row>
    <row r="475" spans="1:16" ht="18" customHeight="1">
      <c r="A475" s="104"/>
      <c r="B475" s="87"/>
      <c r="C475" s="87"/>
      <c r="D475" s="325" t="s">
        <v>0</v>
      </c>
      <c r="E475" s="325"/>
      <c r="F475" s="171">
        <f>SUM(F470:F474)</f>
        <v>70</v>
      </c>
      <c r="G475" s="95">
        <f>SUM(G470:G474)</f>
        <v>755.08337962509131</v>
      </c>
      <c r="H475" s="95">
        <f>SUM(H470:H474)</f>
        <v>517.41199999999992</v>
      </c>
      <c r="I475" s="97"/>
      <c r="J475" s="98"/>
    </row>
    <row r="476" spans="1:16">
      <c r="A476" s="105"/>
      <c r="B476" s="9"/>
      <c r="C476" s="9"/>
      <c r="D476" s="51"/>
      <c r="E476" s="51"/>
      <c r="F476" s="51"/>
      <c r="G476" s="106"/>
      <c r="H476" s="106"/>
      <c r="I476" s="9"/>
      <c r="J476" s="107"/>
    </row>
    <row r="477" spans="1:16" ht="18" customHeight="1">
      <c r="A477" s="85"/>
      <c r="B477" s="23" t="s">
        <v>237</v>
      </c>
      <c r="C477" s="24">
        <v>22</v>
      </c>
      <c r="D477" s="88">
        <v>2114</v>
      </c>
      <c r="E477" s="88">
        <v>1810</v>
      </c>
      <c r="F477" s="89">
        <f t="shared" ref="F477" si="362">O477</f>
        <v>7</v>
      </c>
      <c r="G477" s="90">
        <f t="shared" ref="G477" si="363">D477*E477/91809*F477</f>
        <v>291.74024333126385</v>
      </c>
      <c r="H477" s="90">
        <f t="shared" ref="H477" si="364">(D477/1000)*4*F477+(E477/1000)*4*F477</f>
        <v>109.87199999999999</v>
      </c>
      <c r="I477" s="91" t="str">
        <f>I470</f>
        <v>10동4라인</v>
      </c>
      <c r="J477" s="92" t="s">
        <v>206</v>
      </c>
      <c r="L477" s="89">
        <v>1</v>
      </c>
      <c r="M477" s="306">
        <f>M464</f>
        <v>7</v>
      </c>
      <c r="N477" s="84"/>
      <c r="O477" s="306">
        <f>L477*M477-N477*L477</f>
        <v>7</v>
      </c>
    </row>
    <row r="478" spans="1:16" ht="18" customHeight="1">
      <c r="A478" s="85"/>
      <c r="B478" s="93"/>
      <c r="C478" s="87"/>
      <c r="D478" s="325" t="s">
        <v>0</v>
      </c>
      <c r="E478" s="325"/>
      <c r="F478" s="94">
        <f>SUM(F477:F477)</f>
        <v>7</v>
      </c>
      <c r="G478" s="95">
        <f>SUM(G477:G477)</f>
        <v>291.74024333126385</v>
      </c>
      <c r="H478" s="95">
        <f>SUM(H477:H477)</f>
        <v>109.87199999999999</v>
      </c>
      <c r="I478" s="97"/>
      <c r="J478" s="98"/>
    </row>
    <row r="479" spans="1:16" ht="18" customHeight="1">
      <c r="A479" s="218"/>
      <c r="B479" s="219"/>
      <c r="C479" s="220"/>
      <c r="D479" s="161"/>
      <c r="E479" s="161"/>
      <c r="F479" s="89"/>
      <c r="G479" s="100"/>
      <c r="H479" s="100"/>
      <c r="I479" s="102"/>
      <c r="J479" s="221"/>
    </row>
    <row r="480" spans="1:16" ht="18" customHeight="1">
      <c r="A480" s="85"/>
      <c r="B480" s="23" t="s">
        <v>200</v>
      </c>
      <c r="C480" s="24">
        <v>22</v>
      </c>
      <c r="D480" s="88">
        <v>738</v>
      </c>
      <c r="E480" s="88">
        <v>1810</v>
      </c>
      <c r="F480" s="89">
        <f t="shared" ref="F480:F481" si="365">O480</f>
        <v>0</v>
      </c>
      <c r="G480" s="90">
        <f t="shared" ref="G480:G481" si="366">D480*E480/91809*F480</f>
        <v>0</v>
      </c>
      <c r="H480" s="90">
        <f t="shared" ref="H480:H481" si="367">(D480/1000)*4*F480+(E480/1000)*4*F480</f>
        <v>0</v>
      </c>
      <c r="I480" s="91" t="str">
        <f>I477</f>
        <v>10동4라인</v>
      </c>
      <c r="J480" s="92" t="s">
        <v>219</v>
      </c>
      <c r="L480" s="89">
        <v>2</v>
      </c>
      <c r="M480" s="306">
        <f>M477</f>
        <v>7</v>
      </c>
      <c r="N480" s="84">
        <v>7</v>
      </c>
      <c r="O480" s="306">
        <f>L480*M480-N480*L480</f>
        <v>0</v>
      </c>
      <c r="P480" s="64" t="s">
        <v>284</v>
      </c>
    </row>
    <row r="481" spans="1:16" ht="18" customHeight="1">
      <c r="A481" s="85"/>
      <c r="B481" s="86"/>
      <c r="C481" s="87"/>
      <c r="D481" s="88">
        <v>250</v>
      </c>
      <c r="E481" s="88">
        <v>930</v>
      </c>
      <c r="F481" s="89">
        <f t="shared" si="365"/>
        <v>14</v>
      </c>
      <c r="G481" s="90">
        <f t="shared" si="366"/>
        <v>35.454040453550306</v>
      </c>
      <c r="H481" s="90">
        <f t="shared" si="367"/>
        <v>66.080000000000013</v>
      </c>
      <c r="I481" s="91" t="str">
        <f>I480</f>
        <v>10동4라인</v>
      </c>
      <c r="J481" s="92" t="s">
        <v>220</v>
      </c>
      <c r="L481" s="89">
        <v>2</v>
      </c>
      <c r="M481" s="306">
        <f>M480</f>
        <v>7</v>
      </c>
      <c r="N481" s="84"/>
      <c r="O481" s="306">
        <f t="shared" ref="O481" si="368">L481*M481-N481*L481</f>
        <v>14</v>
      </c>
    </row>
    <row r="482" spans="1:16" ht="18" customHeight="1">
      <c r="A482" s="85"/>
      <c r="B482" s="93"/>
      <c r="C482" s="87"/>
      <c r="D482" s="325" t="s">
        <v>0</v>
      </c>
      <c r="E482" s="325"/>
      <c r="F482" s="94">
        <f>SUM(F480:F481)</f>
        <v>14</v>
      </c>
      <c r="G482" s="95">
        <f>SUM(G480:G481)</f>
        <v>35.454040453550306</v>
      </c>
      <c r="H482" s="96">
        <f>SUM(H480:H481)</f>
        <v>66.080000000000013</v>
      </c>
      <c r="I482" s="97"/>
      <c r="J482" s="162"/>
    </row>
    <row r="483" spans="1:16">
      <c r="A483" s="236"/>
      <c r="B483" s="237"/>
      <c r="C483" s="238"/>
      <c r="D483" s="362"/>
      <c r="E483" s="362"/>
      <c r="F483" s="239"/>
      <c r="G483" s="240"/>
      <c r="H483" s="241"/>
      <c r="I483" s="242"/>
      <c r="J483" s="243"/>
    </row>
    <row r="484" spans="1:16" ht="18" customHeight="1">
      <c r="A484" s="262" t="s">
        <v>234</v>
      </c>
      <c r="B484" s="263" t="s">
        <v>195</v>
      </c>
      <c r="C484" s="264">
        <v>22</v>
      </c>
      <c r="D484" s="265">
        <v>761</v>
      </c>
      <c r="E484" s="265">
        <v>1810</v>
      </c>
      <c r="F484" s="251">
        <f>O484</f>
        <v>28</v>
      </c>
      <c r="G484" s="266">
        <f t="shared" ref="G484:G490" si="369">D484*E484/91809*F484</f>
        <v>420.08386977311596</v>
      </c>
      <c r="H484" s="266">
        <f t="shared" ref="H484:H490" si="370">(D484/1000)*4*F484+(E484/1000)*4*F484</f>
        <v>287.952</v>
      </c>
      <c r="I484" s="267" t="s">
        <v>265</v>
      </c>
      <c r="J484" s="268" t="s">
        <v>205</v>
      </c>
      <c r="L484" s="89">
        <v>2</v>
      </c>
      <c r="M484" s="306">
        <f>2*7</f>
        <v>14</v>
      </c>
      <c r="N484" s="84"/>
      <c r="O484" s="306">
        <f>L484*M484-N484*L484</f>
        <v>28</v>
      </c>
      <c r="P484" s="64"/>
    </row>
    <row r="485" spans="1:16" ht="18" customHeight="1">
      <c r="A485" s="85"/>
      <c r="B485" s="86"/>
      <c r="C485" s="87"/>
      <c r="D485" s="88">
        <v>1688</v>
      </c>
      <c r="E485" s="88">
        <v>1810</v>
      </c>
      <c r="F485" s="89">
        <f t="shared" ref="F485:F490" si="371">O485</f>
        <v>14</v>
      </c>
      <c r="G485" s="90">
        <f t="shared" si="369"/>
        <v>465.90116437386314</v>
      </c>
      <c r="H485" s="90">
        <f t="shared" si="370"/>
        <v>195.88799999999998</v>
      </c>
      <c r="I485" s="91" t="str">
        <f>I484</f>
        <v>10동5,6라인</v>
      </c>
      <c r="J485" s="92" t="s">
        <v>206</v>
      </c>
      <c r="L485" s="89">
        <v>1</v>
      </c>
      <c r="M485" s="306">
        <f>M484</f>
        <v>14</v>
      </c>
      <c r="N485" s="84"/>
      <c r="O485" s="306">
        <f t="shared" ref="O485:O490" si="372">L485*M485-N485*L485</f>
        <v>14</v>
      </c>
    </row>
    <row r="486" spans="1:16" ht="18" customHeight="1">
      <c r="A486" s="85"/>
      <c r="B486" s="86"/>
      <c r="C486" s="87"/>
      <c r="D486" s="88">
        <v>738</v>
      </c>
      <c r="E486" s="88">
        <v>1310</v>
      </c>
      <c r="F486" s="89">
        <f t="shared" si="371"/>
        <v>56</v>
      </c>
      <c r="G486" s="90">
        <f t="shared" si="369"/>
        <v>589.69904911283209</v>
      </c>
      <c r="H486" s="90">
        <f t="shared" si="370"/>
        <v>458.75200000000001</v>
      </c>
      <c r="I486" s="91" t="str">
        <f t="shared" ref="I486:I490" si="373">I485</f>
        <v>10동5,6라인</v>
      </c>
      <c r="J486" s="92" t="s">
        <v>207</v>
      </c>
      <c r="L486" s="89">
        <v>4</v>
      </c>
      <c r="M486" s="306">
        <f t="shared" ref="M486:M489" si="374">M485</f>
        <v>14</v>
      </c>
      <c r="N486" s="306"/>
      <c r="O486" s="306">
        <f t="shared" si="372"/>
        <v>56</v>
      </c>
    </row>
    <row r="487" spans="1:16" ht="18" customHeight="1">
      <c r="A487" s="85"/>
      <c r="B487" s="86"/>
      <c r="C487" s="87"/>
      <c r="D487" s="88">
        <v>288</v>
      </c>
      <c r="E487" s="88">
        <v>910</v>
      </c>
      <c r="F487" s="89">
        <f t="shared" si="371"/>
        <v>28</v>
      </c>
      <c r="G487" s="90">
        <f t="shared" si="369"/>
        <v>79.929418684442695</v>
      </c>
      <c r="H487" s="90">
        <f t="shared" si="370"/>
        <v>134.17599999999999</v>
      </c>
      <c r="I487" s="91" t="str">
        <f t="shared" si="373"/>
        <v>10동5,6라인</v>
      </c>
      <c r="J487" s="92" t="s">
        <v>208</v>
      </c>
      <c r="L487" s="89">
        <v>2</v>
      </c>
      <c r="M487" s="306">
        <f t="shared" si="374"/>
        <v>14</v>
      </c>
      <c r="N487" s="306"/>
      <c r="O487" s="306">
        <f t="shared" si="372"/>
        <v>28</v>
      </c>
    </row>
    <row r="488" spans="1:16" ht="18" customHeight="1">
      <c r="A488" s="85"/>
      <c r="B488" s="86"/>
      <c r="C488" s="87"/>
      <c r="D488" s="88">
        <v>228</v>
      </c>
      <c r="E488" s="88">
        <v>910</v>
      </c>
      <c r="F488" s="89">
        <f t="shared" si="371"/>
        <v>28</v>
      </c>
      <c r="G488" s="90">
        <f t="shared" si="369"/>
        <v>63.277456458517136</v>
      </c>
      <c r="H488" s="90">
        <f t="shared" si="370"/>
        <v>127.456</v>
      </c>
      <c r="I488" s="91" t="str">
        <f t="shared" si="373"/>
        <v>10동5,6라인</v>
      </c>
      <c r="J488" s="92" t="s">
        <v>209</v>
      </c>
      <c r="L488" s="89">
        <v>2</v>
      </c>
      <c r="M488" s="306">
        <f t="shared" si="374"/>
        <v>14</v>
      </c>
      <c r="N488" s="306"/>
      <c r="O488" s="306">
        <f t="shared" si="372"/>
        <v>28</v>
      </c>
    </row>
    <row r="489" spans="1:16" ht="18" customHeight="1">
      <c r="A489" s="85"/>
      <c r="B489" s="86"/>
      <c r="C489" s="87"/>
      <c r="D489" s="88">
        <v>438</v>
      </c>
      <c r="E489" s="88">
        <v>270</v>
      </c>
      <c r="F489" s="89">
        <f t="shared" si="371"/>
        <v>28</v>
      </c>
      <c r="G489" s="90">
        <f t="shared" si="369"/>
        <v>36.067052249779437</v>
      </c>
      <c r="H489" s="90">
        <f t="shared" si="370"/>
        <v>79.295999999999992</v>
      </c>
      <c r="I489" s="91" t="str">
        <f t="shared" si="373"/>
        <v>10동5,6라인</v>
      </c>
      <c r="J489" s="92" t="s">
        <v>210</v>
      </c>
      <c r="L489" s="89">
        <v>2</v>
      </c>
      <c r="M489" s="306">
        <f t="shared" si="374"/>
        <v>14</v>
      </c>
      <c r="N489" s="306"/>
      <c r="O489" s="306">
        <f t="shared" si="372"/>
        <v>28</v>
      </c>
    </row>
    <row r="490" spans="1:16" ht="18" customHeight="1">
      <c r="A490" s="85"/>
      <c r="B490" s="86"/>
      <c r="C490" s="87"/>
      <c r="D490" s="88">
        <v>208</v>
      </c>
      <c r="E490" s="88">
        <v>910</v>
      </c>
      <c r="F490" s="89">
        <f t="shared" si="371"/>
        <v>28</v>
      </c>
      <c r="G490" s="90">
        <f t="shared" si="369"/>
        <v>57.726802383208621</v>
      </c>
      <c r="H490" s="90">
        <f t="shared" si="370"/>
        <v>125.21600000000001</v>
      </c>
      <c r="I490" s="91" t="str">
        <f t="shared" si="373"/>
        <v>10동5,6라인</v>
      </c>
      <c r="J490" s="92" t="s">
        <v>211</v>
      </c>
      <c r="L490" s="89">
        <v>2</v>
      </c>
      <c r="M490" s="306">
        <f>M489</f>
        <v>14</v>
      </c>
      <c r="N490" s="306"/>
      <c r="O490" s="306">
        <f t="shared" si="372"/>
        <v>28</v>
      </c>
    </row>
    <row r="491" spans="1:16" ht="18" customHeight="1">
      <c r="A491" s="85"/>
      <c r="B491" s="93"/>
      <c r="C491" s="87"/>
      <c r="D491" s="325" t="s">
        <v>0</v>
      </c>
      <c r="E491" s="325"/>
      <c r="F491" s="94">
        <f>SUM(F484:F490)</f>
        <v>210</v>
      </c>
      <c r="G491" s="95">
        <f>SUM(G484:G490)</f>
        <v>1712.6848130357594</v>
      </c>
      <c r="H491" s="96">
        <f>SUM(H484:H490)</f>
        <v>1408.7359999999999</v>
      </c>
      <c r="I491" s="97"/>
      <c r="J491" s="162"/>
    </row>
    <row r="492" spans="1:16" ht="18" customHeight="1">
      <c r="A492" s="85"/>
      <c r="B492" s="93"/>
      <c r="C492" s="87"/>
      <c r="D492" s="161"/>
      <c r="E492" s="161"/>
      <c r="F492" s="89"/>
      <c r="G492" s="100"/>
      <c r="H492" s="101"/>
      <c r="I492" s="102"/>
      <c r="J492" s="121"/>
      <c r="L492" s="306" t="s">
        <v>48</v>
      </c>
      <c r="M492" s="306" t="s">
        <v>54</v>
      </c>
      <c r="N492" s="306" t="s">
        <v>50</v>
      </c>
      <c r="O492" s="306" t="s">
        <v>55</v>
      </c>
    </row>
    <row r="493" spans="1:16" ht="18" customHeight="1">
      <c r="A493" s="85"/>
      <c r="B493" s="23" t="s">
        <v>197</v>
      </c>
      <c r="C493" s="24">
        <v>22</v>
      </c>
      <c r="D493" s="88">
        <v>761</v>
      </c>
      <c r="E493" s="88">
        <v>1810</v>
      </c>
      <c r="F493" s="89">
        <f t="shared" ref="F493:F499" si="375">O493</f>
        <v>28</v>
      </c>
      <c r="G493" s="90">
        <f t="shared" ref="G493:G499" si="376">D493*E493/91809*F493</f>
        <v>420.08386977311596</v>
      </c>
      <c r="H493" s="90">
        <f t="shared" ref="H493:H499" si="377">(D493/1000)*4*F493+(E493/1000)*4*F493</f>
        <v>287.952</v>
      </c>
      <c r="I493" s="91" t="str">
        <f t="shared" ref="I493:I499" si="378">I484</f>
        <v>10동5,6라인</v>
      </c>
      <c r="J493" s="92" t="s">
        <v>212</v>
      </c>
      <c r="L493" s="89">
        <v>2</v>
      </c>
      <c r="M493" s="306">
        <f>M484</f>
        <v>14</v>
      </c>
      <c r="N493" s="84"/>
      <c r="O493" s="306">
        <f>L493*M493-N493*L493</f>
        <v>28</v>
      </c>
    </row>
    <row r="494" spans="1:16" ht="18" customHeight="1">
      <c r="A494" s="85"/>
      <c r="B494" s="86"/>
      <c r="C494" s="87"/>
      <c r="D494" s="88">
        <v>1688</v>
      </c>
      <c r="E494" s="88">
        <v>1810</v>
      </c>
      <c r="F494" s="89">
        <f t="shared" si="375"/>
        <v>14</v>
      </c>
      <c r="G494" s="90">
        <f t="shared" si="376"/>
        <v>465.90116437386314</v>
      </c>
      <c r="H494" s="90">
        <f t="shared" si="377"/>
        <v>195.88799999999998</v>
      </c>
      <c r="I494" s="91" t="str">
        <f t="shared" si="378"/>
        <v>10동5,6라인</v>
      </c>
      <c r="J494" s="92" t="s">
        <v>213</v>
      </c>
      <c r="L494" s="89">
        <v>1</v>
      </c>
      <c r="M494" s="306">
        <f>M493</f>
        <v>14</v>
      </c>
      <c r="N494" s="84"/>
      <c r="O494" s="306">
        <f>L494*M494-N494*L494</f>
        <v>14</v>
      </c>
    </row>
    <row r="495" spans="1:16" ht="18" customHeight="1">
      <c r="A495" s="104"/>
      <c r="B495" s="93"/>
      <c r="C495" s="87"/>
      <c r="D495" s="88">
        <v>738</v>
      </c>
      <c r="E495" s="88">
        <v>1310</v>
      </c>
      <c r="F495" s="89">
        <f t="shared" si="375"/>
        <v>56</v>
      </c>
      <c r="G495" s="90">
        <f t="shared" si="376"/>
        <v>589.69904911283209</v>
      </c>
      <c r="H495" s="90">
        <f t="shared" si="377"/>
        <v>458.75200000000001</v>
      </c>
      <c r="I495" s="91" t="str">
        <f t="shared" si="378"/>
        <v>10동5,6라인</v>
      </c>
      <c r="J495" s="92" t="s">
        <v>214</v>
      </c>
      <c r="L495" s="89">
        <v>4</v>
      </c>
      <c r="M495" s="306">
        <f t="shared" ref="M495:M499" si="379">M494</f>
        <v>14</v>
      </c>
      <c r="N495" s="84"/>
      <c r="O495" s="306">
        <f t="shared" ref="O495:O499" si="380">L495*M495-N495*L495</f>
        <v>56</v>
      </c>
    </row>
    <row r="496" spans="1:16" ht="18" customHeight="1">
      <c r="A496" s="104"/>
      <c r="B496" s="93"/>
      <c r="C496" s="87"/>
      <c r="D496" s="88">
        <v>288</v>
      </c>
      <c r="E496" s="88">
        <v>910</v>
      </c>
      <c r="F496" s="89">
        <f t="shared" si="375"/>
        <v>28</v>
      </c>
      <c r="G496" s="90">
        <f t="shared" si="376"/>
        <v>79.929418684442695</v>
      </c>
      <c r="H496" s="90">
        <f t="shared" si="377"/>
        <v>134.17599999999999</v>
      </c>
      <c r="I496" s="91" t="str">
        <f t="shared" si="378"/>
        <v>10동5,6라인</v>
      </c>
      <c r="J496" s="92" t="s">
        <v>215</v>
      </c>
      <c r="L496" s="89">
        <v>2</v>
      </c>
      <c r="M496" s="306">
        <f t="shared" si="379"/>
        <v>14</v>
      </c>
      <c r="N496" s="306"/>
      <c r="O496" s="306">
        <f t="shared" si="380"/>
        <v>28</v>
      </c>
    </row>
    <row r="497" spans="1:16" ht="18" customHeight="1">
      <c r="A497" s="104"/>
      <c r="B497" s="93"/>
      <c r="C497" s="87"/>
      <c r="D497" s="88">
        <v>228</v>
      </c>
      <c r="E497" s="88">
        <v>910</v>
      </c>
      <c r="F497" s="89">
        <f t="shared" si="375"/>
        <v>28</v>
      </c>
      <c r="G497" s="90">
        <f t="shared" si="376"/>
        <v>63.277456458517136</v>
      </c>
      <c r="H497" s="90">
        <f t="shared" si="377"/>
        <v>127.456</v>
      </c>
      <c r="I497" s="91" t="str">
        <f t="shared" si="378"/>
        <v>10동5,6라인</v>
      </c>
      <c r="J497" s="92" t="s">
        <v>216</v>
      </c>
      <c r="L497" s="89">
        <v>2</v>
      </c>
      <c r="M497" s="306">
        <f t="shared" si="379"/>
        <v>14</v>
      </c>
      <c r="N497" s="306"/>
      <c r="O497" s="306">
        <f t="shared" si="380"/>
        <v>28</v>
      </c>
    </row>
    <row r="498" spans="1:16" ht="18" customHeight="1">
      <c r="A498" s="104"/>
      <c r="B498" s="93"/>
      <c r="C498" s="87"/>
      <c r="D498" s="88">
        <v>438</v>
      </c>
      <c r="E498" s="88">
        <v>270</v>
      </c>
      <c r="F498" s="89">
        <f t="shared" si="375"/>
        <v>28</v>
      </c>
      <c r="G498" s="90">
        <f t="shared" si="376"/>
        <v>36.067052249779437</v>
      </c>
      <c r="H498" s="90">
        <f t="shared" si="377"/>
        <v>79.295999999999992</v>
      </c>
      <c r="I498" s="91" t="str">
        <f t="shared" si="378"/>
        <v>10동5,6라인</v>
      </c>
      <c r="J498" s="92" t="s">
        <v>217</v>
      </c>
      <c r="L498" s="89">
        <v>2</v>
      </c>
      <c r="M498" s="306">
        <f t="shared" si="379"/>
        <v>14</v>
      </c>
      <c r="N498" s="306"/>
      <c r="O498" s="306">
        <f t="shared" si="380"/>
        <v>28</v>
      </c>
    </row>
    <row r="499" spans="1:16" ht="18" customHeight="1">
      <c r="A499" s="104"/>
      <c r="B499" s="93"/>
      <c r="C499" s="87"/>
      <c r="D499" s="88">
        <v>208</v>
      </c>
      <c r="E499" s="88">
        <v>910</v>
      </c>
      <c r="F499" s="89">
        <f t="shared" si="375"/>
        <v>28</v>
      </c>
      <c r="G499" s="90">
        <f t="shared" si="376"/>
        <v>57.726802383208621</v>
      </c>
      <c r="H499" s="90">
        <f t="shared" si="377"/>
        <v>125.21600000000001</v>
      </c>
      <c r="I499" s="91" t="str">
        <f t="shared" si="378"/>
        <v>10동5,6라인</v>
      </c>
      <c r="J499" s="92" t="s">
        <v>218</v>
      </c>
      <c r="L499" s="89">
        <v>2</v>
      </c>
      <c r="M499" s="306">
        <f t="shared" si="379"/>
        <v>14</v>
      </c>
      <c r="N499" s="306"/>
      <c r="O499" s="306">
        <f t="shared" si="380"/>
        <v>28</v>
      </c>
    </row>
    <row r="500" spans="1:16" ht="18" customHeight="1">
      <c r="A500" s="104"/>
      <c r="B500" s="87"/>
      <c r="C500" s="87"/>
      <c r="D500" s="325" t="s">
        <v>0</v>
      </c>
      <c r="E500" s="325"/>
      <c r="F500" s="171">
        <f>SUM(F493:F499)</f>
        <v>210</v>
      </c>
      <c r="G500" s="95">
        <f>SUM(G493:G499)</f>
        <v>1712.6848130357594</v>
      </c>
      <c r="H500" s="95">
        <f>SUM(H493:H499)</f>
        <v>1408.7359999999999</v>
      </c>
      <c r="I500" s="97"/>
      <c r="J500" s="98"/>
    </row>
    <row r="501" spans="1:16">
      <c r="A501" s="105"/>
      <c r="B501" s="9"/>
      <c r="C501" s="9"/>
      <c r="D501" s="51"/>
      <c r="E501" s="51"/>
      <c r="F501" s="51"/>
      <c r="G501" s="106"/>
      <c r="H501" s="106"/>
      <c r="I501" s="9"/>
      <c r="J501" s="107"/>
    </row>
    <row r="502" spans="1:16" ht="18" customHeight="1">
      <c r="A502" s="85"/>
      <c r="B502" s="163" t="s">
        <v>199</v>
      </c>
      <c r="C502" s="163">
        <v>22</v>
      </c>
      <c r="D502" s="88">
        <v>738</v>
      </c>
      <c r="E502" s="88">
        <v>1810</v>
      </c>
      <c r="F502" s="89">
        <f t="shared" ref="F502:F503" si="381">O502</f>
        <v>28</v>
      </c>
      <c r="G502" s="90">
        <f t="shared" ref="G502:G503" si="382">D502*E502/91809*F502</f>
        <v>407.38751102833055</v>
      </c>
      <c r="H502" s="90">
        <f t="shared" ref="H502:H503" si="383">(D502/1000)*4*F502+(E502/1000)*4*F502</f>
        <v>285.37599999999998</v>
      </c>
      <c r="I502" s="91" t="str">
        <f>I493</f>
        <v>10동5,6라인</v>
      </c>
      <c r="J502" s="92" t="s">
        <v>219</v>
      </c>
      <c r="L502" s="89">
        <v>2</v>
      </c>
      <c r="M502" s="306">
        <f>M484</f>
        <v>14</v>
      </c>
      <c r="N502" s="84"/>
      <c r="O502" s="306">
        <f>L502*M502-N502*L502</f>
        <v>28</v>
      </c>
      <c r="P502" s="64"/>
    </row>
    <row r="503" spans="1:16" ht="18" customHeight="1">
      <c r="A503" s="85"/>
      <c r="B503" s="86"/>
      <c r="C503" s="87"/>
      <c r="D503" s="88">
        <v>250</v>
      </c>
      <c r="E503" s="88">
        <v>930</v>
      </c>
      <c r="F503" s="89">
        <f t="shared" si="381"/>
        <v>28</v>
      </c>
      <c r="G503" s="90">
        <f t="shared" si="382"/>
        <v>70.908080907100612</v>
      </c>
      <c r="H503" s="90">
        <f t="shared" si="383"/>
        <v>132.16000000000003</v>
      </c>
      <c r="I503" s="91" t="str">
        <f>I502</f>
        <v>10동5,6라인</v>
      </c>
      <c r="J503" s="92" t="s">
        <v>220</v>
      </c>
      <c r="L503" s="89">
        <v>2</v>
      </c>
      <c r="M503" s="306">
        <f>M502</f>
        <v>14</v>
      </c>
      <c r="N503" s="84"/>
      <c r="O503" s="306">
        <f t="shared" ref="O503" si="384">L503*M503-N503*L503</f>
        <v>28</v>
      </c>
    </row>
    <row r="504" spans="1:16" ht="18" customHeight="1">
      <c r="A504" s="85"/>
      <c r="B504" s="93"/>
      <c r="C504" s="87"/>
      <c r="D504" s="325" t="s">
        <v>0</v>
      </c>
      <c r="E504" s="325"/>
      <c r="F504" s="94">
        <f>SUM(F502:F503)</f>
        <v>56</v>
      </c>
      <c r="G504" s="95">
        <f>SUM(G502:G503)</f>
        <v>478.29559193543116</v>
      </c>
      <c r="H504" s="95">
        <f>SUM(H502:H503)</f>
        <v>417.536</v>
      </c>
      <c r="I504" s="97"/>
      <c r="J504" s="98"/>
    </row>
    <row r="505" spans="1:16">
      <c r="A505" s="166"/>
      <c r="B505" s="166"/>
      <c r="C505" s="166"/>
      <c r="D505" s="167"/>
      <c r="E505" s="167"/>
      <c r="F505" s="167"/>
      <c r="G505" s="168"/>
      <c r="H505" s="168"/>
      <c r="I505" s="166"/>
      <c r="J505" s="166"/>
    </row>
    <row r="506" spans="1:16" ht="18" customHeight="1">
      <c r="A506" s="85" t="s">
        <v>235</v>
      </c>
      <c r="B506" s="23" t="s">
        <v>196</v>
      </c>
      <c r="C506" s="24">
        <v>22</v>
      </c>
      <c r="D506" s="88">
        <v>861</v>
      </c>
      <c r="E506" s="88">
        <v>1810</v>
      </c>
      <c r="F506" s="89">
        <f t="shared" ref="F506:F509" si="385">O506</f>
        <v>3</v>
      </c>
      <c r="G506" s="90">
        <f t="shared" ref="G506:G509" si="386">D506*E506/91809*F506</f>
        <v>50.923438878541319</v>
      </c>
      <c r="H506" s="90">
        <f t="shared" ref="H506:H509" si="387">(D506/1000)*4*F506+(E506/1000)*4*F506</f>
        <v>32.052</v>
      </c>
      <c r="I506" s="91" t="s">
        <v>266</v>
      </c>
      <c r="J506" s="92" t="s">
        <v>205</v>
      </c>
      <c r="L506" s="89">
        <v>1</v>
      </c>
      <c r="M506" s="306">
        <v>3</v>
      </c>
      <c r="N506" s="84"/>
      <c r="O506" s="306">
        <f>L506*M506-N506*L506</f>
        <v>3</v>
      </c>
      <c r="P506" s="64"/>
    </row>
    <row r="507" spans="1:16" ht="18" customHeight="1">
      <c r="A507" s="85"/>
      <c r="B507" s="86"/>
      <c r="C507" s="87"/>
      <c r="D507" s="88">
        <v>738</v>
      </c>
      <c r="E507" s="88">
        <v>1310</v>
      </c>
      <c r="F507" s="89">
        <f t="shared" si="385"/>
        <v>12</v>
      </c>
      <c r="G507" s="90">
        <f t="shared" si="386"/>
        <v>126.36408195274973</v>
      </c>
      <c r="H507" s="90">
        <f t="shared" si="387"/>
        <v>98.304000000000002</v>
      </c>
      <c r="I507" s="91" t="str">
        <f>I506</f>
        <v>11동1라인</v>
      </c>
      <c r="J507" s="92" t="s">
        <v>207</v>
      </c>
      <c r="L507" s="89">
        <v>4</v>
      </c>
      <c r="M507" s="306">
        <f>M506</f>
        <v>3</v>
      </c>
      <c r="N507" s="84"/>
      <c r="O507" s="306">
        <f t="shared" ref="O507:O509" si="388">L507*M507-N507*L507</f>
        <v>12</v>
      </c>
    </row>
    <row r="508" spans="1:16" ht="18" customHeight="1">
      <c r="A508" s="85"/>
      <c r="B508" s="86"/>
      <c r="C508" s="87"/>
      <c r="D508" s="88">
        <v>228</v>
      </c>
      <c r="E508" s="88">
        <v>910</v>
      </c>
      <c r="F508" s="89">
        <f t="shared" si="385"/>
        <v>6</v>
      </c>
      <c r="G508" s="90">
        <f t="shared" si="386"/>
        <v>13.559454955396529</v>
      </c>
      <c r="H508" s="90">
        <f t="shared" si="387"/>
        <v>27.312000000000001</v>
      </c>
      <c r="I508" s="91" t="str">
        <f t="shared" ref="I508:I509" si="389">I507</f>
        <v>11동1라인</v>
      </c>
      <c r="J508" s="92" t="s">
        <v>209</v>
      </c>
      <c r="L508" s="89">
        <v>2</v>
      </c>
      <c r="M508" s="306">
        <f t="shared" ref="M508:M509" si="390">M507</f>
        <v>3</v>
      </c>
      <c r="N508" s="306"/>
      <c r="O508" s="306">
        <f t="shared" si="388"/>
        <v>6</v>
      </c>
    </row>
    <row r="509" spans="1:16" ht="18" customHeight="1">
      <c r="A509" s="85"/>
      <c r="B509" s="86"/>
      <c r="C509" s="87"/>
      <c r="D509" s="88">
        <v>438</v>
      </c>
      <c r="E509" s="88">
        <v>270</v>
      </c>
      <c r="F509" s="89">
        <f t="shared" si="385"/>
        <v>6</v>
      </c>
      <c r="G509" s="90">
        <f t="shared" si="386"/>
        <v>7.7286540535241652</v>
      </c>
      <c r="H509" s="90">
        <f t="shared" si="387"/>
        <v>16.992000000000001</v>
      </c>
      <c r="I509" s="91" t="str">
        <f t="shared" si="389"/>
        <v>11동1라인</v>
      </c>
      <c r="J509" s="92" t="s">
        <v>210</v>
      </c>
      <c r="L509" s="89">
        <v>2</v>
      </c>
      <c r="M509" s="306">
        <f t="shared" si="390"/>
        <v>3</v>
      </c>
      <c r="N509" s="306"/>
      <c r="O509" s="306">
        <f t="shared" si="388"/>
        <v>6</v>
      </c>
    </row>
    <row r="510" spans="1:16" ht="18" customHeight="1">
      <c r="A510" s="85"/>
      <c r="B510" s="93"/>
      <c r="C510" s="87"/>
      <c r="D510" s="325" t="s">
        <v>0</v>
      </c>
      <c r="E510" s="325"/>
      <c r="F510" s="94">
        <f>SUM(F506:F509)</f>
        <v>27</v>
      </c>
      <c r="G510" s="95">
        <f>SUM(G506:G509)</f>
        <v>198.57562984021172</v>
      </c>
      <c r="H510" s="96">
        <f>SUM(H506:H509)</f>
        <v>174.66</v>
      </c>
      <c r="I510" s="97"/>
      <c r="J510" s="162"/>
    </row>
    <row r="511" spans="1:16" ht="18" customHeight="1">
      <c r="A511" s="85"/>
      <c r="B511" s="93"/>
      <c r="C511" s="87"/>
      <c r="D511" s="161"/>
      <c r="E511" s="161"/>
      <c r="F511" s="89"/>
      <c r="G511" s="100"/>
      <c r="H511" s="101"/>
      <c r="I511" s="102"/>
      <c r="J511" s="121"/>
      <c r="L511" s="252"/>
      <c r="M511" s="252"/>
      <c r="N511" s="252"/>
      <c r="O511" s="252"/>
    </row>
    <row r="512" spans="1:16" ht="18" customHeight="1">
      <c r="A512" s="85"/>
      <c r="B512" s="23" t="s">
        <v>198</v>
      </c>
      <c r="C512" s="24">
        <v>22</v>
      </c>
      <c r="D512" s="88">
        <v>861</v>
      </c>
      <c r="E512" s="88">
        <v>1810</v>
      </c>
      <c r="F512" s="89">
        <f t="shared" ref="F512:F516" si="391">O512</f>
        <v>3</v>
      </c>
      <c r="G512" s="90">
        <f t="shared" ref="G512:G516" si="392">D512*E512/91809*F512</f>
        <v>50.923438878541319</v>
      </c>
      <c r="H512" s="90">
        <f t="shared" ref="H512:H516" si="393">(D512/1000)*4*F512+(E512/1000)*4*F512</f>
        <v>32.052</v>
      </c>
      <c r="I512" s="103" t="str">
        <f>I506</f>
        <v>11동1라인</v>
      </c>
      <c r="J512" s="92" t="s">
        <v>212</v>
      </c>
      <c r="L512" s="89">
        <v>1</v>
      </c>
      <c r="M512" s="306">
        <f>M506</f>
        <v>3</v>
      </c>
      <c r="N512" s="84"/>
      <c r="O512" s="306">
        <f>L512*M512-N512*L512</f>
        <v>3</v>
      </c>
    </row>
    <row r="513" spans="1:16" ht="18" customHeight="1">
      <c r="A513" s="85"/>
      <c r="B513" s="86"/>
      <c r="C513" s="87"/>
      <c r="D513" s="88">
        <v>2114</v>
      </c>
      <c r="E513" s="88">
        <v>1810</v>
      </c>
      <c r="F513" s="89">
        <f t="shared" si="391"/>
        <v>3</v>
      </c>
      <c r="G513" s="90">
        <f t="shared" si="392"/>
        <v>125.03153285625592</v>
      </c>
      <c r="H513" s="90">
        <f t="shared" si="393"/>
        <v>47.087999999999994</v>
      </c>
      <c r="I513" s="91" t="str">
        <f>I506</f>
        <v>11동1라인</v>
      </c>
      <c r="J513" s="92" t="s">
        <v>213</v>
      </c>
      <c r="L513" s="89">
        <v>1</v>
      </c>
      <c r="M513" s="306">
        <f>M512</f>
        <v>3</v>
      </c>
      <c r="N513" s="84"/>
      <c r="O513" s="306">
        <f>L513*M513-N513*L513</f>
        <v>3</v>
      </c>
    </row>
    <row r="514" spans="1:16" ht="18" customHeight="1">
      <c r="A514" s="104"/>
      <c r="B514" s="93"/>
      <c r="C514" s="87"/>
      <c r="D514" s="88">
        <v>738</v>
      </c>
      <c r="E514" s="88">
        <v>1310</v>
      </c>
      <c r="F514" s="89">
        <f t="shared" si="391"/>
        <v>12</v>
      </c>
      <c r="G514" s="90">
        <f t="shared" si="392"/>
        <v>126.36408195274973</v>
      </c>
      <c r="H514" s="90">
        <f t="shared" si="393"/>
        <v>98.304000000000002</v>
      </c>
      <c r="I514" s="91" t="str">
        <f>I513</f>
        <v>11동1라인</v>
      </c>
      <c r="J514" s="92" t="s">
        <v>214</v>
      </c>
      <c r="L514" s="89">
        <v>4</v>
      </c>
      <c r="M514" s="306">
        <f t="shared" ref="M514:M516" si="394">M513</f>
        <v>3</v>
      </c>
      <c r="N514" s="84"/>
      <c r="O514" s="306">
        <f t="shared" ref="O514:O516" si="395">L514*M514-N514*L514</f>
        <v>12</v>
      </c>
    </row>
    <row r="515" spans="1:16" ht="18" customHeight="1">
      <c r="A515" s="104"/>
      <c r="B515" s="93"/>
      <c r="C515" s="87"/>
      <c r="D515" s="88">
        <v>228</v>
      </c>
      <c r="E515" s="88">
        <v>910</v>
      </c>
      <c r="F515" s="89">
        <f t="shared" si="391"/>
        <v>6</v>
      </c>
      <c r="G515" s="90">
        <f t="shared" si="392"/>
        <v>13.559454955396529</v>
      </c>
      <c r="H515" s="90">
        <f t="shared" si="393"/>
        <v>27.312000000000001</v>
      </c>
      <c r="I515" s="91" t="str">
        <f t="shared" ref="I515:I516" si="396">I514</f>
        <v>11동1라인</v>
      </c>
      <c r="J515" s="92" t="s">
        <v>216</v>
      </c>
      <c r="L515" s="89">
        <v>2</v>
      </c>
      <c r="M515" s="306">
        <f t="shared" si="394"/>
        <v>3</v>
      </c>
      <c r="N515" s="306"/>
      <c r="O515" s="306">
        <f t="shared" si="395"/>
        <v>6</v>
      </c>
    </row>
    <row r="516" spans="1:16" ht="18" customHeight="1">
      <c r="A516" s="104"/>
      <c r="B516" s="93"/>
      <c r="C516" s="87"/>
      <c r="D516" s="88">
        <v>438</v>
      </c>
      <c r="E516" s="88">
        <v>270</v>
      </c>
      <c r="F516" s="89">
        <f t="shared" si="391"/>
        <v>6</v>
      </c>
      <c r="G516" s="90">
        <f t="shared" si="392"/>
        <v>7.7286540535241652</v>
      </c>
      <c r="H516" s="90">
        <f t="shared" si="393"/>
        <v>16.992000000000001</v>
      </c>
      <c r="I516" s="91" t="str">
        <f t="shared" si="396"/>
        <v>11동1라인</v>
      </c>
      <c r="J516" s="92" t="s">
        <v>217</v>
      </c>
      <c r="L516" s="89">
        <v>2</v>
      </c>
      <c r="M516" s="306">
        <f t="shared" si="394"/>
        <v>3</v>
      </c>
      <c r="N516" s="306"/>
      <c r="O516" s="306">
        <f t="shared" si="395"/>
        <v>6</v>
      </c>
    </row>
    <row r="517" spans="1:16" ht="18" customHeight="1">
      <c r="A517" s="104"/>
      <c r="B517" s="87"/>
      <c r="C517" s="87"/>
      <c r="D517" s="325" t="s">
        <v>0</v>
      </c>
      <c r="E517" s="325"/>
      <c r="F517" s="171">
        <f>SUM(F512:F516)</f>
        <v>30</v>
      </c>
      <c r="G517" s="95">
        <f>SUM(G512:G516)</f>
        <v>323.6071626964677</v>
      </c>
      <c r="H517" s="95">
        <f>SUM(H512:H516)</f>
        <v>221.74799999999999</v>
      </c>
      <c r="I517" s="97"/>
      <c r="J517" s="98"/>
    </row>
    <row r="518" spans="1:16">
      <c r="A518" s="105"/>
      <c r="B518" s="9"/>
      <c r="C518" s="9"/>
      <c r="D518" s="51"/>
      <c r="E518" s="51"/>
      <c r="F518" s="51"/>
      <c r="G518" s="106"/>
      <c r="H518" s="106"/>
      <c r="I518" s="9"/>
      <c r="J518" s="107"/>
    </row>
    <row r="519" spans="1:16" ht="18" customHeight="1">
      <c r="A519" s="85"/>
      <c r="B519" s="23" t="s">
        <v>237</v>
      </c>
      <c r="C519" s="24">
        <v>22</v>
      </c>
      <c r="D519" s="88">
        <v>2114</v>
      </c>
      <c r="E519" s="88">
        <v>1810</v>
      </c>
      <c r="F519" s="89">
        <f t="shared" ref="F519" si="397">O519</f>
        <v>3</v>
      </c>
      <c r="G519" s="90">
        <f t="shared" ref="G519" si="398">D519*E519/91809*F519</f>
        <v>125.03153285625592</v>
      </c>
      <c r="H519" s="90">
        <f t="shared" ref="H519" si="399">(D519/1000)*4*F519+(E519/1000)*4*F519</f>
        <v>47.087999999999994</v>
      </c>
      <c r="I519" s="91" t="str">
        <f>I512</f>
        <v>11동1라인</v>
      </c>
      <c r="J519" s="92" t="s">
        <v>206</v>
      </c>
      <c r="L519" s="89">
        <v>1</v>
      </c>
      <c r="M519" s="306">
        <f>M506</f>
        <v>3</v>
      </c>
      <c r="N519" s="84"/>
      <c r="O519" s="306">
        <f>L519*M519-N519*L519</f>
        <v>3</v>
      </c>
    </row>
    <row r="520" spans="1:16" ht="18" customHeight="1">
      <c r="A520" s="85"/>
      <c r="B520" s="93"/>
      <c r="C520" s="87"/>
      <c r="D520" s="325" t="s">
        <v>0</v>
      </c>
      <c r="E520" s="325"/>
      <c r="F520" s="94">
        <f>SUM(F519:F519)</f>
        <v>3</v>
      </c>
      <c r="G520" s="95">
        <f>SUM(G519:G519)</f>
        <v>125.03153285625592</v>
      </c>
      <c r="H520" s="95">
        <f>SUM(H519:H519)</f>
        <v>47.087999999999994</v>
      </c>
      <c r="I520" s="97"/>
      <c r="J520" s="98"/>
    </row>
    <row r="521" spans="1:16" ht="18" customHeight="1">
      <c r="A521" s="218"/>
      <c r="B521" s="219"/>
      <c r="C521" s="220"/>
      <c r="D521" s="161"/>
      <c r="E521" s="161"/>
      <c r="F521" s="89"/>
      <c r="G521" s="100"/>
      <c r="H521" s="100"/>
      <c r="I521" s="102"/>
      <c r="J521" s="221"/>
    </row>
    <row r="522" spans="1:16" ht="18" customHeight="1">
      <c r="A522" s="85"/>
      <c r="B522" s="23" t="s">
        <v>200</v>
      </c>
      <c r="C522" s="24">
        <v>22</v>
      </c>
      <c r="D522" s="88">
        <v>738</v>
      </c>
      <c r="E522" s="88">
        <v>1810</v>
      </c>
      <c r="F522" s="89">
        <f t="shared" ref="F522:F523" si="400">O522</f>
        <v>0</v>
      </c>
      <c r="G522" s="90">
        <f t="shared" ref="G522:G523" si="401">D522*E522/91809*F522</f>
        <v>0</v>
      </c>
      <c r="H522" s="90">
        <f t="shared" ref="H522:H523" si="402">(D522/1000)*4*F522+(E522/1000)*4*F522</f>
        <v>0</v>
      </c>
      <c r="I522" s="91" t="str">
        <f>I519</f>
        <v>11동1라인</v>
      </c>
      <c r="J522" s="92" t="s">
        <v>219</v>
      </c>
      <c r="L522" s="89">
        <v>2</v>
      </c>
      <c r="M522" s="306">
        <f>M519</f>
        <v>3</v>
      </c>
      <c r="N522" s="84">
        <v>3</v>
      </c>
      <c r="O522" s="306">
        <f>L522*M522-N522*L522</f>
        <v>0</v>
      </c>
      <c r="P522" s="64" t="s">
        <v>244</v>
      </c>
    </row>
    <row r="523" spans="1:16" ht="18" customHeight="1">
      <c r="A523" s="85"/>
      <c r="B523" s="86"/>
      <c r="C523" s="87"/>
      <c r="D523" s="88">
        <v>250</v>
      </c>
      <c r="E523" s="88">
        <v>930</v>
      </c>
      <c r="F523" s="89">
        <f t="shared" si="400"/>
        <v>6</v>
      </c>
      <c r="G523" s="90">
        <f t="shared" si="401"/>
        <v>15.194588765807273</v>
      </c>
      <c r="H523" s="90">
        <f t="shared" si="402"/>
        <v>28.32</v>
      </c>
      <c r="I523" s="91" t="str">
        <f>I522</f>
        <v>11동1라인</v>
      </c>
      <c r="J523" s="92" t="s">
        <v>220</v>
      </c>
      <c r="L523" s="89">
        <v>2</v>
      </c>
      <c r="M523" s="306">
        <f>M522</f>
        <v>3</v>
      </c>
      <c r="N523" s="84"/>
      <c r="O523" s="306">
        <f t="shared" ref="O523" si="403">L523*M523-N523*L523</f>
        <v>6</v>
      </c>
    </row>
    <row r="524" spans="1:16" ht="18" customHeight="1">
      <c r="A524" s="85"/>
      <c r="B524" s="93"/>
      <c r="C524" s="87"/>
      <c r="D524" s="325" t="s">
        <v>0</v>
      </c>
      <c r="E524" s="325"/>
      <c r="F524" s="94">
        <f>SUM(F522:F523)</f>
        <v>6</v>
      </c>
      <c r="G524" s="95">
        <f>SUM(G522:G523)</f>
        <v>15.194588765807273</v>
      </c>
      <c r="H524" s="96">
        <f>SUM(H522:H523)</f>
        <v>28.32</v>
      </c>
      <c r="I524" s="97"/>
      <c r="J524" s="162"/>
    </row>
    <row r="525" spans="1:16" ht="18" customHeight="1" thickBot="1">
      <c r="A525" s="222"/>
      <c r="B525" s="223"/>
      <c r="C525" s="224"/>
      <c r="D525" s="225"/>
      <c r="E525" s="225"/>
      <c r="F525" s="226"/>
      <c r="G525" s="227"/>
      <c r="H525" s="228"/>
      <c r="I525" s="229"/>
      <c r="J525" s="230"/>
      <c r="L525" s="306" t="s">
        <v>48</v>
      </c>
      <c r="M525" s="306" t="s">
        <v>49</v>
      </c>
      <c r="N525" s="306" t="s">
        <v>50</v>
      </c>
      <c r="O525" s="306" t="s">
        <v>55</v>
      </c>
    </row>
    <row r="526" spans="1:16" ht="18" customHeight="1">
      <c r="A526" s="79" t="s">
        <v>234</v>
      </c>
      <c r="B526" s="231" t="s">
        <v>195</v>
      </c>
      <c r="C526" s="232">
        <v>22</v>
      </c>
      <c r="D526" s="80">
        <v>761</v>
      </c>
      <c r="E526" s="80">
        <v>1810</v>
      </c>
      <c r="F526" s="233">
        <f>O526</f>
        <v>6</v>
      </c>
      <c r="G526" s="81">
        <f t="shared" ref="G526:G532" si="404">D526*E526/91809*F526</f>
        <v>90.017972094239127</v>
      </c>
      <c r="H526" s="81">
        <f t="shared" ref="H526:H532" si="405">(D526/1000)*4*F526+(E526/1000)*4*F526</f>
        <v>61.703999999999994</v>
      </c>
      <c r="I526" s="82" t="s">
        <v>267</v>
      </c>
      <c r="J526" s="83" t="s">
        <v>205</v>
      </c>
      <c r="L526" s="89">
        <v>2</v>
      </c>
      <c r="M526" s="306">
        <v>3</v>
      </c>
      <c r="N526" s="84"/>
      <c r="O526" s="306">
        <f>L526*M526-N526*L526</f>
        <v>6</v>
      </c>
      <c r="P526" s="64"/>
    </row>
    <row r="527" spans="1:16" ht="18" customHeight="1">
      <c r="A527" s="85"/>
      <c r="B527" s="86"/>
      <c r="C527" s="87"/>
      <c r="D527" s="88">
        <v>1688</v>
      </c>
      <c r="E527" s="88">
        <v>1810</v>
      </c>
      <c r="F527" s="89">
        <f t="shared" ref="F527:F532" si="406">O527</f>
        <v>3</v>
      </c>
      <c r="G527" s="90">
        <f t="shared" si="404"/>
        <v>99.835963794399248</v>
      </c>
      <c r="H527" s="90">
        <f t="shared" si="405"/>
        <v>41.975999999999999</v>
      </c>
      <c r="I527" s="91" t="str">
        <f>I526</f>
        <v>11동2라인</v>
      </c>
      <c r="J527" s="92" t="s">
        <v>206</v>
      </c>
      <c r="L527" s="89">
        <v>1</v>
      </c>
      <c r="M527" s="306">
        <f>M526</f>
        <v>3</v>
      </c>
      <c r="N527" s="84"/>
      <c r="O527" s="306">
        <f t="shared" ref="O527:O532" si="407">L527*M527-N527*L527</f>
        <v>3</v>
      </c>
    </row>
    <row r="528" spans="1:16" ht="18" customHeight="1">
      <c r="A528" s="85"/>
      <c r="B528" s="86"/>
      <c r="C528" s="87"/>
      <c r="D528" s="88">
        <v>738</v>
      </c>
      <c r="E528" s="88">
        <v>1310</v>
      </c>
      <c r="F528" s="89">
        <f t="shared" si="406"/>
        <v>12</v>
      </c>
      <c r="G528" s="90">
        <f t="shared" si="404"/>
        <v>126.36408195274973</v>
      </c>
      <c r="H528" s="90">
        <f t="shared" si="405"/>
        <v>98.304000000000002</v>
      </c>
      <c r="I528" s="91" t="str">
        <f t="shared" ref="I528:I532" si="408">I527</f>
        <v>11동2라인</v>
      </c>
      <c r="J528" s="92" t="s">
        <v>207</v>
      </c>
      <c r="L528" s="89">
        <v>4</v>
      </c>
      <c r="M528" s="306">
        <f t="shared" ref="M528:M531" si="409">M527</f>
        <v>3</v>
      </c>
      <c r="N528" s="306"/>
      <c r="O528" s="306">
        <f t="shared" si="407"/>
        <v>12</v>
      </c>
    </row>
    <row r="529" spans="1:16" ht="18" customHeight="1">
      <c r="A529" s="85"/>
      <c r="B529" s="86"/>
      <c r="C529" s="87"/>
      <c r="D529" s="88">
        <v>288</v>
      </c>
      <c r="E529" s="88">
        <v>910</v>
      </c>
      <c r="F529" s="89">
        <f t="shared" si="406"/>
        <v>6</v>
      </c>
      <c r="G529" s="90">
        <f t="shared" si="404"/>
        <v>17.127732575237722</v>
      </c>
      <c r="H529" s="90">
        <f t="shared" si="405"/>
        <v>28.751999999999999</v>
      </c>
      <c r="I529" s="91" t="str">
        <f t="shared" si="408"/>
        <v>11동2라인</v>
      </c>
      <c r="J529" s="92" t="s">
        <v>208</v>
      </c>
      <c r="L529" s="89">
        <v>2</v>
      </c>
      <c r="M529" s="306">
        <f t="shared" si="409"/>
        <v>3</v>
      </c>
      <c r="N529" s="306"/>
      <c r="O529" s="306">
        <f t="shared" si="407"/>
        <v>6</v>
      </c>
    </row>
    <row r="530" spans="1:16" ht="18" customHeight="1">
      <c r="A530" s="85"/>
      <c r="B530" s="86"/>
      <c r="C530" s="87"/>
      <c r="D530" s="88">
        <v>228</v>
      </c>
      <c r="E530" s="88">
        <v>910</v>
      </c>
      <c r="F530" s="89">
        <f t="shared" si="406"/>
        <v>6</v>
      </c>
      <c r="G530" s="90">
        <f t="shared" si="404"/>
        <v>13.559454955396529</v>
      </c>
      <c r="H530" s="90">
        <f t="shared" si="405"/>
        <v>27.312000000000001</v>
      </c>
      <c r="I530" s="91" t="str">
        <f t="shared" si="408"/>
        <v>11동2라인</v>
      </c>
      <c r="J530" s="92" t="s">
        <v>209</v>
      </c>
      <c r="L530" s="89">
        <v>2</v>
      </c>
      <c r="M530" s="306">
        <f t="shared" si="409"/>
        <v>3</v>
      </c>
      <c r="N530" s="306"/>
      <c r="O530" s="306">
        <f t="shared" si="407"/>
        <v>6</v>
      </c>
    </row>
    <row r="531" spans="1:16" ht="18" customHeight="1">
      <c r="A531" s="85"/>
      <c r="B531" s="86"/>
      <c r="C531" s="87"/>
      <c r="D531" s="88">
        <v>438</v>
      </c>
      <c r="E531" s="88">
        <v>270</v>
      </c>
      <c r="F531" s="89">
        <f t="shared" si="406"/>
        <v>6</v>
      </c>
      <c r="G531" s="90">
        <f t="shared" si="404"/>
        <v>7.7286540535241652</v>
      </c>
      <c r="H531" s="90">
        <f t="shared" si="405"/>
        <v>16.992000000000001</v>
      </c>
      <c r="I531" s="91" t="str">
        <f t="shared" si="408"/>
        <v>11동2라인</v>
      </c>
      <c r="J531" s="92" t="s">
        <v>210</v>
      </c>
      <c r="L531" s="89">
        <v>2</v>
      </c>
      <c r="M531" s="306">
        <f t="shared" si="409"/>
        <v>3</v>
      </c>
      <c r="N531" s="306"/>
      <c r="O531" s="306">
        <f t="shared" si="407"/>
        <v>6</v>
      </c>
    </row>
    <row r="532" spans="1:16" ht="18" customHeight="1">
      <c r="A532" s="85"/>
      <c r="B532" s="86"/>
      <c r="C532" s="87"/>
      <c r="D532" s="88">
        <v>208</v>
      </c>
      <c r="E532" s="88">
        <v>910</v>
      </c>
      <c r="F532" s="89">
        <f t="shared" si="406"/>
        <v>6</v>
      </c>
      <c r="G532" s="90">
        <f t="shared" si="404"/>
        <v>12.370029082116133</v>
      </c>
      <c r="H532" s="90">
        <f t="shared" si="405"/>
        <v>26.832000000000001</v>
      </c>
      <c r="I532" s="91" t="str">
        <f t="shared" si="408"/>
        <v>11동2라인</v>
      </c>
      <c r="J532" s="92" t="s">
        <v>211</v>
      </c>
      <c r="L532" s="89">
        <v>2</v>
      </c>
      <c r="M532" s="306">
        <f>M531</f>
        <v>3</v>
      </c>
      <c r="N532" s="306"/>
      <c r="O532" s="306">
        <f t="shared" si="407"/>
        <v>6</v>
      </c>
    </row>
    <row r="533" spans="1:16" ht="18" customHeight="1">
      <c r="A533" s="85"/>
      <c r="B533" s="93"/>
      <c r="C533" s="87"/>
      <c r="D533" s="325" t="s">
        <v>0</v>
      </c>
      <c r="E533" s="325"/>
      <c r="F533" s="94">
        <f>SUM(F526:F532)</f>
        <v>45</v>
      </c>
      <c r="G533" s="95">
        <f>SUM(G526:G532)</f>
        <v>367.00388850766262</v>
      </c>
      <c r="H533" s="96">
        <f>SUM(H526:H532)</f>
        <v>301.87200000000001</v>
      </c>
      <c r="I533" s="97"/>
      <c r="J533" s="162"/>
    </row>
    <row r="534" spans="1:16" ht="18" customHeight="1">
      <c r="A534" s="85"/>
      <c r="B534" s="93"/>
      <c r="C534" s="87"/>
      <c r="D534" s="161"/>
      <c r="E534" s="161"/>
      <c r="F534" s="89"/>
      <c r="G534" s="100"/>
      <c r="H534" s="101"/>
      <c r="I534" s="102"/>
      <c r="J534" s="121"/>
      <c r="L534" s="306" t="s">
        <v>48</v>
      </c>
      <c r="M534" s="306" t="s">
        <v>54</v>
      </c>
      <c r="N534" s="306" t="s">
        <v>50</v>
      </c>
      <c r="O534" s="306" t="s">
        <v>55</v>
      </c>
    </row>
    <row r="535" spans="1:16" ht="18" customHeight="1">
      <c r="A535" s="85"/>
      <c r="B535" s="23" t="s">
        <v>197</v>
      </c>
      <c r="C535" s="24">
        <v>22</v>
      </c>
      <c r="D535" s="88">
        <v>761</v>
      </c>
      <c r="E535" s="88">
        <v>1810</v>
      </c>
      <c r="F535" s="89">
        <f t="shared" ref="F535:F541" si="410">O535</f>
        <v>6</v>
      </c>
      <c r="G535" s="90">
        <f t="shared" ref="G535:G541" si="411">D535*E535/91809*F535</f>
        <v>90.017972094239127</v>
      </c>
      <c r="H535" s="90">
        <f t="shared" ref="H535:H541" si="412">(D535/1000)*4*F535+(E535/1000)*4*F535</f>
        <v>61.703999999999994</v>
      </c>
      <c r="I535" s="91" t="str">
        <f t="shared" ref="I535:I541" si="413">I526</f>
        <v>11동2라인</v>
      </c>
      <c r="J535" s="92" t="s">
        <v>212</v>
      </c>
      <c r="L535" s="89">
        <v>2</v>
      </c>
      <c r="M535" s="306">
        <f>M526</f>
        <v>3</v>
      </c>
      <c r="N535" s="84"/>
      <c r="O535" s="306">
        <f>L535*M535-N535*L535</f>
        <v>6</v>
      </c>
    </row>
    <row r="536" spans="1:16" ht="18" customHeight="1">
      <c r="A536" s="85"/>
      <c r="B536" s="86"/>
      <c r="C536" s="87"/>
      <c r="D536" s="88">
        <v>1688</v>
      </c>
      <c r="E536" s="88">
        <v>1810</v>
      </c>
      <c r="F536" s="89">
        <f t="shared" si="410"/>
        <v>3</v>
      </c>
      <c r="G536" s="90">
        <f t="shared" si="411"/>
        <v>99.835963794399248</v>
      </c>
      <c r="H536" s="90">
        <f t="shared" si="412"/>
        <v>41.975999999999999</v>
      </c>
      <c r="I536" s="91" t="str">
        <f t="shared" si="413"/>
        <v>11동2라인</v>
      </c>
      <c r="J536" s="92" t="s">
        <v>213</v>
      </c>
      <c r="L536" s="89">
        <v>1</v>
      </c>
      <c r="M536" s="306">
        <f>M535</f>
        <v>3</v>
      </c>
      <c r="N536" s="84"/>
      <c r="O536" s="306">
        <f>L536*M536-N536*L536</f>
        <v>3</v>
      </c>
    </row>
    <row r="537" spans="1:16" ht="18" customHeight="1">
      <c r="A537" s="104"/>
      <c r="B537" s="93"/>
      <c r="C537" s="87"/>
      <c r="D537" s="88">
        <v>738</v>
      </c>
      <c r="E537" s="88">
        <v>1310</v>
      </c>
      <c r="F537" s="89">
        <f t="shared" si="410"/>
        <v>12</v>
      </c>
      <c r="G537" s="90">
        <f t="shared" si="411"/>
        <v>126.36408195274973</v>
      </c>
      <c r="H537" s="90">
        <f t="shared" si="412"/>
        <v>98.304000000000002</v>
      </c>
      <c r="I537" s="91" t="str">
        <f t="shared" si="413"/>
        <v>11동2라인</v>
      </c>
      <c r="J537" s="92" t="s">
        <v>214</v>
      </c>
      <c r="L537" s="89">
        <v>4</v>
      </c>
      <c r="M537" s="306">
        <f t="shared" ref="M537:M541" si="414">M536</f>
        <v>3</v>
      </c>
      <c r="N537" s="84"/>
      <c r="O537" s="306">
        <f t="shared" ref="O537:O541" si="415">L537*M537-N537*L537</f>
        <v>12</v>
      </c>
    </row>
    <row r="538" spans="1:16" ht="18" customHeight="1">
      <c r="A538" s="104"/>
      <c r="B538" s="93"/>
      <c r="C538" s="87"/>
      <c r="D538" s="88">
        <v>288</v>
      </c>
      <c r="E538" s="88">
        <v>910</v>
      </c>
      <c r="F538" s="89">
        <f t="shared" si="410"/>
        <v>6</v>
      </c>
      <c r="G538" s="90">
        <f t="shared" si="411"/>
        <v>17.127732575237722</v>
      </c>
      <c r="H538" s="90">
        <f t="shared" si="412"/>
        <v>28.751999999999999</v>
      </c>
      <c r="I538" s="91" t="str">
        <f t="shared" si="413"/>
        <v>11동2라인</v>
      </c>
      <c r="J538" s="92" t="s">
        <v>215</v>
      </c>
      <c r="L538" s="89">
        <v>2</v>
      </c>
      <c r="M538" s="306">
        <f t="shared" si="414"/>
        <v>3</v>
      </c>
      <c r="N538" s="306"/>
      <c r="O538" s="306">
        <f t="shared" si="415"/>
        <v>6</v>
      </c>
    </row>
    <row r="539" spans="1:16" ht="18" customHeight="1">
      <c r="A539" s="104"/>
      <c r="B539" s="93"/>
      <c r="C539" s="87"/>
      <c r="D539" s="88">
        <v>228</v>
      </c>
      <c r="E539" s="88">
        <v>910</v>
      </c>
      <c r="F539" s="89">
        <f t="shared" si="410"/>
        <v>6</v>
      </c>
      <c r="G539" s="90">
        <f t="shared" si="411"/>
        <v>13.559454955396529</v>
      </c>
      <c r="H539" s="90">
        <f t="shared" si="412"/>
        <v>27.312000000000001</v>
      </c>
      <c r="I539" s="91" t="str">
        <f t="shared" si="413"/>
        <v>11동2라인</v>
      </c>
      <c r="J539" s="92" t="s">
        <v>216</v>
      </c>
      <c r="L539" s="89">
        <v>2</v>
      </c>
      <c r="M539" s="306">
        <f t="shared" si="414"/>
        <v>3</v>
      </c>
      <c r="N539" s="306"/>
      <c r="O539" s="306">
        <f t="shared" si="415"/>
        <v>6</v>
      </c>
    </row>
    <row r="540" spans="1:16" ht="18" customHeight="1">
      <c r="A540" s="104"/>
      <c r="B540" s="93"/>
      <c r="C540" s="87"/>
      <c r="D540" s="88">
        <v>438</v>
      </c>
      <c r="E540" s="88">
        <v>270</v>
      </c>
      <c r="F540" s="89">
        <f t="shared" si="410"/>
        <v>6</v>
      </c>
      <c r="G540" s="90">
        <f t="shared" si="411"/>
        <v>7.7286540535241652</v>
      </c>
      <c r="H540" s="90">
        <f t="shared" si="412"/>
        <v>16.992000000000001</v>
      </c>
      <c r="I540" s="91" t="str">
        <f t="shared" si="413"/>
        <v>11동2라인</v>
      </c>
      <c r="J540" s="92" t="s">
        <v>217</v>
      </c>
      <c r="L540" s="89">
        <v>2</v>
      </c>
      <c r="M540" s="306">
        <f t="shared" si="414"/>
        <v>3</v>
      </c>
      <c r="N540" s="306"/>
      <c r="O540" s="306">
        <f t="shared" si="415"/>
        <v>6</v>
      </c>
    </row>
    <row r="541" spans="1:16" ht="18" customHeight="1">
      <c r="A541" s="104"/>
      <c r="B541" s="93"/>
      <c r="C541" s="87"/>
      <c r="D541" s="88">
        <v>208</v>
      </c>
      <c r="E541" s="88">
        <v>910</v>
      </c>
      <c r="F541" s="89">
        <f t="shared" si="410"/>
        <v>6</v>
      </c>
      <c r="G541" s="90">
        <f t="shared" si="411"/>
        <v>12.370029082116133</v>
      </c>
      <c r="H541" s="90">
        <f t="shared" si="412"/>
        <v>26.832000000000001</v>
      </c>
      <c r="I541" s="91" t="str">
        <f t="shared" si="413"/>
        <v>11동2라인</v>
      </c>
      <c r="J541" s="92" t="s">
        <v>218</v>
      </c>
      <c r="L541" s="89">
        <v>2</v>
      </c>
      <c r="M541" s="306">
        <f t="shared" si="414"/>
        <v>3</v>
      </c>
      <c r="N541" s="306"/>
      <c r="O541" s="306">
        <f t="shared" si="415"/>
        <v>6</v>
      </c>
    </row>
    <row r="542" spans="1:16" ht="18" customHeight="1">
      <c r="A542" s="104"/>
      <c r="B542" s="87"/>
      <c r="C542" s="87"/>
      <c r="D542" s="325" t="s">
        <v>0</v>
      </c>
      <c r="E542" s="325"/>
      <c r="F542" s="171">
        <f>SUM(F535:F541)</f>
        <v>45</v>
      </c>
      <c r="G542" s="95">
        <f>SUM(G535:G541)</f>
        <v>367.00388850766262</v>
      </c>
      <c r="H542" s="95">
        <f>SUM(H535:H541)</f>
        <v>301.87200000000001</v>
      </c>
      <c r="I542" s="97"/>
      <c r="J542" s="98"/>
    </row>
    <row r="543" spans="1:16">
      <c r="A543" s="105"/>
      <c r="B543" s="9"/>
      <c r="C543" s="9"/>
      <c r="D543" s="51"/>
      <c r="E543" s="51"/>
      <c r="F543" s="51"/>
      <c r="G543" s="106"/>
      <c r="H543" s="106"/>
      <c r="I543" s="9"/>
      <c r="J543" s="107"/>
    </row>
    <row r="544" spans="1:16" ht="18" customHeight="1">
      <c r="A544" s="85"/>
      <c r="B544" s="163" t="s">
        <v>199</v>
      </c>
      <c r="C544" s="163">
        <v>22</v>
      </c>
      <c r="D544" s="88">
        <v>738</v>
      </c>
      <c r="E544" s="88">
        <v>1810</v>
      </c>
      <c r="F544" s="89">
        <f t="shared" ref="F544:F545" si="416">O544</f>
        <v>6</v>
      </c>
      <c r="G544" s="90">
        <f t="shared" ref="G544:G545" si="417">D544*E544/91809*F544</f>
        <v>87.297323791785118</v>
      </c>
      <c r="H544" s="90">
        <f t="shared" ref="H544:H545" si="418">(D544/1000)*4*F544+(E544/1000)*4*F544</f>
        <v>61.152000000000001</v>
      </c>
      <c r="I544" s="91" t="str">
        <f>I535</f>
        <v>11동2라인</v>
      </c>
      <c r="J544" s="92" t="s">
        <v>219</v>
      </c>
      <c r="L544" s="89">
        <v>2</v>
      </c>
      <c r="M544" s="306">
        <f>M526</f>
        <v>3</v>
      </c>
      <c r="N544" s="84"/>
      <c r="O544" s="306">
        <f>L544*M544-N544*L544</f>
        <v>6</v>
      </c>
      <c r="P544" s="64"/>
    </row>
    <row r="545" spans="1:16" ht="18" customHeight="1">
      <c r="A545" s="85"/>
      <c r="B545" s="86"/>
      <c r="C545" s="87"/>
      <c r="D545" s="88">
        <v>250</v>
      </c>
      <c r="E545" s="88">
        <v>930</v>
      </c>
      <c r="F545" s="89">
        <f t="shared" si="416"/>
        <v>6</v>
      </c>
      <c r="G545" s="90">
        <f t="shared" si="417"/>
        <v>15.194588765807273</v>
      </c>
      <c r="H545" s="90">
        <f t="shared" si="418"/>
        <v>28.32</v>
      </c>
      <c r="I545" s="91" t="str">
        <f>I544</f>
        <v>11동2라인</v>
      </c>
      <c r="J545" s="92" t="s">
        <v>220</v>
      </c>
      <c r="L545" s="89">
        <v>2</v>
      </c>
      <c r="M545" s="306">
        <f>M544</f>
        <v>3</v>
      </c>
      <c r="N545" s="84"/>
      <c r="O545" s="306">
        <f t="shared" ref="O545" si="419">L545*M545-N545*L545</f>
        <v>6</v>
      </c>
    </row>
    <row r="546" spans="1:16" ht="18" customHeight="1">
      <c r="A546" s="85"/>
      <c r="B546" s="93"/>
      <c r="C546" s="87"/>
      <c r="D546" s="325" t="s">
        <v>0</v>
      </c>
      <c r="E546" s="325"/>
      <c r="F546" s="94">
        <f>SUM(F544:F545)</f>
        <v>12</v>
      </c>
      <c r="G546" s="95">
        <f>SUM(G544:G545)</f>
        <v>102.49191255759239</v>
      </c>
      <c r="H546" s="95">
        <f>SUM(H544:H545)</f>
        <v>89.472000000000008</v>
      </c>
      <c r="I546" s="97"/>
      <c r="J546" s="98"/>
    </row>
    <row r="547" spans="1:16">
      <c r="A547" s="236"/>
      <c r="B547" s="237"/>
      <c r="C547" s="238"/>
      <c r="D547" s="362"/>
      <c r="E547" s="362"/>
      <c r="F547" s="239"/>
      <c r="G547" s="240"/>
      <c r="H547" s="241"/>
      <c r="I547" s="242"/>
      <c r="J547" s="243"/>
    </row>
    <row r="548" spans="1:16" ht="18" hidden="1" customHeight="1">
      <c r="A548" s="244" t="s">
        <v>234</v>
      </c>
      <c r="B548" s="23" t="s">
        <v>195</v>
      </c>
      <c r="C548" s="24">
        <v>22</v>
      </c>
      <c r="D548" s="88">
        <v>761</v>
      </c>
      <c r="E548" s="88">
        <v>1810</v>
      </c>
      <c r="F548" s="89">
        <f>O548</f>
        <v>0</v>
      </c>
      <c r="G548" s="90">
        <f t="shared" ref="G548:G554" si="420">D548*E548/91809*F548</f>
        <v>0</v>
      </c>
      <c r="H548" s="90">
        <f t="shared" ref="H548:H554" si="421">(D548/1000)*4*F548+(E548/1000)*4*F548</f>
        <v>0</v>
      </c>
      <c r="I548" s="91" t="s">
        <v>268</v>
      </c>
      <c r="J548" s="92" t="s">
        <v>205</v>
      </c>
      <c r="L548" s="89">
        <v>2</v>
      </c>
      <c r="M548" s="306">
        <v>0</v>
      </c>
      <c r="N548" s="84"/>
      <c r="O548" s="306">
        <f>L548*M548-N548*L548</f>
        <v>0</v>
      </c>
      <c r="P548" s="64"/>
    </row>
    <row r="549" spans="1:16" ht="18" hidden="1" customHeight="1">
      <c r="A549" s="85"/>
      <c r="B549" s="86"/>
      <c r="C549" s="87"/>
      <c r="D549" s="88">
        <v>1688</v>
      </c>
      <c r="E549" s="88">
        <v>1810</v>
      </c>
      <c r="F549" s="89">
        <f t="shared" ref="F549:F554" si="422">O549</f>
        <v>0</v>
      </c>
      <c r="G549" s="90">
        <f t="shared" si="420"/>
        <v>0</v>
      </c>
      <c r="H549" s="90">
        <f t="shared" si="421"/>
        <v>0</v>
      </c>
      <c r="I549" s="91" t="str">
        <f>I548</f>
        <v>11동3,5라인</v>
      </c>
      <c r="J549" s="92" t="s">
        <v>206</v>
      </c>
      <c r="L549" s="89">
        <v>1</v>
      </c>
      <c r="M549" s="306">
        <f>M548</f>
        <v>0</v>
      </c>
      <c r="N549" s="84"/>
      <c r="O549" s="306">
        <f t="shared" ref="O549:O554" si="423">L549*M549-N549*L549</f>
        <v>0</v>
      </c>
    </row>
    <row r="550" spans="1:16" ht="18" hidden="1" customHeight="1">
      <c r="A550" s="85"/>
      <c r="B550" s="86"/>
      <c r="C550" s="87"/>
      <c r="D550" s="88">
        <v>738</v>
      </c>
      <c r="E550" s="88">
        <v>1310</v>
      </c>
      <c r="F550" s="89">
        <f t="shared" si="422"/>
        <v>0</v>
      </c>
      <c r="G550" s="90">
        <f t="shared" si="420"/>
        <v>0</v>
      </c>
      <c r="H550" s="90">
        <f t="shared" si="421"/>
        <v>0</v>
      </c>
      <c r="I550" s="91" t="str">
        <f t="shared" ref="I550:I554" si="424">I549</f>
        <v>11동3,5라인</v>
      </c>
      <c r="J550" s="92" t="s">
        <v>207</v>
      </c>
      <c r="L550" s="89">
        <v>4</v>
      </c>
      <c r="M550" s="306">
        <f t="shared" ref="M550:M553" si="425">M549</f>
        <v>0</v>
      </c>
      <c r="N550" s="306"/>
      <c r="O550" s="306">
        <f t="shared" si="423"/>
        <v>0</v>
      </c>
    </row>
    <row r="551" spans="1:16" ht="18" hidden="1" customHeight="1">
      <c r="A551" s="85"/>
      <c r="B551" s="86"/>
      <c r="C551" s="87"/>
      <c r="D551" s="88">
        <v>288</v>
      </c>
      <c r="E551" s="88">
        <v>910</v>
      </c>
      <c r="F551" s="89">
        <f t="shared" si="422"/>
        <v>0</v>
      </c>
      <c r="G551" s="90">
        <f t="shared" si="420"/>
        <v>0</v>
      </c>
      <c r="H551" s="90">
        <f t="shared" si="421"/>
        <v>0</v>
      </c>
      <c r="I551" s="91" t="str">
        <f t="shared" si="424"/>
        <v>11동3,5라인</v>
      </c>
      <c r="J551" s="92" t="s">
        <v>208</v>
      </c>
      <c r="L551" s="89">
        <v>2</v>
      </c>
      <c r="M551" s="306">
        <f t="shared" si="425"/>
        <v>0</v>
      </c>
      <c r="N551" s="306"/>
      <c r="O551" s="306">
        <f t="shared" si="423"/>
        <v>0</v>
      </c>
    </row>
    <row r="552" spans="1:16" ht="18" hidden="1" customHeight="1">
      <c r="A552" s="85"/>
      <c r="B552" s="86"/>
      <c r="C552" s="87"/>
      <c r="D552" s="88">
        <v>228</v>
      </c>
      <c r="E552" s="88">
        <v>910</v>
      </c>
      <c r="F552" s="89">
        <f t="shared" si="422"/>
        <v>0</v>
      </c>
      <c r="G552" s="90">
        <f t="shared" si="420"/>
        <v>0</v>
      </c>
      <c r="H552" s="90">
        <f t="shared" si="421"/>
        <v>0</v>
      </c>
      <c r="I552" s="91" t="str">
        <f t="shared" si="424"/>
        <v>11동3,5라인</v>
      </c>
      <c r="J552" s="92" t="s">
        <v>209</v>
      </c>
      <c r="L552" s="89">
        <v>2</v>
      </c>
      <c r="M552" s="306">
        <f t="shared" si="425"/>
        <v>0</v>
      </c>
      <c r="N552" s="306"/>
      <c r="O552" s="306">
        <f t="shared" si="423"/>
        <v>0</v>
      </c>
    </row>
    <row r="553" spans="1:16" ht="18" hidden="1" customHeight="1">
      <c r="A553" s="85"/>
      <c r="B553" s="86"/>
      <c r="C553" s="87"/>
      <c r="D553" s="88">
        <v>438</v>
      </c>
      <c r="E553" s="88">
        <v>270</v>
      </c>
      <c r="F553" s="89">
        <f t="shared" si="422"/>
        <v>0</v>
      </c>
      <c r="G553" s="90">
        <f t="shared" si="420"/>
        <v>0</v>
      </c>
      <c r="H553" s="90">
        <f t="shared" si="421"/>
        <v>0</v>
      </c>
      <c r="I553" s="91" t="str">
        <f t="shared" si="424"/>
        <v>11동3,5라인</v>
      </c>
      <c r="J553" s="92" t="s">
        <v>210</v>
      </c>
      <c r="L553" s="89">
        <v>2</v>
      </c>
      <c r="M553" s="306">
        <f t="shared" si="425"/>
        <v>0</v>
      </c>
      <c r="N553" s="306"/>
      <c r="O553" s="306">
        <f t="shared" si="423"/>
        <v>0</v>
      </c>
    </row>
    <row r="554" spans="1:16" ht="18" hidden="1" customHeight="1">
      <c r="A554" s="85"/>
      <c r="B554" s="86"/>
      <c r="C554" s="87"/>
      <c r="D554" s="88">
        <v>208</v>
      </c>
      <c r="E554" s="88">
        <v>910</v>
      </c>
      <c r="F554" s="89">
        <f t="shared" si="422"/>
        <v>0</v>
      </c>
      <c r="G554" s="90">
        <f t="shared" si="420"/>
        <v>0</v>
      </c>
      <c r="H554" s="90">
        <f t="shared" si="421"/>
        <v>0</v>
      </c>
      <c r="I554" s="91" t="str">
        <f t="shared" si="424"/>
        <v>11동3,5라인</v>
      </c>
      <c r="J554" s="92" t="s">
        <v>211</v>
      </c>
      <c r="L554" s="89">
        <v>2</v>
      </c>
      <c r="M554" s="306">
        <f>M553</f>
        <v>0</v>
      </c>
      <c r="N554" s="306"/>
      <c r="O554" s="306">
        <f t="shared" si="423"/>
        <v>0</v>
      </c>
    </row>
    <row r="555" spans="1:16" ht="18" hidden="1" customHeight="1">
      <c r="A555" s="85"/>
      <c r="B555" s="93"/>
      <c r="C555" s="87"/>
      <c r="D555" s="325" t="s">
        <v>0</v>
      </c>
      <c r="E555" s="325"/>
      <c r="F555" s="94">
        <f>SUM(F548:F554)</f>
        <v>0</v>
      </c>
      <c r="G555" s="95">
        <f>SUM(G548:G554)</f>
        <v>0</v>
      </c>
      <c r="H555" s="96">
        <f>SUM(H548:H554)</f>
        <v>0</v>
      </c>
      <c r="I555" s="97"/>
      <c r="J555" s="162"/>
    </row>
    <row r="556" spans="1:16" ht="18" hidden="1" customHeight="1">
      <c r="A556" s="85"/>
      <c r="B556" s="93"/>
      <c r="C556" s="87"/>
      <c r="D556" s="161"/>
      <c r="E556" s="161"/>
      <c r="F556" s="89"/>
      <c r="G556" s="100"/>
      <c r="H556" s="101"/>
      <c r="I556" s="102"/>
      <c r="J556" s="121"/>
      <c r="L556" s="306" t="s">
        <v>48</v>
      </c>
      <c r="M556" s="306" t="s">
        <v>54</v>
      </c>
      <c r="N556" s="306" t="s">
        <v>50</v>
      </c>
      <c r="O556" s="306" t="s">
        <v>55</v>
      </c>
    </row>
    <row r="557" spans="1:16" ht="18" hidden="1" customHeight="1">
      <c r="A557" s="85"/>
      <c r="B557" s="23" t="s">
        <v>197</v>
      </c>
      <c r="C557" s="24">
        <v>22</v>
      </c>
      <c r="D557" s="88">
        <v>761</v>
      </c>
      <c r="E557" s="88">
        <v>1810</v>
      </c>
      <c r="F557" s="89">
        <f t="shared" ref="F557:F563" si="426">O557</f>
        <v>0</v>
      </c>
      <c r="G557" s="90">
        <f t="shared" ref="G557:G563" si="427">D557*E557/91809*F557</f>
        <v>0</v>
      </c>
      <c r="H557" s="90">
        <f t="shared" ref="H557:H563" si="428">(D557/1000)*4*F557+(E557/1000)*4*F557</f>
        <v>0</v>
      </c>
      <c r="I557" s="91" t="str">
        <f t="shared" ref="I557:I563" si="429">I548</f>
        <v>11동3,5라인</v>
      </c>
      <c r="J557" s="92" t="s">
        <v>212</v>
      </c>
      <c r="L557" s="89">
        <v>2</v>
      </c>
      <c r="M557" s="306">
        <f>M548</f>
        <v>0</v>
      </c>
      <c r="N557" s="84"/>
      <c r="O557" s="306">
        <f>L557*M557-N557*L557</f>
        <v>0</v>
      </c>
    </row>
    <row r="558" spans="1:16" ht="18" hidden="1" customHeight="1">
      <c r="A558" s="85"/>
      <c r="B558" s="86"/>
      <c r="C558" s="87"/>
      <c r="D558" s="88">
        <v>1688</v>
      </c>
      <c r="E558" s="88">
        <v>1810</v>
      </c>
      <c r="F558" s="89">
        <f t="shared" si="426"/>
        <v>0</v>
      </c>
      <c r="G558" s="90">
        <f t="shared" si="427"/>
        <v>0</v>
      </c>
      <c r="H558" s="90">
        <f t="shared" si="428"/>
        <v>0</v>
      </c>
      <c r="I558" s="91" t="str">
        <f t="shared" si="429"/>
        <v>11동3,5라인</v>
      </c>
      <c r="J558" s="92" t="s">
        <v>213</v>
      </c>
      <c r="L558" s="89">
        <v>1</v>
      </c>
      <c r="M558" s="306">
        <f>M557</f>
        <v>0</v>
      </c>
      <c r="N558" s="84"/>
      <c r="O558" s="306">
        <f>L558*M558-N558*L558</f>
        <v>0</v>
      </c>
    </row>
    <row r="559" spans="1:16" ht="18" hidden="1" customHeight="1">
      <c r="A559" s="104"/>
      <c r="B559" s="93"/>
      <c r="C559" s="87"/>
      <c r="D559" s="88">
        <v>738</v>
      </c>
      <c r="E559" s="88">
        <v>1310</v>
      </c>
      <c r="F559" s="89">
        <f t="shared" si="426"/>
        <v>0</v>
      </c>
      <c r="G559" s="90">
        <f t="shared" si="427"/>
        <v>0</v>
      </c>
      <c r="H559" s="90">
        <f t="shared" si="428"/>
        <v>0</v>
      </c>
      <c r="I559" s="91" t="str">
        <f t="shared" si="429"/>
        <v>11동3,5라인</v>
      </c>
      <c r="J559" s="92" t="s">
        <v>214</v>
      </c>
      <c r="L559" s="89">
        <v>4</v>
      </c>
      <c r="M559" s="306">
        <f t="shared" ref="M559:M563" si="430">M558</f>
        <v>0</v>
      </c>
      <c r="N559" s="84"/>
      <c r="O559" s="306">
        <f t="shared" ref="O559:O563" si="431">L559*M559-N559*L559</f>
        <v>0</v>
      </c>
    </row>
    <row r="560" spans="1:16" ht="18" hidden="1" customHeight="1">
      <c r="A560" s="104"/>
      <c r="B560" s="93"/>
      <c r="C560" s="87"/>
      <c r="D560" s="88">
        <v>288</v>
      </c>
      <c r="E560" s="88">
        <v>910</v>
      </c>
      <c r="F560" s="89">
        <f t="shared" si="426"/>
        <v>0</v>
      </c>
      <c r="G560" s="90">
        <f t="shared" si="427"/>
        <v>0</v>
      </c>
      <c r="H560" s="90">
        <f t="shared" si="428"/>
        <v>0</v>
      </c>
      <c r="I560" s="91" t="str">
        <f t="shared" si="429"/>
        <v>11동3,5라인</v>
      </c>
      <c r="J560" s="92" t="s">
        <v>215</v>
      </c>
      <c r="L560" s="89">
        <v>2</v>
      </c>
      <c r="M560" s="306">
        <f t="shared" si="430"/>
        <v>0</v>
      </c>
      <c r="N560" s="306"/>
      <c r="O560" s="306">
        <f t="shared" si="431"/>
        <v>0</v>
      </c>
    </row>
    <row r="561" spans="1:16" ht="18" hidden="1" customHeight="1">
      <c r="A561" s="104"/>
      <c r="B561" s="93"/>
      <c r="C561" s="87"/>
      <c r="D561" s="88">
        <v>228</v>
      </c>
      <c r="E561" s="88">
        <v>910</v>
      </c>
      <c r="F561" s="89">
        <f t="shared" si="426"/>
        <v>0</v>
      </c>
      <c r="G561" s="90">
        <f t="shared" si="427"/>
        <v>0</v>
      </c>
      <c r="H561" s="90">
        <f t="shared" si="428"/>
        <v>0</v>
      </c>
      <c r="I561" s="91" t="str">
        <f t="shared" si="429"/>
        <v>11동3,5라인</v>
      </c>
      <c r="J561" s="92" t="s">
        <v>216</v>
      </c>
      <c r="L561" s="89">
        <v>2</v>
      </c>
      <c r="M561" s="306">
        <f t="shared" si="430"/>
        <v>0</v>
      </c>
      <c r="N561" s="306"/>
      <c r="O561" s="306">
        <f t="shared" si="431"/>
        <v>0</v>
      </c>
    </row>
    <row r="562" spans="1:16" ht="18" hidden="1" customHeight="1">
      <c r="A562" s="104"/>
      <c r="B562" s="93"/>
      <c r="C562" s="87"/>
      <c r="D562" s="88">
        <v>438</v>
      </c>
      <c r="E562" s="88">
        <v>270</v>
      </c>
      <c r="F562" s="89">
        <f t="shared" si="426"/>
        <v>0</v>
      </c>
      <c r="G562" s="90">
        <f t="shared" si="427"/>
        <v>0</v>
      </c>
      <c r="H562" s="90">
        <f t="shared" si="428"/>
        <v>0</v>
      </c>
      <c r="I562" s="91" t="str">
        <f t="shared" si="429"/>
        <v>11동3,5라인</v>
      </c>
      <c r="J562" s="92" t="s">
        <v>217</v>
      </c>
      <c r="L562" s="89">
        <v>2</v>
      </c>
      <c r="M562" s="306">
        <f t="shared" si="430"/>
        <v>0</v>
      </c>
      <c r="N562" s="306"/>
      <c r="O562" s="306">
        <f t="shared" si="431"/>
        <v>0</v>
      </c>
    </row>
    <row r="563" spans="1:16" ht="18" hidden="1" customHeight="1">
      <c r="A563" s="104"/>
      <c r="B563" s="93"/>
      <c r="C563" s="87"/>
      <c r="D563" s="88">
        <v>208</v>
      </c>
      <c r="E563" s="88">
        <v>910</v>
      </c>
      <c r="F563" s="89">
        <f t="shared" si="426"/>
        <v>0</v>
      </c>
      <c r="G563" s="90">
        <f t="shared" si="427"/>
        <v>0</v>
      </c>
      <c r="H563" s="90">
        <f t="shared" si="428"/>
        <v>0</v>
      </c>
      <c r="I563" s="91" t="str">
        <f t="shared" si="429"/>
        <v>11동3,5라인</v>
      </c>
      <c r="J563" s="92" t="s">
        <v>218</v>
      </c>
      <c r="L563" s="89">
        <v>2</v>
      </c>
      <c r="M563" s="306">
        <f t="shared" si="430"/>
        <v>0</v>
      </c>
      <c r="N563" s="306"/>
      <c r="O563" s="306">
        <f t="shared" si="431"/>
        <v>0</v>
      </c>
    </row>
    <row r="564" spans="1:16" ht="18" hidden="1" customHeight="1">
      <c r="A564" s="104"/>
      <c r="B564" s="87"/>
      <c r="C564" s="87"/>
      <c r="D564" s="325" t="s">
        <v>0</v>
      </c>
      <c r="E564" s="325"/>
      <c r="F564" s="171">
        <f>SUM(F557:F563)</f>
        <v>0</v>
      </c>
      <c r="G564" s="95">
        <f>SUM(G557:G563)</f>
        <v>0</v>
      </c>
      <c r="H564" s="95">
        <f>SUM(H557:H563)</f>
        <v>0</v>
      </c>
      <c r="I564" s="97"/>
      <c r="J564" s="98"/>
    </row>
    <row r="565" spans="1:16" hidden="1">
      <c r="A565" s="105"/>
      <c r="B565" s="9"/>
      <c r="C565" s="9"/>
      <c r="D565" s="51"/>
      <c r="E565" s="51"/>
      <c r="F565" s="51"/>
      <c r="G565" s="106"/>
      <c r="H565" s="106"/>
      <c r="I565" s="9"/>
      <c r="J565" s="107"/>
    </row>
    <row r="566" spans="1:16" ht="18" hidden="1" customHeight="1">
      <c r="A566" s="85"/>
      <c r="B566" s="163" t="s">
        <v>199</v>
      </c>
      <c r="C566" s="163">
        <v>22</v>
      </c>
      <c r="D566" s="88">
        <v>738</v>
      </c>
      <c r="E566" s="88">
        <v>1810</v>
      </c>
      <c r="F566" s="89">
        <f t="shared" ref="F566:F567" si="432">O566</f>
        <v>0</v>
      </c>
      <c r="G566" s="90">
        <f t="shared" ref="G566:G567" si="433">D566*E566/91809*F566</f>
        <v>0</v>
      </c>
      <c r="H566" s="90">
        <f t="shared" ref="H566:H567" si="434">(D566/1000)*4*F566+(E566/1000)*4*F566</f>
        <v>0</v>
      </c>
      <c r="I566" s="91" t="str">
        <f>I557</f>
        <v>11동3,5라인</v>
      </c>
      <c r="J566" s="92" t="s">
        <v>219</v>
      </c>
      <c r="L566" s="89">
        <v>2</v>
      </c>
      <c r="M566" s="306">
        <f>M548</f>
        <v>0</v>
      </c>
      <c r="N566" s="84"/>
      <c r="O566" s="306">
        <f>L566*M566-N566*L566</f>
        <v>0</v>
      </c>
      <c r="P566" s="64" t="s">
        <v>245</v>
      </c>
    </row>
    <row r="567" spans="1:16" ht="18" hidden="1" customHeight="1">
      <c r="A567" s="85"/>
      <c r="B567" s="86"/>
      <c r="C567" s="87"/>
      <c r="D567" s="88">
        <v>250</v>
      </c>
      <c r="E567" s="88">
        <v>930</v>
      </c>
      <c r="F567" s="89">
        <f t="shared" si="432"/>
        <v>0</v>
      </c>
      <c r="G567" s="90">
        <f t="shared" si="433"/>
        <v>0</v>
      </c>
      <c r="H567" s="90">
        <f t="shared" si="434"/>
        <v>0</v>
      </c>
      <c r="I567" s="91" t="str">
        <f>I566</f>
        <v>11동3,5라인</v>
      </c>
      <c r="J567" s="92" t="s">
        <v>220</v>
      </c>
      <c r="L567" s="89">
        <v>2</v>
      </c>
      <c r="M567" s="306">
        <f>M566</f>
        <v>0</v>
      </c>
      <c r="N567" s="84"/>
      <c r="O567" s="306">
        <f t="shared" ref="O567" si="435">L567*M567-N567*L567</f>
        <v>0</v>
      </c>
    </row>
    <row r="568" spans="1:16" ht="18" hidden="1" customHeight="1" thickBot="1">
      <c r="A568" s="222"/>
      <c r="B568" s="223"/>
      <c r="C568" s="224"/>
      <c r="D568" s="364" t="s">
        <v>0</v>
      </c>
      <c r="E568" s="364"/>
      <c r="F568" s="269">
        <f>SUM(F566:F567)</f>
        <v>0</v>
      </c>
      <c r="G568" s="270">
        <f>SUM(G566:G567)</f>
        <v>0</v>
      </c>
      <c r="H568" s="270">
        <f>SUM(H566:H567)</f>
        <v>0</v>
      </c>
      <c r="I568" s="271"/>
      <c r="J568" s="272"/>
    </row>
    <row r="569" spans="1:16" ht="18" hidden="1" customHeight="1">
      <c r="A569" s="79" t="s">
        <v>235</v>
      </c>
      <c r="B569" s="231" t="s">
        <v>196</v>
      </c>
      <c r="C569" s="232">
        <v>22</v>
      </c>
      <c r="D569" s="80">
        <v>861</v>
      </c>
      <c r="E569" s="80">
        <v>1810</v>
      </c>
      <c r="F569" s="233">
        <f t="shared" ref="F569:F572" si="436">O569</f>
        <v>0</v>
      </c>
      <c r="G569" s="81">
        <f t="shared" ref="G569:G572" si="437">D569*E569/91809*F569</f>
        <v>0</v>
      </c>
      <c r="H569" s="81">
        <f t="shared" ref="H569:H572" si="438">(D569/1000)*4*F569+(E569/1000)*4*F569</f>
        <v>0</v>
      </c>
      <c r="I569" s="82" t="s">
        <v>269</v>
      </c>
      <c r="J569" s="83" t="s">
        <v>205</v>
      </c>
      <c r="L569" s="89">
        <v>1</v>
      </c>
      <c r="M569" s="306">
        <v>0</v>
      </c>
      <c r="N569" s="84"/>
      <c r="O569" s="306">
        <f>L569*M569-N569*L569</f>
        <v>0</v>
      </c>
      <c r="P569" s="64"/>
    </row>
    <row r="570" spans="1:16" ht="18" hidden="1" customHeight="1">
      <c r="A570" s="85"/>
      <c r="B570" s="86"/>
      <c r="C570" s="87"/>
      <c r="D570" s="88">
        <v>738</v>
      </c>
      <c r="E570" s="88">
        <v>1310</v>
      </c>
      <c r="F570" s="89">
        <f t="shared" si="436"/>
        <v>0</v>
      </c>
      <c r="G570" s="90">
        <f t="shared" si="437"/>
        <v>0</v>
      </c>
      <c r="H570" s="90">
        <f t="shared" si="438"/>
        <v>0</v>
      </c>
      <c r="I570" s="91" t="str">
        <f>I569</f>
        <v>11동4라인</v>
      </c>
      <c r="J570" s="92" t="s">
        <v>207</v>
      </c>
      <c r="L570" s="89">
        <v>4</v>
      </c>
      <c r="M570" s="306">
        <f>M569</f>
        <v>0</v>
      </c>
      <c r="N570" s="84"/>
      <c r="O570" s="306">
        <f t="shared" ref="O570:O572" si="439">L570*M570-N570*L570</f>
        <v>0</v>
      </c>
    </row>
    <row r="571" spans="1:16" ht="18" hidden="1" customHeight="1">
      <c r="A571" s="85"/>
      <c r="B571" s="86"/>
      <c r="C571" s="87"/>
      <c r="D571" s="88">
        <v>228</v>
      </c>
      <c r="E571" s="88">
        <v>910</v>
      </c>
      <c r="F571" s="89">
        <f t="shared" si="436"/>
        <v>0</v>
      </c>
      <c r="G571" s="90">
        <f t="shared" si="437"/>
        <v>0</v>
      </c>
      <c r="H571" s="90">
        <f t="shared" si="438"/>
        <v>0</v>
      </c>
      <c r="I571" s="91" t="str">
        <f t="shared" ref="I571:I572" si="440">I570</f>
        <v>11동4라인</v>
      </c>
      <c r="J571" s="92" t="s">
        <v>209</v>
      </c>
      <c r="L571" s="89">
        <v>2</v>
      </c>
      <c r="M571" s="306">
        <f t="shared" ref="M571:M572" si="441">M570</f>
        <v>0</v>
      </c>
      <c r="N571" s="306"/>
      <c r="O571" s="306">
        <f t="shared" si="439"/>
        <v>0</v>
      </c>
    </row>
    <row r="572" spans="1:16" ht="18" hidden="1" customHeight="1">
      <c r="A572" s="85"/>
      <c r="B572" s="86"/>
      <c r="C572" s="87"/>
      <c r="D572" s="88">
        <v>438</v>
      </c>
      <c r="E572" s="88">
        <v>270</v>
      </c>
      <c r="F572" s="89">
        <f t="shared" si="436"/>
        <v>0</v>
      </c>
      <c r="G572" s="90">
        <f t="shared" si="437"/>
        <v>0</v>
      </c>
      <c r="H572" s="90">
        <f t="shared" si="438"/>
        <v>0</v>
      </c>
      <c r="I572" s="91" t="str">
        <f t="shared" si="440"/>
        <v>11동4라인</v>
      </c>
      <c r="J572" s="92" t="s">
        <v>210</v>
      </c>
      <c r="L572" s="89">
        <v>2</v>
      </c>
      <c r="M572" s="306">
        <f t="shared" si="441"/>
        <v>0</v>
      </c>
      <c r="N572" s="306"/>
      <c r="O572" s="306">
        <f t="shared" si="439"/>
        <v>0</v>
      </c>
    </row>
    <row r="573" spans="1:16" ht="18" hidden="1" customHeight="1">
      <c r="A573" s="85"/>
      <c r="B573" s="93"/>
      <c r="C573" s="87"/>
      <c r="D573" s="325" t="s">
        <v>0</v>
      </c>
      <c r="E573" s="325"/>
      <c r="F573" s="94">
        <f>SUM(F569:F572)</f>
        <v>0</v>
      </c>
      <c r="G573" s="95">
        <f>SUM(G569:G572)</f>
        <v>0</v>
      </c>
      <c r="H573" s="96">
        <f>SUM(H569:H572)</f>
        <v>0</v>
      </c>
      <c r="I573" s="97"/>
      <c r="J573" s="162"/>
    </row>
    <row r="574" spans="1:16" ht="18" hidden="1" customHeight="1">
      <c r="A574" s="85"/>
      <c r="B574" s="93"/>
      <c r="C574" s="87"/>
      <c r="D574" s="161"/>
      <c r="E574" s="161"/>
      <c r="F574" s="89"/>
      <c r="G574" s="100"/>
      <c r="H574" s="101"/>
      <c r="I574" s="102"/>
      <c r="J574" s="121"/>
      <c r="L574" s="252"/>
      <c r="M574" s="252"/>
      <c r="N574" s="252"/>
      <c r="O574" s="252"/>
    </row>
    <row r="575" spans="1:16" ht="18" hidden="1" customHeight="1">
      <c r="A575" s="85"/>
      <c r="B575" s="23" t="s">
        <v>198</v>
      </c>
      <c r="C575" s="24">
        <v>22</v>
      </c>
      <c r="D575" s="88">
        <v>861</v>
      </c>
      <c r="E575" s="88">
        <v>1810</v>
      </c>
      <c r="F575" s="89">
        <f t="shared" ref="F575:F579" si="442">O575</f>
        <v>0</v>
      </c>
      <c r="G575" s="90">
        <f t="shared" ref="G575:G579" si="443">D575*E575/91809*F575</f>
        <v>0</v>
      </c>
      <c r="H575" s="90">
        <f t="shared" ref="H575:H579" si="444">(D575/1000)*4*F575+(E575/1000)*4*F575</f>
        <v>0</v>
      </c>
      <c r="I575" s="91" t="str">
        <f>I569</f>
        <v>11동4라인</v>
      </c>
      <c r="J575" s="92" t="s">
        <v>212</v>
      </c>
      <c r="L575" s="89">
        <v>1</v>
      </c>
      <c r="M575" s="306">
        <f>M569</f>
        <v>0</v>
      </c>
      <c r="N575" s="84"/>
      <c r="O575" s="306">
        <f>L575*M575-N575*L575</f>
        <v>0</v>
      </c>
    </row>
    <row r="576" spans="1:16" ht="18" hidden="1" customHeight="1">
      <c r="A576" s="85"/>
      <c r="B576" s="86"/>
      <c r="C576" s="87"/>
      <c r="D576" s="88">
        <v>2114</v>
      </c>
      <c r="E576" s="88">
        <v>1810</v>
      </c>
      <c r="F576" s="89">
        <f t="shared" si="442"/>
        <v>0</v>
      </c>
      <c r="G576" s="90">
        <f t="shared" si="443"/>
        <v>0</v>
      </c>
      <c r="H576" s="90">
        <f t="shared" si="444"/>
        <v>0</v>
      </c>
      <c r="I576" s="91" t="str">
        <f>I569</f>
        <v>11동4라인</v>
      </c>
      <c r="J576" s="92" t="s">
        <v>213</v>
      </c>
      <c r="L576" s="89">
        <v>1</v>
      </c>
      <c r="M576" s="306">
        <f>M575</f>
        <v>0</v>
      </c>
      <c r="N576" s="84"/>
      <c r="O576" s="306">
        <f>L576*M576-N576*L576</f>
        <v>0</v>
      </c>
    </row>
    <row r="577" spans="1:16" ht="18" hidden="1" customHeight="1">
      <c r="A577" s="104"/>
      <c r="B577" s="93"/>
      <c r="C577" s="87"/>
      <c r="D577" s="88">
        <v>738</v>
      </c>
      <c r="E577" s="88">
        <v>1310</v>
      </c>
      <c r="F577" s="89">
        <f t="shared" si="442"/>
        <v>0</v>
      </c>
      <c r="G577" s="90">
        <f t="shared" si="443"/>
        <v>0</v>
      </c>
      <c r="H577" s="90">
        <f t="shared" si="444"/>
        <v>0</v>
      </c>
      <c r="I577" s="91" t="str">
        <f>I576</f>
        <v>11동4라인</v>
      </c>
      <c r="J577" s="92" t="s">
        <v>214</v>
      </c>
      <c r="L577" s="89">
        <v>4</v>
      </c>
      <c r="M577" s="306">
        <f t="shared" ref="M577:M579" si="445">M576</f>
        <v>0</v>
      </c>
      <c r="N577" s="84"/>
      <c r="O577" s="306">
        <f t="shared" ref="O577:O579" si="446">L577*M577-N577*L577</f>
        <v>0</v>
      </c>
    </row>
    <row r="578" spans="1:16" ht="18" hidden="1" customHeight="1">
      <c r="A578" s="104"/>
      <c r="B578" s="93"/>
      <c r="C578" s="87"/>
      <c r="D578" s="88">
        <v>228</v>
      </c>
      <c r="E578" s="88">
        <v>910</v>
      </c>
      <c r="F578" s="89">
        <f t="shared" si="442"/>
        <v>0</v>
      </c>
      <c r="G578" s="90">
        <f t="shared" si="443"/>
        <v>0</v>
      </c>
      <c r="H578" s="90">
        <f t="shared" si="444"/>
        <v>0</v>
      </c>
      <c r="I578" s="91" t="str">
        <f t="shared" ref="I578:I579" si="447">I577</f>
        <v>11동4라인</v>
      </c>
      <c r="J578" s="92" t="s">
        <v>216</v>
      </c>
      <c r="L578" s="89">
        <v>2</v>
      </c>
      <c r="M578" s="306">
        <f t="shared" si="445"/>
        <v>0</v>
      </c>
      <c r="N578" s="306"/>
      <c r="O578" s="306">
        <f t="shared" si="446"/>
        <v>0</v>
      </c>
    </row>
    <row r="579" spans="1:16" ht="18" hidden="1" customHeight="1">
      <c r="A579" s="104"/>
      <c r="B579" s="93"/>
      <c r="C579" s="87"/>
      <c r="D579" s="88">
        <v>438</v>
      </c>
      <c r="E579" s="88">
        <v>270</v>
      </c>
      <c r="F579" s="89">
        <f t="shared" si="442"/>
        <v>0</v>
      </c>
      <c r="G579" s="90">
        <f t="shared" si="443"/>
        <v>0</v>
      </c>
      <c r="H579" s="90">
        <f t="shared" si="444"/>
        <v>0</v>
      </c>
      <c r="I579" s="91" t="str">
        <f t="shared" si="447"/>
        <v>11동4라인</v>
      </c>
      <c r="J579" s="92" t="s">
        <v>217</v>
      </c>
      <c r="L579" s="89">
        <v>2</v>
      </c>
      <c r="M579" s="306">
        <f t="shared" si="445"/>
        <v>0</v>
      </c>
      <c r="N579" s="306"/>
      <c r="O579" s="306">
        <f t="shared" si="446"/>
        <v>0</v>
      </c>
    </row>
    <row r="580" spans="1:16" ht="18" hidden="1" customHeight="1">
      <c r="A580" s="104"/>
      <c r="B580" s="87"/>
      <c r="C580" s="87"/>
      <c r="D580" s="325" t="s">
        <v>0</v>
      </c>
      <c r="E580" s="325"/>
      <c r="F580" s="171">
        <f>SUM(F575:F579)</f>
        <v>0</v>
      </c>
      <c r="G580" s="95">
        <f>SUM(G575:G579)</f>
        <v>0</v>
      </c>
      <c r="H580" s="95">
        <f>SUM(H575:H579)</f>
        <v>0</v>
      </c>
      <c r="I580" s="97"/>
      <c r="J580" s="98"/>
    </row>
    <row r="581" spans="1:16" hidden="1">
      <c r="A581" s="105"/>
      <c r="B581" s="9"/>
      <c r="C581" s="9"/>
      <c r="D581" s="51"/>
      <c r="E581" s="51"/>
      <c r="F581" s="51"/>
      <c r="G581" s="106"/>
      <c r="H581" s="106"/>
      <c r="I581" s="9"/>
      <c r="J581" s="107"/>
    </row>
    <row r="582" spans="1:16" ht="18" hidden="1" customHeight="1">
      <c r="A582" s="85"/>
      <c r="B582" s="23" t="s">
        <v>237</v>
      </c>
      <c r="C582" s="24">
        <v>22</v>
      </c>
      <c r="D582" s="88">
        <v>2114</v>
      </c>
      <c r="E582" s="88">
        <v>1810</v>
      </c>
      <c r="F582" s="89">
        <f t="shared" ref="F582" si="448">O582</f>
        <v>0</v>
      </c>
      <c r="G582" s="90">
        <f t="shared" ref="G582" si="449">D582*E582/91809*F582</f>
        <v>0</v>
      </c>
      <c r="H582" s="90">
        <f t="shared" ref="H582" si="450">(D582/1000)*4*F582+(E582/1000)*4*F582</f>
        <v>0</v>
      </c>
      <c r="I582" s="91" t="str">
        <f>I575</f>
        <v>11동4라인</v>
      </c>
      <c r="J582" s="92" t="s">
        <v>206</v>
      </c>
      <c r="L582" s="89">
        <v>1</v>
      </c>
      <c r="M582" s="306">
        <f>M569</f>
        <v>0</v>
      </c>
      <c r="N582" s="84"/>
      <c r="O582" s="306">
        <f>L582*M582-N582*L582</f>
        <v>0</v>
      </c>
    </row>
    <row r="583" spans="1:16" ht="18" hidden="1" customHeight="1">
      <c r="A583" s="85"/>
      <c r="B583" s="93"/>
      <c r="C583" s="87"/>
      <c r="D583" s="325" t="s">
        <v>0</v>
      </c>
      <c r="E583" s="325"/>
      <c r="F583" s="94">
        <f>SUM(F582:F582)</f>
        <v>0</v>
      </c>
      <c r="G583" s="95">
        <f>SUM(G582:G582)</f>
        <v>0</v>
      </c>
      <c r="H583" s="95">
        <f>SUM(H582:H582)</f>
        <v>0</v>
      </c>
      <c r="I583" s="97"/>
      <c r="J583" s="98"/>
    </row>
    <row r="584" spans="1:16" ht="18" hidden="1" customHeight="1">
      <c r="A584" s="218"/>
      <c r="B584" s="219"/>
      <c r="C584" s="220"/>
      <c r="D584" s="161"/>
      <c r="E584" s="161"/>
      <c r="F584" s="89"/>
      <c r="G584" s="100"/>
      <c r="H584" s="100"/>
      <c r="I584" s="102"/>
      <c r="J584" s="221"/>
    </row>
    <row r="585" spans="1:16" ht="18" hidden="1" customHeight="1">
      <c r="A585" s="85"/>
      <c r="B585" s="23" t="s">
        <v>200</v>
      </c>
      <c r="C585" s="24">
        <v>22</v>
      </c>
      <c r="D585" s="88">
        <v>738</v>
      </c>
      <c r="E585" s="88">
        <v>1810</v>
      </c>
      <c r="F585" s="89">
        <f t="shared" ref="F585:F586" si="451">O585</f>
        <v>0</v>
      </c>
      <c r="G585" s="90">
        <f t="shared" ref="G585:G586" si="452">D585*E585/91809*F585</f>
        <v>0</v>
      </c>
      <c r="H585" s="90">
        <f t="shared" ref="H585:H586" si="453">(D585/1000)*4*F585+(E585/1000)*4*F585</f>
        <v>0</v>
      </c>
      <c r="I585" s="91" t="str">
        <f>I582</f>
        <v>11동4라인</v>
      </c>
      <c r="J585" s="92" t="s">
        <v>219</v>
      </c>
      <c r="L585" s="89">
        <v>2</v>
      </c>
      <c r="M585" s="306">
        <f>M582</f>
        <v>0</v>
      </c>
      <c r="N585" s="84"/>
      <c r="O585" s="306">
        <f>L585*M585-N585*L585</f>
        <v>0</v>
      </c>
      <c r="P585" s="64"/>
    </row>
    <row r="586" spans="1:16" ht="18" hidden="1" customHeight="1">
      <c r="A586" s="85"/>
      <c r="B586" s="86"/>
      <c r="C586" s="87"/>
      <c r="D586" s="88">
        <v>250</v>
      </c>
      <c r="E586" s="88">
        <v>930</v>
      </c>
      <c r="F586" s="89">
        <f t="shared" si="451"/>
        <v>0</v>
      </c>
      <c r="G586" s="90">
        <f t="shared" si="452"/>
        <v>0</v>
      </c>
      <c r="H586" s="90">
        <f t="shared" si="453"/>
        <v>0</v>
      </c>
      <c r="I586" s="91" t="str">
        <f>I585</f>
        <v>11동4라인</v>
      </c>
      <c r="J586" s="92" t="s">
        <v>220</v>
      </c>
      <c r="L586" s="89">
        <v>2</v>
      </c>
      <c r="M586" s="306">
        <f>M585</f>
        <v>0</v>
      </c>
      <c r="N586" s="84"/>
      <c r="O586" s="306">
        <f t="shared" ref="O586" si="454">L586*M586-N586*L586</f>
        <v>0</v>
      </c>
    </row>
    <row r="587" spans="1:16" ht="18" hidden="1" customHeight="1">
      <c r="A587" s="85"/>
      <c r="B587" s="93"/>
      <c r="C587" s="87"/>
      <c r="D587" s="325" t="s">
        <v>0</v>
      </c>
      <c r="E587" s="325"/>
      <c r="F587" s="94">
        <f>SUM(F585:F586)</f>
        <v>0</v>
      </c>
      <c r="G587" s="95">
        <f>SUM(G585:G586)</f>
        <v>0</v>
      </c>
      <c r="H587" s="96">
        <f>SUM(H585:H586)</f>
        <v>0</v>
      </c>
      <c r="I587" s="97"/>
      <c r="J587" s="162"/>
    </row>
    <row r="588" spans="1:16">
      <c r="A588" s="253"/>
      <c r="B588" s="254"/>
      <c r="C588" s="255"/>
      <c r="D588" s="361"/>
      <c r="E588" s="361"/>
      <c r="F588" s="256"/>
      <c r="G588" s="257"/>
      <c r="H588" s="258"/>
      <c r="I588" s="259"/>
      <c r="J588" s="260"/>
    </row>
    <row r="589" spans="1:16">
      <c r="A589" s="9"/>
      <c r="B589" s="9"/>
      <c r="C589" s="9"/>
      <c r="D589" s="51"/>
      <c r="E589" s="51"/>
      <c r="F589" s="51"/>
      <c r="G589" s="106"/>
      <c r="H589" s="106"/>
      <c r="I589" s="9"/>
      <c r="J589" s="9"/>
    </row>
    <row r="590" spans="1:16">
      <c r="A590" s="9"/>
      <c r="B590" s="9"/>
      <c r="C590" s="9"/>
      <c r="D590" s="51"/>
      <c r="E590" s="51"/>
      <c r="F590" s="51"/>
      <c r="G590" s="106"/>
      <c r="H590" s="106"/>
      <c r="I590" s="9"/>
      <c r="J590" s="9"/>
    </row>
    <row r="591" spans="1:16">
      <c r="A591" s="9"/>
      <c r="B591" s="9"/>
      <c r="C591" s="9"/>
      <c r="D591" s="51"/>
      <c r="E591" s="51"/>
      <c r="F591" s="51"/>
      <c r="G591" s="106"/>
      <c r="H591" s="106"/>
      <c r="I591" s="9"/>
      <c r="J591" s="9"/>
    </row>
    <row r="592" spans="1:16">
      <c r="A592" s="9"/>
      <c r="B592" s="9"/>
      <c r="C592" s="9"/>
      <c r="D592" s="51"/>
      <c r="E592" s="51"/>
      <c r="F592" s="51"/>
      <c r="G592" s="106"/>
      <c r="H592" s="106"/>
      <c r="I592" s="9"/>
      <c r="J592" s="9"/>
    </row>
    <row r="593" spans="1:10">
      <c r="A593" s="9"/>
      <c r="B593" s="9"/>
      <c r="C593" s="9"/>
      <c r="D593" s="51"/>
      <c r="E593" s="51"/>
      <c r="F593" s="51"/>
      <c r="G593" s="106"/>
      <c r="H593" s="106"/>
      <c r="I593" s="9"/>
      <c r="J593" s="9"/>
    </row>
    <row r="594" spans="1:10">
      <c r="A594" s="44" t="s">
        <v>59</v>
      </c>
      <c r="B594" s="23" t="s">
        <v>196</v>
      </c>
      <c r="C594" s="24">
        <v>22</v>
      </c>
      <c r="D594" s="51"/>
      <c r="E594" s="51"/>
      <c r="F594" s="51">
        <f>F573+F555+F533+F510+F491+F468+F450+F428+F407+F386+F365+F343+F320+F301+F279+F257+F234+F213+F193+F171+F148+F127+F107+F86+F64+F41+F22</f>
        <v>2000</v>
      </c>
      <c r="G594" s="51">
        <f t="shared" ref="G594:H594" si="455">G573+G555+G533+G510+G491+G468+G450+G428+G407+G386+G365+G343+G320+G301+G279+G257+G234+G213+G193+G171+G148+G127+G107+G86+G64+G41+G22</f>
        <v>16153.449008267165</v>
      </c>
      <c r="H594" s="51">
        <f t="shared" si="455"/>
        <v>13380.800000000001</v>
      </c>
      <c r="I594" s="9"/>
      <c r="J594" s="9"/>
    </row>
    <row r="595" spans="1:10">
      <c r="A595" s="44" t="s">
        <v>60</v>
      </c>
      <c r="B595" s="23" t="s">
        <v>198</v>
      </c>
      <c r="C595" s="24">
        <v>22</v>
      </c>
      <c r="D595" s="51"/>
      <c r="E595" s="51"/>
      <c r="F595" s="51">
        <f>F580+F564+F542+F517+F500+F475++F459+F437+F415+F394+F374+F352+F327+F310+F288+F266++F241+F221+F202+F180+F155+F135+F115+F95+F73+F48+F31</f>
        <v>2040</v>
      </c>
      <c r="G595" s="51">
        <f t="shared" ref="G595:H595" si="456">G580+G564+G542+G517+G500+G475++G459+G437+G415+G394+G374+G352+G327+G310+G288+G266++G241+G221+G202+G180+G155+G135+G115+G95+G73+G48+G31</f>
        <v>17820.536113017242</v>
      </c>
      <c r="H595" s="51">
        <f t="shared" si="456"/>
        <v>14008.640000000001</v>
      </c>
      <c r="I595" s="9"/>
      <c r="J595" s="9"/>
    </row>
    <row r="596" spans="1:10">
      <c r="A596" s="44" t="s">
        <v>92</v>
      </c>
      <c r="B596" s="23" t="s">
        <v>237</v>
      </c>
      <c r="C596" s="24">
        <v>22</v>
      </c>
      <c r="D596" s="51"/>
      <c r="E596" s="51"/>
      <c r="F596" s="51">
        <f>F583+F520+F478+F330+F244++F158+F51+F224++F138</f>
        <v>40</v>
      </c>
      <c r="G596" s="51">
        <f t="shared" ref="G596:H596" si="457">G583+G520+G478+G330+G244++G158+G51+G224++G138</f>
        <v>1667.0871047500791</v>
      </c>
      <c r="H596" s="51">
        <f t="shared" si="457"/>
        <v>627.83999999999992</v>
      </c>
      <c r="I596" s="9"/>
      <c r="J596" s="9"/>
    </row>
    <row r="597" spans="1:10">
      <c r="A597" s="44" t="s">
        <v>110</v>
      </c>
      <c r="B597" s="23" t="s">
        <v>200</v>
      </c>
      <c r="C597" s="24">
        <v>22</v>
      </c>
      <c r="D597" s="51"/>
      <c r="E597" s="51"/>
      <c r="F597" s="51">
        <f>F587+F568+F546+F524+F504+F482+F463+F441+F420+F399+F378+F356+F334+F314+F292+F270+F248+F228+F206+F184+F162+F142+F120+F99+F77+F55+F35</f>
        <v>516</v>
      </c>
      <c r="G597" s="51">
        <f t="shared" ref="G597:H597" si="458">G587+G568+G546+G524+G504+G482+G463+G441+G420+G399+G378+G356+G334+G314+G292+G270+G248+G228+G206+G184+G162+G142+G120+G99+G77+G55+G35</f>
        <v>3878.77528346894</v>
      </c>
      <c r="H597" s="51">
        <f t="shared" si="458"/>
        <v>3612.672</v>
      </c>
      <c r="I597" s="9"/>
      <c r="J597" s="9"/>
    </row>
    <row r="598" spans="1:10">
      <c r="A598" s="44" t="s">
        <v>111</v>
      </c>
      <c r="B598" s="23" t="s">
        <v>90</v>
      </c>
      <c r="C598" s="24">
        <v>22</v>
      </c>
      <c r="D598" s="51"/>
      <c r="E598" s="51"/>
      <c r="F598" s="51"/>
      <c r="G598" s="106"/>
      <c r="H598" s="106"/>
      <c r="I598" s="9"/>
      <c r="J598" s="9"/>
    </row>
    <row r="599" spans="1:10">
      <c r="A599" s="9"/>
      <c r="B599" s="9"/>
      <c r="C599" s="9"/>
      <c r="D599" s="51"/>
      <c r="E599" s="51"/>
      <c r="F599" s="47">
        <f>SUM(F594:F598)</f>
        <v>4596</v>
      </c>
      <c r="G599" s="106">
        <f t="shared" ref="G599:H599" si="459">SUM(G594:G598)</f>
        <v>39519.847509503423</v>
      </c>
      <c r="H599" s="307">
        <f t="shared" si="459"/>
        <v>31629.952000000001</v>
      </c>
      <c r="I599" s="9"/>
      <c r="J599" s="9"/>
    </row>
    <row r="600" spans="1:10">
      <c r="A600" s="9"/>
      <c r="B600" s="9"/>
      <c r="C600" s="9"/>
      <c r="D600" s="51"/>
      <c r="E600" s="51"/>
      <c r="F600" s="51"/>
      <c r="G600" s="106"/>
      <c r="H600" s="106"/>
      <c r="I600" s="9"/>
      <c r="J600" s="9"/>
    </row>
    <row r="601" spans="1:10">
      <c r="A601" s="9"/>
      <c r="B601" s="9"/>
      <c r="C601" s="9"/>
      <c r="D601" s="51"/>
      <c r="E601" s="51"/>
      <c r="F601" s="51"/>
      <c r="G601" s="106"/>
      <c r="H601" s="106"/>
      <c r="I601" s="9"/>
      <c r="J601" s="9"/>
    </row>
  </sheetData>
  <mergeCells count="118">
    <mergeCell ref="A1:G3"/>
    <mergeCell ref="B4:F4"/>
    <mergeCell ref="H4:J4"/>
    <mergeCell ref="B5:E5"/>
    <mergeCell ref="G5:J5"/>
    <mergeCell ref="B6:E6"/>
    <mergeCell ref="G6:J6"/>
    <mergeCell ref="D22:E22"/>
    <mergeCell ref="D31:E31"/>
    <mergeCell ref="D35:E35"/>
    <mergeCell ref="D41:E41"/>
    <mergeCell ref="D48:E48"/>
    <mergeCell ref="D51:E51"/>
    <mergeCell ref="B7:E7"/>
    <mergeCell ref="G7:J7"/>
    <mergeCell ref="A10:J10"/>
    <mergeCell ref="A13:A14"/>
    <mergeCell ref="B13:B14"/>
    <mergeCell ref="C13:E13"/>
    <mergeCell ref="F13:F14"/>
    <mergeCell ref="G13:G14"/>
    <mergeCell ref="H13:H14"/>
    <mergeCell ref="I13:J14"/>
    <mergeCell ref="D95:E95"/>
    <mergeCell ref="D99:E99"/>
    <mergeCell ref="D107:E107"/>
    <mergeCell ref="D115:E115"/>
    <mergeCell ref="D120:E120"/>
    <mergeCell ref="D121:E121"/>
    <mergeCell ref="D55:E55"/>
    <mergeCell ref="D64:E64"/>
    <mergeCell ref="D73:E73"/>
    <mergeCell ref="D77:E77"/>
    <mergeCell ref="D78:E78"/>
    <mergeCell ref="D86:E86"/>
    <mergeCell ref="D158:E158"/>
    <mergeCell ref="D162:E162"/>
    <mergeCell ref="D171:E171"/>
    <mergeCell ref="D180:E180"/>
    <mergeCell ref="D184:E184"/>
    <mergeCell ref="D185:E185"/>
    <mergeCell ref="D127:E127"/>
    <mergeCell ref="D135:E135"/>
    <mergeCell ref="D138:E138"/>
    <mergeCell ref="D142:E142"/>
    <mergeCell ref="D148:E148"/>
    <mergeCell ref="D155:E155"/>
    <mergeCell ref="D224:E224"/>
    <mergeCell ref="D228:E228"/>
    <mergeCell ref="D234:E234"/>
    <mergeCell ref="D241:E241"/>
    <mergeCell ref="D244:E244"/>
    <mergeCell ref="D248:E248"/>
    <mergeCell ref="D193:E193"/>
    <mergeCell ref="D202:E202"/>
    <mergeCell ref="D206:E206"/>
    <mergeCell ref="D207:E207"/>
    <mergeCell ref="D213:E213"/>
    <mergeCell ref="D221:E221"/>
    <mergeCell ref="D292:E292"/>
    <mergeCell ref="D301:E301"/>
    <mergeCell ref="D310:E310"/>
    <mergeCell ref="D314:E314"/>
    <mergeCell ref="D320:E320"/>
    <mergeCell ref="D327:E327"/>
    <mergeCell ref="D257:E257"/>
    <mergeCell ref="D266:E266"/>
    <mergeCell ref="D270:E270"/>
    <mergeCell ref="D271:E271"/>
    <mergeCell ref="D279:E279"/>
    <mergeCell ref="D288:E288"/>
    <mergeCell ref="D365:E365"/>
    <mergeCell ref="D374:E374"/>
    <mergeCell ref="D378:E378"/>
    <mergeCell ref="D386:E386"/>
    <mergeCell ref="D394:E394"/>
    <mergeCell ref="D399:E399"/>
    <mergeCell ref="D330:E330"/>
    <mergeCell ref="D334:E334"/>
    <mergeCell ref="D343:E343"/>
    <mergeCell ref="D352:E352"/>
    <mergeCell ref="D356:E356"/>
    <mergeCell ref="D357:E357"/>
    <mergeCell ref="D441:E441"/>
    <mergeCell ref="D442:E442"/>
    <mergeCell ref="D450:E450"/>
    <mergeCell ref="D459:E459"/>
    <mergeCell ref="D463:E463"/>
    <mergeCell ref="D468:E468"/>
    <mergeCell ref="D400:E400"/>
    <mergeCell ref="D407:E407"/>
    <mergeCell ref="D415:E415"/>
    <mergeCell ref="D420:E420"/>
    <mergeCell ref="D428:E428"/>
    <mergeCell ref="D437:E437"/>
    <mergeCell ref="D504:E504"/>
    <mergeCell ref="D510:E510"/>
    <mergeCell ref="D517:E517"/>
    <mergeCell ref="D520:E520"/>
    <mergeCell ref="D524:E524"/>
    <mergeCell ref="D533:E533"/>
    <mergeCell ref="D475:E475"/>
    <mergeCell ref="D478:E478"/>
    <mergeCell ref="D482:E482"/>
    <mergeCell ref="D483:E483"/>
    <mergeCell ref="D491:E491"/>
    <mergeCell ref="D500:E500"/>
    <mergeCell ref="D573:E573"/>
    <mergeCell ref="D580:E580"/>
    <mergeCell ref="D583:E583"/>
    <mergeCell ref="D587:E587"/>
    <mergeCell ref="D588:E588"/>
    <mergeCell ref="D542:E542"/>
    <mergeCell ref="D546:E546"/>
    <mergeCell ref="D547:E547"/>
    <mergeCell ref="D555:E555"/>
    <mergeCell ref="D564:E564"/>
    <mergeCell ref="D568:E568"/>
  </mergeCells>
  <phoneticPr fontId="4" type="noConversion"/>
  <pageMargins left="0.17" right="0.17" top="0.75" bottom="0.75" header="0.3" footer="0.3"/>
  <pageSetup paperSize="9" scale="87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P39"/>
  <sheetViews>
    <sheetView workbookViewId="0">
      <selection activeCell="A35" sqref="A35:H35"/>
    </sheetView>
  </sheetViews>
  <sheetFormatPr defaultRowHeight="16.5"/>
  <cols>
    <col min="1" max="1" width="11" customWidth="1"/>
    <col min="2" max="2" width="18.625" customWidth="1"/>
    <col min="3" max="3" width="8.125" customWidth="1"/>
    <col min="4" max="4" width="11" style="122" customWidth="1"/>
    <col min="5" max="5" width="11.5" style="122" customWidth="1"/>
    <col min="6" max="6" width="6.875" style="122" customWidth="1"/>
    <col min="7" max="8" width="10.375" style="13" customWidth="1"/>
    <col min="9" max="10" width="9.375" customWidth="1"/>
  </cols>
  <sheetData>
    <row r="1" spans="1:16" ht="15" customHeight="1">
      <c r="A1" s="350" t="s">
        <v>28</v>
      </c>
      <c r="B1" s="350"/>
      <c r="C1" s="350"/>
      <c r="D1" s="350"/>
      <c r="E1" s="350"/>
      <c r="F1" s="350"/>
      <c r="G1" s="350"/>
      <c r="H1" s="55" t="s">
        <v>29</v>
      </c>
      <c r="I1" s="56"/>
      <c r="J1" s="57"/>
    </row>
    <row r="2" spans="1:16" ht="15" customHeight="1">
      <c r="A2" s="350"/>
      <c r="B2" s="350"/>
      <c r="C2" s="350"/>
      <c r="D2" s="350"/>
      <c r="E2" s="350"/>
      <c r="F2" s="350"/>
      <c r="G2" s="350"/>
      <c r="H2" s="58" t="s">
        <v>116</v>
      </c>
      <c r="I2" s="59"/>
      <c r="J2" s="57"/>
    </row>
    <row r="3" spans="1:16" ht="15" customHeight="1" thickBot="1">
      <c r="A3" s="351"/>
      <c r="B3" s="351"/>
      <c r="C3" s="351"/>
      <c r="D3" s="351"/>
      <c r="E3" s="351"/>
      <c r="F3" s="351"/>
      <c r="G3" s="351"/>
      <c r="H3" s="60"/>
      <c r="I3" s="61"/>
      <c r="J3" s="61"/>
    </row>
    <row r="4" spans="1:16" ht="23.1" customHeight="1">
      <c r="A4" s="62" t="s">
        <v>30</v>
      </c>
      <c r="B4" s="352" t="s">
        <v>113</v>
      </c>
      <c r="C4" s="353"/>
      <c r="D4" s="353"/>
      <c r="E4" s="353"/>
      <c r="F4" s="354"/>
      <c r="G4" s="63" t="s">
        <v>31</v>
      </c>
      <c r="H4" s="355" t="s">
        <v>230</v>
      </c>
      <c r="I4" s="356"/>
      <c r="J4" s="357"/>
      <c r="K4" s="64"/>
    </row>
    <row r="5" spans="1:16" ht="23.1" customHeight="1">
      <c r="A5" s="65" t="s">
        <v>32</v>
      </c>
      <c r="B5" s="358"/>
      <c r="C5" s="359"/>
      <c r="D5" s="359"/>
      <c r="E5" s="360"/>
      <c r="F5" s="66" t="s">
        <v>33</v>
      </c>
      <c r="G5" s="347"/>
      <c r="H5" s="348"/>
      <c r="I5" s="348"/>
      <c r="J5" s="349"/>
    </row>
    <row r="6" spans="1:16" ht="23.1" customHeight="1">
      <c r="A6" s="65" t="s">
        <v>34</v>
      </c>
      <c r="B6" s="346" t="s">
        <v>117</v>
      </c>
      <c r="C6" s="346"/>
      <c r="D6" s="346"/>
      <c r="E6" s="346"/>
      <c r="F6" s="67" t="s">
        <v>35</v>
      </c>
      <c r="G6" s="347"/>
      <c r="H6" s="348"/>
      <c r="I6" s="348"/>
      <c r="J6" s="349"/>
    </row>
    <row r="7" spans="1:16" ht="23.1" customHeight="1" thickBot="1">
      <c r="A7" s="68" t="s">
        <v>36</v>
      </c>
      <c r="B7" s="326" t="s">
        <v>118</v>
      </c>
      <c r="C7" s="326"/>
      <c r="D7" s="326"/>
      <c r="E7" s="326"/>
      <c r="F7" s="69" t="s">
        <v>37</v>
      </c>
      <c r="G7" s="327" t="s">
        <v>231</v>
      </c>
      <c r="H7" s="328"/>
      <c r="I7" s="328"/>
      <c r="J7" s="329"/>
    </row>
    <row r="8" spans="1:16" ht="3" customHeight="1">
      <c r="A8" s="70"/>
      <c r="B8" s="70"/>
      <c r="C8" s="70"/>
      <c r="D8" s="71"/>
      <c r="E8" s="71"/>
      <c r="F8" s="71"/>
      <c r="G8" s="72"/>
      <c r="H8" s="72"/>
      <c r="I8" s="70"/>
      <c r="J8" s="70"/>
    </row>
    <row r="9" spans="1:16" ht="0.75" customHeight="1" thickBot="1">
      <c r="A9" s="70"/>
      <c r="B9" s="70"/>
      <c r="C9" s="70"/>
      <c r="D9" s="71"/>
      <c r="E9" s="71"/>
      <c r="F9" s="71"/>
      <c r="G9" s="72"/>
      <c r="H9" s="72"/>
      <c r="I9" s="70"/>
      <c r="J9" s="70"/>
    </row>
    <row r="10" spans="1:16" ht="30.75" customHeight="1">
      <c r="A10" s="330" t="s">
        <v>38</v>
      </c>
      <c r="B10" s="331"/>
      <c r="C10" s="331"/>
      <c r="D10" s="331"/>
      <c r="E10" s="331"/>
      <c r="F10" s="331"/>
      <c r="G10" s="331"/>
      <c r="H10" s="331"/>
      <c r="I10" s="331"/>
      <c r="J10" s="332"/>
    </row>
    <row r="11" spans="1:16" ht="30.75" customHeight="1">
      <c r="A11" s="274" t="s">
        <v>270</v>
      </c>
      <c r="B11" s="275"/>
      <c r="C11" s="275"/>
      <c r="D11" s="275"/>
      <c r="E11" s="275"/>
      <c r="F11" s="275"/>
      <c r="G11" s="275"/>
      <c r="H11" s="275"/>
      <c r="I11" s="275"/>
      <c r="J11" s="276"/>
    </row>
    <row r="12" spans="1:16" ht="30.75" customHeight="1" thickBot="1">
      <c r="A12" s="73" t="s">
        <v>232</v>
      </c>
      <c r="B12" s="74"/>
      <c r="C12" s="74"/>
      <c r="D12" s="74"/>
      <c r="E12" s="74"/>
      <c r="F12" s="74"/>
      <c r="G12" s="75"/>
      <c r="H12" s="75"/>
      <c r="I12" s="74"/>
      <c r="J12" s="179" t="s">
        <v>115</v>
      </c>
    </row>
    <row r="13" spans="1:16" ht="18" customHeight="1">
      <c r="A13" s="333" t="s">
        <v>39</v>
      </c>
      <c r="B13" s="335" t="s">
        <v>40</v>
      </c>
      <c r="C13" s="337" t="s">
        <v>7</v>
      </c>
      <c r="D13" s="337"/>
      <c r="E13" s="337"/>
      <c r="F13" s="338" t="s">
        <v>41</v>
      </c>
      <c r="G13" s="340" t="s">
        <v>42</v>
      </c>
      <c r="H13" s="340" t="s">
        <v>43</v>
      </c>
      <c r="I13" s="342" t="s">
        <v>44</v>
      </c>
      <c r="J13" s="343"/>
    </row>
    <row r="14" spans="1:16" ht="18" customHeight="1" thickBot="1">
      <c r="A14" s="334"/>
      <c r="B14" s="336"/>
      <c r="C14" s="76" t="s">
        <v>45</v>
      </c>
      <c r="D14" s="173" t="s">
        <v>46</v>
      </c>
      <c r="E14" s="173" t="s">
        <v>47</v>
      </c>
      <c r="F14" s="339"/>
      <c r="G14" s="341"/>
      <c r="H14" s="341"/>
      <c r="I14" s="344"/>
      <c r="J14" s="345"/>
      <c r="L14" s="78" t="s">
        <v>48</v>
      </c>
      <c r="M14" s="78" t="s">
        <v>49</v>
      </c>
      <c r="N14" s="78" t="s">
        <v>50</v>
      </c>
      <c r="O14" s="78" t="s">
        <v>51</v>
      </c>
    </row>
    <row r="15" spans="1:16" ht="18" customHeight="1">
      <c r="A15" s="85"/>
      <c r="B15" s="163" t="s">
        <v>199</v>
      </c>
      <c r="C15" s="163">
        <v>22</v>
      </c>
      <c r="D15" s="88">
        <v>738</v>
      </c>
      <c r="E15" s="88">
        <v>1810</v>
      </c>
      <c r="F15" s="89">
        <f t="shared" ref="F15" si="0">O15</f>
        <v>50</v>
      </c>
      <c r="G15" s="90">
        <f t="shared" ref="G15" si="1">D15*E15/91809*F15</f>
        <v>727.47769826487593</v>
      </c>
      <c r="H15" s="90">
        <f t="shared" ref="H15" si="2">(D15/1000)*4*F15+(E15/1000)*4*F15</f>
        <v>509.6</v>
      </c>
      <c r="I15" s="91" t="s">
        <v>271</v>
      </c>
      <c r="J15" s="92" t="s">
        <v>219</v>
      </c>
      <c r="L15" s="89">
        <v>2</v>
      </c>
      <c r="M15" s="78">
        <v>25</v>
      </c>
      <c r="N15" s="84"/>
      <c r="O15" s="78">
        <f>L15*M15-N15*L15</f>
        <v>50</v>
      </c>
      <c r="P15" s="64" t="s">
        <v>244</v>
      </c>
    </row>
    <row r="16" spans="1:16" ht="18" customHeight="1">
      <c r="A16" s="85"/>
      <c r="B16" s="163" t="s">
        <v>199</v>
      </c>
      <c r="C16" s="163">
        <v>22</v>
      </c>
      <c r="D16" s="88">
        <v>738</v>
      </c>
      <c r="E16" s="88">
        <v>1810</v>
      </c>
      <c r="F16" s="89">
        <f t="shared" ref="F16" si="3">O16</f>
        <v>52</v>
      </c>
      <c r="G16" s="90">
        <f t="shared" ref="G16" si="4">D16*E16/91809*F16</f>
        <v>756.57680619547102</v>
      </c>
      <c r="H16" s="90">
        <f t="shared" ref="H16" si="5">(D16/1000)*4*F16+(E16/1000)*4*F16</f>
        <v>529.98400000000004</v>
      </c>
      <c r="I16" s="91" t="s">
        <v>272</v>
      </c>
      <c r="J16" s="92" t="s">
        <v>219</v>
      </c>
      <c r="L16" s="89">
        <v>2</v>
      </c>
      <c r="M16" s="78">
        <v>26</v>
      </c>
      <c r="N16" s="84"/>
      <c r="O16" s="78">
        <f t="shared" ref="O16" si="6">L16*M16-N16*L16</f>
        <v>52</v>
      </c>
      <c r="P16" s="64" t="s">
        <v>245</v>
      </c>
    </row>
    <row r="17" spans="1:16" ht="18" customHeight="1">
      <c r="A17" s="85"/>
      <c r="B17" s="23" t="s">
        <v>203</v>
      </c>
      <c r="C17" s="277">
        <v>22</v>
      </c>
      <c r="D17" s="88">
        <v>638</v>
      </c>
      <c r="E17" s="88">
        <v>1810</v>
      </c>
      <c r="F17" s="89">
        <f t="shared" ref="F17:F18" si="7">O17</f>
        <v>54</v>
      </c>
      <c r="G17" s="90">
        <f t="shared" ref="G17:G18" si="8">D17*E17/91809*F17</f>
        <v>679.21576316047447</v>
      </c>
      <c r="H17" s="90">
        <f t="shared" ref="H17:H18" si="9">(D17/1000)*4*F17+(E17/1000)*4*F17</f>
        <v>528.76800000000003</v>
      </c>
      <c r="I17" s="91" t="s">
        <v>273</v>
      </c>
      <c r="J17" s="92" t="s">
        <v>219</v>
      </c>
      <c r="L17" s="89">
        <v>2</v>
      </c>
      <c r="M17" s="78">
        <v>27</v>
      </c>
      <c r="N17" s="84"/>
      <c r="O17" s="78">
        <f t="shared" ref="O17:O24" si="10">L17*M17-N17*L17</f>
        <v>54</v>
      </c>
      <c r="P17" s="64" t="s">
        <v>247</v>
      </c>
    </row>
    <row r="18" spans="1:16" ht="18" customHeight="1">
      <c r="A18" s="85"/>
      <c r="B18" s="23" t="s">
        <v>203</v>
      </c>
      <c r="C18" s="24">
        <v>22</v>
      </c>
      <c r="D18" s="88">
        <v>738</v>
      </c>
      <c r="E18" s="88">
        <v>1810</v>
      </c>
      <c r="F18" s="89">
        <f t="shared" si="7"/>
        <v>58</v>
      </c>
      <c r="G18" s="90">
        <f t="shared" si="8"/>
        <v>843.87412998725608</v>
      </c>
      <c r="H18" s="90">
        <f t="shared" si="9"/>
        <v>591.13599999999997</v>
      </c>
      <c r="I18" s="91" t="s">
        <v>294</v>
      </c>
      <c r="J18" s="92" t="s">
        <v>219</v>
      </c>
      <c r="L18" s="89">
        <v>2</v>
      </c>
      <c r="M18" s="78">
        <v>29</v>
      </c>
      <c r="N18" s="84"/>
      <c r="O18" s="78">
        <f t="shared" si="10"/>
        <v>58</v>
      </c>
      <c r="P18" s="64" t="s">
        <v>279</v>
      </c>
    </row>
    <row r="19" spans="1:16" ht="18" customHeight="1">
      <c r="A19" s="85"/>
      <c r="B19" s="23" t="s">
        <v>203</v>
      </c>
      <c r="C19" s="277">
        <v>22</v>
      </c>
      <c r="D19" s="88">
        <v>638</v>
      </c>
      <c r="E19" s="88">
        <v>1810</v>
      </c>
      <c r="F19" s="89">
        <f t="shared" ref="F19" si="11">O19</f>
        <v>58</v>
      </c>
      <c r="G19" s="90">
        <f t="shared" ref="G19" si="12">D19*E19/91809*F19</f>
        <v>729.52804191310224</v>
      </c>
      <c r="H19" s="90">
        <f t="shared" ref="H19" si="13">(D19/1000)*4*F19+(E19/1000)*4*F19</f>
        <v>567.93600000000004</v>
      </c>
      <c r="I19" s="91" t="s">
        <v>274</v>
      </c>
      <c r="J19" s="92" t="s">
        <v>219</v>
      </c>
      <c r="L19" s="89">
        <v>2</v>
      </c>
      <c r="M19" s="78">
        <v>29</v>
      </c>
      <c r="N19" s="84"/>
      <c r="O19" s="78">
        <f t="shared" si="10"/>
        <v>58</v>
      </c>
      <c r="P19" s="64" t="s">
        <v>247</v>
      </c>
    </row>
    <row r="20" spans="1:16" ht="18" customHeight="1">
      <c r="A20" s="85"/>
      <c r="B20" s="163" t="s">
        <v>199</v>
      </c>
      <c r="C20" s="163">
        <v>22</v>
      </c>
      <c r="D20" s="88">
        <v>738</v>
      </c>
      <c r="E20" s="88">
        <v>1810</v>
      </c>
      <c r="F20" s="89">
        <f t="shared" ref="F20:F21" si="14">O20</f>
        <v>58</v>
      </c>
      <c r="G20" s="90">
        <f t="shared" ref="G20:G21" si="15">D20*E20/91809*F20</f>
        <v>843.87412998725608</v>
      </c>
      <c r="H20" s="90">
        <f t="shared" ref="H20:H21" si="16">(D20/1000)*4*F20+(E20/1000)*4*F20</f>
        <v>591.13599999999997</v>
      </c>
      <c r="I20" s="91" t="s">
        <v>275</v>
      </c>
      <c r="J20" s="92" t="s">
        <v>219</v>
      </c>
      <c r="L20" s="89">
        <v>2</v>
      </c>
      <c r="M20" s="78">
        <v>29</v>
      </c>
      <c r="N20" s="84"/>
      <c r="O20" s="78">
        <f t="shared" si="10"/>
        <v>58</v>
      </c>
      <c r="P20" s="64" t="s">
        <v>244</v>
      </c>
    </row>
    <row r="21" spans="1:16" ht="18" customHeight="1">
      <c r="A21" s="85"/>
      <c r="B21" s="163" t="s">
        <v>199</v>
      </c>
      <c r="C21" s="163">
        <v>22</v>
      </c>
      <c r="D21" s="88">
        <v>738</v>
      </c>
      <c r="E21" s="88">
        <v>1810</v>
      </c>
      <c r="F21" s="89">
        <f t="shared" si="14"/>
        <v>54</v>
      </c>
      <c r="G21" s="90">
        <f t="shared" si="15"/>
        <v>785.67591412606612</v>
      </c>
      <c r="H21" s="90">
        <f t="shared" si="16"/>
        <v>550.36800000000005</v>
      </c>
      <c r="I21" s="91" t="s">
        <v>295</v>
      </c>
      <c r="J21" s="92" t="s">
        <v>219</v>
      </c>
      <c r="L21" s="89">
        <v>2</v>
      </c>
      <c r="M21" s="78">
        <v>27</v>
      </c>
      <c r="N21" s="84"/>
      <c r="O21" s="78">
        <f t="shared" si="10"/>
        <v>54</v>
      </c>
      <c r="P21" s="64" t="s">
        <v>285</v>
      </c>
    </row>
    <row r="22" spans="1:16" ht="18" customHeight="1">
      <c r="A22" s="85"/>
      <c r="B22" s="163" t="s">
        <v>199</v>
      </c>
      <c r="C22" s="163">
        <v>22</v>
      </c>
      <c r="D22" s="88">
        <v>738</v>
      </c>
      <c r="E22" s="88">
        <v>1810</v>
      </c>
      <c r="F22" s="89">
        <f t="shared" ref="F22:F24" si="17">O22</f>
        <v>54</v>
      </c>
      <c r="G22" s="90">
        <f t="shared" ref="G22:G24" si="18">D22*E22/91809*F22</f>
        <v>785.67591412606612</v>
      </c>
      <c r="H22" s="90">
        <f t="shared" ref="H22:H24" si="19">(D22/1000)*4*F22+(E22/1000)*4*F22</f>
        <v>550.36800000000005</v>
      </c>
      <c r="I22" s="91" t="s">
        <v>296</v>
      </c>
      <c r="J22" s="92" t="s">
        <v>219</v>
      </c>
      <c r="L22" s="89">
        <v>2</v>
      </c>
      <c r="M22" s="78">
        <v>27</v>
      </c>
      <c r="N22" s="84"/>
      <c r="O22" s="78">
        <f t="shared" si="10"/>
        <v>54</v>
      </c>
      <c r="P22" s="64" t="s">
        <v>289</v>
      </c>
    </row>
    <row r="23" spans="1:16" ht="18" customHeight="1">
      <c r="A23" s="85"/>
      <c r="B23" s="23" t="s">
        <v>203</v>
      </c>
      <c r="C23" s="24">
        <v>22</v>
      </c>
      <c r="D23" s="88">
        <v>738</v>
      </c>
      <c r="E23" s="88">
        <v>1810</v>
      </c>
      <c r="F23" s="89">
        <f t="shared" si="17"/>
        <v>46</v>
      </c>
      <c r="G23" s="90">
        <f t="shared" si="18"/>
        <v>669.27948240368596</v>
      </c>
      <c r="H23" s="90">
        <f t="shared" si="19"/>
        <v>468.83199999999999</v>
      </c>
      <c r="I23" s="91" t="str">
        <f>I20</f>
        <v>9동1호</v>
      </c>
      <c r="J23" s="92" t="s">
        <v>219</v>
      </c>
      <c r="L23" s="89">
        <v>2</v>
      </c>
      <c r="M23" s="78">
        <v>23</v>
      </c>
      <c r="N23" s="84"/>
      <c r="O23" s="78">
        <f t="shared" si="10"/>
        <v>46</v>
      </c>
      <c r="P23" s="64" t="s">
        <v>290</v>
      </c>
    </row>
    <row r="24" spans="1:16" ht="18" customHeight="1">
      <c r="A24" s="85"/>
      <c r="B24" s="23" t="s">
        <v>203</v>
      </c>
      <c r="C24" s="24">
        <v>22</v>
      </c>
      <c r="D24" s="88">
        <v>738</v>
      </c>
      <c r="E24" s="88">
        <v>1810</v>
      </c>
      <c r="F24" s="89">
        <f t="shared" si="17"/>
        <v>36</v>
      </c>
      <c r="G24" s="90">
        <f t="shared" si="18"/>
        <v>523.78394275071071</v>
      </c>
      <c r="H24" s="90">
        <f t="shared" si="19"/>
        <v>366.91199999999998</v>
      </c>
      <c r="I24" s="91" t="str">
        <f>I21</f>
        <v>10동2호</v>
      </c>
      <c r="J24" s="92" t="s">
        <v>219</v>
      </c>
      <c r="L24" s="89">
        <v>2</v>
      </c>
      <c r="M24" s="78">
        <v>18</v>
      </c>
      <c r="N24" s="84"/>
      <c r="O24" s="78">
        <f t="shared" si="10"/>
        <v>36</v>
      </c>
      <c r="P24" s="64" t="s">
        <v>291</v>
      </c>
    </row>
    <row r="25" spans="1:16" ht="18" customHeight="1">
      <c r="A25" s="85"/>
      <c r="B25" s="86"/>
      <c r="C25" s="87"/>
      <c r="D25" s="88"/>
      <c r="E25" s="88"/>
      <c r="F25" s="89"/>
      <c r="G25" s="90"/>
      <c r="H25" s="90"/>
      <c r="I25" s="91"/>
      <c r="J25" s="92"/>
      <c r="L25" s="89"/>
      <c r="M25" s="78"/>
      <c r="N25" s="84"/>
      <c r="O25" s="78"/>
    </row>
    <row r="26" spans="1:16" ht="18" customHeight="1">
      <c r="A26" s="222"/>
      <c r="B26" s="223"/>
      <c r="C26" s="224"/>
      <c r="D26" s="364" t="s">
        <v>0</v>
      </c>
      <c r="E26" s="364"/>
      <c r="F26" s="269">
        <f>SUM(F15:F25)</f>
        <v>520</v>
      </c>
      <c r="G26" s="269">
        <f t="shared" ref="G26:H26" si="20">SUM(G15:G25)</f>
        <v>7344.9618229149646</v>
      </c>
      <c r="H26" s="269">
        <f t="shared" si="20"/>
        <v>5255.0400000000009</v>
      </c>
      <c r="I26" s="271"/>
      <c r="J26" s="272"/>
    </row>
    <row r="27" spans="1:16">
      <c r="A27" s="9"/>
      <c r="B27" s="9"/>
      <c r="C27" s="9"/>
      <c r="D27" s="51"/>
      <c r="E27" s="51"/>
      <c r="F27" s="51"/>
      <c r="G27" s="106"/>
      <c r="H27" s="106"/>
      <c r="I27" s="9"/>
      <c r="J27" s="9"/>
    </row>
    <row r="28" spans="1:16">
      <c r="A28" s="9"/>
      <c r="B28" s="9"/>
      <c r="C28" s="9"/>
      <c r="D28" s="51"/>
      <c r="E28" s="51"/>
      <c r="F28" s="51"/>
      <c r="G28" s="106"/>
      <c r="H28" s="106"/>
      <c r="I28" s="9"/>
      <c r="J28" s="9"/>
    </row>
    <row r="29" spans="1:16">
      <c r="A29" s="9"/>
      <c r="B29" s="9"/>
      <c r="C29" s="9"/>
      <c r="D29" s="51"/>
      <c r="E29" s="51"/>
      <c r="F29" s="51"/>
      <c r="G29" s="106"/>
      <c r="H29" s="106"/>
      <c r="I29" s="9"/>
      <c r="J29" s="9"/>
    </row>
    <row r="30" spans="1:16">
      <c r="A30" s="9"/>
      <c r="B30" s="9"/>
      <c r="C30" s="9"/>
      <c r="D30" s="51"/>
      <c r="E30" s="51"/>
      <c r="F30" s="51"/>
      <c r="G30" s="106"/>
      <c r="H30" s="106"/>
      <c r="I30" s="9"/>
      <c r="J30" s="9"/>
    </row>
    <row r="31" spans="1:16">
      <c r="A31" s="9"/>
      <c r="B31" s="9"/>
      <c r="C31" s="9"/>
      <c r="D31" s="51"/>
      <c r="E31" s="51"/>
      <c r="F31" s="51"/>
      <c r="G31" s="106"/>
      <c r="H31" s="106"/>
      <c r="I31" s="9"/>
      <c r="J31" s="9"/>
    </row>
    <row r="32" spans="1:16">
      <c r="A32" s="44" t="s">
        <v>59</v>
      </c>
      <c r="B32" s="23" t="s">
        <v>201</v>
      </c>
      <c r="C32" s="24">
        <v>22</v>
      </c>
      <c r="D32" s="51"/>
      <c r="E32" s="51"/>
      <c r="F32" s="51"/>
      <c r="G32" s="51"/>
      <c r="H32" s="51"/>
      <c r="I32" s="9"/>
      <c r="J32" s="9"/>
    </row>
    <row r="33" spans="1:10">
      <c r="A33" s="44" t="s">
        <v>60</v>
      </c>
      <c r="B33" s="23" t="s">
        <v>198</v>
      </c>
      <c r="C33" s="24">
        <v>22</v>
      </c>
      <c r="D33" s="51"/>
      <c r="E33" s="51"/>
      <c r="F33" s="51"/>
      <c r="G33" s="51"/>
      <c r="H33" s="51"/>
      <c r="I33" s="9"/>
      <c r="J33" s="9"/>
    </row>
    <row r="34" spans="1:10">
      <c r="A34" s="44" t="s">
        <v>109</v>
      </c>
      <c r="B34" s="23" t="s">
        <v>238</v>
      </c>
      <c r="C34" s="24">
        <v>22</v>
      </c>
      <c r="D34" s="51"/>
      <c r="E34" s="51"/>
      <c r="F34" s="51"/>
      <c r="G34" s="51"/>
      <c r="H34" s="51"/>
      <c r="I34" s="9"/>
      <c r="J34" s="9"/>
    </row>
    <row r="35" spans="1:10">
      <c r="A35" s="44" t="s">
        <v>110</v>
      </c>
      <c r="B35" s="23" t="s">
        <v>203</v>
      </c>
      <c r="C35" s="24">
        <v>22</v>
      </c>
      <c r="D35" s="51"/>
      <c r="E35" s="51"/>
      <c r="F35" s="51">
        <f>F26</f>
        <v>520</v>
      </c>
      <c r="G35" s="51">
        <f t="shared" ref="G35:H35" si="21">G26</f>
        <v>7344.9618229149646</v>
      </c>
      <c r="H35" s="51">
        <f t="shared" si="21"/>
        <v>5255.0400000000009</v>
      </c>
      <c r="I35" s="9"/>
      <c r="J35" s="9"/>
    </row>
    <row r="36" spans="1:10">
      <c r="A36" s="44" t="s">
        <v>111</v>
      </c>
      <c r="B36" s="23" t="s">
        <v>90</v>
      </c>
      <c r="C36" s="24">
        <v>22</v>
      </c>
      <c r="D36" s="51"/>
      <c r="E36" s="51"/>
      <c r="F36" s="51"/>
      <c r="G36" s="51"/>
      <c r="H36" s="51"/>
      <c r="I36" s="9"/>
      <c r="J36" s="9"/>
    </row>
    <row r="37" spans="1:10">
      <c r="A37" s="9"/>
      <c r="B37" s="9"/>
      <c r="C37" s="9"/>
      <c r="D37" s="51"/>
      <c r="E37" s="51"/>
      <c r="F37" s="47"/>
      <c r="G37" s="106"/>
      <c r="H37" s="106"/>
      <c r="I37" s="9"/>
      <c r="J37" s="9"/>
    </row>
    <row r="38" spans="1:10">
      <c r="A38" s="9"/>
      <c r="B38" s="9"/>
      <c r="C38" s="9"/>
      <c r="D38" s="51"/>
      <c r="E38" s="51"/>
      <c r="F38" s="51"/>
      <c r="G38" s="106"/>
      <c r="H38" s="106"/>
      <c r="I38" s="9"/>
      <c r="J38" s="9"/>
    </row>
    <row r="39" spans="1:10">
      <c r="A39" s="9"/>
      <c r="B39" s="9"/>
      <c r="C39" s="9"/>
      <c r="D39" s="51"/>
      <c r="E39" s="51"/>
      <c r="F39" s="51"/>
      <c r="G39" s="106"/>
      <c r="H39" s="106"/>
      <c r="I39" s="9"/>
      <c r="J39" s="9"/>
    </row>
  </sheetData>
  <mergeCells count="18">
    <mergeCell ref="D26:E26"/>
    <mergeCell ref="B7:E7"/>
    <mergeCell ref="G7:J7"/>
    <mergeCell ref="A10:J10"/>
    <mergeCell ref="A13:A14"/>
    <mergeCell ref="B13:B14"/>
    <mergeCell ref="C13:E13"/>
    <mergeCell ref="F13:F14"/>
    <mergeCell ref="G13:G14"/>
    <mergeCell ref="H13:H14"/>
    <mergeCell ref="I13:J14"/>
    <mergeCell ref="B6:E6"/>
    <mergeCell ref="G6:J6"/>
    <mergeCell ref="A1:G3"/>
    <mergeCell ref="B4:F4"/>
    <mergeCell ref="H4:J4"/>
    <mergeCell ref="B5:E5"/>
    <mergeCell ref="G5:J5"/>
  </mergeCells>
  <phoneticPr fontId="4" type="noConversion"/>
  <pageMargins left="0.17" right="0.17" top="0.75" bottom="0.75" header="0.3" footer="0.3"/>
  <pageSetup paperSize="9" scale="87" fitToHeight="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6"/>
  <sheetViews>
    <sheetView workbookViewId="0">
      <selection activeCell="F8" sqref="F8"/>
    </sheetView>
  </sheetViews>
  <sheetFormatPr defaultRowHeight="16.5"/>
  <cols>
    <col min="1" max="1" width="9" style="122"/>
    <col min="2" max="2" width="13" style="122" bestFit="1" customWidth="1"/>
    <col min="3" max="5" width="13.25" style="122" customWidth="1"/>
    <col min="6" max="7" width="9.125" style="122" bestFit="1" customWidth="1"/>
    <col min="8" max="8" width="11.875" style="122" bestFit="1" customWidth="1"/>
    <col min="9" max="9" width="9.125" style="122" bestFit="1" customWidth="1"/>
    <col min="10" max="10" width="9.375" style="122" bestFit="1" customWidth="1"/>
    <col min="11" max="16384" width="9" style="122"/>
  </cols>
  <sheetData>
    <row r="1" spans="1:9">
      <c r="B1" s="122" t="s">
        <v>119</v>
      </c>
      <c r="C1" s="122" t="s">
        <v>120</v>
      </c>
      <c r="D1" s="122" t="s">
        <v>121</v>
      </c>
      <c r="E1" s="122" t="s">
        <v>122</v>
      </c>
      <c r="G1" s="122" t="s">
        <v>123</v>
      </c>
      <c r="H1" s="122" t="s">
        <v>124</v>
      </c>
      <c r="I1" s="122" t="s">
        <v>125</v>
      </c>
    </row>
    <row r="2" spans="1:9">
      <c r="B2" s="122">
        <f>876</f>
        <v>876</v>
      </c>
      <c r="C2" s="122">
        <v>4779</v>
      </c>
      <c r="D2" s="122">
        <v>679</v>
      </c>
      <c r="E2" s="122">
        <v>1596</v>
      </c>
      <c r="G2" s="122">
        <v>1785</v>
      </c>
      <c r="H2" s="122">
        <v>18</v>
      </c>
      <c r="I2" s="122">
        <v>215</v>
      </c>
    </row>
    <row r="3" spans="1:9">
      <c r="B3" s="122">
        <v>112</v>
      </c>
      <c r="C3" s="122">
        <v>538</v>
      </c>
      <c r="D3" s="122">
        <v>77</v>
      </c>
      <c r="E3" s="122">
        <v>180</v>
      </c>
      <c r="G3" s="122">
        <v>32</v>
      </c>
      <c r="H3" s="122">
        <v>9</v>
      </c>
      <c r="I3" s="122">
        <v>7</v>
      </c>
    </row>
    <row r="4" spans="1:9">
      <c r="H4" s="122">
        <v>15</v>
      </c>
      <c r="I4" s="122">
        <v>2</v>
      </c>
    </row>
    <row r="5" spans="1:9">
      <c r="H5" s="122">
        <v>19</v>
      </c>
    </row>
    <row r="6" spans="1:9">
      <c r="B6" s="122">
        <v>3621</v>
      </c>
      <c r="C6" s="122">
        <v>19278</v>
      </c>
      <c r="D6" s="122">
        <v>2668</v>
      </c>
      <c r="E6" s="122">
        <v>5565</v>
      </c>
      <c r="H6" s="122">
        <v>15</v>
      </c>
    </row>
    <row r="7" spans="1:9">
      <c r="H7" s="122">
        <v>235</v>
      </c>
    </row>
    <row r="8" spans="1:9">
      <c r="H8" s="122">
        <v>33</v>
      </c>
    </row>
    <row r="9" spans="1:9">
      <c r="H9" s="122">
        <v>5</v>
      </c>
    </row>
    <row r="10" spans="1:9">
      <c r="H10" s="122">
        <v>30</v>
      </c>
    </row>
    <row r="11" spans="1:9">
      <c r="H11" s="122">
        <v>44</v>
      </c>
    </row>
    <row r="12" spans="1:9">
      <c r="H12" s="122">
        <v>161</v>
      </c>
    </row>
    <row r="15" spans="1:9">
      <c r="A15" s="122" t="s">
        <v>0</v>
      </c>
      <c r="B15" s="122">
        <f>SUM(B2:B14)</f>
        <v>4609</v>
      </c>
      <c r="C15" s="122">
        <f t="shared" ref="C15:I15" si="0">SUM(C2:C14)</f>
        <v>24595</v>
      </c>
      <c r="D15" s="122">
        <f t="shared" si="0"/>
        <v>3424</v>
      </c>
      <c r="E15" s="122">
        <f t="shared" si="0"/>
        <v>7341</v>
      </c>
      <c r="F15" s="122">
        <f t="shared" si="0"/>
        <v>0</v>
      </c>
      <c r="G15" s="122">
        <f t="shared" si="0"/>
        <v>1817</v>
      </c>
      <c r="H15" s="122">
        <f t="shared" si="0"/>
        <v>584</v>
      </c>
      <c r="I15" s="122">
        <f t="shared" si="0"/>
        <v>224</v>
      </c>
    </row>
    <row r="16" spans="1:9">
      <c r="A16" s="122" t="s">
        <v>126</v>
      </c>
      <c r="B16" s="122">
        <v>680</v>
      </c>
      <c r="C16" s="122">
        <v>680</v>
      </c>
      <c r="D16" s="122">
        <v>680</v>
      </c>
      <c r="E16" s="122">
        <v>680</v>
      </c>
    </row>
    <row r="17" spans="1:10">
      <c r="A17" s="122" t="s">
        <v>127</v>
      </c>
      <c r="B17" s="122">
        <f>B16*B15*10.89</f>
        <v>34130566.800000004</v>
      </c>
      <c r="C17" s="122">
        <f t="shared" ref="C17:E17" si="1">C16*C15*10.89</f>
        <v>182130894</v>
      </c>
      <c r="D17" s="122">
        <f t="shared" si="1"/>
        <v>25355404.800000001</v>
      </c>
      <c r="E17" s="122">
        <f t="shared" si="1"/>
        <v>54361573.200000003</v>
      </c>
    </row>
    <row r="18" spans="1:10">
      <c r="B18" s="180">
        <f>B17+C17+D17+E17</f>
        <v>295978438.80000001</v>
      </c>
    </row>
    <row r="21" spans="1:10">
      <c r="B21" s="122">
        <v>7200</v>
      </c>
      <c r="C21" s="122">
        <v>36098</v>
      </c>
      <c r="D21" s="122">
        <v>5129</v>
      </c>
      <c r="E21" s="122">
        <v>12055</v>
      </c>
      <c r="G21" s="122">
        <v>16002</v>
      </c>
      <c r="H21" s="122">
        <f>4799+71+142</f>
        <v>5012</v>
      </c>
      <c r="I21" s="122">
        <v>1673</v>
      </c>
    </row>
    <row r="22" spans="1:10">
      <c r="B22" s="122">
        <v>25290</v>
      </c>
      <c r="C22" s="122">
        <v>137083</v>
      </c>
      <c r="D22" s="122">
        <v>17818</v>
      </c>
      <c r="E22" s="122">
        <v>36454</v>
      </c>
    </row>
    <row r="24" spans="1:10">
      <c r="A24" s="122" t="s">
        <v>0</v>
      </c>
      <c r="B24" s="122">
        <f>SUM(B21:B23)</f>
        <v>32490</v>
      </c>
      <c r="C24" s="122">
        <f t="shared" ref="C24:I24" si="2">SUM(C21:C23)</f>
        <v>173181</v>
      </c>
      <c r="D24" s="122">
        <f t="shared" si="2"/>
        <v>22947</v>
      </c>
      <c r="E24" s="122">
        <f t="shared" si="2"/>
        <v>48509</v>
      </c>
      <c r="F24" s="122">
        <f t="shared" si="2"/>
        <v>0</v>
      </c>
      <c r="G24" s="122">
        <f t="shared" si="2"/>
        <v>16002</v>
      </c>
      <c r="H24" s="122">
        <f t="shared" si="2"/>
        <v>5012</v>
      </c>
      <c r="I24" s="122">
        <f t="shared" si="2"/>
        <v>1673</v>
      </c>
      <c r="J24" s="122">
        <f>SUM(B24:I24)</f>
        <v>299814</v>
      </c>
    </row>
    <row r="25" spans="1:10">
      <c r="A25" s="122" t="s">
        <v>126</v>
      </c>
      <c r="B25" s="122">
        <v>322</v>
      </c>
      <c r="C25" s="122">
        <v>322</v>
      </c>
      <c r="D25" s="122">
        <v>322</v>
      </c>
      <c r="E25" s="122">
        <v>322</v>
      </c>
    </row>
    <row r="26" spans="1:10">
      <c r="B26" s="122">
        <f>B25*B24</f>
        <v>10461780</v>
      </c>
      <c r="C26" s="122">
        <f t="shared" ref="C26:E26" si="3">C25*C24</f>
        <v>55764282</v>
      </c>
      <c r="D26" s="122">
        <f t="shared" si="3"/>
        <v>7388934</v>
      </c>
      <c r="E26" s="122">
        <f t="shared" si="3"/>
        <v>15619898</v>
      </c>
    </row>
    <row r="27" spans="1:10">
      <c r="B27" s="180">
        <f>B26+C26+D26+E26</f>
        <v>89234894</v>
      </c>
    </row>
    <row r="28" spans="1:10">
      <c r="B28" s="122" t="s">
        <v>128</v>
      </c>
    </row>
    <row r="29" spans="1:10">
      <c r="B29" s="181">
        <f>B27+B18</f>
        <v>385213332.80000001</v>
      </c>
    </row>
    <row r="31" spans="1:10">
      <c r="B31" s="122">
        <v>820</v>
      </c>
      <c r="C31" s="122">
        <f>(B15+C15+D15+E15)*10.89</f>
        <v>435262.41000000003</v>
      </c>
      <c r="D31" s="180">
        <f>C31*B31</f>
        <v>356915176.20000005</v>
      </c>
      <c r="G31" s="122">
        <f>(G15+H15+I15)*10.89</f>
        <v>28586.25</v>
      </c>
      <c r="H31" s="180">
        <f>G31*B31</f>
        <v>23440725</v>
      </c>
    </row>
    <row r="32" spans="1:10">
      <c r="E32" s="181">
        <f>D31+H31</f>
        <v>380355901.20000005</v>
      </c>
    </row>
    <row r="34" spans="5:5">
      <c r="E34" s="122">
        <f>444296064</f>
        <v>444296064</v>
      </c>
    </row>
    <row r="36" spans="5:5">
      <c r="E36" s="181">
        <f>E34-E32</f>
        <v>63940162.799999952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 지정된 범위</vt:lpstr>
      </vt:variant>
      <vt:variant>
        <vt:i4>14</vt:i4>
      </vt:variant>
    </vt:vector>
  </HeadingPairs>
  <TitlesOfParts>
    <vt:vector size="32" baseType="lpstr">
      <vt:lpstr>골조도(일정-공장)</vt:lpstr>
      <vt:lpstr>골조도(일정)</vt:lpstr>
      <vt:lpstr>Sheet8</vt:lpstr>
      <vt:lpstr>집계표</vt:lpstr>
      <vt:lpstr>물량산출서(세대)</vt:lpstr>
      <vt:lpstr>물량산출서(공용+부속동)</vt:lpstr>
      <vt:lpstr>2. 골조도</vt:lpstr>
      <vt:lpstr>목업세대</vt:lpstr>
      <vt:lpstr>1차원본</vt:lpstr>
      <vt:lpstr>1차</vt:lpstr>
      <vt:lpstr>2차</vt:lpstr>
      <vt:lpstr>3차</vt:lpstr>
      <vt:lpstr>4차</vt:lpstr>
      <vt:lpstr>5차전체(5,6차로나뉨)</vt:lpstr>
      <vt:lpstr>5차</vt:lpstr>
      <vt:lpstr>6차</vt:lpstr>
      <vt:lpstr>카자리</vt:lpstr>
      <vt:lpstr>Sheet1</vt:lpstr>
      <vt:lpstr>'1차'!Print_Area</vt:lpstr>
      <vt:lpstr>'1차원본'!Print_Area</vt:lpstr>
      <vt:lpstr>'2. 골조도'!Print_Area</vt:lpstr>
      <vt:lpstr>'2차'!Print_Area</vt:lpstr>
      <vt:lpstr>'3차'!Print_Area</vt:lpstr>
      <vt:lpstr>'4차'!Print_Area</vt:lpstr>
      <vt:lpstr>'5차'!Print_Area</vt:lpstr>
      <vt:lpstr>'5차전체(5,6차로나뉨)'!Print_Area</vt:lpstr>
      <vt:lpstr>'6차'!Print_Area</vt:lpstr>
      <vt:lpstr>'골조도(일정)'!Print_Area</vt:lpstr>
      <vt:lpstr>'골조도(일정-공장)'!Print_Area</vt:lpstr>
      <vt:lpstr>목업세대!Print_Area</vt:lpstr>
      <vt:lpstr>'물량산출서(세대)'!Print_Area</vt:lpstr>
      <vt:lpstr>카자리!Print_Area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ONE</cp:lastModifiedBy>
  <cp:lastPrinted>2026-08-18T07:21:49Z</cp:lastPrinted>
  <dcterms:created xsi:type="dcterms:W3CDTF">2026-03-08T23:03:27Z</dcterms:created>
  <dcterms:modified xsi:type="dcterms:W3CDTF">2026-08-18T07:23:14Z</dcterms:modified>
</cp:coreProperties>
</file>