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60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8" i="1" l="1"/>
  <c r="I88" i="1"/>
  <c r="J88" i="1"/>
  <c r="E88" i="1"/>
  <c r="H17" i="1"/>
  <c r="I17" i="1"/>
  <c r="J17" i="1"/>
  <c r="H18" i="1"/>
  <c r="J18" i="1" s="1"/>
  <c r="I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J26" i="1" s="1"/>
  <c r="I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J34" i="1" s="1"/>
  <c r="I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J42" i="1" s="1"/>
  <c r="I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J50" i="1" s="1"/>
  <c r="I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J58" i="1" s="1"/>
  <c r="I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J66" i="1" s="1"/>
  <c r="I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J74" i="1" s="1"/>
  <c r="I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J82" i="1" s="1"/>
  <c r="I82" i="1"/>
  <c r="H83" i="1"/>
  <c r="I83" i="1"/>
  <c r="J83" i="1"/>
  <c r="H84" i="1"/>
  <c r="I84" i="1"/>
  <c r="J84" i="1"/>
  <c r="H85" i="1"/>
  <c r="I85" i="1"/>
  <c r="J85" i="1"/>
  <c r="H86" i="1"/>
  <c r="I86" i="1"/>
  <c r="J86" i="1"/>
  <c r="I16" i="1" l="1"/>
  <c r="H16" i="1"/>
  <c r="J16" i="1" s="1"/>
</calcChain>
</file>

<file path=xl/sharedStrings.xml><?xml version="1.0" encoding="utf-8"?>
<sst xmlns="http://schemas.openxmlformats.org/spreadsheetml/2006/main" count="153" uniqueCount="88">
  <si>
    <t>검토일</t>
    <phoneticPr fontId="4" type="noConversion"/>
  </si>
  <si>
    <t>생  산  의  뢰  서</t>
    <phoneticPr fontId="4" type="noConversion"/>
  </si>
  <si>
    <t>수신:</t>
    <phoneticPr fontId="4" type="noConversion"/>
  </si>
  <si>
    <t>전화:</t>
    <phoneticPr fontId="4" type="noConversion"/>
  </si>
  <si>
    <t>팩스:</t>
    <phoneticPr fontId="4" type="noConversion"/>
  </si>
  <si>
    <t>Order No.</t>
    <phoneticPr fontId="4" type="noConversion"/>
  </si>
  <si>
    <t>현장담당</t>
    <phoneticPr fontId="4" type="noConversion"/>
  </si>
  <si>
    <t>Project명</t>
    <phoneticPr fontId="4" type="noConversion"/>
  </si>
  <si>
    <t>출고담당</t>
    <phoneticPr fontId="4" type="noConversion"/>
  </si>
  <si>
    <t>의뢰일자</t>
    <phoneticPr fontId="4" type="noConversion"/>
  </si>
  <si>
    <t>현장주소</t>
    <phoneticPr fontId="4" type="noConversion"/>
  </si>
  <si>
    <t>납기일자</t>
    <phoneticPr fontId="4" type="noConversion"/>
  </si>
  <si>
    <t>발주메모</t>
    <phoneticPr fontId="4" type="noConversion"/>
  </si>
  <si>
    <t>품목</t>
    <phoneticPr fontId="4" type="noConversion"/>
  </si>
  <si>
    <t>가로</t>
    <phoneticPr fontId="4" type="noConversion"/>
  </si>
  <si>
    <t>세로</t>
    <phoneticPr fontId="4" type="noConversion"/>
  </si>
  <si>
    <t>수량</t>
    <phoneticPr fontId="4" type="noConversion"/>
  </si>
  <si>
    <t>단위</t>
    <phoneticPr fontId="4" type="noConversion"/>
  </si>
  <si>
    <t>위치/비고</t>
    <phoneticPr fontId="4" type="noConversion"/>
  </si>
  <si>
    <t>M2</t>
    <phoneticPr fontId="4" type="noConversion"/>
  </si>
  <si>
    <t>M</t>
    <phoneticPr fontId="4" type="noConversion"/>
  </si>
  <si>
    <t>자평</t>
    <phoneticPr fontId="4" type="noConversion"/>
  </si>
  <si>
    <t xml:space="preserve">1차 호이스트 구간 </t>
    <phoneticPr fontId="2" type="noConversion"/>
  </si>
  <si>
    <t>청주 테크노폴리스 A8</t>
    <phoneticPr fontId="2" type="noConversion"/>
  </si>
  <si>
    <t>22mm 그린 로이복층 (아르곤)</t>
    <phoneticPr fontId="2" type="noConversion"/>
  </si>
  <si>
    <t>22mm 투명 로이복층(아르곤)</t>
    <phoneticPr fontId="2" type="noConversion"/>
  </si>
  <si>
    <t>2동 84AL 타입 2층 침실 1 (외창)</t>
    <phoneticPr fontId="2" type="noConversion"/>
  </si>
  <si>
    <t>2동 84AL 타입 2층 침실 1 (내창)</t>
    <phoneticPr fontId="2" type="noConversion"/>
  </si>
  <si>
    <t>2동 84AL 타입 3~17층 침실 1 (외창)</t>
    <phoneticPr fontId="2" type="noConversion"/>
  </si>
  <si>
    <t>2동 84AL 타입 3~17층 침실 1 (내창)</t>
    <phoneticPr fontId="2" type="noConversion"/>
  </si>
  <si>
    <t xml:space="preserve">84AL </t>
    <phoneticPr fontId="2" type="noConversion"/>
  </si>
  <si>
    <t>2동 84ALD 18층 침실1 (외창)</t>
    <phoneticPr fontId="2" type="noConversion"/>
  </si>
  <si>
    <t>2동 84ALD 18층 침실1 (내창)</t>
    <phoneticPr fontId="2" type="noConversion"/>
  </si>
  <si>
    <t>84ALD</t>
    <phoneticPr fontId="2" type="noConversion"/>
  </si>
  <si>
    <t xml:space="preserve">2동 </t>
    <phoneticPr fontId="2" type="noConversion"/>
  </si>
  <si>
    <t>4동 113C 타입 1~2층 침실1 (외창)</t>
    <phoneticPr fontId="2" type="noConversion"/>
  </si>
  <si>
    <t>4동 113C 타입 1~2층 침실1 (내창)</t>
    <phoneticPr fontId="2" type="noConversion"/>
  </si>
  <si>
    <t>113C</t>
    <phoneticPr fontId="2" type="noConversion"/>
  </si>
  <si>
    <t>4동 113C 타입 3~19층 침실1 (외창)</t>
    <phoneticPr fontId="2" type="noConversion"/>
  </si>
  <si>
    <t>4동 113C 타입 3~19층 침실1 (내창)</t>
    <phoneticPr fontId="2" type="noConversion"/>
  </si>
  <si>
    <t>4동</t>
    <phoneticPr fontId="2" type="noConversion"/>
  </si>
  <si>
    <t>6동 113C 2층 침실 1 (외창)</t>
    <phoneticPr fontId="2" type="noConversion"/>
  </si>
  <si>
    <t>6동 113C 2층 침실 1 (내창)</t>
    <phoneticPr fontId="2" type="noConversion"/>
  </si>
  <si>
    <t>6동 113C 3~21층 침실1 (외창)</t>
    <phoneticPr fontId="2" type="noConversion"/>
  </si>
  <si>
    <t>6동 113C 3~21층 침실1 (내창)</t>
    <phoneticPr fontId="2" type="noConversion"/>
  </si>
  <si>
    <t>6동</t>
    <phoneticPr fontId="2" type="noConversion"/>
  </si>
  <si>
    <t xml:space="preserve">7동 </t>
    <phoneticPr fontId="2" type="noConversion"/>
  </si>
  <si>
    <t>7동 84AL 2층 침실1 (외창)</t>
    <phoneticPr fontId="2" type="noConversion"/>
  </si>
  <si>
    <t>7동 84AL 2층 침실1 (내창)</t>
    <phoneticPr fontId="2" type="noConversion"/>
  </si>
  <si>
    <t>7동 84AL 3~20층 침실1 (외창)</t>
    <phoneticPr fontId="2" type="noConversion"/>
  </si>
  <si>
    <t>7동 84AL 3~20층 침실1 (내창)</t>
    <phoneticPr fontId="2" type="noConversion"/>
  </si>
  <si>
    <t>22mm 그린 로이복층 (아르곤)</t>
    <phoneticPr fontId="2" type="noConversion"/>
  </si>
  <si>
    <t>84AL</t>
    <phoneticPr fontId="2" type="noConversion"/>
  </si>
  <si>
    <t>9동 84AL 2층 침실1 (외창)</t>
    <phoneticPr fontId="2" type="noConversion"/>
  </si>
  <si>
    <t>9동 84AL 2층 침실1 (내창)</t>
    <phoneticPr fontId="2" type="noConversion"/>
  </si>
  <si>
    <t>9동 84AL 3~19층 침실1 (외창)</t>
    <phoneticPr fontId="2" type="noConversion"/>
  </si>
  <si>
    <t>9동 84AL 3~19층 침실1 (내창)</t>
    <phoneticPr fontId="2" type="noConversion"/>
  </si>
  <si>
    <t>9동 138P2 20층 침실1 (외창)</t>
    <phoneticPr fontId="2" type="noConversion"/>
  </si>
  <si>
    <t>9동 138P2 20층 침실1 (내창)</t>
    <phoneticPr fontId="2" type="noConversion"/>
  </si>
  <si>
    <t>138P2</t>
    <phoneticPr fontId="2" type="noConversion"/>
  </si>
  <si>
    <t>7동 138P2 21층 침실1 (외창)</t>
    <phoneticPr fontId="2" type="noConversion"/>
  </si>
  <si>
    <t>7동 138P2 21층 침실1 (내창)</t>
    <phoneticPr fontId="2" type="noConversion"/>
  </si>
  <si>
    <t xml:space="preserve">9동 1~2라인 </t>
    <phoneticPr fontId="2" type="noConversion"/>
  </si>
  <si>
    <t xml:space="preserve">9동 3~5라인 </t>
    <phoneticPr fontId="2" type="noConversion"/>
  </si>
  <si>
    <t>84CL</t>
    <phoneticPr fontId="2" type="noConversion"/>
  </si>
  <si>
    <t>9동 84CL 2층 침실1 (외창)</t>
    <phoneticPr fontId="2" type="noConversion"/>
  </si>
  <si>
    <t>9동 84CL 2층 침실1 (내창)</t>
    <phoneticPr fontId="2" type="noConversion"/>
  </si>
  <si>
    <t>9동 84CL 3~25층 침실1 (외창)</t>
    <phoneticPr fontId="2" type="noConversion"/>
  </si>
  <si>
    <t>9동 84CL 3~25층 침실1 (내창)</t>
    <phoneticPr fontId="2" type="noConversion"/>
  </si>
  <si>
    <t xml:space="preserve">10동 1~2라인 </t>
    <phoneticPr fontId="2" type="noConversion"/>
  </si>
  <si>
    <t>10동 84AL 2층 침실1 (외창)</t>
    <phoneticPr fontId="2" type="noConversion"/>
  </si>
  <si>
    <t>10동 84AL 2층 침실1 (내창)</t>
    <phoneticPr fontId="2" type="noConversion"/>
  </si>
  <si>
    <t>10동 84AL 3~19층 침실1 (외창)</t>
    <phoneticPr fontId="2" type="noConversion"/>
  </si>
  <si>
    <t>10동 84AL 3~19층 침실1 (외창)</t>
    <phoneticPr fontId="2" type="noConversion"/>
  </si>
  <si>
    <t xml:space="preserve">11동 1~2라인 </t>
    <phoneticPr fontId="2" type="noConversion"/>
  </si>
  <si>
    <t>11동 84AL 2층 침실1 (외창)</t>
    <phoneticPr fontId="2" type="noConversion"/>
  </si>
  <si>
    <t>11동 84AL 2층 침실1 (내창)</t>
    <phoneticPr fontId="2" type="noConversion"/>
  </si>
  <si>
    <t>11동 84AL 3~19층 침실1 (외창)</t>
    <phoneticPr fontId="2" type="noConversion"/>
  </si>
  <si>
    <t>11동 84AL 3~19층 침실1 (외창)</t>
    <phoneticPr fontId="2" type="noConversion"/>
  </si>
  <si>
    <t>11동 138P2 20층 침실1 (외창)</t>
    <phoneticPr fontId="2" type="noConversion"/>
  </si>
  <si>
    <t>11동 138P2 20층 침실1 (외창)</t>
    <phoneticPr fontId="2" type="noConversion"/>
  </si>
  <si>
    <t>10동 138P2 20층 침실1 (외창)</t>
    <phoneticPr fontId="2" type="noConversion"/>
  </si>
  <si>
    <t xml:space="preserve">12동 1~2라인 </t>
    <phoneticPr fontId="2" type="noConversion"/>
  </si>
  <si>
    <t>12동 84AL 2층 침실1 (외창)</t>
    <phoneticPr fontId="2" type="noConversion"/>
  </si>
  <si>
    <t>12동 84AL 2층 침실1 (내창)</t>
    <phoneticPr fontId="2" type="noConversion"/>
  </si>
  <si>
    <t>11동 84AL 3~20층 침실1 (외창)</t>
    <phoneticPr fontId="2" type="noConversion"/>
  </si>
  <si>
    <t>11동 84AL 3~20층 침실1 (외창)</t>
    <phoneticPr fontId="2" type="noConversion"/>
  </si>
  <si>
    <t>11동 138P2 21층 침실1 (외창)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</si>
</sst>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[$-412]yyyy&quot;년&quot;\ m&quot;월&quot;\ d&quot;일&quot;\ dddd"/>
    <numFmt numFmtId="177" formatCode="[$-F800]dddd\,\ mmmm\ dd\,\ yyyy"/>
    <numFmt numFmtId="178" formatCode="mm&quot;월&quot;\ dd&quot;일&quot;"/>
    <numFmt numFmtId="179" formatCode="0.0;__xdcff_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u/>
      <sz val="30"/>
      <color theme="1"/>
      <name val="맑은 고딕"/>
      <family val="3"/>
      <charset val="129"/>
      <scheme val="minor"/>
    </font>
    <font>
      <u/>
      <sz val="2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177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</cellXfs>
  <cellStyles count="3">
    <cellStyle name="쉼표 [0]" xfId="1" builtinId="6"/>
    <cellStyle name="표준" xfId="0" builtinId="0"/>
    <cellStyle name="표준 5" xfId="2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260350</xdr:colOff>
      <xdr:row>3</xdr:row>
      <xdr:rowOff>1</xdr:rowOff>
    </xdr:from>
    <xdr:to>
      <xdr:col>6</xdr:col>
      <xdr:colOff>2328396</xdr:colOff>
      <xdr:row>6</xdr:row>
      <xdr:rowOff>153719</xdr:rowOff>
    </xdr:to>
    <xdr:pic>
      <xdr:nvPicPr>
        <xdr:cNvPr id="2" name="그림 12" descr="결제.jpg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7779"/>
        <a:stretch>
          <a:fillRect/>
        </a:stretch>
      </xdr:blipFill>
      <xdr:spPr bwMode="auto">
        <a:xfrm>
          <a:off x="4775200" y="901701"/>
          <a:ext cx="3299946" cy="1487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4"/>
  <sheetViews>
    <sheetView tabSelected="1" zoomScale="80" zoomScaleNormal="80" workbookViewId="0">
      <selection activeCell="C82" sqref="C82"/>
    </sheetView>
  </sheetViews>
  <sheetFormatPr defaultColWidth="8.625" defaultRowHeight="16.5" x14ac:dyDescent="0.3"/>
  <cols>
    <col min="1" max="1" width="45.875" style="6" bestFit="1" customWidth="1"/>
    <col min="2" max="2" width="41.875" style="6" bestFit="1" customWidth="1"/>
    <col min="3" max="3" width="14.75" style="6" customWidth="1"/>
    <col min="4" max="4" width="15.875" style="6" customWidth="1"/>
    <col min="5" max="5" width="8.625" style="6"/>
    <col min="6" max="6" width="16.125" style="6" bestFit="1" customWidth="1"/>
    <col min="7" max="7" width="53.875" style="6" bestFit="1" customWidth="1"/>
    <col min="8" max="16384" width="8.625" style="6"/>
  </cols>
  <sheetData>
    <row r="1" spans="1:16" ht="17.25" x14ac:dyDescent="0.3">
      <c r="B1" s="1"/>
      <c r="J1" s="3" t="s">
        <v>0</v>
      </c>
    </row>
    <row r="2" spans="1:16" ht="37.5" x14ac:dyDescent="0.3">
      <c r="B2" s="22" t="s">
        <v>1</v>
      </c>
      <c r="C2" s="22"/>
      <c r="D2" s="22"/>
      <c r="E2" s="22"/>
      <c r="F2" s="22"/>
      <c r="G2" s="14"/>
      <c r="H2" s="14"/>
      <c r="I2" s="14"/>
      <c r="J2" s="3"/>
    </row>
    <row r="3" spans="1:16" x14ac:dyDescent="0.3">
      <c r="B3" s="22"/>
      <c r="C3" s="22"/>
      <c r="D3" s="22"/>
      <c r="E3" s="22"/>
      <c r="F3" s="22"/>
    </row>
    <row r="4" spans="1:16" ht="19.5" x14ac:dyDescent="0.3">
      <c r="B4" s="1" t="s">
        <v>2</v>
      </c>
      <c r="C4" s="23"/>
      <c r="D4" s="23"/>
      <c r="E4" s="9"/>
      <c r="F4" s="9"/>
      <c r="G4" s="9"/>
      <c r="H4" s="9"/>
      <c r="I4" s="9"/>
    </row>
    <row r="5" spans="1:16" ht="19.5" x14ac:dyDescent="0.3">
      <c r="B5" s="1" t="s">
        <v>3</v>
      </c>
      <c r="C5" s="24"/>
      <c r="D5" s="24"/>
      <c r="E5" s="9"/>
      <c r="F5" s="9"/>
      <c r="G5" s="9"/>
      <c r="H5" s="9"/>
      <c r="I5" s="9"/>
    </row>
    <row r="6" spans="1:16" ht="19.5" x14ac:dyDescent="0.3">
      <c r="B6" s="1" t="s">
        <v>4</v>
      </c>
      <c r="C6" s="24"/>
      <c r="D6" s="24"/>
      <c r="E6" s="9"/>
      <c r="F6" s="9"/>
      <c r="G6" s="9"/>
      <c r="H6" s="9"/>
      <c r="I6" s="9"/>
    </row>
    <row r="7" spans="1:16" ht="19.5" x14ac:dyDescent="0.3">
      <c r="B7" s="1"/>
      <c r="C7" s="9"/>
      <c r="D7" s="9"/>
      <c r="E7" s="9"/>
      <c r="F7" s="9"/>
      <c r="G7" s="9"/>
      <c r="H7" s="9"/>
      <c r="I7" s="9"/>
    </row>
    <row r="8" spans="1:16" ht="19.5" x14ac:dyDescent="0.3">
      <c r="B8" s="1" t="s">
        <v>5</v>
      </c>
      <c r="C8" s="25" t="s">
        <v>22</v>
      </c>
      <c r="D8" s="25"/>
      <c r="E8" s="23" t="s">
        <v>6</v>
      </c>
      <c r="F8" s="23"/>
      <c r="G8" s="28"/>
      <c r="H8" s="28"/>
      <c r="I8" s="28"/>
    </row>
    <row r="9" spans="1:16" ht="19.5" x14ac:dyDescent="0.3">
      <c r="B9" s="1" t="s">
        <v>7</v>
      </c>
      <c r="C9" s="25" t="s">
        <v>23</v>
      </c>
      <c r="D9" s="25"/>
      <c r="E9" s="23" t="s">
        <v>8</v>
      </c>
      <c r="F9" s="23"/>
      <c r="G9" s="28"/>
      <c r="H9" s="28"/>
      <c r="I9" s="28"/>
    </row>
    <row r="10" spans="1:16" ht="19.5" x14ac:dyDescent="0.3">
      <c r="B10" s="1" t="s">
        <v>9</v>
      </c>
      <c r="C10" s="25">
        <v>46246</v>
      </c>
      <c r="D10" s="25"/>
      <c r="E10" s="23" t="s">
        <v>10</v>
      </c>
      <c r="F10" s="23"/>
      <c r="G10" s="28"/>
      <c r="H10" s="28"/>
      <c r="I10" s="28"/>
    </row>
    <row r="11" spans="1:16" ht="19.5" x14ac:dyDescent="0.3">
      <c r="B11" s="1" t="s">
        <v>11</v>
      </c>
      <c r="C11" s="29">
        <v>46265</v>
      </c>
      <c r="D11" s="29"/>
      <c r="E11" s="23"/>
      <c r="F11" s="23"/>
      <c r="G11" s="30"/>
      <c r="H11" s="30"/>
      <c r="I11" s="30"/>
    </row>
    <row r="12" spans="1:16" ht="19.5" x14ac:dyDescent="0.3">
      <c r="B12" s="1"/>
      <c r="C12" s="15"/>
      <c r="D12" s="15"/>
      <c r="E12" s="9"/>
      <c r="F12" s="9"/>
      <c r="G12" s="9"/>
      <c r="H12" s="9"/>
      <c r="I12" s="9"/>
    </row>
    <row r="13" spans="1:16" ht="19.5" x14ac:dyDescent="0.3">
      <c r="B13" s="1" t="s">
        <v>12</v>
      </c>
      <c r="C13" s="26"/>
      <c r="D13" s="27"/>
      <c r="E13" s="27"/>
      <c r="F13" s="27"/>
      <c r="G13" s="27"/>
      <c r="H13" s="27"/>
      <c r="I13" s="27"/>
    </row>
    <row r="14" spans="1:16" ht="19.5" x14ac:dyDescent="0.3">
      <c r="B14" s="1"/>
      <c r="C14" s="9"/>
      <c r="D14" s="9"/>
      <c r="E14" s="9"/>
      <c r="F14" s="9"/>
      <c r="G14" s="9"/>
      <c r="H14" s="9"/>
      <c r="I14" s="9"/>
    </row>
    <row r="15" spans="1:16" ht="19.5" x14ac:dyDescent="0.3">
      <c r="A15" s="16"/>
      <c r="B15" s="8" t="s">
        <v>13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18</v>
      </c>
      <c r="H15" s="9" t="s">
        <v>19</v>
      </c>
      <c r="I15" s="9" t="s">
        <v>20</v>
      </c>
      <c r="J15" s="4" t="s">
        <v>21</v>
      </c>
      <c r="K15" s="4"/>
      <c r="L15" s="5"/>
      <c r="M15" s="5"/>
      <c r="N15" s="5"/>
      <c r="O15" s="5"/>
      <c r="P15" s="5"/>
    </row>
    <row r="16" spans="1:16" ht="20.45" customHeight="1" x14ac:dyDescent="0.3">
      <c r="A16" s="33" t="s">
        <v>34</v>
      </c>
      <c r="B16" s="20" t="s">
        <v>24</v>
      </c>
      <c r="C16" s="13">
        <v>893</v>
      </c>
      <c r="D16" s="13">
        <v>1927</v>
      </c>
      <c r="E16" s="13">
        <v>2</v>
      </c>
      <c r="F16" s="31" t="s">
        <v>30</v>
      </c>
      <c r="G16" s="13" t="s">
        <v>26</v>
      </c>
      <c r="H16" s="17">
        <f t="shared" ref="H16:H32" si="0">C16*D16*E16/1000000</f>
        <v>3.4416220000000002</v>
      </c>
      <c r="I16" s="12">
        <f t="shared" ref="I16:I32" si="1">(C16+D16)*4*E16/1000</f>
        <v>22.56</v>
      </c>
      <c r="J16" s="2">
        <f t="shared" ref="J16:J32" si="2">H16*10.89</f>
        <v>37.479263580000001</v>
      </c>
      <c r="K16" s="4"/>
      <c r="L16" s="9"/>
      <c r="M16" s="9"/>
      <c r="N16" s="5"/>
      <c r="O16" s="5"/>
      <c r="P16" s="5"/>
    </row>
    <row r="17" spans="1:16" ht="20.45" customHeight="1" x14ac:dyDescent="0.3">
      <c r="A17" s="34"/>
      <c r="B17" s="21" t="s">
        <v>25</v>
      </c>
      <c r="C17" s="1">
        <v>893</v>
      </c>
      <c r="D17" s="1">
        <v>1927</v>
      </c>
      <c r="E17" s="1">
        <v>2</v>
      </c>
      <c r="F17" s="32"/>
      <c r="G17" s="13" t="s">
        <v>27</v>
      </c>
      <c r="H17" s="17">
        <f t="shared" ref="H17:H80" si="3">C17*D17*E17/1000000</f>
        <v>3.4416220000000002</v>
      </c>
      <c r="I17" s="12">
        <f t="shared" ref="I17:I80" si="4">(C17+D17)*4*E17/1000</f>
        <v>22.56</v>
      </c>
      <c r="J17" s="2">
        <f t="shared" ref="J17:J80" si="5">H17*10.89</f>
        <v>37.479263580000001</v>
      </c>
      <c r="K17" s="4"/>
      <c r="L17" s="5"/>
      <c r="M17" s="5"/>
      <c r="N17" s="5"/>
      <c r="O17" s="5"/>
      <c r="P17" s="5"/>
    </row>
    <row r="18" spans="1:16" ht="19.5" customHeight="1" x14ac:dyDescent="0.3">
      <c r="A18" s="34"/>
      <c r="B18" s="21"/>
      <c r="C18" s="1"/>
      <c r="D18" s="1"/>
      <c r="E18" s="1"/>
      <c r="F18" s="1"/>
      <c r="G18" s="1"/>
      <c r="H18" s="17">
        <f t="shared" si="3"/>
        <v>0</v>
      </c>
      <c r="I18" s="12">
        <f t="shared" si="4"/>
        <v>0</v>
      </c>
      <c r="J18" s="2">
        <f t="shared" si="5"/>
        <v>0</v>
      </c>
    </row>
    <row r="19" spans="1:16" ht="19.5" customHeight="1" x14ac:dyDescent="0.3">
      <c r="A19" s="34"/>
      <c r="B19" s="20" t="s">
        <v>24</v>
      </c>
      <c r="C19" s="13">
        <v>914</v>
      </c>
      <c r="D19" s="13">
        <v>1763</v>
      </c>
      <c r="E19" s="13">
        <v>30</v>
      </c>
      <c r="F19" s="31" t="s">
        <v>30</v>
      </c>
      <c r="G19" s="13" t="s">
        <v>28</v>
      </c>
      <c r="H19" s="17">
        <f t="shared" si="3"/>
        <v>48.341459999999998</v>
      </c>
      <c r="I19" s="12">
        <f t="shared" si="4"/>
        <v>321.24</v>
      </c>
      <c r="J19" s="2">
        <f t="shared" si="5"/>
        <v>526.43849939999996</v>
      </c>
    </row>
    <row r="20" spans="1:16" ht="19.5" customHeight="1" x14ac:dyDescent="0.3">
      <c r="A20" s="34"/>
      <c r="B20" s="21" t="s">
        <v>25</v>
      </c>
      <c r="C20" s="13">
        <v>914</v>
      </c>
      <c r="D20" s="13">
        <v>1763</v>
      </c>
      <c r="E20" s="13">
        <v>30</v>
      </c>
      <c r="F20" s="32"/>
      <c r="G20" s="13" t="s">
        <v>29</v>
      </c>
      <c r="H20" s="17">
        <f t="shared" si="3"/>
        <v>48.341459999999998</v>
      </c>
      <c r="I20" s="12">
        <f t="shared" si="4"/>
        <v>321.24</v>
      </c>
      <c r="J20" s="2">
        <f t="shared" si="5"/>
        <v>526.43849939999996</v>
      </c>
    </row>
    <row r="21" spans="1:16" ht="19.5" customHeight="1" x14ac:dyDescent="0.3">
      <c r="A21" s="34"/>
      <c r="B21" s="20"/>
      <c r="C21" s="13"/>
      <c r="D21" s="13"/>
      <c r="E21" s="13"/>
      <c r="F21" s="13"/>
      <c r="G21" s="13"/>
      <c r="H21" s="17">
        <f t="shared" si="3"/>
        <v>0</v>
      </c>
      <c r="I21" s="12">
        <f t="shared" si="4"/>
        <v>0</v>
      </c>
      <c r="J21" s="2">
        <f t="shared" si="5"/>
        <v>0</v>
      </c>
    </row>
    <row r="22" spans="1:16" ht="19.5" customHeight="1" x14ac:dyDescent="0.3">
      <c r="A22" s="34"/>
      <c r="B22" s="20" t="s">
        <v>24</v>
      </c>
      <c r="C22" s="13">
        <v>914</v>
      </c>
      <c r="D22" s="13">
        <v>1763</v>
      </c>
      <c r="E22" s="13">
        <v>2</v>
      </c>
      <c r="F22" s="31" t="s">
        <v>33</v>
      </c>
      <c r="G22" s="13" t="s">
        <v>31</v>
      </c>
      <c r="H22" s="17">
        <f t="shared" si="3"/>
        <v>3.2227640000000002</v>
      </c>
      <c r="I22" s="12">
        <f t="shared" si="4"/>
        <v>21.416</v>
      </c>
      <c r="J22" s="2">
        <f t="shared" si="5"/>
        <v>35.095899960000004</v>
      </c>
    </row>
    <row r="23" spans="1:16" ht="19.5" customHeight="1" x14ac:dyDescent="0.3">
      <c r="A23" s="35"/>
      <c r="B23" s="21" t="s">
        <v>25</v>
      </c>
      <c r="C23" s="13">
        <v>914</v>
      </c>
      <c r="D23" s="13">
        <v>1763</v>
      </c>
      <c r="E23" s="13">
        <v>2</v>
      </c>
      <c r="F23" s="32"/>
      <c r="G23" s="13" t="s">
        <v>32</v>
      </c>
      <c r="H23" s="17">
        <f t="shared" si="3"/>
        <v>3.2227640000000002</v>
      </c>
      <c r="I23" s="12">
        <f t="shared" si="4"/>
        <v>21.416</v>
      </c>
      <c r="J23" s="2">
        <f t="shared" si="5"/>
        <v>35.095899960000004</v>
      </c>
    </row>
    <row r="24" spans="1:16" ht="19.5" customHeight="1" x14ac:dyDescent="0.3">
      <c r="A24" s="20"/>
      <c r="B24" s="20"/>
      <c r="C24" s="13"/>
      <c r="D24" s="13"/>
      <c r="E24" s="13"/>
      <c r="F24" s="13"/>
      <c r="G24" s="13"/>
      <c r="H24" s="17">
        <f t="shared" si="3"/>
        <v>0</v>
      </c>
      <c r="I24" s="12">
        <f t="shared" si="4"/>
        <v>0</v>
      </c>
      <c r="J24" s="2">
        <f t="shared" si="5"/>
        <v>0</v>
      </c>
    </row>
    <row r="25" spans="1:16" ht="19.5" customHeight="1" x14ac:dyDescent="0.3">
      <c r="A25" s="33" t="s">
        <v>40</v>
      </c>
      <c r="B25" s="20" t="s">
        <v>24</v>
      </c>
      <c r="C25" s="13">
        <v>893</v>
      </c>
      <c r="D25" s="13">
        <v>1927</v>
      </c>
      <c r="E25" s="13">
        <v>4</v>
      </c>
      <c r="F25" s="31" t="s">
        <v>37</v>
      </c>
      <c r="G25" s="13" t="s">
        <v>35</v>
      </c>
      <c r="H25" s="17">
        <f t="shared" si="3"/>
        <v>6.8832440000000004</v>
      </c>
      <c r="I25" s="12">
        <f t="shared" si="4"/>
        <v>45.12</v>
      </c>
      <c r="J25" s="2">
        <f t="shared" si="5"/>
        <v>74.958527160000003</v>
      </c>
    </row>
    <row r="26" spans="1:16" ht="19.5" customHeight="1" x14ac:dyDescent="0.3">
      <c r="A26" s="34"/>
      <c r="B26" s="21" t="s">
        <v>25</v>
      </c>
      <c r="C26" s="13">
        <v>893</v>
      </c>
      <c r="D26" s="13">
        <v>1927</v>
      </c>
      <c r="E26" s="13">
        <v>4</v>
      </c>
      <c r="F26" s="32"/>
      <c r="G26" s="13" t="s">
        <v>36</v>
      </c>
      <c r="H26" s="17">
        <f t="shared" si="3"/>
        <v>6.8832440000000004</v>
      </c>
      <c r="I26" s="12">
        <f t="shared" si="4"/>
        <v>45.12</v>
      </c>
      <c r="J26" s="2">
        <f t="shared" si="5"/>
        <v>74.958527160000003</v>
      </c>
    </row>
    <row r="27" spans="1:16" ht="19.5" customHeight="1" x14ac:dyDescent="0.3">
      <c r="A27" s="34"/>
      <c r="B27" s="20"/>
      <c r="C27" s="13"/>
      <c r="D27" s="13"/>
      <c r="E27" s="13"/>
      <c r="F27" s="13"/>
      <c r="G27" s="13"/>
      <c r="H27" s="17">
        <f t="shared" si="3"/>
        <v>0</v>
      </c>
      <c r="I27" s="12">
        <f t="shared" si="4"/>
        <v>0</v>
      </c>
      <c r="J27" s="2">
        <f t="shared" si="5"/>
        <v>0</v>
      </c>
    </row>
    <row r="28" spans="1:16" ht="19.5" customHeight="1" x14ac:dyDescent="0.3">
      <c r="A28" s="34"/>
      <c r="B28" s="20" t="s">
        <v>24</v>
      </c>
      <c r="C28" s="13">
        <v>914</v>
      </c>
      <c r="D28" s="13">
        <v>1763</v>
      </c>
      <c r="E28" s="13">
        <v>34</v>
      </c>
      <c r="F28" s="31" t="s">
        <v>37</v>
      </c>
      <c r="G28" s="13" t="s">
        <v>38</v>
      </c>
      <c r="H28" s="17">
        <f t="shared" si="3"/>
        <v>54.786988000000001</v>
      </c>
      <c r="I28" s="12">
        <f t="shared" si="4"/>
        <v>364.072</v>
      </c>
      <c r="J28" s="2">
        <f t="shared" si="5"/>
        <v>596.63029932000006</v>
      </c>
    </row>
    <row r="29" spans="1:16" ht="19.5" customHeight="1" x14ac:dyDescent="0.3">
      <c r="A29" s="35"/>
      <c r="B29" s="21" t="s">
        <v>25</v>
      </c>
      <c r="C29" s="13">
        <v>914</v>
      </c>
      <c r="D29" s="13">
        <v>1763</v>
      </c>
      <c r="E29" s="13">
        <v>34</v>
      </c>
      <c r="F29" s="32"/>
      <c r="G29" s="13" t="s">
        <v>39</v>
      </c>
      <c r="H29" s="17">
        <f t="shared" si="3"/>
        <v>54.786988000000001</v>
      </c>
      <c r="I29" s="12">
        <f t="shared" si="4"/>
        <v>364.072</v>
      </c>
      <c r="J29" s="2">
        <f t="shared" si="5"/>
        <v>596.63029932000006</v>
      </c>
    </row>
    <row r="30" spans="1:16" ht="19.5" customHeight="1" x14ac:dyDescent="0.3">
      <c r="A30" s="20"/>
      <c r="B30" s="20"/>
      <c r="C30" s="13"/>
      <c r="D30" s="13"/>
      <c r="E30" s="13"/>
      <c r="F30" s="13"/>
      <c r="G30" s="13"/>
      <c r="H30" s="17">
        <f t="shared" si="3"/>
        <v>0</v>
      </c>
      <c r="I30" s="12">
        <f t="shared" si="4"/>
        <v>0</v>
      </c>
      <c r="J30" s="2">
        <f t="shared" si="5"/>
        <v>0</v>
      </c>
    </row>
    <row r="31" spans="1:16" ht="19.5" customHeight="1" x14ac:dyDescent="0.3">
      <c r="A31" s="33" t="s">
        <v>45</v>
      </c>
      <c r="B31" s="20" t="s">
        <v>24</v>
      </c>
      <c r="C31" s="13">
        <v>893</v>
      </c>
      <c r="D31" s="13">
        <v>1927</v>
      </c>
      <c r="E31" s="13">
        <v>2</v>
      </c>
      <c r="F31" s="31" t="s">
        <v>37</v>
      </c>
      <c r="G31" s="13" t="s">
        <v>41</v>
      </c>
      <c r="H31" s="17">
        <f t="shared" si="3"/>
        <v>3.4416220000000002</v>
      </c>
      <c r="I31" s="12">
        <f t="shared" si="4"/>
        <v>22.56</v>
      </c>
      <c r="J31" s="2">
        <f t="shared" si="5"/>
        <v>37.479263580000001</v>
      </c>
    </row>
    <row r="32" spans="1:16" ht="19.5" customHeight="1" x14ac:dyDescent="0.3">
      <c r="A32" s="34"/>
      <c r="B32" s="21" t="s">
        <v>25</v>
      </c>
      <c r="C32" s="13">
        <v>893</v>
      </c>
      <c r="D32" s="13">
        <v>1927</v>
      </c>
      <c r="E32" s="13">
        <v>2</v>
      </c>
      <c r="F32" s="32"/>
      <c r="G32" s="13" t="s">
        <v>42</v>
      </c>
      <c r="H32" s="17">
        <f t="shared" si="3"/>
        <v>3.4416220000000002</v>
      </c>
      <c r="I32" s="12">
        <f t="shared" si="4"/>
        <v>22.56</v>
      </c>
      <c r="J32" s="2">
        <f t="shared" si="5"/>
        <v>37.479263580000001</v>
      </c>
    </row>
    <row r="33" spans="1:10" ht="18.75" customHeight="1" x14ac:dyDescent="0.3">
      <c r="A33" s="34"/>
      <c r="B33" s="20"/>
      <c r="C33" s="13"/>
      <c r="D33" s="13"/>
      <c r="E33" s="13"/>
      <c r="F33" s="13"/>
      <c r="G33" s="13"/>
      <c r="H33" s="17">
        <f t="shared" si="3"/>
        <v>0</v>
      </c>
      <c r="I33" s="12">
        <f t="shared" si="4"/>
        <v>0</v>
      </c>
      <c r="J33" s="2">
        <f t="shared" si="5"/>
        <v>0</v>
      </c>
    </row>
    <row r="34" spans="1:10" ht="19.5" customHeight="1" x14ac:dyDescent="0.3">
      <c r="A34" s="34"/>
      <c r="B34" s="20" t="s">
        <v>24</v>
      </c>
      <c r="C34" s="13">
        <v>914</v>
      </c>
      <c r="D34" s="13">
        <v>1763</v>
      </c>
      <c r="E34" s="13">
        <v>38</v>
      </c>
      <c r="F34" s="31" t="s">
        <v>37</v>
      </c>
      <c r="G34" s="13" t="s">
        <v>43</v>
      </c>
      <c r="H34" s="17">
        <f t="shared" si="3"/>
        <v>61.232515999999997</v>
      </c>
      <c r="I34" s="12">
        <f t="shared" si="4"/>
        <v>406.904</v>
      </c>
      <c r="J34" s="2">
        <f t="shared" si="5"/>
        <v>666.82209924000006</v>
      </c>
    </row>
    <row r="35" spans="1:10" ht="19.5" customHeight="1" x14ac:dyDescent="0.3">
      <c r="A35" s="35"/>
      <c r="B35" s="21" t="s">
        <v>25</v>
      </c>
      <c r="C35" s="13">
        <v>914</v>
      </c>
      <c r="D35" s="13">
        <v>1763</v>
      </c>
      <c r="E35" s="13">
        <v>38</v>
      </c>
      <c r="F35" s="32"/>
      <c r="G35" s="13" t="s">
        <v>44</v>
      </c>
      <c r="H35" s="17">
        <f t="shared" si="3"/>
        <v>61.232515999999997</v>
      </c>
      <c r="I35" s="12">
        <f t="shared" si="4"/>
        <v>406.904</v>
      </c>
      <c r="J35" s="2">
        <f t="shared" si="5"/>
        <v>666.82209924000006</v>
      </c>
    </row>
    <row r="36" spans="1:10" ht="19.5" customHeight="1" x14ac:dyDescent="0.3">
      <c r="A36" s="20"/>
      <c r="B36" s="20"/>
      <c r="C36" s="13"/>
      <c r="D36" s="13"/>
      <c r="E36" s="13"/>
      <c r="F36" s="13"/>
      <c r="G36" s="13"/>
      <c r="H36" s="17">
        <f t="shared" si="3"/>
        <v>0</v>
      </c>
      <c r="I36" s="12">
        <f t="shared" si="4"/>
        <v>0</v>
      </c>
      <c r="J36" s="2">
        <f t="shared" si="5"/>
        <v>0</v>
      </c>
    </row>
    <row r="37" spans="1:10" ht="19.5" customHeight="1" x14ac:dyDescent="0.3">
      <c r="A37" s="33" t="s">
        <v>46</v>
      </c>
      <c r="B37" s="20" t="s">
        <v>24</v>
      </c>
      <c r="C37" s="13">
        <v>893</v>
      </c>
      <c r="D37" s="13">
        <v>1927</v>
      </c>
      <c r="E37" s="13">
        <v>2</v>
      </c>
      <c r="F37" s="31" t="s">
        <v>30</v>
      </c>
      <c r="G37" s="13" t="s">
        <v>47</v>
      </c>
      <c r="H37" s="17">
        <f t="shared" si="3"/>
        <v>3.4416220000000002</v>
      </c>
      <c r="I37" s="12">
        <f t="shared" si="4"/>
        <v>22.56</v>
      </c>
      <c r="J37" s="2">
        <f t="shared" si="5"/>
        <v>37.479263580000001</v>
      </c>
    </row>
    <row r="38" spans="1:10" ht="19.5" customHeight="1" x14ac:dyDescent="0.3">
      <c r="A38" s="34"/>
      <c r="B38" s="21" t="s">
        <v>25</v>
      </c>
      <c r="C38" s="13">
        <v>893</v>
      </c>
      <c r="D38" s="13">
        <v>1927</v>
      </c>
      <c r="E38" s="13">
        <v>2</v>
      </c>
      <c r="F38" s="32"/>
      <c r="G38" s="13" t="s">
        <v>48</v>
      </c>
      <c r="H38" s="17">
        <f t="shared" si="3"/>
        <v>3.4416220000000002</v>
      </c>
      <c r="I38" s="12">
        <f t="shared" si="4"/>
        <v>22.56</v>
      </c>
      <c r="J38" s="2">
        <f t="shared" si="5"/>
        <v>37.479263580000001</v>
      </c>
    </row>
    <row r="39" spans="1:10" ht="19.5" customHeight="1" x14ac:dyDescent="0.3">
      <c r="A39" s="34"/>
      <c r="B39" s="20"/>
      <c r="C39" s="13"/>
      <c r="D39" s="13"/>
      <c r="E39" s="13"/>
      <c r="F39" s="13"/>
      <c r="G39" s="13"/>
      <c r="H39" s="17">
        <f t="shared" si="3"/>
        <v>0</v>
      </c>
      <c r="I39" s="12">
        <f t="shared" si="4"/>
        <v>0</v>
      </c>
      <c r="J39" s="2">
        <f t="shared" si="5"/>
        <v>0</v>
      </c>
    </row>
    <row r="40" spans="1:10" ht="19.5" customHeight="1" x14ac:dyDescent="0.3">
      <c r="A40" s="34"/>
      <c r="B40" s="20" t="s">
        <v>24</v>
      </c>
      <c r="C40" s="13">
        <v>914</v>
      </c>
      <c r="D40" s="13">
        <v>1763</v>
      </c>
      <c r="E40" s="13">
        <v>36</v>
      </c>
      <c r="F40" s="31" t="s">
        <v>30</v>
      </c>
      <c r="G40" s="13" t="s">
        <v>49</v>
      </c>
      <c r="H40" s="17">
        <f t="shared" si="3"/>
        <v>58.009751999999999</v>
      </c>
      <c r="I40" s="12">
        <f t="shared" si="4"/>
        <v>385.488</v>
      </c>
      <c r="J40" s="2">
        <f t="shared" si="5"/>
        <v>631.72619928000006</v>
      </c>
    </row>
    <row r="41" spans="1:10" ht="19.5" customHeight="1" x14ac:dyDescent="0.3">
      <c r="A41" s="34"/>
      <c r="B41" s="21" t="s">
        <v>25</v>
      </c>
      <c r="C41" s="13">
        <v>914</v>
      </c>
      <c r="D41" s="13">
        <v>1763</v>
      </c>
      <c r="E41" s="13">
        <v>36</v>
      </c>
      <c r="F41" s="32"/>
      <c r="G41" s="13" t="s">
        <v>50</v>
      </c>
      <c r="H41" s="17">
        <f t="shared" si="3"/>
        <v>58.009751999999999</v>
      </c>
      <c r="I41" s="12">
        <f t="shared" si="4"/>
        <v>385.488</v>
      </c>
      <c r="J41" s="2">
        <f t="shared" si="5"/>
        <v>631.72619928000006</v>
      </c>
    </row>
    <row r="42" spans="1:10" ht="19.5" customHeight="1" x14ac:dyDescent="0.3">
      <c r="A42" s="34"/>
      <c r="B42" s="20"/>
      <c r="C42" s="13"/>
      <c r="D42" s="13"/>
      <c r="E42" s="13"/>
      <c r="F42" s="13"/>
      <c r="G42" s="13"/>
      <c r="H42" s="17">
        <f t="shared" si="3"/>
        <v>0</v>
      </c>
      <c r="I42" s="12">
        <f t="shared" si="4"/>
        <v>0</v>
      </c>
      <c r="J42" s="2">
        <f t="shared" si="5"/>
        <v>0</v>
      </c>
    </row>
    <row r="43" spans="1:10" ht="19.5" customHeight="1" x14ac:dyDescent="0.3">
      <c r="A43" s="34"/>
      <c r="B43" s="20" t="s">
        <v>24</v>
      </c>
      <c r="C43" s="13">
        <v>895</v>
      </c>
      <c r="D43" s="13">
        <v>1925</v>
      </c>
      <c r="E43" s="13">
        <v>2</v>
      </c>
      <c r="F43" s="31" t="s">
        <v>59</v>
      </c>
      <c r="G43" s="13" t="s">
        <v>60</v>
      </c>
      <c r="H43" s="17">
        <f t="shared" si="3"/>
        <v>3.4457499999999999</v>
      </c>
      <c r="I43" s="12">
        <f t="shared" si="4"/>
        <v>22.56</v>
      </c>
      <c r="J43" s="2">
        <f t="shared" si="5"/>
        <v>37.524217499999999</v>
      </c>
    </row>
    <row r="44" spans="1:10" ht="19.5" customHeight="1" x14ac:dyDescent="0.3">
      <c r="A44" s="35"/>
      <c r="B44" s="21" t="s">
        <v>25</v>
      </c>
      <c r="C44" s="13">
        <v>895</v>
      </c>
      <c r="D44" s="13">
        <v>1925</v>
      </c>
      <c r="E44" s="13">
        <v>2</v>
      </c>
      <c r="F44" s="32"/>
      <c r="G44" s="13" t="s">
        <v>61</v>
      </c>
      <c r="H44" s="17">
        <f t="shared" si="3"/>
        <v>3.4457499999999999</v>
      </c>
      <c r="I44" s="12">
        <f t="shared" si="4"/>
        <v>22.56</v>
      </c>
      <c r="J44" s="2">
        <f t="shared" si="5"/>
        <v>37.524217499999999</v>
      </c>
    </row>
    <row r="45" spans="1:10" ht="19.5" customHeight="1" x14ac:dyDescent="0.3">
      <c r="A45" s="20"/>
      <c r="B45" s="20"/>
      <c r="C45" s="13"/>
      <c r="D45" s="13"/>
      <c r="E45" s="13"/>
      <c r="F45" s="13"/>
      <c r="G45" s="13"/>
      <c r="H45" s="17">
        <f t="shared" si="3"/>
        <v>0</v>
      </c>
      <c r="I45" s="12">
        <f t="shared" si="4"/>
        <v>0</v>
      </c>
      <c r="J45" s="2">
        <f t="shared" si="5"/>
        <v>0</v>
      </c>
    </row>
    <row r="46" spans="1:10" ht="19.5" customHeight="1" x14ac:dyDescent="0.3">
      <c r="A46" s="33" t="s">
        <v>62</v>
      </c>
      <c r="B46" s="20" t="s">
        <v>51</v>
      </c>
      <c r="C46" s="13">
        <v>893</v>
      </c>
      <c r="D46" s="13">
        <v>1927</v>
      </c>
      <c r="E46" s="13">
        <v>2</v>
      </c>
      <c r="F46" s="31" t="s">
        <v>52</v>
      </c>
      <c r="G46" s="13" t="s">
        <v>53</v>
      </c>
      <c r="H46" s="17">
        <f t="shared" si="3"/>
        <v>3.4416220000000002</v>
      </c>
      <c r="I46" s="12">
        <f t="shared" si="4"/>
        <v>22.56</v>
      </c>
      <c r="J46" s="2">
        <f t="shared" si="5"/>
        <v>37.479263580000001</v>
      </c>
    </row>
    <row r="47" spans="1:10" ht="19.5" customHeight="1" x14ac:dyDescent="0.3">
      <c r="A47" s="34"/>
      <c r="B47" s="21" t="s">
        <v>25</v>
      </c>
      <c r="C47" s="13">
        <v>893</v>
      </c>
      <c r="D47" s="13">
        <v>1927</v>
      </c>
      <c r="E47" s="13">
        <v>2</v>
      </c>
      <c r="F47" s="32"/>
      <c r="G47" s="13" t="s">
        <v>54</v>
      </c>
      <c r="H47" s="17">
        <f t="shared" si="3"/>
        <v>3.4416220000000002</v>
      </c>
      <c r="I47" s="12">
        <f t="shared" si="4"/>
        <v>22.56</v>
      </c>
      <c r="J47" s="2">
        <f t="shared" si="5"/>
        <v>37.479263580000001</v>
      </c>
    </row>
    <row r="48" spans="1:10" ht="19.5" customHeight="1" x14ac:dyDescent="0.3">
      <c r="A48" s="34"/>
      <c r="B48" s="20"/>
      <c r="C48" s="13"/>
      <c r="D48" s="13"/>
      <c r="E48" s="13"/>
      <c r="F48" s="13"/>
      <c r="G48" s="13"/>
      <c r="H48" s="17">
        <f t="shared" si="3"/>
        <v>0</v>
      </c>
      <c r="I48" s="12">
        <f t="shared" si="4"/>
        <v>0</v>
      </c>
      <c r="J48" s="2">
        <f t="shared" si="5"/>
        <v>0</v>
      </c>
    </row>
    <row r="49" spans="1:10" ht="19.5" customHeight="1" x14ac:dyDescent="0.3">
      <c r="A49" s="34"/>
      <c r="B49" s="20" t="s">
        <v>24</v>
      </c>
      <c r="C49" s="13">
        <v>914</v>
      </c>
      <c r="D49" s="13">
        <v>1763</v>
      </c>
      <c r="E49" s="13">
        <v>34</v>
      </c>
      <c r="F49" s="31" t="s">
        <v>52</v>
      </c>
      <c r="G49" s="13" t="s">
        <v>55</v>
      </c>
      <c r="H49" s="17">
        <f t="shared" si="3"/>
        <v>54.786988000000001</v>
      </c>
      <c r="I49" s="12">
        <f t="shared" si="4"/>
        <v>364.072</v>
      </c>
      <c r="J49" s="2">
        <f t="shared" si="5"/>
        <v>596.63029932000006</v>
      </c>
    </row>
    <row r="50" spans="1:10" ht="19.5" customHeight="1" x14ac:dyDescent="0.3">
      <c r="A50" s="34"/>
      <c r="B50" s="21" t="s">
        <v>25</v>
      </c>
      <c r="C50" s="13">
        <v>914</v>
      </c>
      <c r="D50" s="13">
        <v>1763</v>
      </c>
      <c r="E50" s="13">
        <v>34</v>
      </c>
      <c r="F50" s="32"/>
      <c r="G50" s="13" t="s">
        <v>56</v>
      </c>
      <c r="H50" s="17">
        <f t="shared" si="3"/>
        <v>54.786988000000001</v>
      </c>
      <c r="I50" s="12">
        <f t="shared" si="4"/>
        <v>364.072</v>
      </c>
      <c r="J50" s="2">
        <f t="shared" si="5"/>
        <v>596.63029932000006</v>
      </c>
    </row>
    <row r="51" spans="1:10" ht="19.5" customHeight="1" x14ac:dyDescent="0.3">
      <c r="A51" s="34"/>
      <c r="B51" s="20"/>
      <c r="C51" s="13"/>
      <c r="D51" s="13"/>
      <c r="E51" s="13"/>
      <c r="F51" s="13"/>
      <c r="G51" s="13"/>
      <c r="H51" s="17">
        <f t="shared" si="3"/>
        <v>0</v>
      </c>
      <c r="I51" s="12">
        <f t="shared" si="4"/>
        <v>0</v>
      </c>
      <c r="J51" s="2">
        <f t="shared" si="5"/>
        <v>0</v>
      </c>
    </row>
    <row r="52" spans="1:10" ht="19.5" customHeight="1" x14ac:dyDescent="0.3">
      <c r="A52" s="34"/>
      <c r="B52" s="20" t="s">
        <v>24</v>
      </c>
      <c r="C52" s="13">
        <v>895</v>
      </c>
      <c r="D52" s="13">
        <v>1925</v>
      </c>
      <c r="E52" s="13">
        <v>2</v>
      </c>
      <c r="F52" s="31" t="s">
        <v>59</v>
      </c>
      <c r="G52" s="13" t="s">
        <v>57</v>
      </c>
      <c r="H52" s="17">
        <f t="shared" si="3"/>
        <v>3.4457499999999999</v>
      </c>
      <c r="I52" s="12">
        <f t="shared" si="4"/>
        <v>22.56</v>
      </c>
      <c r="J52" s="2">
        <f t="shared" si="5"/>
        <v>37.524217499999999</v>
      </c>
    </row>
    <row r="53" spans="1:10" ht="20.45" customHeight="1" x14ac:dyDescent="0.3">
      <c r="A53" s="35"/>
      <c r="B53" s="21" t="s">
        <v>25</v>
      </c>
      <c r="C53" s="13">
        <v>895</v>
      </c>
      <c r="D53" s="13">
        <v>1925</v>
      </c>
      <c r="E53" s="13">
        <v>2</v>
      </c>
      <c r="F53" s="32"/>
      <c r="G53" s="13" t="s">
        <v>58</v>
      </c>
      <c r="H53" s="17">
        <f t="shared" si="3"/>
        <v>3.4457499999999999</v>
      </c>
      <c r="I53" s="12">
        <f t="shared" si="4"/>
        <v>22.56</v>
      </c>
      <c r="J53" s="2">
        <f t="shared" si="5"/>
        <v>37.524217499999999</v>
      </c>
    </row>
    <row r="54" spans="1:10" ht="20.45" customHeight="1" x14ac:dyDescent="0.3">
      <c r="A54" s="20"/>
      <c r="B54" s="13"/>
      <c r="C54" s="13"/>
      <c r="D54" s="13"/>
      <c r="E54" s="13"/>
      <c r="F54" s="13"/>
      <c r="G54" s="13"/>
      <c r="H54" s="17">
        <f t="shared" si="3"/>
        <v>0</v>
      </c>
      <c r="I54" s="12">
        <f t="shared" si="4"/>
        <v>0</v>
      </c>
      <c r="J54" s="2">
        <f t="shared" si="5"/>
        <v>0</v>
      </c>
    </row>
    <row r="55" spans="1:10" ht="16.5" customHeight="1" x14ac:dyDescent="0.3">
      <c r="A55" s="33" t="s">
        <v>63</v>
      </c>
      <c r="B55" s="20" t="s">
        <v>51</v>
      </c>
      <c r="C55" s="13">
        <v>893</v>
      </c>
      <c r="D55" s="13">
        <v>1927</v>
      </c>
      <c r="E55" s="13">
        <v>2</v>
      </c>
      <c r="F55" s="31" t="s">
        <v>64</v>
      </c>
      <c r="G55" s="13" t="s">
        <v>65</v>
      </c>
      <c r="H55" s="17">
        <f t="shared" si="3"/>
        <v>3.4416220000000002</v>
      </c>
      <c r="I55" s="12">
        <f t="shared" si="4"/>
        <v>22.56</v>
      </c>
      <c r="J55" s="2">
        <f t="shared" si="5"/>
        <v>37.479263580000001</v>
      </c>
    </row>
    <row r="56" spans="1:10" ht="20.45" customHeight="1" x14ac:dyDescent="0.3">
      <c r="A56" s="34"/>
      <c r="B56" s="21" t="s">
        <v>25</v>
      </c>
      <c r="C56" s="13">
        <v>893</v>
      </c>
      <c r="D56" s="13">
        <v>1927</v>
      </c>
      <c r="E56" s="13">
        <v>2</v>
      </c>
      <c r="F56" s="32"/>
      <c r="G56" s="13" t="s">
        <v>66</v>
      </c>
      <c r="H56" s="17">
        <f t="shared" si="3"/>
        <v>3.4416220000000002</v>
      </c>
      <c r="I56" s="12">
        <f t="shared" si="4"/>
        <v>22.56</v>
      </c>
      <c r="J56" s="2">
        <f t="shared" si="5"/>
        <v>37.479263580000001</v>
      </c>
    </row>
    <row r="57" spans="1:10" ht="20.45" customHeight="1" x14ac:dyDescent="0.3">
      <c r="A57" s="34"/>
      <c r="B57" s="20"/>
      <c r="C57" s="13"/>
      <c r="D57" s="13"/>
      <c r="E57" s="13"/>
      <c r="F57" s="13"/>
      <c r="G57" s="13"/>
      <c r="H57" s="17">
        <f t="shared" si="3"/>
        <v>0</v>
      </c>
      <c r="I57" s="12">
        <f t="shared" si="4"/>
        <v>0</v>
      </c>
      <c r="J57" s="2">
        <f t="shared" si="5"/>
        <v>0</v>
      </c>
    </row>
    <row r="58" spans="1:10" ht="20.45" customHeight="1" x14ac:dyDescent="0.3">
      <c r="A58" s="34"/>
      <c r="B58" s="20" t="s">
        <v>24</v>
      </c>
      <c r="C58" s="13">
        <v>914</v>
      </c>
      <c r="D58" s="13">
        <v>1763</v>
      </c>
      <c r="E58" s="13">
        <v>46</v>
      </c>
      <c r="F58" s="31" t="s">
        <v>64</v>
      </c>
      <c r="G58" s="13" t="s">
        <v>67</v>
      </c>
      <c r="H58" s="17">
        <f t="shared" si="3"/>
        <v>74.123571999999996</v>
      </c>
      <c r="I58" s="12">
        <f t="shared" si="4"/>
        <v>492.56799999999998</v>
      </c>
      <c r="J58" s="2">
        <f t="shared" si="5"/>
        <v>807.20569908000004</v>
      </c>
    </row>
    <row r="59" spans="1:10" ht="20.45" customHeight="1" x14ac:dyDescent="0.3">
      <c r="A59" s="34"/>
      <c r="B59" s="21" t="s">
        <v>25</v>
      </c>
      <c r="C59" s="13">
        <v>914</v>
      </c>
      <c r="D59" s="13">
        <v>1763</v>
      </c>
      <c r="E59" s="13">
        <v>46</v>
      </c>
      <c r="F59" s="32"/>
      <c r="G59" s="13" t="s">
        <v>68</v>
      </c>
      <c r="H59" s="17">
        <f t="shared" si="3"/>
        <v>74.123571999999996</v>
      </c>
      <c r="I59" s="12">
        <f t="shared" si="4"/>
        <v>492.56799999999998</v>
      </c>
      <c r="J59" s="2">
        <f t="shared" si="5"/>
        <v>807.20569908000004</v>
      </c>
    </row>
    <row r="60" spans="1:10" ht="20.45" customHeight="1" x14ac:dyDescent="0.3">
      <c r="A60" s="36"/>
      <c r="B60" s="20"/>
      <c r="C60" s="13"/>
      <c r="D60" s="13"/>
      <c r="E60" s="13"/>
      <c r="F60" s="13"/>
      <c r="G60" s="13"/>
      <c r="H60" s="17">
        <f t="shared" si="3"/>
        <v>0</v>
      </c>
      <c r="I60" s="12">
        <f t="shared" si="4"/>
        <v>0</v>
      </c>
      <c r="J60" s="2">
        <f t="shared" si="5"/>
        <v>0</v>
      </c>
    </row>
    <row r="61" spans="1:10" ht="20.45" customHeight="1" x14ac:dyDescent="0.3">
      <c r="A61" s="33" t="s">
        <v>69</v>
      </c>
      <c r="B61" s="20" t="s">
        <v>51</v>
      </c>
      <c r="C61" s="13">
        <v>893</v>
      </c>
      <c r="D61" s="13">
        <v>1927</v>
      </c>
      <c r="E61" s="13">
        <v>2</v>
      </c>
      <c r="F61" s="31" t="s">
        <v>52</v>
      </c>
      <c r="G61" s="13" t="s">
        <v>70</v>
      </c>
      <c r="H61" s="17">
        <f t="shared" si="3"/>
        <v>3.4416220000000002</v>
      </c>
      <c r="I61" s="12">
        <f t="shared" si="4"/>
        <v>22.56</v>
      </c>
      <c r="J61" s="2">
        <f t="shared" si="5"/>
        <v>37.479263580000001</v>
      </c>
    </row>
    <row r="62" spans="1:10" ht="20.45" customHeight="1" x14ac:dyDescent="0.3">
      <c r="A62" s="34"/>
      <c r="B62" s="21" t="s">
        <v>25</v>
      </c>
      <c r="C62" s="13">
        <v>893</v>
      </c>
      <c r="D62" s="13">
        <v>1927</v>
      </c>
      <c r="E62" s="13">
        <v>2</v>
      </c>
      <c r="F62" s="32"/>
      <c r="G62" s="13" t="s">
        <v>71</v>
      </c>
      <c r="H62" s="17">
        <f t="shared" si="3"/>
        <v>3.4416220000000002</v>
      </c>
      <c r="I62" s="12">
        <f t="shared" si="4"/>
        <v>22.56</v>
      </c>
      <c r="J62" s="2">
        <f t="shared" si="5"/>
        <v>37.479263580000001</v>
      </c>
    </row>
    <row r="63" spans="1:10" ht="20.45" customHeight="1" x14ac:dyDescent="0.3">
      <c r="A63" s="34"/>
      <c r="B63" s="20"/>
      <c r="C63" s="13"/>
      <c r="D63" s="13"/>
      <c r="E63" s="13"/>
      <c r="F63" s="13"/>
      <c r="G63" s="13"/>
      <c r="H63" s="17">
        <f t="shared" si="3"/>
        <v>0</v>
      </c>
      <c r="I63" s="12">
        <f t="shared" si="4"/>
        <v>0</v>
      </c>
      <c r="J63" s="2">
        <f t="shared" si="5"/>
        <v>0</v>
      </c>
    </row>
    <row r="64" spans="1:10" ht="20.45" customHeight="1" x14ac:dyDescent="0.3">
      <c r="A64" s="34"/>
      <c r="B64" s="20" t="s">
        <v>24</v>
      </c>
      <c r="C64" s="13">
        <v>914</v>
      </c>
      <c r="D64" s="13">
        <v>1763</v>
      </c>
      <c r="E64" s="13">
        <v>34</v>
      </c>
      <c r="F64" s="31" t="s">
        <v>52</v>
      </c>
      <c r="G64" s="13" t="s">
        <v>72</v>
      </c>
      <c r="H64" s="17">
        <f t="shared" si="3"/>
        <v>54.786988000000001</v>
      </c>
      <c r="I64" s="12">
        <f t="shared" si="4"/>
        <v>364.072</v>
      </c>
      <c r="J64" s="2">
        <f t="shared" si="5"/>
        <v>596.63029932000006</v>
      </c>
    </row>
    <row r="65" spans="1:10" ht="20.45" customHeight="1" x14ac:dyDescent="0.3">
      <c r="A65" s="34"/>
      <c r="B65" s="21" t="s">
        <v>25</v>
      </c>
      <c r="C65" s="13">
        <v>914</v>
      </c>
      <c r="D65" s="13">
        <v>1763</v>
      </c>
      <c r="E65" s="13">
        <v>34</v>
      </c>
      <c r="F65" s="32"/>
      <c r="G65" s="13" t="s">
        <v>73</v>
      </c>
      <c r="H65" s="17">
        <f t="shared" si="3"/>
        <v>54.786988000000001</v>
      </c>
      <c r="I65" s="12">
        <f t="shared" si="4"/>
        <v>364.072</v>
      </c>
      <c r="J65" s="2">
        <f t="shared" si="5"/>
        <v>596.63029932000006</v>
      </c>
    </row>
    <row r="66" spans="1:10" x14ac:dyDescent="0.3">
      <c r="A66" s="34"/>
      <c r="B66" s="13"/>
      <c r="C66" s="13"/>
      <c r="D66" s="13"/>
      <c r="E66" s="13"/>
      <c r="F66" s="13"/>
      <c r="G66" s="13"/>
      <c r="H66" s="17">
        <f t="shared" si="3"/>
        <v>0</v>
      </c>
      <c r="I66" s="12">
        <f t="shared" si="4"/>
        <v>0</v>
      </c>
      <c r="J66" s="2">
        <f t="shared" si="5"/>
        <v>0</v>
      </c>
    </row>
    <row r="67" spans="1:10" ht="20.45" customHeight="1" x14ac:dyDescent="0.3">
      <c r="A67" s="34"/>
      <c r="B67" s="20" t="s">
        <v>24</v>
      </c>
      <c r="C67" s="13">
        <v>895</v>
      </c>
      <c r="D67" s="13">
        <v>1925</v>
      </c>
      <c r="E67" s="13">
        <v>2</v>
      </c>
      <c r="F67" s="31" t="s">
        <v>59</v>
      </c>
      <c r="G67" s="13" t="s">
        <v>81</v>
      </c>
      <c r="H67" s="17">
        <f t="shared" si="3"/>
        <v>3.4457499999999999</v>
      </c>
      <c r="I67" s="12">
        <f t="shared" si="4"/>
        <v>22.56</v>
      </c>
      <c r="J67" s="2">
        <f t="shared" si="5"/>
        <v>37.524217499999999</v>
      </c>
    </row>
    <row r="68" spans="1:10" ht="20.45" customHeight="1" x14ac:dyDescent="0.3">
      <c r="A68" s="35"/>
      <c r="B68" s="21" t="s">
        <v>25</v>
      </c>
      <c r="C68" s="13">
        <v>895</v>
      </c>
      <c r="D68" s="13">
        <v>1925</v>
      </c>
      <c r="E68" s="13">
        <v>2</v>
      </c>
      <c r="F68" s="32"/>
      <c r="G68" s="13" t="s">
        <v>81</v>
      </c>
      <c r="H68" s="17">
        <f t="shared" si="3"/>
        <v>3.4457499999999999</v>
      </c>
      <c r="I68" s="12">
        <f t="shared" si="4"/>
        <v>22.56</v>
      </c>
      <c r="J68" s="2">
        <f t="shared" si="5"/>
        <v>37.524217499999999</v>
      </c>
    </row>
    <row r="69" spans="1:10" ht="20.45" customHeight="1" x14ac:dyDescent="0.3">
      <c r="A69" s="20"/>
      <c r="B69" s="13"/>
      <c r="C69" s="13"/>
      <c r="D69" s="13"/>
      <c r="E69" s="13"/>
      <c r="F69" s="13"/>
      <c r="G69" s="13"/>
      <c r="H69" s="17">
        <f t="shared" si="3"/>
        <v>0</v>
      </c>
      <c r="I69" s="12">
        <f t="shared" si="4"/>
        <v>0</v>
      </c>
      <c r="J69" s="2">
        <f t="shared" si="5"/>
        <v>0</v>
      </c>
    </row>
    <row r="70" spans="1:10" ht="20.45" customHeight="1" x14ac:dyDescent="0.3">
      <c r="A70" s="33" t="s">
        <v>74</v>
      </c>
      <c r="B70" s="20" t="s">
        <v>51</v>
      </c>
      <c r="C70" s="13">
        <v>893</v>
      </c>
      <c r="D70" s="13">
        <v>1927</v>
      </c>
      <c r="E70" s="13">
        <v>2</v>
      </c>
      <c r="F70" s="31" t="s">
        <v>52</v>
      </c>
      <c r="G70" s="13" t="s">
        <v>75</v>
      </c>
      <c r="H70" s="17">
        <f t="shared" si="3"/>
        <v>3.4416220000000002</v>
      </c>
      <c r="I70" s="12">
        <f t="shared" si="4"/>
        <v>22.56</v>
      </c>
      <c r="J70" s="2">
        <f t="shared" si="5"/>
        <v>37.479263580000001</v>
      </c>
    </row>
    <row r="71" spans="1:10" ht="20.45" customHeight="1" x14ac:dyDescent="0.3">
      <c r="A71" s="34"/>
      <c r="B71" s="21" t="s">
        <v>25</v>
      </c>
      <c r="C71" s="13">
        <v>893</v>
      </c>
      <c r="D71" s="13">
        <v>1927</v>
      </c>
      <c r="E71" s="13">
        <v>2</v>
      </c>
      <c r="F71" s="32"/>
      <c r="G71" s="13" t="s">
        <v>76</v>
      </c>
      <c r="H71" s="17">
        <f t="shared" si="3"/>
        <v>3.4416220000000002</v>
      </c>
      <c r="I71" s="12">
        <f t="shared" si="4"/>
        <v>22.56</v>
      </c>
      <c r="J71" s="2">
        <f t="shared" si="5"/>
        <v>37.479263580000001</v>
      </c>
    </row>
    <row r="72" spans="1:10" ht="20.45" customHeight="1" x14ac:dyDescent="0.3">
      <c r="A72" s="34"/>
      <c r="B72" s="20"/>
      <c r="C72" s="13"/>
      <c r="D72" s="13"/>
      <c r="E72" s="13"/>
      <c r="F72" s="13"/>
      <c r="G72" s="13"/>
      <c r="H72" s="17">
        <f t="shared" si="3"/>
        <v>0</v>
      </c>
      <c r="I72" s="12">
        <f t="shared" si="4"/>
        <v>0</v>
      </c>
      <c r="J72" s="2">
        <f t="shared" si="5"/>
        <v>0</v>
      </c>
    </row>
    <row r="73" spans="1:10" ht="20.45" customHeight="1" x14ac:dyDescent="0.3">
      <c r="A73" s="34"/>
      <c r="B73" s="20" t="s">
        <v>24</v>
      </c>
      <c r="C73" s="13">
        <v>914</v>
      </c>
      <c r="D73" s="13">
        <v>1763</v>
      </c>
      <c r="E73" s="13">
        <v>34</v>
      </c>
      <c r="F73" s="31" t="s">
        <v>52</v>
      </c>
      <c r="G73" s="13" t="s">
        <v>77</v>
      </c>
      <c r="H73" s="17">
        <f t="shared" si="3"/>
        <v>54.786988000000001</v>
      </c>
      <c r="I73" s="12">
        <f t="shared" si="4"/>
        <v>364.072</v>
      </c>
      <c r="J73" s="2">
        <f t="shared" si="5"/>
        <v>596.63029932000006</v>
      </c>
    </row>
    <row r="74" spans="1:10" ht="20.45" customHeight="1" x14ac:dyDescent="0.3">
      <c r="A74" s="34"/>
      <c r="B74" s="21" t="s">
        <v>25</v>
      </c>
      <c r="C74" s="13">
        <v>914</v>
      </c>
      <c r="D74" s="13">
        <v>1763</v>
      </c>
      <c r="E74" s="13">
        <v>34</v>
      </c>
      <c r="F74" s="32"/>
      <c r="G74" s="13" t="s">
        <v>78</v>
      </c>
      <c r="H74" s="17">
        <f t="shared" si="3"/>
        <v>54.786988000000001</v>
      </c>
      <c r="I74" s="12">
        <f t="shared" si="4"/>
        <v>364.072</v>
      </c>
      <c r="J74" s="2">
        <f t="shared" si="5"/>
        <v>596.63029932000006</v>
      </c>
    </row>
    <row r="75" spans="1:10" ht="20.45" customHeight="1" x14ac:dyDescent="0.3">
      <c r="A75" s="34"/>
      <c r="B75" s="13"/>
      <c r="C75" s="13"/>
      <c r="D75" s="13"/>
      <c r="E75" s="13"/>
      <c r="F75" s="13"/>
      <c r="G75" s="13"/>
      <c r="H75" s="17">
        <f t="shared" si="3"/>
        <v>0</v>
      </c>
      <c r="I75" s="12">
        <f t="shared" si="4"/>
        <v>0</v>
      </c>
      <c r="J75" s="2">
        <f t="shared" si="5"/>
        <v>0</v>
      </c>
    </row>
    <row r="76" spans="1:10" ht="20.45" customHeight="1" x14ac:dyDescent="0.3">
      <c r="A76" s="34"/>
      <c r="B76" s="20" t="s">
        <v>24</v>
      </c>
      <c r="C76" s="13">
        <v>895</v>
      </c>
      <c r="D76" s="13">
        <v>1925</v>
      </c>
      <c r="E76" s="13">
        <v>2</v>
      </c>
      <c r="F76" s="31" t="s">
        <v>59</v>
      </c>
      <c r="G76" s="13" t="s">
        <v>79</v>
      </c>
      <c r="H76" s="17">
        <f t="shared" si="3"/>
        <v>3.4457499999999999</v>
      </c>
      <c r="I76" s="12">
        <f t="shared" si="4"/>
        <v>22.56</v>
      </c>
      <c r="J76" s="2">
        <f t="shared" si="5"/>
        <v>37.524217499999999</v>
      </c>
    </row>
    <row r="77" spans="1:10" ht="20.45" customHeight="1" x14ac:dyDescent="0.3">
      <c r="A77" s="35"/>
      <c r="B77" s="21" t="s">
        <v>25</v>
      </c>
      <c r="C77" s="13">
        <v>895</v>
      </c>
      <c r="D77" s="13">
        <v>1925</v>
      </c>
      <c r="E77" s="13">
        <v>2</v>
      </c>
      <c r="F77" s="32"/>
      <c r="G77" s="13" t="s">
        <v>80</v>
      </c>
      <c r="H77" s="17">
        <f t="shared" si="3"/>
        <v>3.4457499999999999</v>
      </c>
      <c r="I77" s="12">
        <f t="shared" si="4"/>
        <v>22.56</v>
      </c>
      <c r="J77" s="2">
        <f t="shared" si="5"/>
        <v>37.524217499999999</v>
      </c>
    </row>
    <row r="78" spans="1:10" ht="20.45" customHeight="1" x14ac:dyDescent="0.3">
      <c r="A78" s="20"/>
      <c r="B78" s="11"/>
      <c r="C78" s="11"/>
      <c r="D78" s="11"/>
      <c r="E78" s="11"/>
      <c r="F78" s="11"/>
      <c r="G78" s="11"/>
      <c r="H78" s="17">
        <f t="shared" si="3"/>
        <v>0</v>
      </c>
      <c r="I78" s="12">
        <f t="shared" si="4"/>
        <v>0</v>
      </c>
      <c r="J78" s="2">
        <f t="shared" si="5"/>
        <v>0</v>
      </c>
    </row>
    <row r="79" spans="1:10" ht="20.45" customHeight="1" x14ac:dyDescent="0.3">
      <c r="A79" s="33" t="s">
        <v>82</v>
      </c>
      <c r="B79" s="20" t="s">
        <v>51</v>
      </c>
      <c r="C79" s="13">
        <v>893</v>
      </c>
      <c r="D79" s="13">
        <v>1927</v>
      </c>
      <c r="E79" s="13">
        <v>2</v>
      </c>
      <c r="F79" s="31" t="s">
        <v>52</v>
      </c>
      <c r="G79" s="13" t="s">
        <v>83</v>
      </c>
      <c r="H79" s="17">
        <f t="shared" si="3"/>
        <v>3.4416220000000002</v>
      </c>
      <c r="I79" s="12">
        <f t="shared" si="4"/>
        <v>22.56</v>
      </c>
      <c r="J79" s="2">
        <f t="shared" si="5"/>
        <v>37.479263580000001</v>
      </c>
    </row>
    <row r="80" spans="1:10" ht="20.45" customHeight="1" x14ac:dyDescent="0.3">
      <c r="A80" s="34"/>
      <c r="B80" s="21" t="s">
        <v>25</v>
      </c>
      <c r="C80" s="13">
        <v>893</v>
      </c>
      <c r="D80" s="13">
        <v>1927</v>
      </c>
      <c r="E80" s="13">
        <v>2</v>
      </c>
      <c r="F80" s="32"/>
      <c r="G80" s="13" t="s">
        <v>84</v>
      </c>
      <c r="H80" s="17">
        <f t="shared" si="3"/>
        <v>3.4416220000000002</v>
      </c>
      <c r="I80" s="12">
        <f t="shared" si="4"/>
        <v>22.56</v>
      </c>
      <c r="J80" s="2">
        <f t="shared" si="5"/>
        <v>37.479263580000001</v>
      </c>
    </row>
    <row r="81" spans="1:10" ht="20.45" customHeight="1" x14ac:dyDescent="0.3">
      <c r="A81" s="34"/>
      <c r="B81" s="20"/>
      <c r="C81" s="13"/>
      <c r="D81" s="13"/>
      <c r="E81" s="13"/>
      <c r="F81" s="13"/>
      <c r="G81" s="13"/>
      <c r="H81" s="17">
        <f t="shared" ref="H81:H86" si="6">C81*D81*E81/1000000</f>
        <v>0</v>
      </c>
      <c r="I81" s="12">
        <f t="shared" ref="I81:I86" si="7">(C81+D81)*4*E81/1000</f>
        <v>0</v>
      </c>
      <c r="J81" s="2">
        <f t="shared" ref="J81:J86" si="8">H81*10.89</f>
        <v>0</v>
      </c>
    </row>
    <row r="82" spans="1:10" ht="20.45" customHeight="1" x14ac:dyDescent="0.3">
      <c r="A82" s="34"/>
      <c r="B82" s="20" t="s">
        <v>24</v>
      </c>
      <c r="C82" s="13">
        <v>914</v>
      </c>
      <c r="D82" s="13">
        <v>1763</v>
      </c>
      <c r="E82" s="13">
        <v>36</v>
      </c>
      <c r="F82" s="31" t="s">
        <v>52</v>
      </c>
      <c r="G82" s="13" t="s">
        <v>85</v>
      </c>
      <c r="H82" s="17">
        <f t="shared" si="6"/>
        <v>58.009751999999999</v>
      </c>
      <c r="I82" s="12">
        <f t="shared" si="7"/>
        <v>385.488</v>
      </c>
      <c r="J82" s="2">
        <f t="shared" si="8"/>
        <v>631.72619928000006</v>
      </c>
    </row>
    <row r="83" spans="1:10" ht="17.25" x14ac:dyDescent="0.3">
      <c r="A83" s="34"/>
      <c r="B83" s="21" t="s">
        <v>25</v>
      </c>
      <c r="C83" s="13">
        <v>914</v>
      </c>
      <c r="D83" s="13">
        <v>1763</v>
      </c>
      <c r="E83" s="13">
        <v>36</v>
      </c>
      <c r="F83" s="32"/>
      <c r="G83" s="13" t="s">
        <v>86</v>
      </c>
      <c r="H83" s="17">
        <f t="shared" si="6"/>
        <v>58.009751999999999</v>
      </c>
      <c r="I83" s="12">
        <f t="shared" si="7"/>
        <v>385.488</v>
      </c>
      <c r="J83" s="2">
        <f t="shared" si="8"/>
        <v>631.72619928000006</v>
      </c>
    </row>
    <row r="84" spans="1:10" x14ac:dyDescent="0.3">
      <c r="A84" s="34"/>
      <c r="B84" s="13"/>
      <c r="C84" s="13"/>
      <c r="D84" s="13"/>
      <c r="E84" s="13"/>
      <c r="F84" s="13"/>
      <c r="G84" s="13"/>
      <c r="H84" s="17">
        <f t="shared" si="6"/>
        <v>0</v>
      </c>
      <c r="I84" s="12">
        <f t="shared" si="7"/>
        <v>0</v>
      </c>
      <c r="J84" s="2">
        <f t="shared" si="8"/>
        <v>0</v>
      </c>
    </row>
    <row r="85" spans="1:10" x14ac:dyDescent="0.3">
      <c r="A85" s="34"/>
      <c r="B85" s="20" t="s">
        <v>24</v>
      </c>
      <c r="C85" s="13">
        <v>895</v>
      </c>
      <c r="D85" s="13">
        <v>1925</v>
      </c>
      <c r="E85" s="13">
        <v>2</v>
      </c>
      <c r="F85" s="31" t="s">
        <v>59</v>
      </c>
      <c r="G85" s="13" t="s">
        <v>87</v>
      </c>
      <c r="H85" s="17">
        <f t="shared" si="6"/>
        <v>3.4457499999999999</v>
      </c>
      <c r="I85" s="12">
        <f t="shared" si="7"/>
        <v>22.56</v>
      </c>
      <c r="J85" s="2">
        <f t="shared" si="8"/>
        <v>37.524217499999999</v>
      </c>
    </row>
    <row r="86" spans="1:10" ht="17.25" x14ac:dyDescent="0.3">
      <c r="A86" s="35"/>
      <c r="B86" s="21" t="s">
        <v>25</v>
      </c>
      <c r="C86" s="13">
        <v>895</v>
      </c>
      <c r="D86" s="13">
        <v>1925</v>
      </c>
      <c r="E86" s="13">
        <v>2</v>
      </c>
      <c r="F86" s="32"/>
      <c r="G86" s="13" t="s">
        <v>87</v>
      </c>
      <c r="H86" s="17">
        <f t="shared" si="6"/>
        <v>3.4457499999999999</v>
      </c>
      <c r="I86" s="12">
        <f t="shared" si="7"/>
        <v>22.56</v>
      </c>
      <c r="J86" s="2">
        <f t="shared" si="8"/>
        <v>37.524217499999999</v>
      </c>
    </row>
    <row r="87" spans="1:10" x14ac:dyDescent="0.3">
      <c r="H87" s="18"/>
    </row>
    <row r="88" spans="1:10" x14ac:dyDescent="0.3">
      <c r="E88" s="6">
        <f>SUM(E16:E86)</f>
        <v>708</v>
      </c>
      <c r="H88" s="6">
        <f t="shared" ref="F88:J88" si="9">SUM(H16:H86)</f>
        <v>1147.4654759999999</v>
      </c>
      <c r="I88" s="6">
        <f t="shared" si="9"/>
        <v>7615.5840000000062</v>
      </c>
      <c r="J88" s="6">
        <f t="shared" si="9"/>
        <v>12495.899033640009</v>
      </c>
    </row>
    <row r="89" spans="1:10" ht="16.5" customHeight="1" x14ac:dyDescent="0.3">
      <c r="A89" s="19"/>
      <c r="H89" s="18"/>
    </row>
    <row r="90" spans="1:10" ht="16.5" customHeight="1" x14ac:dyDescent="0.3">
      <c r="A90" s="19"/>
      <c r="H90" s="18"/>
    </row>
    <row r="91" spans="1:10" ht="16.5" customHeight="1" x14ac:dyDescent="0.3">
      <c r="A91" s="19"/>
      <c r="H91" s="18"/>
    </row>
    <row r="92" spans="1:10" ht="16.5" customHeight="1" x14ac:dyDescent="0.3">
      <c r="A92" s="19"/>
      <c r="H92" s="18"/>
    </row>
    <row r="93" spans="1:10" ht="16.5" customHeight="1" x14ac:dyDescent="0.3">
      <c r="A93" s="19"/>
      <c r="H93" s="18"/>
    </row>
    <row r="94" spans="1:10" ht="16.5" customHeight="1" x14ac:dyDescent="0.3">
      <c r="A94" s="19"/>
      <c r="H94" s="18"/>
    </row>
    <row r="95" spans="1:10" ht="16.5" customHeight="1" x14ac:dyDescent="0.3">
      <c r="A95" s="19"/>
      <c r="H95" s="18"/>
    </row>
    <row r="96" spans="1:10" ht="16.5" customHeight="1" x14ac:dyDescent="0.3">
      <c r="A96" s="19"/>
      <c r="H96" s="18"/>
    </row>
    <row r="97" spans="1:8" ht="16.5" customHeight="1" x14ac:dyDescent="0.3">
      <c r="A97" s="19"/>
      <c r="H97" s="18"/>
    </row>
    <row r="98" spans="1:8" ht="16.5" customHeight="1" x14ac:dyDescent="0.3">
      <c r="A98" s="19"/>
      <c r="H98" s="18"/>
    </row>
    <row r="99" spans="1:8" ht="16.5" customHeight="1" x14ac:dyDescent="0.3">
      <c r="A99" s="19"/>
      <c r="H99" s="18"/>
    </row>
    <row r="100" spans="1:8" ht="16.5" customHeight="1" x14ac:dyDescent="0.3">
      <c r="A100" s="19"/>
      <c r="H100" s="18"/>
    </row>
    <row r="101" spans="1:8" ht="16.5" customHeight="1" x14ac:dyDescent="0.3">
      <c r="A101" s="19"/>
      <c r="H101" s="18"/>
    </row>
    <row r="102" spans="1:8" ht="16.5" customHeight="1" x14ac:dyDescent="0.3">
      <c r="A102" s="19"/>
      <c r="H102" s="18"/>
    </row>
    <row r="103" spans="1:8" ht="16.5" customHeight="1" x14ac:dyDescent="0.3">
      <c r="A103" s="19"/>
      <c r="H103" s="18"/>
    </row>
    <row r="104" spans="1:8" ht="16.5" customHeight="1" x14ac:dyDescent="0.3">
      <c r="A104" s="19"/>
      <c r="H104" s="18"/>
    </row>
    <row r="105" spans="1:8" x14ac:dyDescent="0.3">
      <c r="H105" s="18"/>
    </row>
    <row r="106" spans="1:8" ht="16.5" customHeight="1" x14ac:dyDescent="0.3">
      <c r="A106" s="19"/>
      <c r="H106" s="18"/>
    </row>
    <row r="107" spans="1:8" ht="16.5" customHeight="1" x14ac:dyDescent="0.3">
      <c r="A107" s="19"/>
      <c r="H107" s="18"/>
    </row>
    <row r="108" spans="1:8" ht="16.5" customHeight="1" x14ac:dyDescent="0.3">
      <c r="A108" s="19"/>
      <c r="H108" s="18"/>
    </row>
    <row r="109" spans="1:8" ht="16.5" customHeight="1" x14ac:dyDescent="0.3">
      <c r="A109" s="19"/>
      <c r="H109" s="18"/>
    </row>
    <row r="110" spans="1:8" ht="16.5" customHeight="1" x14ac:dyDescent="0.3">
      <c r="A110" s="19"/>
      <c r="H110" s="18"/>
    </row>
    <row r="111" spans="1:8" ht="16.5" customHeight="1" x14ac:dyDescent="0.3">
      <c r="A111" s="19"/>
      <c r="H111" s="18"/>
    </row>
    <row r="112" spans="1:8" ht="16.5" customHeight="1" x14ac:dyDescent="0.3">
      <c r="A112" s="19"/>
      <c r="H112" s="18"/>
    </row>
    <row r="113" spans="1:8" ht="16.5" customHeight="1" x14ac:dyDescent="0.3">
      <c r="A113" s="19"/>
      <c r="H113" s="18"/>
    </row>
    <row r="114" spans="1:8" ht="16.5" customHeight="1" x14ac:dyDescent="0.3">
      <c r="A114" s="19"/>
      <c r="H114" s="18"/>
    </row>
    <row r="115" spans="1:8" ht="16.5" customHeight="1" x14ac:dyDescent="0.3">
      <c r="A115" s="19"/>
      <c r="H115" s="18"/>
    </row>
    <row r="116" spans="1:8" ht="16.5" customHeight="1" x14ac:dyDescent="0.3">
      <c r="A116" s="19"/>
      <c r="H116" s="18"/>
    </row>
    <row r="117" spans="1:8" ht="16.5" customHeight="1" x14ac:dyDescent="0.3">
      <c r="A117" s="19"/>
      <c r="H117" s="18"/>
    </row>
    <row r="118" spans="1:8" ht="16.5" customHeight="1" x14ac:dyDescent="0.3">
      <c r="A118" s="19"/>
      <c r="H118" s="18"/>
    </row>
    <row r="119" spans="1:8" ht="16.5" customHeight="1" x14ac:dyDescent="0.3">
      <c r="A119" s="19"/>
      <c r="H119" s="18"/>
    </row>
    <row r="120" spans="1:8" ht="16.5" customHeight="1" x14ac:dyDescent="0.3">
      <c r="A120" s="19"/>
      <c r="H120" s="18"/>
    </row>
    <row r="121" spans="1:8" ht="16.5" customHeight="1" x14ac:dyDescent="0.3">
      <c r="A121" s="19"/>
      <c r="H121" s="18"/>
    </row>
    <row r="122" spans="1:8" x14ac:dyDescent="0.3">
      <c r="H122" s="18"/>
    </row>
    <row r="123" spans="1:8" x14ac:dyDescent="0.3">
      <c r="H123" s="18"/>
    </row>
    <row r="124" spans="1:8" ht="16.5" customHeight="1" x14ac:dyDescent="0.3">
      <c r="A124" s="19"/>
      <c r="H124" s="18"/>
    </row>
    <row r="125" spans="1:8" x14ac:dyDescent="0.3">
      <c r="H125" s="18"/>
    </row>
    <row r="126" spans="1:8" x14ac:dyDescent="0.3">
      <c r="H126" s="18"/>
    </row>
    <row r="127" spans="1:8" x14ac:dyDescent="0.3">
      <c r="H127" s="18"/>
    </row>
    <row r="128" spans="1:8" x14ac:dyDescent="0.3">
      <c r="H128" s="18"/>
    </row>
    <row r="129" spans="8:8" x14ac:dyDescent="0.3">
      <c r="H129" s="18"/>
    </row>
    <row r="130" spans="8:8" x14ac:dyDescent="0.3">
      <c r="H130" s="18"/>
    </row>
    <row r="131" spans="8:8" x14ac:dyDescent="0.3">
      <c r="H131" s="18"/>
    </row>
    <row r="132" spans="8:8" x14ac:dyDescent="0.3">
      <c r="H132" s="18"/>
    </row>
    <row r="133" spans="8:8" x14ac:dyDescent="0.3">
      <c r="H133" s="18"/>
    </row>
    <row r="134" spans="8:8" x14ac:dyDescent="0.3">
      <c r="H134" s="18"/>
    </row>
    <row r="135" spans="8:8" x14ac:dyDescent="0.3">
      <c r="H135" s="18"/>
    </row>
    <row r="136" spans="8:8" x14ac:dyDescent="0.3">
      <c r="H136" s="18"/>
    </row>
    <row r="137" spans="8:8" x14ac:dyDescent="0.3">
      <c r="H137" s="18"/>
    </row>
    <row r="138" spans="8:8" x14ac:dyDescent="0.3">
      <c r="H138" s="18"/>
    </row>
    <row r="139" spans="8:8" x14ac:dyDescent="0.3">
      <c r="H139" s="18"/>
    </row>
    <row r="140" spans="8:8" x14ac:dyDescent="0.3">
      <c r="H140" s="18"/>
    </row>
    <row r="141" spans="8:8" x14ac:dyDescent="0.3">
      <c r="H141" s="18"/>
    </row>
    <row r="142" spans="8:8" x14ac:dyDescent="0.3">
      <c r="H142" s="18"/>
    </row>
    <row r="143" spans="8:8" x14ac:dyDescent="0.3">
      <c r="H143" s="18"/>
    </row>
    <row r="144" spans="8:8" x14ac:dyDescent="0.3">
      <c r="H144" s="18"/>
    </row>
    <row r="145" spans="1:8" x14ac:dyDescent="0.3">
      <c r="H145" s="18"/>
    </row>
    <row r="146" spans="1:8" x14ac:dyDescent="0.3">
      <c r="H146" s="18"/>
    </row>
    <row r="147" spans="1:8" x14ac:dyDescent="0.3">
      <c r="H147" s="18"/>
    </row>
    <row r="148" spans="1:8" x14ac:dyDescent="0.3">
      <c r="A148" s="10"/>
      <c r="B148" s="10"/>
      <c r="C148" s="10"/>
      <c r="D148" s="10"/>
      <c r="E148" s="10"/>
      <c r="F148" s="10"/>
      <c r="G148" s="10"/>
    </row>
    <row r="206" spans="2:7" ht="19.5" x14ac:dyDescent="0.3">
      <c r="B206" s="9"/>
      <c r="C206" s="9"/>
      <c r="D206" s="9"/>
      <c r="E206" s="9"/>
      <c r="F206" s="9"/>
      <c r="G206" s="9"/>
    </row>
    <row r="207" spans="2:7" ht="19.5" x14ac:dyDescent="0.3">
      <c r="B207" s="9"/>
      <c r="C207" s="9"/>
      <c r="D207" s="9"/>
      <c r="E207" s="9"/>
      <c r="F207" s="9"/>
      <c r="G207" s="9"/>
    </row>
    <row r="208" spans="2:7" ht="19.5" x14ac:dyDescent="0.3">
      <c r="B208" s="9"/>
      <c r="C208" s="9"/>
      <c r="D208" s="9"/>
      <c r="E208" s="9"/>
      <c r="F208" s="9"/>
      <c r="G208" s="9"/>
    </row>
    <row r="209" spans="2:7" ht="19.5" x14ac:dyDescent="0.3">
      <c r="B209" s="9"/>
      <c r="C209" s="9"/>
      <c r="D209" s="9"/>
      <c r="E209" s="9"/>
      <c r="F209" s="9"/>
      <c r="G209" s="9"/>
    </row>
    <row r="210" spans="2:7" ht="19.5" x14ac:dyDescent="0.3">
      <c r="B210" s="9"/>
      <c r="C210" s="9"/>
      <c r="D210" s="9"/>
      <c r="E210" s="9"/>
      <c r="F210" s="9"/>
      <c r="G210" s="9"/>
    </row>
    <row r="211" spans="2:7" ht="19.5" x14ac:dyDescent="0.3">
      <c r="B211" s="9"/>
      <c r="C211" s="9"/>
      <c r="D211" s="9"/>
      <c r="E211" s="9"/>
      <c r="F211" s="9"/>
      <c r="G211" s="9"/>
    </row>
    <row r="212" spans="2:7" ht="19.5" x14ac:dyDescent="0.3">
      <c r="B212" s="9"/>
      <c r="C212" s="9"/>
      <c r="D212" s="9"/>
      <c r="E212" s="9"/>
      <c r="F212" s="9"/>
      <c r="G212" s="9"/>
    </row>
    <row r="213" spans="2:7" ht="19.5" x14ac:dyDescent="0.3">
      <c r="B213" s="9"/>
      <c r="C213" s="9"/>
      <c r="D213" s="9"/>
      <c r="E213" s="9"/>
      <c r="F213" s="9"/>
      <c r="G213" s="9"/>
    </row>
    <row r="214" spans="2:7" ht="19.5" x14ac:dyDescent="0.3">
      <c r="B214" s="9"/>
      <c r="C214" s="9"/>
      <c r="D214" s="9"/>
      <c r="E214" s="9"/>
      <c r="F214" s="9"/>
      <c r="G214" s="9"/>
    </row>
    <row r="215" spans="2:7" ht="19.5" x14ac:dyDescent="0.3">
      <c r="B215" s="9"/>
      <c r="C215" s="9"/>
      <c r="D215" s="9"/>
      <c r="E215" s="9"/>
      <c r="F215" s="9"/>
      <c r="G215" s="9"/>
    </row>
    <row r="216" spans="2:7" ht="19.5" x14ac:dyDescent="0.3">
      <c r="B216" s="9"/>
      <c r="C216" s="9"/>
      <c r="D216" s="9"/>
      <c r="E216" s="9"/>
      <c r="F216" s="9"/>
      <c r="G216" s="9"/>
    </row>
    <row r="217" spans="2:7" ht="19.5" x14ac:dyDescent="0.3">
      <c r="B217" s="9"/>
      <c r="C217" s="9"/>
      <c r="D217" s="9"/>
      <c r="E217" s="9"/>
      <c r="F217" s="9"/>
      <c r="G217" s="9"/>
    </row>
    <row r="218" spans="2:7" ht="19.5" x14ac:dyDescent="0.3">
      <c r="B218" s="9"/>
      <c r="C218" s="9"/>
      <c r="D218" s="9"/>
      <c r="E218" s="9"/>
      <c r="F218" s="9"/>
      <c r="G218" s="9"/>
    </row>
    <row r="219" spans="2:7" ht="19.5" x14ac:dyDescent="0.3">
      <c r="B219" s="9"/>
      <c r="C219" s="9"/>
      <c r="D219" s="9"/>
      <c r="E219" s="9"/>
      <c r="F219" s="9"/>
      <c r="G219" s="9"/>
    </row>
    <row r="220" spans="2:7" ht="19.5" x14ac:dyDescent="0.3">
      <c r="B220" s="9"/>
      <c r="C220" s="9"/>
      <c r="D220" s="9"/>
      <c r="E220" s="9"/>
      <c r="F220" s="9"/>
      <c r="G220" s="9"/>
    </row>
    <row r="221" spans="2:7" ht="19.5" x14ac:dyDescent="0.3">
      <c r="B221" s="9"/>
      <c r="C221" s="9"/>
      <c r="D221" s="9"/>
      <c r="E221" s="9"/>
      <c r="F221" s="9"/>
      <c r="G221" s="9"/>
    </row>
    <row r="222" spans="2:7" ht="19.5" x14ac:dyDescent="0.3">
      <c r="B222" s="9"/>
      <c r="C222" s="9"/>
      <c r="D222" s="9"/>
      <c r="E222" s="9"/>
      <c r="F222" s="9"/>
      <c r="G222" s="9"/>
    </row>
    <row r="223" spans="2:7" ht="19.5" x14ac:dyDescent="0.3">
      <c r="B223" s="9"/>
      <c r="C223" s="9"/>
      <c r="D223" s="9"/>
      <c r="E223" s="9"/>
      <c r="F223" s="9"/>
      <c r="G223" s="9"/>
    </row>
    <row r="224" spans="2:7" ht="19.5" x14ac:dyDescent="0.3">
      <c r="B224" s="9"/>
      <c r="C224" s="9"/>
      <c r="D224" s="9"/>
      <c r="E224" s="9"/>
      <c r="F224" s="9"/>
      <c r="G224" s="9"/>
    </row>
    <row r="225" spans="2:7" ht="19.5" x14ac:dyDescent="0.3">
      <c r="B225" s="9"/>
      <c r="C225" s="9"/>
      <c r="D225" s="9"/>
      <c r="E225" s="9"/>
      <c r="F225" s="9"/>
      <c r="G225" s="9"/>
    </row>
    <row r="226" spans="2:7" ht="19.5" x14ac:dyDescent="0.3">
      <c r="B226" s="9"/>
      <c r="C226" s="9"/>
      <c r="D226" s="9"/>
      <c r="E226" s="9"/>
      <c r="F226" s="9"/>
      <c r="G226" s="9"/>
    </row>
    <row r="227" spans="2:7" ht="19.5" x14ac:dyDescent="0.3">
      <c r="B227" s="9"/>
      <c r="C227" s="9"/>
      <c r="D227" s="9"/>
      <c r="E227" s="9"/>
      <c r="F227" s="9"/>
      <c r="G227" s="9"/>
    </row>
    <row r="228" spans="2:7" ht="19.5" x14ac:dyDescent="0.3">
      <c r="B228" s="9"/>
      <c r="C228" s="9"/>
      <c r="D228" s="9"/>
      <c r="E228" s="9"/>
      <c r="F228" s="9"/>
      <c r="G228" s="9"/>
    </row>
    <row r="229" spans="2:7" ht="19.5" x14ac:dyDescent="0.3">
      <c r="B229" s="9"/>
      <c r="C229" s="9"/>
      <c r="D229" s="9"/>
      <c r="E229" s="9"/>
      <c r="F229" s="9"/>
      <c r="G229" s="9"/>
    </row>
    <row r="230" spans="2:7" ht="19.5" x14ac:dyDescent="0.3">
      <c r="B230" s="9"/>
      <c r="C230" s="9"/>
      <c r="D230" s="9"/>
      <c r="E230" s="9"/>
      <c r="F230" s="9"/>
      <c r="G230" s="9"/>
    </row>
    <row r="231" spans="2:7" ht="19.5" x14ac:dyDescent="0.3">
      <c r="B231" s="9"/>
      <c r="C231" s="9"/>
      <c r="D231" s="9"/>
      <c r="E231" s="9"/>
      <c r="F231" s="9"/>
      <c r="G231" s="9"/>
    </row>
    <row r="232" spans="2:7" ht="19.5" x14ac:dyDescent="0.3">
      <c r="B232" s="9"/>
      <c r="C232" s="9"/>
      <c r="D232" s="9"/>
      <c r="E232" s="9"/>
      <c r="F232" s="9"/>
      <c r="G232" s="9"/>
    </row>
    <row r="233" spans="2:7" ht="19.5" x14ac:dyDescent="0.3">
      <c r="B233" s="9"/>
      <c r="C233" s="9"/>
      <c r="D233" s="9"/>
      <c r="E233" s="9"/>
      <c r="F233" s="9"/>
      <c r="G233" s="9"/>
    </row>
    <row r="234" spans="2:7" ht="19.5" x14ac:dyDescent="0.3">
      <c r="B234" s="9"/>
      <c r="C234" s="9"/>
      <c r="D234" s="9"/>
      <c r="E234" s="9"/>
      <c r="F234" s="9"/>
      <c r="G234" s="9"/>
    </row>
    <row r="235" spans="2:7" ht="19.5" x14ac:dyDescent="0.3">
      <c r="B235" s="9"/>
      <c r="C235" s="9"/>
      <c r="D235" s="9"/>
      <c r="E235" s="9"/>
      <c r="F235" s="9"/>
      <c r="G235" s="9"/>
    </row>
    <row r="236" spans="2:7" ht="19.5" x14ac:dyDescent="0.3">
      <c r="B236" s="9"/>
      <c r="C236" s="9"/>
      <c r="D236" s="9"/>
      <c r="E236" s="9"/>
      <c r="F236" s="9"/>
      <c r="G236" s="9"/>
    </row>
    <row r="237" spans="2:7" ht="19.5" x14ac:dyDescent="0.3">
      <c r="B237" s="9"/>
      <c r="C237" s="9"/>
      <c r="D237" s="9"/>
      <c r="E237" s="9"/>
      <c r="F237" s="9"/>
      <c r="G237" s="9"/>
    </row>
    <row r="238" spans="2:7" ht="19.5" x14ac:dyDescent="0.3">
      <c r="B238" s="9"/>
      <c r="C238" s="9"/>
      <c r="D238" s="9"/>
      <c r="E238" s="9"/>
      <c r="F238" s="9"/>
      <c r="G238" s="9"/>
    </row>
    <row r="239" spans="2:7" ht="19.5" x14ac:dyDescent="0.3">
      <c r="B239" s="9"/>
      <c r="C239" s="9"/>
      <c r="D239" s="9"/>
      <c r="E239" s="9"/>
      <c r="F239" s="9"/>
      <c r="G239" s="9"/>
    </row>
    <row r="240" spans="2:7" ht="19.5" x14ac:dyDescent="0.3">
      <c r="B240" s="9"/>
      <c r="C240" s="9"/>
      <c r="D240" s="9"/>
      <c r="E240" s="9"/>
      <c r="F240" s="9"/>
      <c r="G240" s="9"/>
    </row>
    <row r="241" spans="2:7" ht="19.5" x14ac:dyDescent="0.3">
      <c r="B241" s="9"/>
      <c r="C241" s="9"/>
      <c r="D241" s="9"/>
      <c r="E241" s="9"/>
      <c r="F241" s="9"/>
      <c r="G241" s="9"/>
    </row>
    <row r="242" spans="2:7" ht="19.5" x14ac:dyDescent="0.3">
      <c r="B242" s="9"/>
      <c r="C242" s="9"/>
      <c r="D242" s="9"/>
      <c r="E242" s="9"/>
      <c r="F242" s="9"/>
      <c r="G242" s="9"/>
    </row>
    <row r="243" spans="2:7" ht="19.5" x14ac:dyDescent="0.3">
      <c r="B243" s="9"/>
      <c r="C243" s="9"/>
      <c r="D243" s="9"/>
      <c r="E243" s="9"/>
      <c r="F243" s="9"/>
      <c r="G243" s="9"/>
    </row>
    <row r="244" spans="2:7" ht="19.5" x14ac:dyDescent="0.3">
      <c r="B244" s="9"/>
      <c r="C244" s="9"/>
      <c r="D244" s="9"/>
      <c r="E244" s="9"/>
      <c r="F244" s="9"/>
      <c r="G244" s="9"/>
    </row>
    <row r="245" spans="2:7" ht="19.5" x14ac:dyDescent="0.3">
      <c r="B245" s="9"/>
      <c r="C245" s="9"/>
      <c r="D245" s="9"/>
      <c r="E245" s="9"/>
      <c r="F245" s="9"/>
      <c r="G245" s="9"/>
    </row>
    <row r="246" spans="2:7" ht="19.5" x14ac:dyDescent="0.3">
      <c r="B246" s="9"/>
      <c r="C246" s="9"/>
      <c r="D246" s="9"/>
      <c r="E246" s="9"/>
      <c r="F246" s="9"/>
      <c r="G246" s="9"/>
    </row>
    <row r="247" spans="2:7" ht="19.5" x14ac:dyDescent="0.3">
      <c r="B247" s="9"/>
      <c r="C247" s="9"/>
      <c r="D247" s="9"/>
      <c r="E247" s="9"/>
      <c r="F247" s="9"/>
      <c r="G247" s="9"/>
    </row>
    <row r="248" spans="2:7" ht="19.5" x14ac:dyDescent="0.3">
      <c r="B248" s="9"/>
      <c r="C248" s="9"/>
      <c r="D248" s="9"/>
      <c r="E248" s="9"/>
      <c r="F248" s="9"/>
      <c r="G248" s="9"/>
    </row>
    <row r="249" spans="2:7" ht="19.5" x14ac:dyDescent="0.3">
      <c r="B249" s="9"/>
      <c r="C249" s="9"/>
      <c r="D249" s="9"/>
      <c r="E249" s="9"/>
      <c r="F249" s="9"/>
      <c r="G249" s="9"/>
    </row>
    <row r="250" spans="2:7" ht="19.5" x14ac:dyDescent="0.3">
      <c r="B250" s="9"/>
      <c r="C250" s="9"/>
      <c r="D250" s="9"/>
      <c r="E250" s="9"/>
      <c r="F250" s="9"/>
      <c r="G250" s="9"/>
    </row>
    <row r="251" spans="2:7" ht="19.5" x14ac:dyDescent="0.3">
      <c r="B251" s="9"/>
      <c r="C251" s="9"/>
      <c r="D251" s="9"/>
      <c r="E251" s="9"/>
      <c r="F251" s="9"/>
      <c r="G251" s="9"/>
    </row>
    <row r="252" spans="2:7" ht="19.5" x14ac:dyDescent="0.3">
      <c r="B252" s="9"/>
      <c r="C252" s="9"/>
      <c r="D252" s="9"/>
      <c r="E252" s="9"/>
      <c r="F252" s="9"/>
      <c r="G252" s="9"/>
    </row>
    <row r="253" spans="2:7" ht="19.5" x14ac:dyDescent="0.3">
      <c r="B253" s="9"/>
      <c r="C253" s="9"/>
      <c r="D253" s="9"/>
      <c r="E253" s="9"/>
      <c r="F253" s="9"/>
      <c r="G253" s="9"/>
    </row>
    <row r="254" spans="2:7" ht="19.5" x14ac:dyDescent="0.3">
      <c r="B254" s="9"/>
      <c r="C254" s="9"/>
      <c r="D254" s="9"/>
      <c r="E254" s="9"/>
      <c r="F254" s="9"/>
      <c r="G254" s="9"/>
    </row>
    <row r="255" spans="2:7" ht="19.5" x14ac:dyDescent="0.3">
      <c r="B255" s="9"/>
      <c r="C255" s="9"/>
      <c r="D255" s="9"/>
      <c r="E255" s="9"/>
      <c r="F255" s="9"/>
      <c r="G255" s="9"/>
    </row>
    <row r="256" spans="2:7" ht="19.5" x14ac:dyDescent="0.3">
      <c r="B256" s="9"/>
      <c r="C256" s="9"/>
      <c r="D256" s="9"/>
      <c r="E256" s="9"/>
      <c r="F256" s="9"/>
      <c r="G256" s="9"/>
    </row>
    <row r="257" spans="2:7" ht="19.5" x14ac:dyDescent="0.3">
      <c r="B257" s="9"/>
      <c r="C257" s="9"/>
      <c r="D257" s="9"/>
      <c r="E257" s="9"/>
      <c r="F257" s="9"/>
      <c r="G257" s="9"/>
    </row>
    <row r="258" spans="2:7" ht="19.5" x14ac:dyDescent="0.3">
      <c r="B258" s="9"/>
      <c r="C258" s="9"/>
      <c r="D258" s="9"/>
      <c r="E258" s="9"/>
      <c r="F258" s="9"/>
      <c r="G258" s="9"/>
    </row>
    <row r="259" spans="2:7" ht="19.5" x14ac:dyDescent="0.3">
      <c r="B259" s="9"/>
      <c r="C259" s="9"/>
      <c r="D259" s="9"/>
      <c r="E259" s="9"/>
      <c r="F259" s="9"/>
      <c r="G259" s="9"/>
    </row>
    <row r="260" spans="2:7" ht="19.5" x14ac:dyDescent="0.3">
      <c r="B260" s="9"/>
      <c r="C260" s="9"/>
      <c r="D260" s="9"/>
      <c r="E260" s="9"/>
      <c r="F260" s="9"/>
      <c r="G260" s="9"/>
    </row>
    <row r="261" spans="2:7" ht="19.5" x14ac:dyDescent="0.3">
      <c r="B261" s="9"/>
      <c r="C261" s="9"/>
      <c r="D261" s="9"/>
      <c r="E261" s="9"/>
      <c r="F261" s="9"/>
      <c r="G261" s="9"/>
    </row>
    <row r="262" spans="2:7" ht="19.5" x14ac:dyDescent="0.3">
      <c r="B262" s="9"/>
      <c r="C262" s="9"/>
      <c r="D262" s="9"/>
      <c r="E262" s="9"/>
      <c r="F262" s="9"/>
      <c r="G262" s="9"/>
    </row>
    <row r="263" spans="2:7" ht="19.5" x14ac:dyDescent="0.3">
      <c r="B263" s="9"/>
      <c r="C263" s="9"/>
      <c r="D263" s="9"/>
      <c r="E263" s="9"/>
      <c r="F263" s="9"/>
      <c r="G263" s="9"/>
    </row>
    <row r="264" spans="2:7" ht="19.5" x14ac:dyDescent="0.3">
      <c r="B264" s="9"/>
      <c r="C264" s="9"/>
      <c r="D264" s="9"/>
      <c r="E264" s="9"/>
      <c r="F264" s="9"/>
      <c r="G264" s="9"/>
    </row>
    <row r="265" spans="2:7" ht="19.5" x14ac:dyDescent="0.3">
      <c r="B265" s="9"/>
      <c r="C265" s="9"/>
      <c r="D265" s="9"/>
      <c r="E265" s="9"/>
      <c r="F265" s="9"/>
      <c r="G265" s="9"/>
    </row>
    <row r="266" spans="2:7" ht="19.5" x14ac:dyDescent="0.3">
      <c r="B266" s="9"/>
      <c r="C266" s="9"/>
      <c r="D266" s="9"/>
      <c r="E266" s="9"/>
      <c r="F266" s="9"/>
      <c r="G266" s="9"/>
    </row>
    <row r="267" spans="2:7" ht="19.5" x14ac:dyDescent="0.3">
      <c r="B267" s="9"/>
      <c r="C267" s="9"/>
      <c r="D267" s="9"/>
      <c r="E267" s="9"/>
      <c r="F267" s="9"/>
      <c r="G267" s="9"/>
    </row>
    <row r="268" spans="2:7" ht="19.5" x14ac:dyDescent="0.3">
      <c r="B268" s="9"/>
      <c r="C268" s="9"/>
      <c r="D268" s="9"/>
      <c r="E268" s="9"/>
      <c r="F268" s="9"/>
      <c r="G268" s="9"/>
    </row>
    <row r="269" spans="2:7" ht="19.5" x14ac:dyDescent="0.3">
      <c r="B269" s="9"/>
      <c r="C269" s="9"/>
      <c r="D269" s="9"/>
      <c r="E269" s="9"/>
      <c r="F269" s="9"/>
      <c r="G269" s="9"/>
    </row>
    <row r="270" spans="2:7" ht="19.5" x14ac:dyDescent="0.3">
      <c r="B270" s="9"/>
      <c r="C270" s="9"/>
      <c r="D270" s="9"/>
      <c r="E270" s="9"/>
      <c r="F270" s="9"/>
      <c r="G270" s="9"/>
    </row>
    <row r="271" spans="2:7" ht="19.5" x14ac:dyDescent="0.3">
      <c r="B271" s="9"/>
      <c r="C271" s="9"/>
      <c r="D271" s="9"/>
      <c r="E271" s="9"/>
      <c r="F271" s="9"/>
      <c r="G271" s="9"/>
    </row>
    <row r="272" spans="2:7" ht="19.5" x14ac:dyDescent="0.3">
      <c r="B272" s="9"/>
      <c r="C272" s="9"/>
      <c r="D272" s="9"/>
      <c r="E272" s="9"/>
      <c r="F272" s="9"/>
      <c r="G272" s="9"/>
    </row>
    <row r="273" spans="2:7" ht="19.5" x14ac:dyDescent="0.3">
      <c r="B273" s="9"/>
      <c r="C273" s="9"/>
      <c r="D273" s="9"/>
      <c r="E273" s="9"/>
      <c r="F273" s="9"/>
      <c r="G273" s="9"/>
    </row>
    <row r="274" spans="2:7" ht="19.5" x14ac:dyDescent="0.3">
      <c r="B274" s="9"/>
      <c r="C274" s="9"/>
      <c r="D274" s="9"/>
      <c r="E274" s="9"/>
      <c r="F274" s="9"/>
      <c r="G274" s="9"/>
    </row>
    <row r="275" spans="2:7" ht="19.5" x14ac:dyDescent="0.3">
      <c r="B275" s="9"/>
      <c r="C275" s="9"/>
      <c r="D275" s="9"/>
      <c r="E275" s="9"/>
      <c r="F275" s="9"/>
      <c r="G275" s="9"/>
    </row>
    <row r="276" spans="2:7" ht="19.5" x14ac:dyDescent="0.3">
      <c r="B276" s="9"/>
      <c r="C276" s="9"/>
      <c r="D276" s="9"/>
      <c r="E276" s="9"/>
      <c r="F276" s="9"/>
      <c r="G276" s="9"/>
    </row>
    <row r="277" spans="2:7" ht="19.5" x14ac:dyDescent="0.3">
      <c r="B277" s="9"/>
      <c r="C277" s="9"/>
      <c r="D277" s="9"/>
      <c r="E277" s="9"/>
      <c r="F277" s="9"/>
      <c r="G277" s="9"/>
    </row>
    <row r="278" spans="2:7" ht="19.5" x14ac:dyDescent="0.3">
      <c r="B278" s="9"/>
      <c r="C278" s="9"/>
      <c r="D278" s="9"/>
      <c r="E278" s="9"/>
      <c r="F278" s="9"/>
      <c r="G278" s="9"/>
    </row>
    <row r="279" spans="2:7" ht="19.5" x14ac:dyDescent="0.3">
      <c r="B279" s="9"/>
      <c r="C279" s="9"/>
      <c r="D279" s="9"/>
      <c r="E279" s="9"/>
      <c r="F279" s="9"/>
      <c r="G279" s="9"/>
    </row>
    <row r="280" spans="2:7" ht="19.5" x14ac:dyDescent="0.3">
      <c r="B280" s="9"/>
      <c r="C280" s="9"/>
      <c r="D280" s="9"/>
      <c r="E280" s="9"/>
      <c r="F280" s="9"/>
      <c r="G280" s="9"/>
    </row>
    <row r="281" spans="2:7" ht="19.5" x14ac:dyDescent="0.3">
      <c r="B281" s="9"/>
      <c r="C281" s="9"/>
      <c r="D281" s="9"/>
      <c r="E281" s="9"/>
      <c r="F281" s="9"/>
      <c r="G281" s="9"/>
    </row>
    <row r="282" spans="2:7" ht="19.5" x14ac:dyDescent="0.3">
      <c r="B282" s="9"/>
      <c r="C282" s="9"/>
      <c r="D282" s="9"/>
      <c r="E282" s="9"/>
      <c r="F282" s="9"/>
      <c r="G282" s="9"/>
    </row>
    <row r="283" spans="2:7" ht="19.5" x14ac:dyDescent="0.3">
      <c r="B283" s="9"/>
      <c r="C283" s="9"/>
      <c r="D283" s="9"/>
      <c r="E283" s="9"/>
      <c r="F283" s="9"/>
      <c r="G283" s="9"/>
    </row>
    <row r="284" spans="2:7" ht="19.5" x14ac:dyDescent="0.3">
      <c r="B284" s="9"/>
      <c r="C284" s="9"/>
      <c r="D284" s="9"/>
      <c r="E284" s="9"/>
      <c r="F284" s="9"/>
      <c r="G284" s="9"/>
    </row>
    <row r="285" spans="2:7" ht="19.5" x14ac:dyDescent="0.3">
      <c r="B285" s="9"/>
      <c r="C285" s="9"/>
      <c r="D285" s="9"/>
      <c r="E285" s="9"/>
      <c r="F285" s="9"/>
      <c r="G285" s="9"/>
    </row>
    <row r="286" spans="2:7" ht="19.5" x14ac:dyDescent="0.3">
      <c r="B286" s="9"/>
      <c r="C286" s="9"/>
      <c r="D286" s="9"/>
      <c r="E286" s="9"/>
      <c r="F286" s="9"/>
      <c r="G286" s="9"/>
    </row>
    <row r="287" spans="2:7" ht="19.5" x14ac:dyDescent="0.3">
      <c r="B287" s="9"/>
      <c r="C287" s="9"/>
      <c r="D287" s="9"/>
      <c r="E287" s="9"/>
      <c r="F287" s="9"/>
      <c r="G287" s="9"/>
    </row>
    <row r="288" spans="2:7" ht="19.5" x14ac:dyDescent="0.3">
      <c r="B288" s="9"/>
      <c r="C288" s="9"/>
      <c r="D288" s="9"/>
      <c r="E288" s="9"/>
      <c r="F288" s="9"/>
      <c r="G288" s="9"/>
    </row>
    <row r="289" spans="2:7" ht="19.5" x14ac:dyDescent="0.3">
      <c r="B289" s="9"/>
      <c r="C289" s="9"/>
      <c r="D289" s="9"/>
      <c r="E289" s="9"/>
      <c r="F289" s="9"/>
      <c r="G289" s="9"/>
    </row>
    <row r="290" spans="2:7" ht="19.5" x14ac:dyDescent="0.3">
      <c r="B290" s="9"/>
      <c r="C290" s="9"/>
      <c r="D290" s="9"/>
      <c r="E290" s="9"/>
      <c r="F290" s="9"/>
      <c r="G290" s="9"/>
    </row>
    <row r="291" spans="2:7" ht="19.5" x14ac:dyDescent="0.3">
      <c r="B291" s="9"/>
      <c r="C291" s="9"/>
      <c r="D291" s="9"/>
      <c r="E291" s="9"/>
      <c r="F291" s="9"/>
      <c r="G291" s="9"/>
    </row>
    <row r="292" spans="2:7" ht="19.5" x14ac:dyDescent="0.3">
      <c r="B292" s="9"/>
      <c r="C292" s="9"/>
      <c r="D292" s="9"/>
      <c r="E292" s="9"/>
      <c r="F292" s="9"/>
      <c r="G292" s="9"/>
    </row>
    <row r="293" spans="2:7" ht="19.5" x14ac:dyDescent="0.3">
      <c r="B293" s="9"/>
      <c r="C293" s="9"/>
      <c r="D293" s="9"/>
      <c r="E293" s="9"/>
      <c r="F293" s="9"/>
      <c r="G293" s="9"/>
    </row>
    <row r="294" spans="2:7" ht="19.5" x14ac:dyDescent="0.3">
      <c r="B294" s="9"/>
      <c r="C294" s="9"/>
      <c r="D294" s="9"/>
      <c r="E294" s="9"/>
      <c r="F294" s="9"/>
      <c r="G294" s="9"/>
    </row>
    <row r="295" spans="2:7" ht="19.5" x14ac:dyDescent="0.3">
      <c r="B295" s="9"/>
      <c r="C295" s="9"/>
      <c r="D295" s="9"/>
      <c r="E295" s="9"/>
      <c r="F295" s="9"/>
      <c r="G295" s="9"/>
    </row>
    <row r="296" spans="2:7" ht="19.5" x14ac:dyDescent="0.3">
      <c r="B296" s="9"/>
      <c r="C296" s="9"/>
      <c r="D296" s="9"/>
      <c r="E296" s="9"/>
      <c r="F296" s="9"/>
      <c r="G296" s="9"/>
    </row>
    <row r="297" spans="2:7" ht="19.5" x14ac:dyDescent="0.3">
      <c r="B297" s="9"/>
      <c r="C297" s="9"/>
      <c r="D297" s="9"/>
      <c r="E297" s="9"/>
      <c r="F297" s="9"/>
      <c r="G297" s="9"/>
    </row>
    <row r="298" spans="2:7" ht="19.5" x14ac:dyDescent="0.3">
      <c r="B298" s="9"/>
      <c r="C298" s="9"/>
      <c r="D298" s="9"/>
      <c r="E298" s="9"/>
      <c r="F298" s="9"/>
      <c r="G298" s="9"/>
    </row>
    <row r="299" spans="2:7" ht="19.5" x14ac:dyDescent="0.3">
      <c r="B299" s="9"/>
      <c r="C299" s="9"/>
      <c r="D299" s="9"/>
      <c r="E299" s="9"/>
      <c r="F299" s="9"/>
      <c r="G299" s="9"/>
    </row>
    <row r="300" spans="2:7" ht="19.5" x14ac:dyDescent="0.3">
      <c r="B300" s="9"/>
      <c r="C300" s="9"/>
      <c r="D300" s="9"/>
      <c r="E300" s="9"/>
      <c r="F300" s="9"/>
      <c r="G300" s="9"/>
    </row>
    <row r="301" spans="2:7" ht="19.5" x14ac:dyDescent="0.3">
      <c r="B301" s="9"/>
      <c r="C301" s="9"/>
      <c r="D301" s="9"/>
      <c r="E301" s="9"/>
      <c r="F301" s="9"/>
      <c r="G301" s="9"/>
    </row>
    <row r="302" spans="2:7" ht="19.5" x14ac:dyDescent="0.3">
      <c r="B302" s="9"/>
      <c r="C302" s="9"/>
      <c r="D302" s="9"/>
      <c r="E302" s="9"/>
      <c r="F302" s="9"/>
      <c r="G302" s="9"/>
    </row>
    <row r="303" spans="2:7" ht="19.5" x14ac:dyDescent="0.3">
      <c r="B303" s="9"/>
      <c r="C303" s="9"/>
      <c r="D303" s="9"/>
      <c r="E303" s="9"/>
      <c r="F303" s="9"/>
      <c r="G303" s="9"/>
    </row>
    <row r="304" spans="2:7" ht="19.5" x14ac:dyDescent="0.3">
      <c r="B304" s="9"/>
      <c r="C304" s="9"/>
      <c r="D304" s="9"/>
      <c r="E304" s="9"/>
      <c r="F304" s="9"/>
      <c r="G304" s="9"/>
    </row>
    <row r="305" spans="2:7" ht="19.5" x14ac:dyDescent="0.3">
      <c r="B305" s="9"/>
      <c r="C305" s="9"/>
      <c r="D305" s="9"/>
      <c r="E305" s="9"/>
      <c r="F305" s="9"/>
      <c r="G305" s="9"/>
    </row>
    <row r="306" spans="2:7" ht="19.5" x14ac:dyDescent="0.3">
      <c r="B306" s="9"/>
      <c r="C306" s="9"/>
      <c r="D306" s="9"/>
      <c r="E306" s="9"/>
      <c r="F306" s="9"/>
      <c r="G306" s="9"/>
    </row>
    <row r="307" spans="2:7" ht="19.5" x14ac:dyDescent="0.3">
      <c r="B307" s="9"/>
      <c r="C307" s="9"/>
      <c r="D307" s="9"/>
      <c r="E307" s="9"/>
      <c r="F307" s="9"/>
      <c r="G307" s="9"/>
    </row>
    <row r="308" spans="2:7" ht="19.5" x14ac:dyDescent="0.3">
      <c r="B308" s="9"/>
      <c r="C308" s="9"/>
      <c r="D308" s="9"/>
      <c r="E308" s="9"/>
      <c r="F308" s="9"/>
      <c r="G308" s="9"/>
    </row>
    <row r="309" spans="2:7" ht="19.5" x14ac:dyDescent="0.3">
      <c r="B309" s="9"/>
      <c r="C309" s="9"/>
      <c r="D309" s="9"/>
      <c r="E309" s="9"/>
      <c r="F309" s="9"/>
      <c r="G309" s="9"/>
    </row>
    <row r="310" spans="2:7" ht="19.5" x14ac:dyDescent="0.3">
      <c r="B310" s="9"/>
      <c r="C310" s="9"/>
      <c r="D310" s="9"/>
      <c r="E310" s="9"/>
      <c r="F310" s="9"/>
      <c r="G310" s="9"/>
    </row>
    <row r="311" spans="2:7" ht="19.5" x14ac:dyDescent="0.3">
      <c r="B311" s="9"/>
      <c r="C311" s="9"/>
      <c r="D311" s="9"/>
      <c r="E311" s="9"/>
      <c r="F311" s="9"/>
      <c r="G311" s="9"/>
    </row>
    <row r="312" spans="2:7" ht="19.5" x14ac:dyDescent="0.3">
      <c r="B312" s="9"/>
      <c r="C312" s="9"/>
      <c r="D312" s="9"/>
      <c r="E312" s="9"/>
      <c r="F312" s="9"/>
      <c r="G312" s="9"/>
    </row>
    <row r="313" spans="2:7" ht="19.5" x14ac:dyDescent="0.3">
      <c r="B313" s="9"/>
      <c r="C313" s="9"/>
      <c r="D313" s="9"/>
      <c r="E313" s="9"/>
      <c r="F313" s="9"/>
      <c r="G313" s="9"/>
    </row>
    <row r="314" spans="2:7" ht="19.5" x14ac:dyDescent="0.3">
      <c r="B314" s="9"/>
      <c r="C314" s="9"/>
      <c r="D314" s="9"/>
      <c r="E314" s="9"/>
      <c r="F314" s="9"/>
      <c r="G314" s="9"/>
    </row>
    <row r="315" spans="2:7" ht="19.5" x14ac:dyDescent="0.3">
      <c r="B315" s="9"/>
      <c r="C315" s="9"/>
      <c r="D315" s="9"/>
      <c r="E315" s="9"/>
      <c r="F315" s="9"/>
      <c r="G315" s="9"/>
    </row>
    <row r="316" spans="2:7" ht="19.5" x14ac:dyDescent="0.3">
      <c r="B316" s="9"/>
      <c r="C316" s="9"/>
      <c r="D316" s="9"/>
      <c r="E316" s="9"/>
      <c r="F316" s="9"/>
      <c r="G316" s="9"/>
    </row>
    <row r="317" spans="2:7" ht="19.5" x14ac:dyDescent="0.3">
      <c r="B317" s="9"/>
      <c r="C317" s="9"/>
      <c r="D317" s="9"/>
      <c r="E317" s="9"/>
      <c r="F317" s="9"/>
      <c r="G317" s="9"/>
    </row>
    <row r="318" spans="2:7" ht="19.5" x14ac:dyDescent="0.3">
      <c r="B318" s="9"/>
      <c r="C318" s="9"/>
      <c r="D318" s="9"/>
      <c r="E318" s="9"/>
      <c r="F318" s="9"/>
      <c r="G318" s="9"/>
    </row>
    <row r="319" spans="2:7" ht="19.5" x14ac:dyDescent="0.3">
      <c r="B319" s="9"/>
      <c r="C319" s="9"/>
      <c r="D319" s="9"/>
      <c r="E319" s="9"/>
      <c r="F319" s="9"/>
      <c r="G319" s="9"/>
    </row>
    <row r="320" spans="2:7" ht="19.5" x14ac:dyDescent="0.3">
      <c r="B320" s="9"/>
      <c r="C320" s="9"/>
      <c r="D320" s="9"/>
      <c r="E320" s="9"/>
      <c r="F320" s="9"/>
      <c r="G320" s="9"/>
    </row>
    <row r="321" spans="2:7" ht="19.5" x14ac:dyDescent="0.3">
      <c r="B321" s="9"/>
      <c r="C321" s="9"/>
      <c r="D321" s="9"/>
      <c r="E321" s="9"/>
      <c r="F321" s="9"/>
      <c r="G321" s="9"/>
    </row>
    <row r="322" spans="2:7" ht="19.5" x14ac:dyDescent="0.3">
      <c r="B322" s="9"/>
      <c r="C322" s="9"/>
      <c r="D322" s="9"/>
      <c r="E322" s="9"/>
      <c r="F322" s="9"/>
      <c r="G322" s="9"/>
    </row>
    <row r="323" spans="2:7" ht="19.5" x14ac:dyDescent="0.3">
      <c r="B323" s="9"/>
      <c r="C323" s="9"/>
      <c r="D323" s="9"/>
      <c r="E323" s="9"/>
      <c r="F323" s="9"/>
      <c r="G323" s="9"/>
    </row>
    <row r="324" spans="2:7" ht="19.5" x14ac:dyDescent="0.3">
      <c r="B324" s="9"/>
      <c r="C324" s="9"/>
      <c r="D324" s="9"/>
      <c r="E324" s="9"/>
      <c r="F324" s="9"/>
      <c r="G324" s="9"/>
    </row>
    <row r="325" spans="2:7" ht="19.5" x14ac:dyDescent="0.3">
      <c r="B325" s="9"/>
      <c r="C325" s="9"/>
      <c r="D325" s="9"/>
      <c r="E325" s="9"/>
      <c r="F325" s="9"/>
      <c r="G325" s="9"/>
    </row>
    <row r="326" spans="2:7" ht="19.5" x14ac:dyDescent="0.3">
      <c r="B326" s="9"/>
      <c r="C326" s="9"/>
      <c r="D326" s="9"/>
      <c r="E326" s="9"/>
      <c r="F326" s="9"/>
      <c r="G326" s="9"/>
    </row>
    <row r="327" spans="2:7" ht="19.5" x14ac:dyDescent="0.3">
      <c r="B327" s="9"/>
      <c r="C327" s="9"/>
      <c r="D327" s="9"/>
      <c r="E327" s="9"/>
      <c r="F327" s="9"/>
      <c r="G327" s="9"/>
    </row>
    <row r="328" spans="2:7" ht="19.5" x14ac:dyDescent="0.3">
      <c r="B328" s="9"/>
      <c r="C328" s="9"/>
      <c r="D328" s="9"/>
      <c r="E328" s="9"/>
      <c r="F328" s="9"/>
      <c r="G328" s="9"/>
    </row>
    <row r="329" spans="2:7" ht="19.5" x14ac:dyDescent="0.3">
      <c r="B329" s="9"/>
      <c r="C329" s="9"/>
      <c r="D329" s="9"/>
      <c r="E329" s="9"/>
      <c r="F329" s="9"/>
      <c r="G329" s="9"/>
    </row>
    <row r="330" spans="2:7" ht="19.5" x14ac:dyDescent="0.3">
      <c r="B330" s="9"/>
      <c r="C330" s="9"/>
      <c r="D330" s="9"/>
      <c r="E330" s="9"/>
      <c r="F330" s="9"/>
      <c r="G330" s="9"/>
    </row>
    <row r="331" spans="2:7" ht="19.5" x14ac:dyDescent="0.3">
      <c r="B331" s="9"/>
      <c r="C331" s="9"/>
      <c r="D331" s="9"/>
      <c r="E331" s="9"/>
      <c r="F331" s="9"/>
      <c r="G331" s="9"/>
    </row>
    <row r="332" spans="2:7" ht="19.5" x14ac:dyDescent="0.3">
      <c r="B332" s="9"/>
      <c r="C332" s="9"/>
      <c r="D332" s="9"/>
      <c r="E332" s="9"/>
      <c r="F332" s="9"/>
      <c r="G332" s="9"/>
    </row>
    <row r="333" spans="2:7" ht="19.5" x14ac:dyDescent="0.3">
      <c r="B333" s="9"/>
      <c r="C333" s="9"/>
      <c r="D333" s="9"/>
      <c r="E333" s="9"/>
      <c r="F333" s="9"/>
      <c r="G333" s="9"/>
    </row>
    <row r="334" spans="2:7" ht="19.5" x14ac:dyDescent="0.3">
      <c r="B334" s="9"/>
      <c r="C334" s="9"/>
      <c r="D334" s="9"/>
      <c r="E334" s="9"/>
      <c r="F334" s="9"/>
      <c r="G334" s="9"/>
    </row>
    <row r="335" spans="2:7" ht="19.5" x14ac:dyDescent="0.3">
      <c r="B335" s="9"/>
      <c r="C335" s="9"/>
      <c r="D335" s="9"/>
      <c r="E335" s="9"/>
      <c r="F335" s="9"/>
      <c r="G335" s="9"/>
    </row>
    <row r="336" spans="2:7" ht="19.5" x14ac:dyDescent="0.3">
      <c r="B336" s="9"/>
      <c r="C336" s="9"/>
      <c r="D336" s="9"/>
      <c r="E336" s="9"/>
      <c r="F336" s="9"/>
      <c r="G336" s="9"/>
    </row>
    <row r="337" spans="2:7" ht="19.5" x14ac:dyDescent="0.3">
      <c r="B337" s="9"/>
      <c r="C337" s="9"/>
      <c r="D337" s="9"/>
      <c r="E337" s="9"/>
      <c r="F337" s="9"/>
      <c r="G337" s="9"/>
    </row>
    <row r="338" spans="2:7" ht="19.5" x14ac:dyDescent="0.3">
      <c r="B338" s="9"/>
      <c r="C338" s="9"/>
      <c r="D338" s="9"/>
      <c r="E338" s="9"/>
      <c r="F338" s="9"/>
      <c r="G338" s="9"/>
    </row>
    <row r="339" spans="2:7" ht="19.5" x14ac:dyDescent="0.3">
      <c r="B339" s="9"/>
      <c r="C339" s="9"/>
      <c r="D339" s="9"/>
      <c r="E339" s="9"/>
      <c r="F339" s="9"/>
      <c r="G339" s="9"/>
    </row>
    <row r="340" spans="2:7" ht="19.5" x14ac:dyDescent="0.3">
      <c r="B340" s="9"/>
      <c r="C340" s="9"/>
      <c r="D340" s="9"/>
      <c r="E340" s="9"/>
      <c r="F340" s="9"/>
      <c r="G340" s="9"/>
    </row>
    <row r="341" spans="2:7" ht="19.5" x14ac:dyDescent="0.3">
      <c r="B341" s="9"/>
      <c r="C341" s="9"/>
      <c r="D341" s="9"/>
      <c r="E341" s="9"/>
      <c r="F341" s="9"/>
      <c r="G341" s="9"/>
    </row>
    <row r="342" spans="2:7" ht="19.5" x14ac:dyDescent="0.3">
      <c r="B342" s="9"/>
      <c r="C342" s="9"/>
      <c r="D342" s="9"/>
      <c r="E342" s="9"/>
      <c r="F342" s="9"/>
      <c r="G342" s="9"/>
    </row>
    <row r="343" spans="2:7" ht="19.5" x14ac:dyDescent="0.3">
      <c r="B343" s="9"/>
      <c r="C343" s="9"/>
      <c r="D343" s="9"/>
      <c r="E343" s="9"/>
      <c r="F343" s="9"/>
      <c r="G343" s="9"/>
    </row>
    <row r="344" spans="2:7" ht="19.5" x14ac:dyDescent="0.3">
      <c r="B344" s="9"/>
      <c r="C344" s="9"/>
      <c r="D344" s="9"/>
      <c r="E344" s="9"/>
      <c r="F344" s="9"/>
      <c r="G344" s="9"/>
    </row>
    <row r="345" spans="2:7" ht="19.5" x14ac:dyDescent="0.3">
      <c r="B345" s="9"/>
      <c r="C345" s="9"/>
      <c r="D345" s="9"/>
      <c r="E345" s="9"/>
      <c r="F345" s="9"/>
      <c r="G345" s="9"/>
    </row>
    <row r="346" spans="2:7" ht="19.5" x14ac:dyDescent="0.3">
      <c r="B346" s="9"/>
      <c r="C346" s="9"/>
      <c r="D346" s="9"/>
      <c r="E346" s="9"/>
      <c r="F346" s="9"/>
      <c r="G346" s="9"/>
    </row>
    <row r="347" spans="2:7" ht="19.5" x14ac:dyDescent="0.3">
      <c r="B347" s="9"/>
      <c r="C347" s="9"/>
      <c r="D347" s="9"/>
      <c r="E347" s="9"/>
      <c r="F347" s="9"/>
      <c r="G347" s="9"/>
    </row>
    <row r="348" spans="2:7" ht="19.5" x14ac:dyDescent="0.3">
      <c r="B348" s="9"/>
      <c r="C348" s="9"/>
      <c r="D348" s="9"/>
      <c r="E348" s="9"/>
      <c r="F348" s="9"/>
      <c r="G348" s="9"/>
    </row>
    <row r="349" spans="2:7" ht="19.5" x14ac:dyDescent="0.3">
      <c r="B349" s="9"/>
      <c r="C349" s="9"/>
      <c r="D349" s="9"/>
      <c r="E349" s="9"/>
      <c r="F349" s="9"/>
      <c r="G349" s="9"/>
    </row>
    <row r="350" spans="2:7" ht="19.5" x14ac:dyDescent="0.3">
      <c r="B350" s="9"/>
      <c r="C350" s="9"/>
      <c r="D350" s="9"/>
      <c r="E350" s="9"/>
      <c r="F350" s="9"/>
      <c r="G350" s="9"/>
    </row>
    <row r="351" spans="2:7" ht="19.5" x14ac:dyDescent="0.3">
      <c r="B351" s="9"/>
      <c r="C351" s="9"/>
      <c r="D351" s="9"/>
      <c r="E351" s="9"/>
      <c r="F351" s="9"/>
      <c r="G351" s="9"/>
    </row>
    <row r="352" spans="2:7" ht="19.5" x14ac:dyDescent="0.3">
      <c r="B352" s="9"/>
      <c r="C352" s="9"/>
      <c r="D352" s="9"/>
      <c r="E352" s="9"/>
      <c r="F352" s="9"/>
      <c r="G352" s="9"/>
    </row>
    <row r="353" spans="2:7" ht="19.5" x14ac:dyDescent="0.3">
      <c r="B353" s="9"/>
      <c r="C353" s="9"/>
      <c r="D353" s="9"/>
      <c r="E353" s="9"/>
      <c r="F353" s="9"/>
      <c r="G353" s="9"/>
    </row>
    <row r="354" spans="2:7" ht="19.5" x14ac:dyDescent="0.3">
      <c r="B354" s="9"/>
      <c r="C354" s="9"/>
      <c r="D354" s="9"/>
      <c r="E354" s="9"/>
      <c r="F354" s="9"/>
      <c r="G354" s="9"/>
    </row>
    <row r="355" spans="2:7" ht="19.5" x14ac:dyDescent="0.3">
      <c r="B355" s="9"/>
      <c r="C355" s="9"/>
      <c r="D355" s="9"/>
      <c r="E355" s="9"/>
      <c r="F355" s="9"/>
      <c r="G355" s="9"/>
    </row>
    <row r="356" spans="2:7" ht="19.5" x14ac:dyDescent="0.3">
      <c r="B356" s="9"/>
      <c r="C356" s="9"/>
      <c r="D356" s="9"/>
      <c r="E356" s="9"/>
      <c r="F356" s="9"/>
      <c r="G356" s="9"/>
    </row>
    <row r="357" spans="2:7" ht="19.5" x14ac:dyDescent="0.3">
      <c r="B357" s="9"/>
      <c r="C357" s="9"/>
      <c r="D357" s="9"/>
      <c r="E357" s="9"/>
      <c r="F357" s="9"/>
      <c r="G357" s="9"/>
    </row>
    <row r="358" spans="2:7" ht="19.5" x14ac:dyDescent="0.3">
      <c r="B358" s="9"/>
      <c r="C358" s="9"/>
      <c r="D358" s="9"/>
      <c r="E358" s="9"/>
      <c r="F358" s="9"/>
      <c r="G358" s="9"/>
    </row>
    <row r="359" spans="2:7" ht="19.5" x14ac:dyDescent="0.3">
      <c r="B359" s="9"/>
      <c r="C359" s="9"/>
      <c r="D359" s="9"/>
      <c r="E359" s="9"/>
      <c r="F359" s="9"/>
      <c r="G359" s="9"/>
    </row>
    <row r="360" spans="2:7" ht="19.5" x14ac:dyDescent="0.3">
      <c r="B360" s="9"/>
      <c r="C360" s="9"/>
      <c r="D360" s="9"/>
      <c r="E360" s="9"/>
      <c r="F360" s="9"/>
      <c r="G360" s="9"/>
    </row>
    <row r="361" spans="2:7" ht="19.5" x14ac:dyDescent="0.3">
      <c r="B361" s="9"/>
      <c r="C361" s="9"/>
      <c r="D361" s="9"/>
      <c r="E361" s="9"/>
      <c r="F361" s="9"/>
      <c r="G361" s="9"/>
    </row>
    <row r="362" spans="2:7" ht="19.5" x14ac:dyDescent="0.3">
      <c r="B362" s="9"/>
      <c r="C362" s="9"/>
      <c r="D362" s="9"/>
      <c r="E362" s="9"/>
      <c r="F362" s="9"/>
      <c r="G362" s="9"/>
    </row>
    <row r="363" spans="2:7" ht="19.5" x14ac:dyDescent="0.3">
      <c r="B363" s="9"/>
      <c r="C363" s="9"/>
      <c r="D363" s="9"/>
      <c r="E363" s="9"/>
      <c r="F363" s="9"/>
      <c r="G363" s="9"/>
    </row>
    <row r="364" spans="2:7" ht="19.5" x14ac:dyDescent="0.3">
      <c r="B364" s="9"/>
      <c r="C364" s="9"/>
      <c r="D364" s="9"/>
      <c r="E364" s="9"/>
      <c r="F364" s="9"/>
      <c r="G364" s="9"/>
    </row>
    <row r="365" spans="2:7" ht="19.5" x14ac:dyDescent="0.3">
      <c r="B365" s="9"/>
      <c r="C365" s="9"/>
      <c r="D365" s="9"/>
      <c r="E365" s="9"/>
      <c r="F365" s="9"/>
      <c r="G365" s="9"/>
    </row>
    <row r="366" spans="2:7" ht="19.5" x14ac:dyDescent="0.3">
      <c r="B366" s="9"/>
      <c r="C366" s="9"/>
      <c r="D366" s="9"/>
      <c r="E366" s="9"/>
      <c r="F366" s="9"/>
      <c r="G366" s="9"/>
    </row>
    <row r="367" spans="2:7" ht="19.5" x14ac:dyDescent="0.3">
      <c r="B367" s="9"/>
      <c r="C367" s="9"/>
      <c r="D367" s="9"/>
      <c r="E367" s="9"/>
      <c r="F367" s="9"/>
      <c r="G367" s="9"/>
    </row>
    <row r="368" spans="2:7" ht="19.5" x14ac:dyDescent="0.3">
      <c r="B368" s="9"/>
      <c r="C368" s="9"/>
      <c r="D368" s="9"/>
      <c r="E368" s="9"/>
      <c r="F368" s="9"/>
      <c r="G368" s="9"/>
    </row>
    <row r="369" spans="2:7" ht="19.5" x14ac:dyDescent="0.3">
      <c r="B369" s="9"/>
      <c r="C369" s="9"/>
      <c r="D369" s="9"/>
      <c r="E369" s="9"/>
      <c r="F369" s="9"/>
      <c r="G369" s="9"/>
    </row>
    <row r="370" spans="2:7" ht="19.5" x14ac:dyDescent="0.3">
      <c r="B370" s="9"/>
      <c r="C370" s="9"/>
      <c r="D370" s="9"/>
      <c r="E370" s="9"/>
      <c r="F370" s="9"/>
      <c r="G370" s="9"/>
    </row>
    <row r="371" spans="2:7" ht="19.5" x14ac:dyDescent="0.3">
      <c r="B371" s="9"/>
      <c r="C371" s="9"/>
      <c r="D371" s="9"/>
      <c r="E371" s="9"/>
      <c r="F371" s="9"/>
      <c r="G371" s="9"/>
    </row>
    <row r="372" spans="2:7" ht="19.5" x14ac:dyDescent="0.3">
      <c r="B372" s="9"/>
      <c r="C372" s="9"/>
      <c r="D372" s="9"/>
      <c r="E372" s="9"/>
      <c r="F372" s="9"/>
      <c r="G372" s="9"/>
    </row>
    <row r="373" spans="2:7" ht="19.5" x14ac:dyDescent="0.3">
      <c r="B373" s="9"/>
      <c r="C373" s="9"/>
      <c r="D373" s="9"/>
      <c r="E373" s="9"/>
      <c r="F373" s="9"/>
      <c r="G373" s="9"/>
    </row>
    <row r="374" spans="2:7" ht="19.5" x14ac:dyDescent="0.3">
      <c r="B374" s="9"/>
      <c r="C374" s="9"/>
      <c r="D374" s="9"/>
      <c r="E374" s="9"/>
      <c r="F374" s="9"/>
      <c r="G374" s="9"/>
    </row>
    <row r="375" spans="2:7" ht="19.5" x14ac:dyDescent="0.3">
      <c r="B375" s="9"/>
      <c r="C375" s="9"/>
      <c r="D375" s="9"/>
      <c r="E375" s="9"/>
      <c r="F375" s="9"/>
      <c r="G375" s="9"/>
    </row>
    <row r="376" spans="2:7" ht="19.5" x14ac:dyDescent="0.3">
      <c r="B376" s="9"/>
      <c r="C376" s="9"/>
      <c r="D376" s="9"/>
      <c r="E376" s="9"/>
      <c r="F376" s="9"/>
      <c r="G376" s="9"/>
    </row>
    <row r="377" spans="2:7" ht="19.5" x14ac:dyDescent="0.3">
      <c r="B377" s="9"/>
      <c r="C377" s="9"/>
      <c r="D377" s="9"/>
      <c r="E377" s="9"/>
      <c r="F377" s="9"/>
      <c r="G377" s="9"/>
    </row>
    <row r="378" spans="2:7" ht="19.5" x14ac:dyDescent="0.3">
      <c r="B378" s="9"/>
      <c r="C378" s="9"/>
      <c r="D378" s="9"/>
      <c r="E378" s="9"/>
      <c r="F378" s="9"/>
      <c r="G378" s="9"/>
    </row>
    <row r="379" spans="2:7" ht="19.5" x14ac:dyDescent="0.3">
      <c r="B379" s="9"/>
      <c r="C379" s="9"/>
      <c r="D379" s="9"/>
      <c r="E379" s="9"/>
      <c r="F379" s="9"/>
      <c r="G379" s="9"/>
    </row>
    <row r="380" spans="2:7" ht="19.5" x14ac:dyDescent="0.3">
      <c r="B380" s="9"/>
      <c r="C380" s="9"/>
      <c r="D380" s="9"/>
      <c r="E380" s="9"/>
      <c r="F380" s="9"/>
      <c r="G380" s="9"/>
    </row>
    <row r="381" spans="2:7" ht="19.5" x14ac:dyDescent="0.3">
      <c r="B381" s="9"/>
      <c r="C381" s="9"/>
      <c r="D381" s="9"/>
      <c r="E381" s="9"/>
      <c r="F381" s="9"/>
      <c r="G381" s="9"/>
    </row>
    <row r="382" spans="2:7" ht="19.5" x14ac:dyDescent="0.3">
      <c r="B382" s="9"/>
      <c r="C382" s="9"/>
      <c r="D382" s="9"/>
      <c r="E382" s="9"/>
      <c r="F382" s="9"/>
      <c r="G382" s="9"/>
    </row>
    <row r="383" spans="2:7" ht="19.5" x14ac:dyDescent="0.3">
      <c r="B383" s="9"/>
      <c r="C383" s="9"/>
      <c r="D383" s="9"/>
      <c r="E383" s="9"/>
      <c r="F383" s="9"/>
      <c r="G383" s="9"/>
    </row>
    <row r="384" spans="2:7" ht="19.5" x14ac:dyDescent="0.3">
      <c r="B384" s="9"/>
      <c r="C384" s="9"/>
      <c r="D384" s="9"/>
      <c r="E384" s="9"/>
      <c r="F384" s="9"/>
      <c r="G384" s="9"/>
    </row>
    <row r="385" spans="2:7" ht="19.5" x14ac:dyDescent="0.3">
      <c r="B385" s="9"/>
      <c r="C385" s="9"/>
      <c r="D385" s="9"/>
      <c r="E385" s="9"/>
      <c r="F385" s="9"/>
      <c r="G385" s="9"/>
    </row>
    <row r="386" spans="2:7" ht="19.5" x14ac:dyDescent="0.3">
      <c r="B386" s="9"/>
      <c r="C386" s="9"/>
      <c r="D386" s="9"/>
      <c r="E386" s="9"/>
      <c r="F386" s="9"/>
      <c r="G386" s="9"/>
    </row>
    <row r="387" spans="2:7" ht="19.5" x14ac:dyDescent="0.3">
      <c r="B387" s="9"/>
      <c r="C387" s="9"/>
      <c r="D387" s="9"/>
      <c r="E387" s="9"/>
      <c r="F387" s="9"/>
      <c r="G387" s="9"/>
    </row>
    <row r="388" spans="2:7" ht="19.5" x14ac:dyDescent="0.3">
      <c r="B388" s="9"/>
      <c r="C388" s="9"/>
      <c r="D388" s="9"/>
      <c r="E388" s="9"/>
      <c r="F388" s="9"/>
      <c r="G388" s="9"/>
    </row>
    <row r="389" spans="2:7" ht="19.5" x14ac:dyDescent="0.3">
      <c r="B389" s="9"/>
      <c r="C389" s="9"/>
      <c r="D389" s="9"/>
      <c r="E389" s="9"/>
      <c r="F389" s="9"/>
      <c r="G389" s="9"/>
    </row>
    <row r="390" spans="2:7" ht="19.5" x14ac:dyDescent="0.3">
      <c r="B390" s="9"/>
      <c r="C390" s="9"/>
      <c r="D390" s="9"/>
      <c r="E390" s="9"/>
      <c r="F390" s="9"/>
      <c r="G390" s="9"/>
    </row>
    <row r="391" spans="2:7" ht="19.5" x14ac:dyDescent="0.3">
      <c r="B391" s="9"/>
      <c r="C391" s="9"/>
      <c r="D391" s="9"/>
      <c r="E391" s="9"/>
      <c r="F391" s="9"/>
      <c r="G391" s="9"/>
    </row>
    <row r="392" spans="2:7" ht="19.5" x14ac:dyDescent="0.3">
      <c r="B392" s="9"/>
      <c r="C392" s="9"/>
      <c r="D392" s="9"/>
      <c r="E392" s="9"/>
      <c r="F392" s="9"/>
      <c r="G392" s="9"/>
    </row>
    <row r="393" spans="2:7" ht="19.5" x14ac:dyDescent="0.3">
      <c r="B393" s="9"/>
      <c r="C393" s="9"/>
      <c r="D393" s="9"/>
      <c r="E393" s="9"/>
      <c r="F393" s="9"/>
      <c r="G393" s="9"/>
    </row>
    <row r="394" spans="2:7" ht="19.5" x14ac:dyDescent="0.3">
      <c r="B394" s="9"/>
      <c r="C394" s="9"/>
      <c r="D394" s="9"/>
      <c r="E394" s="9"/>
      <c r="F394" s="9"/>
      <c r="G394" s="9"/>
    </row>
    <row r="395" spans="2:7" ht="19.5" x14ac:dyDescent="0.3">
      <c r="B395" s="9"/>
      <c r="C395" s="9"/>
      <c r="D395" s="9"/>
      <c r="E395" s="9"/>
      <c r="F395" s="9"/>
      <c r="G395" s="9"/>
    </row>
    <row r="396" spans="2:7" ht="19.5" x14ac:dyDescent="0.3">
      <c r="B396" s="9"/>
      <c r="C396" s="9"/>
      <c r="D396" s="9"/>
      <c r="E396" s="9"/>
      <c r="F396" s="9"/>
      <c r="G396" s="9"/>
    </row>
    <row r="397" spans="2:7" ht="19.5" x14ac:dyDescent="0.3">
      <c r="B397" s="9"/>
      <c r="C397" s="9"/>
      <c r="D397" s="9"/>
      <c r="E397" s="9"/>
      <c r="F397" s="9"/>
      <c r="G397" s="9"/>
    </row>
    <row r="398" spans="2:7" ht="19.5" x14ac:dyDescent="0.3">
      <c r="B398" s="9"/>
      <c r="C398" s="9"/>
      <c r="D398" s="9"/>
      <c r="E398" s="9"/>
      <c r="F398" s="9"/>
      <c r="G398" s="9"/>
    </row>
    <row r="399" spans="2:7" ht="19.5" x14ac:dyDescent="0.3">
      <c r="B399" s="9"/>
      <c r="C399" s="9"/>
      <c r="D399" s="9"/>
      <c r="E399" s="9"/>
      <c r="F399" s="9"/>
      <c r="G399" s="9"/>
    </row>
    <row r="400" spans="2:7" ht="19.5" x14ac:dyDescent="0.3">
      <c r="B400" s="9"/>
      <c r="C400" s="9"/>
      <c r="D400" s="9"/>
      <c r="E400" s="9"/>
      <c r="F400" s="9"/>
      <c r="G400" s="9"/>
    </row>
    <row r="401" spans="2:7" ht="19.5" x14ac:dyDescent="0.3">
      <c r="B401" s="9"/>
      <c r="C401" s="9"/>
      <c r="D401" s="9"/>
      <c r="E401" s="9"/>
      <c r="F401" s="9"/>
      <c r="G401" s="9"/>
    </row>
    <row r="402" spans="2:7" ht="19.5" x14ac:dyDescent="0.3">
      <c r="B402" s="9"/>
      <c r="C402" s="9"/>
      <c r="D402" s="9"/>
      <c r="E402" s="9"/>
      <c r="F402" s="9"/>
      <c r="G402" s="9"/>
    </row>
    <row r="403" spans="2:7" ht="19.5" x14ac:dyDescent="0.3">
      <c r="B403" s="9"/>
      <c r="C403" s="9"/>
      <c r="D403" s="9"/>
      <c r="E403" s="9"/>
      <c r="F403" s="9"/>
      <c r="G403" s="9"/>
    </row>
    <row r="404" spans="2:7" ht="19.5" x14ac:dyDescent="0.3">
      <c r="B404" s="9"/>
      <c r="C404" s="9"/>
      <c r="D404" s="9"/>
      <c r="E404" s="9"/>
      <c r="F404" s="9"/>
      <c r="G404" s="9"/>
    </row>
    <row r="405" spans="2:7" ht="19.5" x14ac:dyDescent="0.3">
      <c r="B405" s="9"/>
      <c r="C405" s="9"/>
      <c r="D405" s="9"/>
      <c r="E405" s="9"/>
      <c r="F405" s="9"/>
      <c r="G405" s="9"/>
    </row>
    <row r="406" spans="2:7" ht="19.5" x14ac:dyDescent="0.3">
      <c r="B406" s="9"/>
      <c r="C406" s="9"/>
      <c r="D406" s="9"/>
      <c r="E406" s="9"/>
      <c r="F406" s="9"/>
      <c r="G406" s="9"/>
    </row>
    <row r="407" spans="2:7" ht="19.5" x14ac:dyDescent="0.3">
      <c r="B407" s="9"/>
      <c r="C407" s="9"/>
      <c r="D407" s="9"/>
      <c r="E407" s="9"/>
      <c r="F407" s="9"/>
      <c r="G407" s="9"/>
    </row>
    <row r="408" spans="2:7" ht="19.5" x14ac:dyDescent="0.3">
      <c r="B408" s="9"/>
      <c r="C408" s="9"/>
      <c r="D408" s="9"/>
      <c r="E408" s="9"/>
      <c r="F408" s="9"/>
      <c r="G408" s="9"/>
    </row>
    <row r="409" spans="2:7" ht="19.5" x14ac:dyDescent="0.3">
      <c r="B409" s="9"/>
      <c r="C409" s="9"/>
      <c r="D409" s="9"/>
      <c r="E409" s="9"/>
      <c r="F409" s="9"/>
      <c r="G409" s="9"/>
    </row>
    <row r="410" spans="2:7" ht="19.5" x14ac:dyDescent="0.3">
      <c r="B410" s="9"/>
      <c r="C410" s="9"/>
      <c r="D410" s="9"/>
      <c r="E410" s="9"/>
      <c r="F410" s="9"/>
      <c r="G410" s="9"/>
    </row>
    <row r="411" spans="2:7" ht="19.5" x14ac:dyDescent="0.3">
      <c r="B411" s="9"/>
      <c r="C411" s="9"/>
      <c r="D411" s="9"/>
      <c r="E411" s="9"/>
      <c r="F411" s="9"/>
      <c r="G411" s="9"/>
    </row>
    <row r="412" spans="2:7" ht="19.5" x14ac:dyDescent="0.3">
      <c r="B412" s="9"/>
      <c r="C412" s="9"/>
      <c r="D412" s="9"/>
      <c r="E412" s="9"/>
      <c r="F412" s="9"/>
      <c r="G412" s="9"/>
    </row>
    <row r="413" spans="2:7" ht="19.5" x14ac:dyDescent="0.3">
      <c r="B413" s="9"/>
      <c r="C413" s="9"/>
      <c r="D413" s="9"/>
      <c r="E413" s="9"/>
      <c r="F413" s="9"/>
      <c r="G413" s="9"/>
    </row>
    <row r="414" spans="2:7" ht="19.5" x14ac:dyDescent="0.3">
      <c r="B414" s="9"/>
      <c r="C414" s="9"/>
      <c r="D414" s="9"/>
      <c r="E414" s="9"/>
      <c r="F414" s="9"/>
      <c r="G414" s="9"/>
    </row>
    <row r="415" spans="2:7" ht="19.5" x14ac:dyDescent="0.3">
      <c r="B415" s="9"/>
      <c r="C415" s="9"/>
      <c r="D415" s="9"/>
      <c r="E415" s="9"/>
      <c r="F415" s="9"/>
      <c r="G415" s="9"/>
    </row>
    <row r="416" spans="2:7" ht="19.5" x14ac:dyDescent="0.3">
      <c r="B416" s="9"/>
      <c r="C416" s="9"/>
      <c r="D416" s="9"/>
      <c r="E416" s="9"/>
      <c r="F416" s="9"/>
      <c r="G416" s="9"/>
    </row>
    <row r="417" spans="2:7" ht="19.5" x14ac:dyDescent="0.3">
      <c r="B417" s="9"/>
      <c r="C417" s="9"/>
      <c r="D417" s="9"/>
      <c r="E417" s="9"/>
      <c r="F417" s="9"/>
      <c r="G417" s="9"/>
    </row>
    <row r="418" spans="2:7" ht="19.5" x14ac:dyDescent="0.3">
      <c r="B418" s="9"/>
      <c r="C418" s="9"/>
      <c r="D418" s="9"/>
      <c r="E418" s="9"/>
      <c r="F418" s="9"/>
      <c r="G418" s="9"/>
    </row>
    <row r="419" spans="2:7" ht="19.5" x14ac:dyDescent="0.3">
      <c r="B419" s="9"/>
      <c r="C419" s="9"/>
      <c r="D419" s="9"/>
      <c r="E419" s="9"/>
      <c r="F419" s="9"/>
      <c r="G419" s="9"/>
    </row>
    <row r="420" spans="2:7" ht="19.5" x14ac:dyDescent="0.3">
      <c r="B420" s="9"/>
      <c r="C420" s="9"/>
      <c r="D420" s="9"/>
      <c r="E420" s="9"/>
      <c r="F420" s="9"/>
      <c r="G420" s="9"/>
    </row>
    <row r="421" spans="2:7" ht="19.5" x14ac:dyDescent="0.3">
      <c r="B421" s="9"/>
      <c r="C421" s="9"/>
      <c r="D421" s="9"/>
      <c r="E421" s="9"/>
      <c r="F421" s="9"/>
      <c r="G421" s="9"/>
    </row>
    <row r="422" spans="2:7" ht="19.5" x14ac:dyDescent="0.3">
      <c r="B422" s="9"/>
      <c r="C422" s="9"/>
      <c r="D422" s="9"/>
      <c r="E422" s="9"/>
      <c r="F422" s="9"/>
      <c r="G422" s="9"/>
    </row>
    <row r="423" spans="2:7" ht="19.5" x14ac:dyDescent="0.3">
      <c r="B423" s="9"/>
      <c r="C423" s="9"/>
      <c r="D423" s="9"/>
      <c r="E423" s="9"/>
      <c r="F423" s="9"/>
      <c r="G423" s="9"/>
    </row>
    <row r="424" spans="2:7" ht="19.5" x14ac:dyDescent="0.3">
      <c r="B424" s="9"/>
      <c r="C424" s="9"/>
      <c r="D424" s="9"/>
      <c r="E424" s="9"/>
      <c r="F424" s="9"/>
      <c r="G424" s="9"/>
    </row>
    <row r="425" spans="2:7" ht="19.5" x14ac:dyDescent="0.3">
      <c r="B425" s="9"/>
      <c r="C425" s="9"/>
      <c r="D425" s="9"/>
      <c r="E425" s="9"/>
      <c r="F425" s="9"/>
      <c r="G425" s="9"/>
    </row>
    <row r="426" spans="2:7" ht="19.5" x14ac:dyDescent="0.3">
      <c r="B426" s="9"/>
      <c r="C426" s="9"/>
      <c r="D426" s="9"/>
      <c r="E426" s="9"/>
      <c r="F426" s="9"/>
      <c r="G426" s="9"/>
    </row>
    <row r="427" spans="2:7" ht="19.5" x14ac:dyDescent="0.3">
      <c r="B427" s="9"/>
      <c r="C427" s="9"/>
      <c r="D427" s="9"/>
      <c r="E427" s="9"/>
      <c r="F427" s="9"/>
      <c r="G427" s="9"/>
    </row>
    <row r="428" spans="2:7" ht="19.5" x14ac:dyDescent="0.3">
      <c r="B428" s="9"/>
      <c r="C428" s="9"/>
      <c r="D428" s="9"/>
      <c r="E428" s="9"/>
      <c r="F428" s="9"/>
      <c r="G428" s="9"/>
    </row>
    <row r="429" spans="2:7" ht="19.5" x14ac:dyDescent="0.3">
      <c r="B429" s="9"/>
      <c r="C429" s="9"/>
      <c r="D429" s="9"/>
      <c r="E429" s="9"/>
      <c r="F429" s="9"/>
      <c r="G429" s="9"/>
    </row>
    <row r="430" spans="2:7" ht="19.5" x14ac:dyDescent="0.3">
      <c r="B430" s="9"/>
      <c r="C430" s="9"/>
      <c r="D430" s="9"/>
      <c r="E430" s="9"/>
      <c r="F430" s="9"/>
      <c r="G430" s="9"/>
    </row>
    <row r="431" spans="2:7" ht="19.5" x14ac:dyDescent="0.3">
      <c r="B431" s="9"/>
      <c r="C431" s="9"/>
      <c r="D431" s="9"/>
      <c r="E431" s="9"/>
      <c r="F431" s="9"/>
      <c r="G431" s="9"/>
    </row>
    <row r="432" spans="2:7" ht="19.5" x14ac:dyDescent="0.3">
      <c r="B432" s="9"/>
      <c r="C432" s="9"/>
      <c r="D432" s="9"/>
      <c r="E432" s="9"/>
      <c r="F432" s="9"/>
      <c r="G432" s="9"/>
    </row>
    <row r="433" spans="2:7" ht="19.5" x14ac:dyDescent="0.3">
      <c r="B433" s="9"/>
      <c r="C433" s="9"/>
      <c r="D433" s="9"/>
      <c r="E433" s="9"/>
      <c r="F433" s="9"/>
      <c r="G433" s="9"/>
    </row>
    <row r="434" spans="2:7" ht="19.5" x14ac:dyDescent="0.3">
      <c r="B434" s="9"/>
      <c r="C434" s="9"/>
      <c r="D434" s="9"/>
      <c r="E434" s="9"/>
      <c r="F434" s="9"/>
      <c r="G434" s="9"/>
    </row>
    <row r="435" spans="2:7" ht="19.5" x14ac:dyDescent="0.3">
      <c r="B435" s="9"/>
      <c r="C435" s="9"/>
      <c r="D435" s="9"/>
      <c r="E435" s="9"/>
      <c r="F435" s="9"/>
      <c r="G435" s="9"/>
    </row>
    <row r="436" spans="2:7" ht="19.5" x14ac:dyDescent="0.3">
      <c r="B436" s="9"/>
      <c r="C436" s="9"/>
      <c r="D436" s="9"/>
      <c r="E436" s="9"/>
      <c r="F436" s="9"/>
      <c r="G436" s="9"/>
    </row>
    <row r="437" spans="2:7" ht="19.5" x14ac:dyDescent="0.3">
      <c r="B437" s="9"/>
      <c r="C437" s="9"/>
      <c r="D437" s="9"/>
      <c r="E437" s="9"/>
      <c r="F437" s="9"/>
      <c r="G437" s="9"/>
    </row>
    <row r="438" spans="2:7" ht="19.5" x14ac:dyDescent="0.3">
      <c r="B438" s="9"/>
      <c r="C438" s="9"/>
      <c r="D438" s="9"/>
      <c r="E438" s="9"/>
      <c r="F438" s="9"/>
      <c r="G438" s="9"/>
    </row>
    <row r="439" spans="2:7" ht="19.5" x14ac:dyDescent="0.3">
      <c r="B439" s="9"/>
      <c r="C439" s="9"/>
      <c r="D439" s="9"/>
      <c r="E439" s="9"/>
      <c r="F439" s="9"/>
      <c r="G439" s="9"/>
    </row>
    <row r="440" spans="2:7" ht="19.5" x14ac:dyDescent="0.3">
      <c r="B440" s="9"/>
      <c r="C440" s="9"/>
      <c r="D440" s="9"/>
      <c r="E440" s="9"/>
      <c r="F440" s="9"/>
      <c r="G440" s="9"/>
    </row>
    <row r="441" spans="2:7" ht="19.5" x14ac:dyDescent="0.3">
      <c r="B441" s="9"/>
      <c r="C441" s="9"/>
      <c r="D441" s="9"/>
      <c r="E441" s="9"/>
      <c r="F441" s="9"/>
      <c r="G441" s="9"/>
    </row>
    <row r="442" spans="2:7" ht="19.5" x14ac:dyDescent="0.3">
      <c r="B442" s="9"/>
      <c r="C442" s="9"/>
      <c r="D442" s="9"/>
      <c r="E442" s="9"/>
      <c r="F442" s="9"/>
      <c r="G442" s="9"/>
    </row>
    <row r="443" spans="2:7" ht="19.5" x14ac:dyDescent="0.3">
      <c r="B443" s="9"/>
      <c r="C443" s="9"/>
      <c r="D443" s="9"/>
      <c r="E443" s="9"/>
      <c r="F443" s="9"/>
      <c r="G443" s="9"/>
    </row>
    <row r="444" spans="2:7" ht="19.5" x14ac:dyDescent="0.3">
      <c r="B444" s="9"/>
      <c r="C444" s="9"/>
      <c r="D444" s="9"/>
      <c r="E444" s="9"/>
      <c r="F444" s="9"/>
      <c r="G444" s="9"/>
    </row>
    <row r="445" spans="2:7" ht="19.5" x14ac:dyDescent="0.3">
      <c r="B445" s="9"/>
      <c r="C445" s="9"/>
      <c r="D445" s="9"/>
      <c r="E445" s="9"/>
      <c r="F445" s="9"/>
      <c r="G445" s="9"/>
    </row>
    <row r="446" spans="2:7" ht="19.5" x14ac:dyDescent="0.3">
      <c r="B446" s="9"/>
      <c r="C446" s="9"/>
      <c r="D446" s="9"/>
      <c r="E446" s="9"/>
      <c r="F446" s="9"/>
      <c r="G446" s="9"/>
    </row>
    <row r="447" spans="2:7" ht="19.5" x14ac:dyDescent="0.3">
      <c r="B447" s="9"/>
      <c r="C447" s="9"/>
      <c r="D447" s="9"/>
      <c r="E447" s="9"/>
      <c r="F447" s="9"/>
      <c r="G447" s="9"/>
    </row>
    <row r="448" spans="2:7" ht="19.5" x14ac:dyDescent="0.3">
      <c r="B448" s="9"/>
      <c r="C448" s="9"/>
      <c r="D448" s="9"/>
      <c r="E448" s="9"/>
      <c r="F448" s="9"/>
      <c r="G448" s="9"/>
    </row>
    <row r="449" spans="2:7" ht="19.5" x14ac:dyDescent="0.3">
      <c r="B449" s="9"/>
      <c r="C449" s="9"/>
      <c r="D449" s="9"/>
      <c r="E449" s="9"/>
      <c r="F449" s="9"/>
      <c r="G449" s="9"/>
    </row>
    <row r="450" spans="2:7" ht="19.5" x14ac:dyDescent="0.3">
      <c r="B450" s="9"/>
      <c r="C450" s="9"/>
      <c r="D450" s="9"/>
      <c r="E450" s="9"/>
      <c r="F450" s="9"/>
      <c r="G450" s="9"/>
    </row>
    <row r="451" spans="2:7" ht="19.5" x14ac:dyDescent="0.3">
      <c r="B451" s="9"/>
      <c r="C451" s="9"/>
      <c r="D451" s="9"/>
      <c r="E451" s="9"/>
      <c r="F451" s="9"/>
      <c r="G451" s="9"/>
    </row>
    <row r="452" spans="2:7" ht="19.5" x14ac:dyDescent="0.3">
      <c r="B452" s="9"/>
      <c r="C452" s="9"/>
      <c r="D452" s="9"/>
      <c r="E452" s="9"/>
      <c r="F452" s="9"/>
      <c r="G452" s="9"/>
    </row>
    <row r="453" spans="2:7" ht="19.5" x14ac:dyDescent="0.3">
      <c r="B453" s="9"/>
      <c r="C453" s="9"/>
      <c r="D453" s="9"/>
      <c r="E453" s="9"/>
      <c r="F453" s="9"/>
      <c r="G453" s="9"/>
    </row>
    <row r="454" spans="2:7" ht="19.5" x14ac:dyDescent="0.3">
      <c r="B454" s="9"/>
      <c r="C454" s="9"/>
      <c r="D454" s="9"/>
      <c r="E454" s="9"/>
      <c r="F454" s="9"/>
      <c r="G454" s="9"/>
    </row>
    <row r="455" spans="2:7" ht="19.5" x14ac:dyDescent="0.3">
      <c r="B455" s="9"/>
      <c r="C455" s="9"/>
      <c r="D455" s="9"/>
      <c r="E455" s="9"/>
      <c r="F455" s="9"/>
      <c r="G455" s="9"/>
    </row>
    <row r="456" spans="2:7" ht="19.5" x14ac:dyDescent="0.3">
      <c r="B456" s="9"/>
      <c r="C456" s="9"/>
      <c r="D456" s="9"/>
      <c r="E456" s="9"/>
      <c r="F456" s="9"/>
      <c r="G456" s="9"/>
    </row>
    <row r="457" spans="2:7" ht="19.5" x14ac:dyDescent="0.3">
      <c r="B457" s="9"/>
      <c r="C457" s="9"/>
      <c r="D457" s="9"/>
      <c r="E457" s="9"/>
      <c r="F457" s="9"/>
      <c r="G457" s="9"/>
    </row>
    <row r="458" spans="2:7" ht="19.5" x14ac:dyDescent="0.3">
      <c r="B458" s="9"/>
      <c r="C458" s="9"/>
      <c r="D458" s="9"/>
      <c r="E458" s="9"/>
      <c r="F458" s="9"/>
      <c r="G458" s="9"/>
    </row>
    <row r="459" spans="2:7" ht="19.5" x14ac:dyDescent="0.3">
      <c r="B459" s="9"/>
      <c r="C459" s="9"/>
      <c r="D459" s="9"/>
      <c r="E459" s="9"/>
      <c r="F459" s="9"/>
      <c r="G459" s="9"/>
    </row>
    <row r="460" spans="2:7" ht="19.5" x14ac:dyDescent="0.3">
      <c r="B460" s="9"/>
      <c r="C460" s="9"/>
      <c r="D460" s="9"/>
      <c r="E460" s="9"/>
      <c r="F460" s="9"/>
      <c r="G460" s="9"/>
    </row>
    <row r="461" spans="2:7" ht="19.5" x14ac:dyDescent="0.3">
      <c r="B461" s="9"/>
      <c r="C461" s="9"/>
      <c r="D461" s="9"/>
      <c r="E461" s="9"/>
      <c r="F461" s="9"/>
      <c r="G461" s="9"/>
    </row>
    <row r="462" spans="2:7" ht="19.5" x14ac:dyDescent="0.3">
      <c r="B462" s="9"/>
      <c r="C462" s="9"/>
      <c r="D462" s="9"/>
      <c r="E462" s="9"/>
      <c r="F462" s="9"/>
      <c r="G462" s="9"/>
    </row>
    <row r="463" spans="2:7" ht="19.5" x14ac:dyDescent="0.3">
      <c r="B463" s="9"/>
      <c r="C463" s="9"/>
      <c r="D463" s="9"/>
      <c r="E463" s="9"/>
      <c r="F463" s="9"/>
      <c r="G463" s="9"/>
    </row>
    <row r="464" spans="2:7" ht="19.5" x14ac:dyDescent="0.3">
      <c r="B464" s="9"/>
      <c r="C464" s="9"/>
      <c r="D464" s="9"/>
      <c r="E464" s="9"/>
      <c r="F464" s="9"/>
      <c r="G464" s="9"/>
    </row>
    <row r="465" spans="2:7" ht="19.5" x14ac:dyDescent="0.3">
      <c r="B465" s="9"/>
      <c r="C465" s="9"/>
      <c r="D465" s="9"/>
      <c r="E465" s="9"/>
      <c r="F465" s="9"/>
      <c r="G465" s="9"/>
    </row>
    <row r="466" spans="2:7" ht="19.5" x14ac:dyDescent="0.3">
      <c r="B466" s="9"/>
      <c r="C466" s="9"/>
      <c r="D466" s="9"/>
      <c r="E466" s="9"/>
      <c r="F466" s="9"/>
      <c r="G466" s="9"/>
    </row>
    <row r="467" spans="2:7" ht="19.5" x14ac:dyDescent="0.3">
      <c r="B467" s="9"/>
      <c r="C467" s="9"/>
      <c r="D467" s="9"/>
      <c r="E467" s="9"/>
      <c r="F467" s="9"/>
      <c r="G467" s="9"/>
    </row>
    <row r="468" spans="2:7" ht="19.5" x14ac:dyDescent="0.3">
      <c r="B468" s="9"/>
      <c r="C468" s="9"/>
      <c r="D468" s="9"/>
      <c r="E468" s="9"/>
      <c r="F468" s="9"/>
      <c r="G468" s="9"/>
    </row>
    <row r="469" spans="2:7" ht="19.5" x14ac:dyDescent="0.3">
      <c r="B469" s="9"/>
      <c r="C469" s="9"/>
      <c r="D469" s="9"/>
      <c r="E469" s="9"/>
      <c r="F469" s="9"/>
      <c r="G469" s="9"/>
    </row>
    <row r="470" spans="2:7" ht="19.5" x14ac:dyDescent="0.3">
      <c r="B470" s="9"/>
      <c r="C470" s="9"/>
      <c r="D470" s="9"/>
      <c r="E470" s="9"/>
      <c r="F470" s="9"/>
      <c r="G470" s="9"/>
    </row>
    <row r="471" spans="2:7" ht="19.5" x14ac:dyDescent="0.3">
      <c r="B471" s="9"/>
      <c r="C471" s="9"/>
      <c r="D471" s="9"/>
      <c r="E471" s="9"/>
      <c r="F471" s="9"/>
      <c r="G471" s="9"/>
    </row>
    <row r="472" spans="2:7" ht="19.5" x14ac:dyDescent="0.3">
      <c r="B472" s="9"/>
      <c r="C472" s="9"/>
      <c r="D472" s="9"/>
      <c r="E472" s="9"/>
      <c r="F472" s="9"/>
      <c r="G472" s="9"/>
    </row>
    <row r="473" spans="2:7" ht="19.5" x14ac:dyDescent="0.3">
      <c r="B473" s="9"/>
      <c r="C473" s="9"/>
      <c r="D473" s="9"/>
      <c r="E473" s="9"/>
      <c r="F473" s="9"/>
      <c r="G473" s="9"/>
    </row>
    <row r="474" spans="2:7" ht="19.5" x14ac:dyDescent="0.3">
      <c r="B474" s="9"/>
      <c r="C474" s="9"/>
      <c r="D474" s="9"/>
      <c r="E474" s="9"/>
      <c r="F474" s="9"/>
      <c r="G474" s="9"/>
    </row>
    <row r="475" spans="2:7" ht="19.5" x14ac:dyDescent="0.3">
      <c r="B475" s="9"/>
      <c r="C475" s="9"/>
      <c r="D475" s="9"/>
      <c r="E475" s="9"/>
      <c r="F475" s="9"/>
      <c r="G475" s="9"/>
    </row>
    <row r="476" spans="2:7" ht="19.5" x14ac:dyDescent="0.3">
      <c r="B476" s="9"/>
      <c r="C476" s="9"/>
      <c r="D476" s="9"/>
      <c r="E476" s="9"/>
      <c r="F476" s="9"/>
      <c r="G476" s="9"/>
    </row>
    <row r="477" spans="2:7" ht="19.5" x14ac:dyDescent="0.3">
      <c r="B477" s="9"/>
      <c r="C477" s="9"/>
      <c r="D477" s="9"/>
      <c r="E477" s="9"/>
      <c r="F477" s="9"/>
      <c r="G477" s="9"/>
    </row>
    <row r="478" spans="2:7" ht="19.5" x14ac:dyDescent="0.3">
      <c r="B478" s="9"/>
      <c r="C478" s="9"/>
      <c r="D478" s="9"/>
      <c r="E478" s="9"/>
      <c r="F478" s="9"/>
      <c r="G478" s="9"/>
    </row>
    <row r="479" spans="2:7" ht="19.5" x14ac:dyDescent="0.3">
      <c r="B479" s="9"/>
      <c r="C479" s="9"/>
      <c r="D479" s="9"/>
      <c r="E479" s="9"/>
      <c r="F479" s="9"/>
      <c r="G479" s="9"/>
    </row>
    <row r="480" spans="2:7" ht="19.5" x14ac:dyDescent="0.3">
      <c r="B480" s="9"/>
      <c r="C480" s="9"/>
      <c r="D480" s="9"/>
      <c r="E480" s="9"/>
      <c r="F480" s="9"/>
      <c r="G480" s="9"/>
    </row>
    <row r="481" spans="2:7" ht="19.5" x14ac:dyDescent="0.3">
      <c r="B481" s="9"/>
      <c r="C481" s="9"/>
      <c r="D481" s="9"/>
      <c r="E481" s="9"/>
      <c r="F481" s="9"/>
      <c r="G481" s="9"/>
    </row>
    <row r="482" spans="2:7" ht="19.5" x14ac:dyDescent="0.3">
      <c r="B482" s="9"/>
      <c r="C482" s="9"/>
      <c r="D482" s="9"/>
      <c r="E482" s="9"/>
      <c r="F482" s="9"/>
      <c r="G482" s="9"/>
    </row>
    <row r="483" spans="2:7" ht="19.5" x14ac:dyDescent="0.3">
      <c r="B483" s="9"/>
      <c r="C483" s="9"/>
      <c r="D483" s="9"/>
      <c r="E483" s="9"/>
      <c r="F483" s="9"/>
      <c r="G483" s="9"/>
    </row>
    <row r="484" spans="2:7" ht="19.5" x14ac:dyDescent="0.3">
      <c r="B484" s="9"/>
      <c r="C484" s="9"/>
      <c r="D484" s="9"/>
      <c r="E484" s="9"/>
      <c r="F484" s="9"/>
      <c r="G484" s="9"/>
    </row>
  </sheetData>
  <mergeCells count="49">
    <mergeCell ref="A70:A77"/>
    <mergeCell ref="F70:F71"/>
    <mergeCell ref="F73:F74"/>
    <mergeCell ref="F76:F77"/>
    <mergeCell ref="A79:A86"/>
    <mergeCell ref="F79:F80"/>
    <mergeCell ref="F82:F83"/>
    <mergeCell ref="F85:F86"/>
    <mergeCell ref="F49:F50"/>
    <mergeCell ref="F52:F53"/>
    <mergeCell ref="A46:A53"/>
    <mergeCell ref="A55:A59"/>
    <mergeCell ref="F55:F56"/>
    <mergeCell ref="F58:F59"/>
    <mergeCell ref="A61:A68"/>
    <mergeCell ref="F61:F62"/>
    <mergeCell ref="F64:F65"/>
    <mergeCell ref="F67:F68"/>
    <mergeCell ref="F37:F38"/>
    <mergeCell ref="F40:F41"/>
    <mergeCell ref="A37:A44"/>
    <mergeCell ref="F43:F44"/>
    <mergeCell ref="F46:F47"/>
    <mergeCell ref="F28:F29"/>
    <mergeCell ref="A25:A29"/>
    <mergeCell ref="F31:F32"/>
    <mergeCell ref="F34:F35"/>
    <mergeCell ref="A31:A35"/>
    <mergeCell ref="F16:F17"/>
    <mergeCell ref="F19:F20"/>
    <mergeCell ref="F22:F23"/>
    <mergeCell ref="A16:A23"/>
    <mergeCell ref="F25:F26"/>
    <mergeCell ref="C13:I13"/>
    <mergeCell ref="G8:I8"/>
    <mergeCell ref="C9:D9"/>
    <mergeCell ref="E9:F9"/>
    <mergeCell ref="G9:I9"/>
    <mergeCell ref="C10:D10"/>
    <mergeCell ref="E10:F11"/>
    <mergeCell ref="G10:I10"/>
    <mergeCell ref="C11:D11"/>
    <mergeCell ref="G11:I11"/>
    <mergeCell ref="B2:F3"/>
    <mergeCell ref="C4:D4"/>
    <mergeCell ref="C5:D5"/>
    <mergeCell ref="C6:D6"/>
    <mergeCell ref="C8:D8"/>
    <mergeCell ref="E8:F8"/>
  </mergeCells>
  <phoneticPr fontId="2" type="noConversion"/>
  <conditionalFormatting sqref="H16:J86">
    <cfRule type="cellIs" dxfId="2" priority="2" stopIfTrue="1" operator="equal">
      <formula>0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박래영</dc:creator>
  <cp:lastModifiedBy>박래영</cp:lastModifiedBy>
  <dcterms:created xsi:type="dcterms:W3CDTF">2025-11-11T05:35:09Z</dcterms:created>
  <dcterms:modified xsi:type="dcterms:W3CDTF">2026-08-12T01:36:56Z</dcterms:modified>
</cp:coreProperties>
</file>