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81.211\대진글라스1\영업팀\공사관리팀\년도별현장자료\영업\2026년현장\(현대L&amp;C)대우_산성역헤리스톤\발주\외주발주\외주발주3-1차분\"/>
    </mc:Choice>
  </mc:AlternateContent>
  <xr:revisionPtr revIDLastSave="0" documentId="13_ncr:1_{4206EC41-8CBA-4640-B55C-C73AA8BAC6A6}" xr6:coauthVersionLast="47" xr6:coauthVersionMax="47" xr10:uidLastSave="{00000000-0000-0000-0000-000000000000}"/>
  <bookViews>
    <workbookView xWindow="28680" yWindow="-120" windowWidth="29040" windowHeight="15720" activeTab="1" xr2:uid="{743364A7-A7EE-43B0-815C-9D140651DB94}"/>
  </bookViews>
  <sheets>
    <sheet name="골조도_발주" sheetId="42" r:id="rId1"/>
    <sheet name="발주요약" sheetId="10" r:id="rId2"/>
    <sheet name="대우산성역헤리스톤3BL 302동1~6층_글레이징" sheetId="43" r:id="rId3"/>
    <sheet name="대우산성역헤리스톤3BL 302동1~6층_알유리" sheetId="44" r:id="rId4"/>
    <sheet name="Sheet9" sheetId="9" state="hidden" r:id="rId5"/>
    <sheet name="토탈" sheetId="8" state="hidden" r:id="rId6"/>
  </sheets>
  <definedNames>
    <definedName name="_xlnm._FilterDatabase" localSheetId="5">토탈!$A$1:$U$25</definedName>
  </definedNames>
  <calcPr calcId="18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44" l="1"/>
  <c r="K12" i="44"/>
  <c r="K11" i="44"/>
  <c r="K10" i="44"/>
  <c r="K9" i="44"/>
  <c r="K8" i="44"/>
  <c r="K7" i="44"/>
  <c r="K6" i="44"/>
  <c r="K5" i="44"/>
  <c r="K4" i="44"/>
  <c r="K3" i="44"/>
  <c r="K2" i="44"/>
  <c r="D13" i="44"/>
  <c r="D12" i="44"/>
  <c r="D11" i="44"/>
  <c r="D10" i="44"/>
  <c r="D9" i="44"/>
  <c r="D8" i="44"/>
  <c r="D7" i="44"/>
  <c r="D6" i="44"/>
  <c r="D5" i="44"/>
  <c r="D4" i="44"/>
  <c r="D3" i="44"/>
  <c r="D2" i="44"/>
  <c r="K3" i="43"/>
  <c r="K4" i="43"/>
  <c r="K5" i="43"/>
  <c r="K6" i="43"/>
  <c r="K7" i="43"/>
  <c r="K8" i="43"/>
  <c r="K9" i="43"/>
  <c r="K10" i="43"/>
  <c r="K11" i="43"/>
  <c r="K12" i="43"/>
  <c r="K13" i="43"/>
  <c r="K14" i="43"/>
  <c r="K15" i="43"/>
  <c r="K16" i="43"/>
  <c r="K17" i="43"/>
  <c r="K18" i="43"/>
  <c r="K19" i="43"/>
  <c r="K20" i="43"/>
  <c r="K21" i="43"/>
  <c r="K22" i="43"/>
  <c r="K23" i="43"/>
  <c r="K24" i="43"/>
  <c r="K25" i="43"/>
  <c r="K26" i="43"/>
  <c r="K27" i="43"/>
  <c r="K28" i="43"/>
  <c r="K29" i="43"/>
  <c r="K30" i="43"/>
  <c r="K31" i="43"/>
  <c r="K32" i="43"/>
  <c r="K33" i="43"/>
  <c r="K34" i="43"/>
  <c r="K35" i="43"/>
  <c r="D3" i="43"/>
  <c r="D4" i="43"/>
  <c r="D5" i="43"/>
  <c r="D6" i="43"/>
  <c r="D7" i="43"/>
  <c r="D8" i="43"/>
  <c r="D9" i="43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25" i="43"/>
  <c r="D26" i="43"/>
  <c r="D27" i="43"/>
  <c r="D28" i="43"/>
  <c r="D29" i="43"/>
  <c r="D30" i="43"/>
  <c r="D31" i="43"/>
  <c r="D32" i="43"/>
  <c r="D33" i="43"/>
  <c r="D34" i="43"/>
  <c r="D35" i="43"/>
  <c r="D2" i="43"/>
  <c r="K2" i="43" s="1"/>
  <c r="E7" i="10"/>
  <c r="S41" i="42"/>
  <c r="C41" i="42"/>
  <c r="AN40" i="42"/>
  <c r="AM40" i="42"/>
  <c r="AM41" i="42" s="1"/>
  <c r="AK40" i="42"/>
  <c r="AS10" i="42" s="1"/>
  <c r="AJ40" i="42"/>
  <c r="AI40" i="42"/>
  <c r="AH40" i="42"/>
  <c r="AG40" i="42"/>
  <c r="AG41" i="42" s="1"/>
  <c r="AE40" i="42"/>
  <c r="AD40" i="42"/>
  <c r="AC40" i="42"/>
  <c r="AB40" i="42"/>
  <c r="AA40" i="42"/>
  <c r="AA41" i="42" s="1"/>
  <c r="Y40" i="42"/>
  <c r="X40" i="42"/>
  <c r="W40" i="42"/>
  <c r="V41" i="42" s="1"/>
  <c r="V40" i="42"/>
  <c r="T40" i="42"/>
  <c r="S40" i="42"/>
  <c r="Q40" i="42"/>
  <c r="P40" i="42"/>
  <c r="O40" i="42"/>
  <c r="N40" i="42"/>
  <c r="M40" i="42"/>
  <c r="M41" i="42" s="1"/>
  <c r="K40" i="42"/>
  <c r="J40" i="42"/>
  <c r="J41" i="42" s="1"/>
  <c r="H40" i="42"/>
  <c r="AS7" i="42" s="1"/>
  <c r="G40" i="42"/>
  <c r="AS8" i="42" s="1"/>
  <c r="F40" i="42"/>
  <c r="D40" i="42"/>
  <c r="C40" i="42"/>
  <c r="F6" i="10"/>
  <c r="F7" i="10" s="1"/>
  <c r="E6" i="10"/>
  <c r="F41" i="42" l="1"/>
  <c r="AS13" i="42"/>
  <c r="AS16" i="42" s="1"/>
  <c r="D3" i="8" l="1"/>
  <c r="D4" i="8"/>
  <c r="D5" i="8"/>
  <c r="D6" i="8"/>
  <c r="D7" i="8"/>
  <c r="D8" i="8"/>
  <c r="D9" i="8"/>
  <c r="D10" i="8"/>
  <c r="D11" i="8"/>
  <c r="D12" i="8"/>
  <c r="D13" i="8"/>
  <c r="L13" i="8" s="1"/>
  <c r="D14" i="8"/>
  <c r="D15" i="8"/>
  <c r="D16" i="8"/>
  <c r="D17" i="8"/>
  <c r="D18" i="8"/>
  <c r="D19" i="8"/>
  <c r="D20" i="8"/>
  <c r="D21" i="8"/>
  <c r="D22" i="8"/>
  <c r="D23" i="8"/>
  <c r="D24" i="8"/>
  <c r="D25" i="8"/>
  <c r="L25" i="8" s="1"/>
  <c r="D26" i="8"/>
  <c r="D27" i="8"/>
  <c r="D28" i="8"/>
  <c r="D29" i="8"/>
  <c r="D30" i="8"/>
  <c r="D31" i="8"/>
  <c r="D32" i="8"/>
  <c r="D33" i="8"/>
  <c r="D34" i="8"/>
  <c r="D35" i="8"/>
  <c r="D36" i="8"/>
  <c r="D37" i="8"/>
  <c r="L37" i="8" s="1"/>
  <c r="D38" i="8"/>
  <c r="D39" i="8"/>
  <c r="D40" i="8"/>
  <c r="D41" i="8"/>
  <c r="D42" i="8"/>
  <c r="D43" i="8"/>
  <c r="D44" i="8"/>
  <c r="D45" i="8"/>
  <c r="D46" i="8"/>
  <c r="D47" i="8"/>
  <c r="D48" i="8"/>
  <c r="D49" i="8"/>
  <c r="L49" i="8" s="1"/>
  <c r="D50" i="8"/>
  <c r="D51" i="8"/>
  <c r="D52" i="8"/>
  <c r="D53" i="8"/>
  <c r="D54" i="8"/>
  <c r="D55" i="8"/>
  <c r="D56" i="8"/>
  <c r="D57" i="8"/>
  <c r="D58" i="8"/>
  <c r="D59" i="8"/>
  <c r="D60" i="8"/>
  <c r="D61" i="8"/>
  <c r="K61" i="8" s="1"/>
  <c r="D62" i="8"/>
  <c r="D63" i="8"/>
  <c r="D64" i="8"/>
  <c r="D65" i="8"/>
  <c r="D66" i="8"/>
  <c r="D67" i="8"/>
  <c r="D68" i="8"/>
  <c r="D69" i="8"/>
  <c r="D70" i="8"/>
  <c r="D71" i="8"/>
  <c r="D72" i="8"/>
  <c r="L72" i="8" s="1"/>
  <c r="D73" i="8"/>
  <c r="L73" i="8" s="1"/>
  <c r="D74" i="8"/>
  <c r="D75" i="8"/>
  <c r="D76" i="8"/>
  <c r="D77" i="8"/>
  <c r="D78" i="8"/>
  <c r="D79" i="8"/>
  <c r="D80" i="8"/>
  <c r="D81" i="8"/>
  <c r="D82" i="8"/>
  <c r="D83" i="8"/>
  <c r="D84" i="8"/>
  <c r="L84" i="8" s="1"/>
  <c r="D85" i="8"/>
  <c r="L85" i="8" s="1"/>
  <c r="D86" i="8"/>
  <c r="L86" i="8" s="1"/>
  <c r="D87" i="8"/>
  <c r="D88" i="8"/>
  <c r="D89" i="8"/>
  <c r="D90" i="8"/>
  <c r="D91" i="8"/>
  <c r="D92" i="8"/>
  <c r="D93" i="8"/>
  <c r="D94" i="8"/>
  <c r="D95" i="8"/>
  <c r="D96" i="8"/>
  <c r="L96" i="8" s="1"/>
  <c r="D97" i="8"/>
  <c r="L97" i="8" s="1"/>
  <c r="D98" i="8"/>
  <c r="L98" i="8" s="1"/>
  <c r="D99" i="8"/>
  <c r="D100" i="8"/>
  <c r="D101" i="8"/>
  <c r="D102" i="8"/>
  <c r="D103" i="8"/>
  <c r="D104" i="8"/>
  <c r="D105" i="8"/>
  <c r="D106" i="8"/>
  <c r="D107" i="8"/>
  <c r="L107" i="8" s="1"/>
  <c r="D108" i="8"/>
  <c r="L108" i="8" s="1"/>
  <c r="D109" i="8"/>
  <c r="L109" i="8" s="1"/>
  <c r="D110" i="8"/>
  <c r="K110" i="8" s="1"/>
  <c r="D111" i="8"/>
  <c r="D112" i="8"/>
  <c r="D113" i="8"/>
  <c r="D114" i="8"/>
  <c r="D115" i="8"/>
  <c r="D116" i="8"/>
  <c r="D117" i="8"/>
  <c r="D118" i="8"/>
  <c r="K118" i="8" s="1"/>
  <c r="D119" i="8"/>
  <c r="L119" i="8" s="1"/>
  <c r="D120" i="8"/>
  <c r="L120" i="8" s="1"/>
  <c r="D121" i="8"/>
  <c r="L121" i="8" s="1"/>
  <c r="L117" i="8"/>
  <c r="L116" i="8"/>
  <c r="L115" i="8"/>
  <c r="K114" i="8"/>
  <c r="L114" i="8"/>
  <c r="L113" i="8"/>
  <c r="L112" i="8"/>
  <c r="L111" i="8"/>
  <c r="K106" i="8"/>
  <c r="L106" i="8"/>
  <c r="L105" i="8"/>
  <c r="L104" i="8"/>
  <c r="L103" i="8"/>
  <c r="L102" i="8"/>
  <c r="L101" i="8"/>
  <c r="L100" i="8"/>
  <c r="L99" i="8"/>
  <c r="K95" i="8"/>
  <c r="L95" i="8"/>
  <c r="L94" i="8"/>
  <c r="L93" i="8"/>
  <c r="L92" i="8"/>
  <c r="K91" i="8"/>
  <c r="L91" i="8"/>
  <c r="L90" i="8"/>
  <c r="L89" i="8"/>
  <c r="L88" i="8"/>
  <c r="L87" i="8"/>
  <c r="L83" i="8"/>
  <c r="L82" i="8"/>
  <c r="L81" i="8"/>
  <c r="L80" i="8"/>
  <c r="L79" i="8"/>
  <c r="L78" i="8"/>
  <c r="K77" i="8"/>
  <c r="L77" i="8"/>
  <c r="L76" i="8"/>
  <c r="L75" i="8"/>
  <c r="L74" i="8"/>
  <c r="L71" i="8"/>
  <c r="L70" i="8"/>
  <c r="L69" i="8"/>
  <c r="L68" i="8"/>
  <c r="L67" i="8"/>
  <c r="L66" i="8"/>
  <c r="L65" i="8"/>
  <c r="L64" i="8"/>
  <c r="L63" i="8"/>
  <c r="L62" i="8"/>
  <c r="L60" i="8"/>
  <c r="L59" i="8"/>
  <c r="L58" i="8"/>
  <c r="L57" i="8"/>
  <c r="L56" i="8"/>
  <c r="L55" i="8"/>
  <c r="L54" i="8"/>
  <c r="K53" i="8"/>
  <c r="L53" i="8"/>
  <c r="L52" i="8"/>
  <c r="L51" i="8"/>
  <c r="L50" i="8"/>
  <c r="L48" i="8"/>
  <c r="L47" i="8"/>
  <c r="L46" i="8"/>
  <c r="L45" i="8"/>
  <c r="L44" i="8"/>
  <c r="L43" i="8"/>
  <c r="L42" i="8"/>
  <c r="L41" i="8"/>
  <c r="L40" i="8"/>
  <c r="L39" i="8"/>
  <c r="L38" i="8"/>
  <c r="L36" i="8"/>
  <c r="L35" i="8"/>
  <c r="L34" i="8"/>
  <c r="L33" i="8"/>
  <c r="L32" i="8"/>
  <c r="L31" i="8"/>
  <c r="L30" i="8"/>
  <c r="L29" i="8"/>
  <c r="K28" i="8"/>
  <c r="L27" i="8"/>
  <c r="L26" i="8"/>
  <c r="K24" i="8"/>
  <c r="L23" i="8"/>
  <c r="K22" i="8"/>
  <c r="L22" i="8"/>
  <c r="K21" i="8"/>
  <c r="K20" i="8"/>
  <c r="L19" i="8"/>
  <c r="L18" i="8"/>
  <c r="L17" i="8"/>
  <c r="L16" i="8"/>
  <c r="L15" i="8"/>
  <c r="L14" i="8"/>
  <c r="L12" i="8"/>
  <c r="L11" i="8"/>
  <c r="L10" i="8"/>
  <c r="L9" i="8"/>
  <c r="L8" i="8"/>
  <c r="L7" i="8"/>
  <c r="L6" i="8"/>
  <c r="K5" i="8"/>
  <c r="L4" i="8"/>
  <c r="L3" i="8"/>
  <c r="D2" i="8"/>
  <c r="L2" i="8" s="1"/>
  <c r="L61" i="8" l="1"/>
  <c r="L118" i="8"/>
  <c r="L110" i="8"/>
  <c r="K119" i="8"/>
  <c r="K120" i="8"/>
  <c r="K121" i="8"/>
  <c r="K107" i="8"/>
  <c r="K111" i="8"/>
  <c r="K115" i="8"/>
  <c r="K108" i="8"/>
  <c r="K112" i="8"/>
  <c r="K116" i="8"/>
  <c r="K109" i="8"/>
  <c r="K113" i="8"/>
  <c r="K117" i="8"/>
  <c r="K102" i="8"/>
  <c r="K99" i="8"/>
  <c r="K103" i="8"/>
  <c r="K100" i="8"/>
  <c r="K104" i="8"/>
  <c r="K101" i="8"/>
  <c r="K105" i="8"/>
  <c r="K88" i="8"/>
  <c r="K92" i="8"/>
  <c r="K96" i="8"/>
  <c r="K89" i="8"/>
  <c r="K93" i="8"/>
  <c r="K97" i="8"/>
  <c r="K90" i="8"/>
  <c r="K94" i="8"/>
  <c r="K98" i="8"/>
  <c r="K32" i="8"/>
  <c r="K40" i="8"/>
  <c r="K48" i="8"/>
  <c r="K56" i="8"/>
  <c r="K64" i="8"/>
  <c r="K72" i="8"/>
  <c r="K80" i="8"/>
  <c r="K6" i="8"/>
  <c r="K14" i="8"/>
  <c r="K33" i="8"/>
  <c r="K41" i="8"/>
  <c r="K49" i="8"/>
  <c r="K57" i="8"/>
  <c r="K65" i="8"/>
  <c r="K73" i="8"/>
  <c r="K81" i="8"/>
  <c r="K36" i="8"/>
  <c r="K44" i="8"/>
  <c r="K52" i="8"/>
  <c r="K60" i="8"/>
  <c r="K68" i="8"/>
  <c r="K76" i="8"/>
  <c r="K84" i="8"/>
  <c r="K2" i="8"/>
  <c r="K10" i="8"/>
  <c r="K18" i="8"/>
  <c r="K37" i="8"/>
  <c r="K45" i="8"/>
  <c r="K69" i="8"/>
  <c r="K85" i="8"/>
  <c r="K34" i="8"/>
  <c r="K38" i="8"/>
  <c r="K42" i="8"/>
  <c r="K46" i="8"/>
  <c r="K50" i="8"/>
  <c r="K54" i="8"/>
  <c r="K58" i="8"/>
  <c r="K62" i="8"/>
  <c r="K66" i="8"/>
  <c r="K70" i="8"/>
  <c r="K74" i="8"/>
  <c r="K78" i="8"/>
  <c r="K82" i="8"/>
  <c r="K86" i="8"/>
  <c r="K35" i="8"/>
  <c r="K39" i="8"/>
  <c r="K43" i="8"/>
  <c r="K47" i="8"/>
  <c r="K51" i="8"/>
  <c r="K55" i="8"/>
  <c r="K59" i="8"/>
  <c r="K63" i="8"/>
  <c r="K67" i="8"/>
  <c r="K71" i="8"/>
  <c r="K75" i="8"/>
  <c r="K79" i="8"/>
  <c r="K83" i="8"/>
  <c r="K87" i="8"/>
  <c r="L28" i="8"/>
  <c r="K25" i="8"/>
  <c r="K29" i="8"/>
  <c r="L24" i="8"/>
  <c r="K26" i="8"/>
  <c r="K30" i="8"/>
  <c r="K27" i="8"/>
  <c r="K31" i="8"/>
  <c r="K4" i="8"/>
  <c r="K16" i="8"/>
  <c r="K9" i="8"/>
  <c r="L5" i="8"/>
  <c r="L21" i="8"/>
  <c r="K12" i="8"/>
  <c r="L20" i="8"/>
  <c r="K13" i="8"/>
  <c r="K17" i="8"/>
  <c r="K8" i="8"/>
  <c r="K3" i="8"/>
  <c r="K7" i="8"/>
  <c r="K11" i="8"/>
  <c r="K15" i="8"/>
  <c r="K19" i="8"/>
  <c r="K2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Y39" authorId="0" shapeId="0" xr:uid="{D4F47545-4F39-4BBF-A479-5E128703D8B4}">
      <text>
        <r>
          <rPr>
            <b/>
            <sz val="9"/>
            <color indexed="81"/>
            <rFont val="돋움"/>
            <family val="3"/>
            <charset val="129"/>
          </rPr>
          <t>호이스트구간변경
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침실</t>
        </r>
        <r>
          <rPr>
            <b/>
            <sz val="9"/>
            <color indexed="81"/>
            <rFont val="Tahoma"/>
            <family val="2"/>
          </rPr>
          <t xml:space="preserve">3
</t>
        </r>
        <r>
          <rPr>
            <b/>
            <sz val="9"/>
            <color indexed="81"/>
            <rFont val="돋움"/>
            <family val="3"/>
            <charset val="129"/>
          </rPr>
          <t>→
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발코니</t>
        </r>
        <r>
          <rPr>
            <b/>
            <sz val="9"/>
            <color indexed="81"/>
            <rFont val="Tahoma"/>
            <family val="2"/>
          </rPr>
          <t>1
260319</t>
        </r>
      </text>
    </comment>
  </commentList>
</comments>
</file>

<file path=xl/sharedStrings.xml><?xml version="1.0" encoding="utf-8"?>
<sst xmlns="http://schemas.openxmlformats.org/spreadsheetml/2006/main" count="1762" uniqueCount="157">
  <si>
    <t>기타</t>
  </si>
  <si>
    <t>가로규격</t>
  </si>
  <si>
    <t>세로규격</t>
  </si>
  <si>
    <t>수량</t>
  </si>
  <si>
    <t>동</t>
    <phoneticPr fontId="4" type="noConversion"/>
  </si>
  <si>
    <t>호수</t>
    <phoneticPr fontId="4" type="noConversion"/>
  </si>
  <si>
    <t>창</t>
    <phoneticPr fontId="4" type="noConversion"/>
  </si>
  <si>
    <t>타입</t>
  </si>
  <si>
    <t>세대</t>
  </si>
  <si>
    <t>기본</t>
  </si>
  <si>
    <t>평</t>
  </si>
  <si>
    <t>호이스트</t>
    <phoneticPr fontId="3" type="noConversion"/>
  </si>
  <si>
    <t>비고</t>
  </si>
  <si>
    <t>구분</t>
    <phoneticPr fontId="4" type="noConversion"/>
  </si>
  <si>
    <t>비고1</t>
    <phoneticPr fontId="3" type="noConversion"/>
  </si>
  <si>
    <t>창호</t>
    <phoneticPr fontId="3" type="noConversion"/>
  </si>
  <si>
    <t>위치</t>
    <phoneticPr fontId="4" type="noConversion"/>
  </si>
  <si>
    <t>BF(W)</t>
    <phoneticPr fontId="4" type="noConversion"/>
  </si>
  <si>
    <t>BF(H)</t>
    <phoneticPr fontId="4" type="noConversion"/>
  </si>
  <si>
    <t>SF(W)</t>
    <phoneticPr fontId="4" type="noConversion"/>
  </si>
  <si>
    <t>5CL/0.76PVB/5CL+10ALC+6EMT178</t>
    <phoneticPr fontId="4" type="noConversion"/>
  </si>
  <si>
    <t>301동</t>
    <phoneticPr fontId="3" type="noConversion"/>
  </si>
  <si>
    <t>발코니1</t>
  </si>
  <si>
    <t>59A</t>
    <phoneticPr fontId="3" type="noConversion"/>
  </si>
  <si>
    <t>글레이징</t>
    <phoneticPr fontId="4" type="noConversion"/>
  </si>
  <si>
    <t>2W</t>
    <phoneticPr fontId="4" type="noConversion"/>
  </si>
  <si>
    <t>단창픽스</t>
    <phoneticPr fontId="4" type="noConversion"/>
  </si>
  <si>
    <t>발코니1</t>
    <phoneticPr fontId="4" type="noConversion"/>
  </si>
  <si>
    <t>침실2</t>
  </si>
  <si>
    <t>외창픽스</t>
    <phoneticPr fontId="4" type="noConversion"/>
  </si>
  <si>
    <t>침실2</t>
    <phoneticPr fontId="4" type="noConversion"/>
  </si>
  <si>
    <t>침실3</t>
  </si>
  <si>
    <t>침실3</t>
    <phoneticPr fontId="4" type="noConversion"/>
  </si>
  <si>
    <t>거실</t>
  </si>
  <si>
    <t>2WU</t>
    <phoneticPr fontId="4" type="noConversion"/>
  </si>
  <si>
    <t>거실</t>
    <phoneticPr fontId="4" type="noConversion"/>
  </si>
  <si>
    <t>6CL+12ALC+6CL</t>
    <phoneticPr fontId="3" type="noConversion"/>
  </si>
  <si>
    <t>다용도</t>
  </si>
  <si>
    <t>내창</t>
    <phoneticPr fontId="4" type="noConversion"/>
  </si>
  <si>
    <t>다용도</t>
    <phoneticPr fontId="4" type="noConversion"/>
  </si>
  <si>
    <t>주방/식당</t>
  </si>
  <si>
    <t>주방/식당</t>
    <phoneticPr fontId="4" type="noConversion"/>
  </si>
  <si>
    <t>알유리</t>
    <phoneticPr fontId="4" type="noConversion"/>
  </si>
  <si>
    <t>내창_LS</t>
    <phoneticPr fontId="4" type="noConversion"/>
  </si>
  <si>
    <t>6CL+12ALC+6EMT178</t>
    <phoneticPr fontId="3" type="noConversion"/>
  </si>
  <si>
    <t>외창</t>
    <phoneticPr fontId="4" type="noConversion"/>
  </si>
  <si>
    <t>단창밴트</t>
    <phoneticPr fontId="4" type="noConversion"/>
  </si>
  <si>
    <t>외창밴트</t>
    <phoneticPr fontId="4" type="noConversion"/>
  </si>
  <si>
    <t>308동</t>
    <phoneticPr fontId="3" type="noConversion"/>
  </si>
  <si>
    <t>74B</t>
    <phoneticPr fontId="3" type="noConversion"/>
  </si>
  <si>
    <t>306동</t>
    <phoneticPr fontId="3" type="noConversion"/>
  </si>
  <si>
    <t>201호</t>
    <phoneticPr fontId="3" type="noConversion"/>
  </si>
  <si>
    <t>59B</t>
    <phoneticPr fontId="3" type="noConversion"/>
  </si>
  <si>
    <t>1~2라인</t>
  </si>
  <si>
    <t>1~2라인</t>
    <phoneticPr fontId="3" type="noConversion"/>
  </si>
  <si>
    <t>1~5라인</t>
  </si>
  <si>
    <t>1~5라인</t>
    <phoneticPr fontId="3" type="noConversion"/>
  </si>
  <si>
    <t>1~3라인</t>
  </si>
  <si>
    <t>1~3라인</t>
    <phoneticPr fontId="3" type="noConversion"/>
  </si>
  <si>
    <t>4~5라인</t>
  </si>
  <si>
    <t>4~5라인</t>
    <phoneticPr fontId="3" type="noConversion"/>
  </si>
  <si>
    <t>301동</t>
  </si>
  <si>
    <t>306동</t>
  </si>
  <si>
    <t>308동</t>
  </si>
  <si>
    <t>총합계</t>
  </si>
  <si>
    <t>글레이징</t>
  </si>
  <si>
    <t>알유리</t>
  </si>
  <si>
    <t>합계 : 수량</t>
  </si>
  <si>
    <t>합계 : 평</t>
  </si>
  <si>
    <t>동</t>
  </si>
  <si>
    <t>구분</t>
  </si>
  <si>
    <t>301동 요약</t>
  </si>
  <si>
    <t>306동 요약</t>
  </si>
  <si>
    <t>308동 요약</t>
  </si>
  <si>
    <t>호수</t>
  </si>
  <si>
    <t>1~2라인 요약</t>
  </si>
  <si>
    <t>201호</t>
  </si>
  <si>
    <t>201호 요약</t>
  </si>
  <si>
    <t>1~3라인 요약</t>
  </si>
  <si>
    <t>1~5라인 요약</t>
  </si>
  <si>
    <t>4~5라인 요약</t>
  </si>
  <si>
    <t>동</t>
    <phoneticPr fontId="3" type="noConversion"/>
  </si>
  <si>
    <t>구간</t>
    <phoneticPr fontId="3" type="noConversion"/>
  </si>
  <si>
    <t>라인</t>
    <phoneticPr fontId="3" type="noConversion"/>
  </si>
  <si>
    <t>구분</t>
    <phoneticPr fontId="3" type="noConversion"/>
  </si>
  <si>
    <t>조수</t>
    <phoneticPr fontId="3" type="noConversion"/>
  </si>
  <si>
    <t>평수</t>
    <phoneticPr fontId="3" type="noConversion"/>
  </si>
  <si>
    <t>비고</t>
    <phoneticPr fontId="3" type="noConversion"/>
  </si>
  <si>
    <t>소계</t>
    <phoneticPr fontId="3" type="noConversion"/>
  </si>
  <si>
    <t>납기요청일</t>
    <phoneticPr fontId="3" type="noConversion"/>
  </si>
  <si>
    <t>※ 글레이징(공장끼우기) / 알유리 별도 적재</t>
    <phoneticPr fontId="3" type="noConversion"/>
  </si>
  <si>
    <t>303동</t>
    <phoneticPr fontId="3" type="noConversion"/>
  </si>
  <si>
    <t>305동</t>
    <phoneticPr fontId="3" type="noConversion"/>
  </si>
  <si>
    <t>1코어</t>
    <phoneticPr fontId="3" type="noConversion"/>
  </si>
  <si>
    <t>307동</t>
    <phoneticPr fontId="3" type="noConversion"/>
  </si>
  <si>
    <t>대우/산성역푸르지오 헤리스톤 3차발주 요약</t>
    <phoneticPr fontId="3" type="noConversion"/>
  </si>
  <si>
    <t>코킹</t>
    <phoneticPr fontId="4" type="noConversion"/>
  </si>
  <si>
    <t>호이스트</t>
    <phoneticPr fontId="4" type="noConversion"/>
  </si>
  <si>
    <t>참고</t>
    <phoneticPr fontId="4" type="noConversion"/>
  </si>
  <si>
    <t>304동</t>
    <phoneticPr fontId="3" type="noConversion"/>
  </si>
  <si>
    <t>동호수 배치도 산성역헤리스톤 3BL  603세대</t>
    <phoneticPr fontId="3" type="noConversion"/>
  </si>
  <si>
    <t>30F</t>
    <phoneticPr fontId="3" type="noConversion"/>
  </si>
  <si>
    <t>#산성역-3BL</t>
    <phoneticPr fontId="3" type="noConversion"/>
  </si>
  <si>
    <t>29F</t>
    <phoneticPr fontId="3" type="noConversion"/>
  </si>
  <si>
    <t>28F</t>
    <phoneticPr fontId="3" type="noConversion"/>
  </si>
  <si>
    <t>27F</t>
    <phoneticPr fontId="3" type="noConversion"/>
  </si>
  <si>
    <t>13~최상층(1~3라인)</t>
    <phoneticPr fontId="3" type="noConversion"/>
  </si>
  <si>
    <t>6~24층4~5라인</t>
    <phoneticPr fontId="3" type="noConversion"/>
  </si>
  <si>
    <t>74A</t>
    <phoneticPr fontId="3" type="noConversion"/>
  </si>
  <si>
    <t>26F</t>
  </si>
  <si>
    <t>거실 못들어감</t>
    <phoneticPr fontId="3" type="noConversion"/>
  </si>
  <si>
    <t>25F</t>
  </si>
  <si>
    <t>84A</t>
    <phoneticPr fontId="3" type="noConversion"/>
  </si>
  <si>
    <t>24F</t>
  </si>
  <si>
    <t>84B</t>
    <phoneticPr fontId="3" type="noConversion"/>
  </si>
  <si>
    <t>23F</t>
  </si>
  <si>
    <t>84T</t>
    <phoneticPr fontId="3" type="noConversion"/>
  </si>
  <si>
    <t>22F</t>
  </si>
  <si>
    <t>21F</t>
  </si>
  <si>
    <t>20F</t>
  </si>
  <si>
    <t>19F</t>
  </si>
  <si>
    <t>18F</t>
  </si>
  <si>
    <t>17F</t>
  </si>
  <si>
    <t>샘플세대</t>
    <phoneticPr fontId="3" type="noConversion"/>
  </si>
  <si>
    <t>16F</t>
  </si>
  <si>
    <t>15F</t>
  </si>
  <si>
    <t>목업세대</t>
    <phoneticPr fontId="3" type="noConversion"/>
  </si>
  <si>
    <t>14F</t>
  </si>
  <si>
    <t>13F</t>
  </si>
  <si>
    <t>12F</t>
  </si>
  <si>
    <t>11F</t>
  </si>
  <si>
    <t>10F</t>
  </si>
  <si>
    <t>9F</t>
  </si>
  <si>
    <t>8F</t>
  </si>
  <si>
    <t>7F</t>
  </si>
  <si>
    <t>6F</t>
  </si>
  <si>
    <t>5F</t>
  </si>
  <si>
    <t>4F</t>
  </si>
  <si>
    <t>3F</t>
  </si>
  <si>
    <t>2F</t>
  </si>
  <si>
    <t>1F</t>
  </si>
  <si>
    <t>타입</t>
    <phoneticPr fontId="3" type="noConversion"/>
  </si>
  <si>
    <t>방향</t>
    <phoneticPr fontId="3" type="noConversion"/>
  </si>
  <si>
    <t>정</t>
    <phoneticPr fontId="3" type="noConversion"/>
  </si>
  <si>
    <t>반</t>
    <phoneticPr fontId="3" type="noConversion"/>
  </si>
  <si>
    <t>H/C</t>
    <phoneticPr fontId="3" type="noConversion"/>
  </si>
  <si>
    <t>발1</t>
    <phoneticPr fontId="3" type="noConversion"/>
  </si>
  <si>
    <t>침실2</t>
    <phoneticPr fontId="3" type="noConversion"/>
  </si>
  <si>
    <t>침실3</t>
    <phoneticPr fontId="3" type="noConversion"/>
  </si>
  <si>
    <t>세대수</t>
    <phoneticPr fontId="3" type="noConversion"/>
  </si>
  <si>
    <t>합계</t>
    <phoneticPr fontId="3" type="noConversion"/>
  </si>
  <si>
    <t>302동</t>
    <phoneticPr fontId="3" type="noConversion"/>
  </si>
  <si>
    <t>309동</t>
    <phoneticPr fontId="3" type="noConversion"/>
  </si>
  <si>
    <t>1~6층</t>
    <phoneticPr fontId="3" type="noConversion"/>
  </si>
  <si>
    <t>1라인(1~6층)</t>
    <phoneticPr fontId="3" type="noConversion"/>
  </si>
  <si>
    <t>2라인(1~6층)</t>
    <phoneticPr fontId="3" type="noConversion"/>
  </si>
  <si>
    <t>3라인(2~6층)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</si>
</sst>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ADDB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DF2FF"/>
        <bgColor indexed="64"/>
      </patternFill>
    </fill>
    <fill>
      <patternFill patternType="solid">
        <fgColor rgb="FFD5FFEA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D8C5FF"/>
        <bgColor indexed="64"/>
      </patternFill>
    </fill>
    <fill>
      <patternFill patternType="solid">
        <fgColor rgb="FF799E3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5024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/>
      <diagonal/>
    </border>
    <border>
      <left style="thick">
        <color theme="1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 diagonalUp="1" diagonalDown="1"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 style="thin">
        <color indexed="64"/>
      </diagonal>
    </border>
    <border diagonalUp="1" diagonalDown="1"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 style="thin">
        <color indexed="64"/>
      </diagonal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theme="1"/>
      </left>
      <right style="thin">
        <color indexed="64"/>
      </right>
      <top/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1"/>
      </bottom>
      <diagonal/>
    </border>
    <border diagonalUp="1" diagonalDown="1">
      <left style="thin">
        <color indexed="64"/>
      </left>
      <right style="thick">
        <color theme="1"/>
      </right>
      <top style="thin">
        <color indexed="64"/>
      </top>
      <bottom style="thick">
        <color theme="1"/>
      </bottom>
      <diagonal style="thin">
        <color indexed="64"/>
      </diagonal>
    </border>
    <border diagonalUp="1" diagonalDown="1">
      <left style="thick">
        <color theme="1"/>
      </left>
      <right style="thin">
        <color indexed="64"/>
      </right>
      <top style="thin">
        <color indexed="64"/>
      </top>
      <bottom style="thick">
        <color theme="1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ck">
        <color theme="1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ck">
        <color theme="1"/>
      </bottom>
      <diagonal/>
    </border>
    <border diagonalUp="1" diagonalDown="1">
      <left style="thin">
        <color indexed="64"/>
      </left>
      <right style="thin">
        <color indexed="64"/>
      </right>
      <top/>
      <bottom style="thick">
        <color theme="1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1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34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41" fontId="2" fillId="2" borderId="1" xfId="3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shrinkToFit="1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1" xfId="3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41" fontId="0" fillId="4" borderId="1" xfId="3" applyFont="1" applyFill="1" applyBorder="1" applyAlignment="1">
      <alignment horizontal="center" vertical="center"/>
    </xf>
    <xf numFmtId="0" fontId="0" fillId="4" borderId="0" xfId="0" applyFill="1">
      <alignment vertical="center"/>
    </xf>
    <xf numFmtId="41" fontId="0" fillId="0" borderId="1" xfId="3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41" fontId="0" fillId="5" borderId="1" xfId="3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0" borderId="0" xfId="0" pivotButton="1">
      <alignment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0" fontId="7" fillId="6" borderId="1" xfId="0" applyFont="1" applyFill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3" borderId="1" xfId="0" applyFont="1" applyFill="1" applyBorder="1" applyAlignment="1">
      <alignment horizontal="center" vertical="center"/>
    </xf>
    <xf numFmtId="41" fontId="7" fillId="0" borderId="1" xfId="4" applyFont="1" applyBorder="1">
      <alignment vertical="center"/>
    </xf>
    <xf numFmtId="41" fontId="7" fillId="3" borderId="1" xfId="4" applyFont="1" applyFill="1" applyBorder="1">
      <alignment vertical="center"/>
    </xf>
    <xf numFmtId="41" fontId="7" fillId="6" borderId="1" xfId="4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41" fontId="10" fillId="2" borderId="1" xfId="3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3" fillId="8" borderId="12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center" vertical="center"/>
    </xf>
    <xf numFmtId="0" fontId="13" fillId="8" borderId="16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0" fontId="13" fillId="8" borderId="18" xfId="0" applyFont="1" applyFill="1" applyBorder="1" applyAlignment="1">
      <alignment horizontal="center" vertical="center"/>
    </xf>
    <xf numFmtId="0" fontId="13" fillId="8" borderId="19" xfId="0" applyFont="1" applyFill="1" applyBorder="1" applyAlignment="1">
      <alignment horizontal="center" vertical="center"/>
    </xf>
    <xf numFmtId="0" fontId="13" fillId="8" borderId="20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/>
    </xf>
    <xf numFmtId="0" fontId="13" fillId="8" borderId="21" xfId="0" applyFont="1" applyFill="1" applyBorder="1" applyAlignment="1">
      <alignment horizontal="center" vertical="center"/>
    </xf>
    <xf numFmtId="0" fontId="13" fillId="8" borderId="22" xfId="0" applyFont="1" applyFill="1" applyBorder="1" applyAlignment="1">
      <alignment horizontal="center" vertical="center"/>
    </xf>
    <xf numFmtId="0" fontId="13" fillId="8" borderId="23" xfId="0" applyFont="1" applyFill="1" applyBorder="1" applyAlignment="1">
      <alignment horizontal="center" vertical="center"/>
    </xf>
    <xf numFmtId="0" fontId="13" fillId="8" borderId="24" xfId="0" applyFont="1" applyFill="1" applyBorder="1" applyAlignment="1">
      <alignment horizontal="center" vertical="center"/>
    </xf>
    <xf numFmtId="0" fontId="13" fillId="7" borderId="25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26" xfId="0" applyFont="1" applyFill="1" applyBorder="1" applyAlignment="1">
      <alignment horizontal="center" vertical="center"/>
    </xf>
    <xf numFmtId="0" fontId="13" fillId="8" borderId="27" xfId="0" applyFont="1" applyFill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10" borderId="29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3" fillId="10" borderId="30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8" borderId="32" xfId="0" applyFont="1" applyFill="1" applyBorder="1" applyAlignment="1">
      <alignment horizontal="center" vertical="center"/>
    </xf>
    <xf numFmtId="0" fontId="13" fillId="7" borderId="33" xfId="0" applyFont="1" applyFill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8" borderId="36" xfId="0" applyFont="1" applyFill="1" applyBorder="1" applyAlignment="1">
      <alignment horizontal="center" vertical="center"/>
    </xf>
    <xf numFmtId="0" fontId="13" fillId="7" borderId="37" xfId="0" applyFont="1" applyFill="1" applyBorder="1" applyAlignment="1">
      <alignment horizontal="center" vertical="center"/>
    </xf>
    <xf numFmtId="0" fontId="13" fillId="8" borderId="38" xfId="0" applyFont="1" applyFill="1" applyBorder="1" applyAlignment="1">
      <alignment horizontal="center" vertical="center"/>
    </xf>
    <xf numFmtId="0" fontId="13" fillId="7" borderId="38" xfId="0" applyFont="1" applyFill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10" borderId="13" xfId="0" applyFont="1" applyFill="1" applyBorder="1" applyAlignment="1">
      <alignment horizontal="center" vertical="center"/>
    </xf>
    <xf numFmtId="0" fontId="13" fillId="10" borderId="42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10" borderId="14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6" fillId="18" borderId="44" xfId="0" applyFont="1" applyFill="1" applyBorder="1" applyAlignment="1">
      <alignment horizontal="center" vertical="center"/>
    </xf>
    <xf numFmtId="0" fontId="16" fillId="18" borderId="2" xfId="0" applyFont="1" applyFill="1" applyBorder="1" applyAlignment="1">
      <alignment horizontal="center" vertical="center"/>
    </xf>
    <xf numFmtId="0" fontId="16" fillId="18" borderId="27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3" fillId="8" borderId="47" xfId="0" applyFont="1" applyFill="1" applyBorder="1" applyAlignment="1">
      <alignment horizontal="center" vertical="center"/>
    </xf>
    <xf numFmtId="0" fontId="13" fillId="8" borderId="48" xfId="0" applyFont="1" applyFill="1" applyBorder="1" applyAlignment="1">
      <alignment horizontal="center" vertical="center"/>
    </xf>
    <xf numFmtId="0" fontId="13" fillId="7" borderId="47" xfId="0" applyFont="1" applyFill="1" applyBorder="1" applyAlignment="1">
      <alignment horizontal="center" vertical="center"/>
    </xf>
    <xf numFmtId="0" fontId="13" fillId="8" borderId="49" xfId="0" applyFont="1" applyFill="1" applyBorder="1" applyAlignment="1">
      <alignment horizontal="center" vertical="center"/>
    </xf>
    <xf numFmtId="0" fontId="13" fillId="7" borderId="49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10" borderId="47" xfId="0" applyFont="1" applyFill="1" applyBorder="1" applyAlignment="1">
      <alignment horizontal="center" vertical="center"/>
    </xf>
    <xf numFmtId="0" fontId="13" fillId="10" borderId="49" xfId="0" applyFont="1" applyFill="1" applyBorder="1" applyAlignment="1">
      <alignment horizontal="center" vertical="center"/>
    </xf>
    <xf numFmtId="0" fontId="13" fillId="10" borderId="48" xfId="0" applyFont="1" applyFill="1" applyBorder="1" applyAlignment="1">
      <alignment horizontal="center" vertical="center"/>
    </xf>
    <xf numFmtId="0" fontId="13" fillId="10" borderId="38" xfId="0" applyFont="1" applyFill="1" applyBorder="1" applyAlignment="1">
      <alignment horizontal="center" vertical="center"/>
    </xf>
  </cellXfs>
  <cellStyles count="5">
    <cellStyle name="쉼표 [0]" xfId="4" builtinId="6"/>
    <cellStyle name="쉼표 [0] 2" xfId="3" xr:uid="{CF96419E-190C-48EB-A63D-9A8D4498D0B0}"/>
    <cellStyle name="표준" xfId="0" builtinId="0"/>
    <cellStyle name="표준 2" xfId="1" xr:uid="{26C34BE5-8476-4533-8893-3DB947C51178}"/>
    <cellStyle name="표준_유림건설(노인정)" xfId="2" xr:uid="{DB110AE2-CAD5-4E6C-8A1A-52565FFD18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414617</xdr:colOff>
      <xdr:row>3</xdr:row>
      <xdr:rowOff>56029</xdr:rowOff>
    </xdr:from>
    <xdr:to>
      <xdr:col>35</xdr:col>
      <xdr:colOff>11206</xdr:colOff>
      <xdr:row>42</xdr:row>
      <xdr:rowOff>145677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60B77AE7-6886-4B39-9469-9EC37A565BD5}"/>
            </a:ext>
          </a:extLst>
        </xdr:cNvPr>
        <xdr:cNvCxnSpPr/>
      </xdr:nvCxnSpPr>
      <xdr:spPr>
        <a:xfrm>
          <a:off x="13006667" y="922804"/>
          <a:ext cx="25214" cy="6071348"/>
        </a:xfrm>
        <a:prstGeom prst="line">
          <a:avLst/>
        </a:prstGeom>
        <a:ln w="635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11206</xdr:colOff>
      <xdr:row>3</xdr:row>
      <xdr:rowOff>67236</xdr:rowOff>
    </xdr:from>
    <xdr:to>
      <xdr:col>28</xdr:col>
      <xdr:colOff>33618</xdr:colOff>
      <xdr:row>43</xdr:row>
      <xdr:rowOff>1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E5DFDC4-DFDE-49EA-BE5D-28ABCEA08263}"/>
            </a:ext>
          </a:extLst>
        </xdr:cNvPr>
        <xdr:cNvCxnSpPr/>
      </xdr:nvCxnSpPr>
      <xdr:spPr>
        <a:xfrm>
          <a:off x="10279156" y="934011"/>
          <a:ext cx="22412" cy="6066865"/>
        </a:xfrm>
        <a:prstGeom prst="line">
          <a:avLst/>
        </a:prstGeom>
        <a:ln w="635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414617</xdr:colOff>
      <xdr:row>3</xdr:row>
      <xdr:rowOff>11207</xdr:rowOff>
    </xdr:from>
    <xdr:to>
      <xdr:col>15</xdr:col>
      <xdr:colOff>11206</xdr:colOff>
      <xdr:row>42</xdr:row>
      <xdr:rowOff>100855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4C53C1-826B-4C07-85C9-C36E84B00DB4}"/>
            </a:ext>
          </a:extLst>
        </xdr:cNvPr>
        <xdr:cNvCxnSpPr/>
      </xdr:nvCxnSpPr>
      <xdr:spPr>
        <a:xfrm>
          <a:off x="5424767" y="877982"/>
          <a:ext cx="25214" cy="6071348"/>
        </a:xfrm>
        <a:prstGeom prst="line">
          <a:avLst/>
        </a:prstGeom>
        <a:ln w="635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425823</xdr:colOff>
      <xdr:row>2</xdr:row>
      <xdr:rowOff>33618</xdr:rowOff>
    </xdr:from>
    <xdr:to>
      <xdr:col>23</xdr:col>
      <xdr:colOff>22411</xdr:colOff>
      <xdr:row>41</xdr:row>
      <xdr:rowOff>112060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627DB1DF-C8BC-4377-B18C-FA1D4D0D4B49}"/>
            </a:ext>
          </a:extLst>
        </xdr:cNvPr>
        <xdr:cNvCxnSpPr/>
      </xdr:nvCxnSpPr>
      <xdr:spPr>
        <a:xfrm>
          <a:off x="8369673" y="728943"/>
          <a:ext cx="25213" cy="6079192"/>
        </a:xfrm>
        <a:prstGeom prst="line">
          <a:avLst/>
        </a:prstGeom>
        <a:ln w="635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08.737837152781" createdVersion="7" refreshedVersion="7" minRefreshableVersion="3" recordCount="120" xr:uid="{8E660CFB-D8AA-47E2-BA37-65706D647ADF}">
  <cacheSource type="worksheet">
    <worksheetSource ref="A1:P121" sheet="토탈"/>
  </cacheSource>
  <cacheFields count="16">
    <cacheField name="기타" numFmtId="0">
      <sharedItems/>
    </cacheField>
    <cacheField name="가로규격" numFmtId="0">
      <sharedItems containsSemiMixedTypes="0" containsString="0" containsNumber="1" containsInteger="1" minValue="285" maxValue="2246"/>
    </cacheField>
    <cacheField name="세로규격" numFmtId="0">
      <sharedItems containsSemiMixedTypes="0" containsString="0" containsNumber="1" containsInteger="1" minValue="794" maxValue="1748"/>
    </cacheField>
    <cacheField name="수량" numFmtId="0">
      <sharedItems containsSemiMixedTypes="0" containsString="0" containsNumber="1" containsInteger="1" minValue="1" maxValue="10"/>
    </cacheField>
    <cacheField name="동" numFmtId="0">
      <sharedItems count="3">
        <s v="301동"/>
        <s v="308동"/>
        <s v="306동"/>
      </sharedItems>
    </cacheField>
    <cacheField name="호수" numFmtId="0">
      <sharedItems count="5">
        <s v="1~2라인"/>
        <s v="1~5라인"/>
        <s v="1~3라인"/>
        <s v="4~5라인"/>
        <s v="201호"/>
      </sharedItems>
    </cacheField>
    <cacheField name="창" numFmtId="0">
      <sharedItems/>
    </cacheField>
    <cacheField name="타입" numFmtId="0">
      <sharedItems/>
    </cacheField>
    <cacheField name="세대" numFmtId="0">
      <sharedItems containsSemiMixedTypes="0" containsString="0" containsNumber="1" containsInteger="1" minValue="1" maxValue="5"/>
    </cacheField>
    <cacheField name="기본" numFmtId="0">
      <sharedItems containsSemiMixedTypes="0" containsString="0" containsNumber="1" containsInteger="1" minValue="1" maxValue="2"/>
    </cacheField>
    <cacheField name="평" numFmtId="41">
      <sharedItems containsSemiMixedTypes="0" containsString="0" containsNumber="1" minValue="4.9295820671176029" maxValue="213.81389624110926"/>
    </cacheField>
    <cacheField name="호이스트" numFmtId="41">
      <sharedItems containsSemiMixedTypes="0" containsString="0" containsNumber="1" minValue="8.6319999999999997" maxValue="93.32"/>
    </cacheField>
    <cacheField name="비고" numFmtId="41">
      <sharedItems containsNonDate="0" containsString="0" containsBlank="1"/>
    </cacheField>
    <cacheField name="구분" numFmtId="0">
      <sharedItems count="2">
        <s v="글레이징"/>
        <s v="알유리"/>
      </sharedItems>
    </cacheField>
    <cacheField name="비고1" numFmtId="0">
      <sharedItems/>
    </cacheField>
    <cacheField name="창호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5CL/0.76PVB/5CL+10ALC+6EMT178"/>
    <n v="543"/>
    <n v="1745"/>
    <n v="3"/>
    <x v="0"/>
    <x v="0"/>
    <s v="발코니1"/>
    <s v="59A"/>
    <n v="3"/>
    <n v="1"/>
    <n v="30.962160572492891"/>
    <n v="27.456"/>
    <m/>
    <x v="0"/>
    <s v="2W"/>
    <s v="단창픽스"/>
  </r>
  <r>
    <s v="5CL/0.76PVB/5CL+10ALC+6EMT178"/>
    <n v="591"/>
    <n v="1748"/>
    <n v="3"/>
    <x v="0"/>
    <x v="0"/>
    <s v="침실2"/>
    <s v="59A"/>
    <n v="3"/>
    <n v="1"/>
    <n v="33.757082638956966"/>
    <n v="28.068000000000001"/>
    <m/>
    <x v="0"/>
    <s v="2W"/>
    <s v="외창픽스"/>
  </r>
  <r>
    <s v="5CL/0.76PVB/5CL+10ALC+6EMT178"/>
    <n v="591"/>
    <n v="1748"/>
    <n v="3"/>
    <x v="0"/>
    <x v="0"/>
    <s v="침실3"/>
    <s v="59A"/>
    <n v="3"/>
    <n v="1"/>
    <n v="33.757082638956966"/>
    <n v="28.068000000000001"/>
    <m/>
    <x v="0"/>
    <s v="2W"/>
    <s v="외창픽스"/>
  </r>
  <r>
    <s v="5CL/0.76PVB/5CL+10ALC+6EMT178"/>
    <n v="591"/>
    <n v="1748"/>
    <n v="3"/>
    <x v="0"/>
    <x v="0"/>
    <s v="침실2"/>
    <s v="59A"/>
    <n v="3"/>
    <n v="1"/>
    <n v="33.757082638956966"/>
    <n v="28.068000000000001"/>
    <m/>
    <x v="0"/>
    <s v="2W"/>
    <s v="외창픽스"/>
  </r>
  <r>
    <s v="5CL/0.76PVB/5CL+10ALC+6EMT178"/>
    <n v="591"/>
    <n v="1748"/>
    <n v="3"/>
    <x v="0"/>
    <x v="0"/>
    <s v="침실3"/>
    <s v="59A"/>
    <n v="3"/>
    <n v="1"/>
    <n v="33.757082638956966"/>
    <n v="28.068000000000001"/>
    <m/>
    <x v="0"/>
    <s v="2W"/>
    <s v="외창픽스"/>
  </r>
  <r>
    <s v="5CL/0.76PVB/5CL+10ALC+6EMT178"/>
    <n v="1646"/>
    <n v="1748"/>
    <n v="3"/>
    <x v="0"/>
    <x v="0"/>
    <s v="거실"/>
    <s v="59A"/>
    <n v="3"/>
    <n v="1"/>
    <n v="94.017187857399605"/>
    <n v="40.728000000000002"/>
    <m/>
    <x v="0"/>
    <s v="2WU"/>
    <s v="외창픽스"/>
  </r>
  <r>
    <s v="5CL/0.76PVB/5CL+10ALC+6EMT178"/>
    <n v="1646"/>
    <n v="1748"/>
    <n v="3"/>
    <x v="0"/>
    <x v="0"/>
    <s v="거실"/>
    <s v="59A"/>
    <n v="3"/>
    <n v="1"/>
    <n v="94.017187857399605"/>
    <n v="40.728000000000002"/>
    <m/>
    <x v="0"/>
    <s v="2WU"/>
    <s v="외창픽스"/>
  </r>
  <r>
    <s v="6CL+12ALC+6CL"/>
    <n v="285"/>
    <n v="794"/>
    <n v="6"/>
    <x v="0"/>
    <x v="0"/>
    <s v="다용도"/>
    <s v="59A"/>
    <n v="3"/>
    <n v="2"/>
    <n v="14.788746201352808"/>
    <n v="25.896000000000001"/>
    <m/>
    <x v="0"/>
    <s v="2W"/>
    <s v="내창"/>
  </r>
  <r>
    <s v="6CL+12ALC+6CL"/>
    <n v="285"/>
    <n v="794"/>
    <n v="6"/>
    <x v="0"/>
    <x v="0"/>
    <s v="다용도"/>
    <s v="59A"/>
    <n v="3"/>
    <n v="2"/>
    <n v="14.788746201352808"/>
    <n v="25.896000000000001"/>
    <m/>
    <x v="0"/>
    <s v="2W"/>
    <s v="내창"/>
  </r>
  <r>
    <s v="6CL+12ALC+6CL"/>
    <n v="435"/>
    <n v="794"/>
    <n v="6"/>
    <x v="0"/>
    <x v="0"/>
    <s v="주방/식당"/>
    <s v="59A"/>
    <n v="3"/>
    <n v="2"/>
    <n v="22.572296833643762"/>
    <n v="29.495999999999999"/>
    <m/>
    <x v="0"/>
    <s v="2W"/>
    <s v="내창"/>
  </r>
  <r>
    <s v="6CL+12ALC+6CL"/>
    <n v="435"/>
    <n v="794"/>
    <n v="6"/>
    <x v="0"/>
    <x v="0"/>
    <s v="주방/식당"/>
    <s v="59A"/>
    <n v="3"/>
    <n v="2"/>
    <n v="22.572296833643762"/>
    <n v="29.495999999999999"/>
    <m/>
    <x v="0"/>
    <s v="2W"/>
    <s v="내창"/>
  </r>
  <r>
    <s v="6CL+12ALC+6EMT178"/>
    <n v="291"/>
    <n v="798"/>
    <n v="6"/>
    <x v="0"/>
    <x v="0"/>
    <s v="다용도"/>
    <s v="59A"/>
    <n v="3"/>
    <n v="2"/>
    <n v="15.176159200078423"/>
    <n v="26.135999999999999"/>
    <m/>
    <x v="0"/>
    <s v="2W"/>
    <s v="외창"/>
  </r>
  <r>
    <s v="6CL+12ALC+6EMT178"/>
    <n v="291"/>
    <n v="798"/>
    <n v="6"/>
    <x v="0"/>
    <x v="0"/>
    <s v="다용도"/>
    <s v="59A"/>
    <n v="3"/>
    <n v="2"/>
    <n v="15.176159200078423"/>
    <n v="26.135999999999999"/>
    <m/>
    <x v="0"/>
    <s v="2W"/>
    <s v="외창"/>
  </r>
  <r>
    <s v="6CL+12ALC+6EMT178"/>
    <n v="441"/>
    <n v="798"/>
    <n v="6"/>
    <x v="0"/>
    <x v="0"/>
    <s v="주방/식당"/>
    <s v="59A"/>
    <n v="3"/>
    <n v="2"/>
    <n v="22.998921674345652"/>
    <n v="29.736000000000001"/>
    <m/>
    <x v="0"/>
    <s v="2W"/>
    <s v="외창"/>
  </r>
  <r>
    <s v="6CL+12ALC+6EMT178"/>
    <n v="441"/>
    <n v="798"/>
    <n v="6"/>
    <x v="0"/>
    <x v="0"/>
    <s v="주방/식당"/>
    <s v="59A"/>
    <n v="3"/>
    <n v="2"/>
    <n v="22.998921674345652"/>
    <n v="29.736000000000001"/>
    <m/>
    <x v="0"/>
    <s v="2W"/>
    <s v="외창"/>
  </r>
  <r>
    <s v="6CL+12ALC+6EMT178"/>
    <n v="543"/>
    <n v="1745"/>
    <n v="3"/>
    <x v="0"/>
    <x v="0"/>
    <s v="발코니1"/>
    <s v="59A"/>
    <n v="3"/>
    <n v="1"/>
    <n v="30.962160572492891"/>
    <n v="27.456"/>
    <m/>
    <x v="0"/>
    <s v="2W"/>
    <s v="단창밴트"/>
  </r>
  <r>
    <s v="6CL+12ALC+6EMT178"/>
    <n v="591"/>
    <n v="1748"/>
    <n v="3"/>
    <x v="0"/>
    <x v="0"/>
    <s v="침실2"/>
    <s v="59A"/>
    <n v="3"/>
    <n v="1"/>
    <n v="33.757082638956966"/>
    <n v="28.068000000000001"/>
    <m/>
    <x v="0"/>
    <s v="2W"/>
    <s v="외창밴트"/>
  </r>
  <r>
    <s v="6CL+12ALC+6EMT178"/>
    <n v="591"/>
    <n v="1748"/>
    <n v="3"/>
    <x v="0"/>
    <x v="0"/>
    <s v="침실3"/>
    <s v="59A"/>
    <n v="3"/>
    <n v="1"/>
    <n v="33.757082638956966"/>
    <n v="28.068000000000001"/>
    <m/>
    <x v="0"/>
    <s v="2W"/>
    <s v="외창밴트"/>
  </r>
  <r>
    <s v="6CL+12ALC+6EMT178"/>
    <n v="591"/>
    <n v="1748"/>
    <n v="3"/>
    <x v="0"/>
    <x v="0"/>
    <s v="침실2"/>
    <s v="59A"/>
    <n v="3"/>
    <n v="1"/>
    <n v="33.757082638956966"/>
    <n v="28.068000000000001"/>
    <m/>
    <x v="0"/>
    <s v="2W"/>
    <s v="외창밴트"/>
  </r>
  <r>
    <s v="6CL+12ALC+6EMT178"/>
    <n v="591"/>
    <n v="1748"/>
    <n v="3"/>
    <x v="0"/>
    <x v="0"/>
    <s v="침실3"/>
    <s v="59A"/>
    <n v="3"/>
    <n v="1"/>
    <n v="33.757082638956966"/>
    <n v="28.068000000000001"/>
    <m/>
    <x v="0"/>
    <s v="2W"/>
    <s v="외창밴트"/>
  </r>
  <r>
    <s v="6CL+12ALC+6EMT178"/>
    <n v="742"/>
    <n v="1748"/>
    <n v="3"/>
    <x v="0"/>
    <x v="0"/>
    <s v="거실"/>
    <s v="59A"/>
    <n v="3"/>
    <n v="1"/>
    <n v="42.381988693918899"/>
    <n v="29.88"/>
    <m/>
    <x v="0"/>
    <s v="2WU"/>
    <s v="외창밴트"/>
  </r>
  <r>
    <s v="6CL+12ALC+6EMT178"/>
    <n v="742"/>
    <n v="1748"/>
    <n v="3"/>
    <x v="0"/>
    <x v="0"/>
    <s v="거실"/>
    <s v="59A"/>
    <n v="3"/>
    <n v="1"/>
    <n v="42.381988693918899"/>
    <n v="29.88"/>
    <m/>
    <x v="0"/>
    <s v="2WU"/>
    <s v="외창밴트"/>
  </r>
  <r>
    <s v="6CL+12ALC+6CL"/>
    <n v="587"/>
    <n v="1746"/>
    <n v="6"/>
    <x v="0"/>
    <x v="0"/>
    <s v="침실2"/>
    <s v="59A"/>
    <n v="3"/>
    <n v="2"/>
    <n v="66.980492108616801"/>
    <n v="55.991999999999997"/>
    <m/>
    <x v="1"/>
    <s v="2W"/>
    <s v="내창_LS"/>
  </r>
  <r>
    <s v="6CL+12ALC+6CL"/>
    <n v="587"/>
    <n v="1746"/>
    <n v="6"/>
    <x v="0"/>
    <x v="0"/>
    <s v="침실3"/>
    <s v="59A"/>
    <n v="3"/>
    <n v="2"/>
    <n v="66.980492108616801"/>
    <n v="55.991999999999997"/>
    <m/>
    <x v="1"/>
    <s v="2W"/>
    <s v="내창_LS"/>
  </r>
  <r>
    <s v="6CL+12ALC+6CL"/>
    <n v="587"/>
    <n v="1746"/>
    <n v="6"/>
    <x v="0"/>
    <x v="0"/>
    <s v="침실2"/>
    <s v="59A"/>
    <n v="3"/>
    <n v="2"/>
    <n v="66.980492108616801"/>
    <n v="55.991999999999997"/>
    <m/>
    <x v="1"/>
    <s v="2W"/>
    <s v="내창_LS"/>
  </r>
  <r>
    <s v="6CL+12ALC+6CL"/>
    <n v="587"/>
    <n v="1746"/>
    <n v="6"/>
    <x v="0"/>
    <x v="0"/>
    <s v="침실3"/>
    <s v="59A"/>
    <n v="3"/>
    <n v="2"/>
    <n v="66.980492108616801"/>
    <n v="55.991999999999997"/>
    <m/>
    <x v="1"/>
    <s v="2W"/>
    <s v="내창_LS"/>
  </r>
  <r>
    <s v="6CL+12ALC+6CL"/>
    <n v="742"/>
    <n v="1746"/>
    <n v="3"/>
    <x v="0"/>
    <x v="0"/>
    <s v="거실"/>
    <s v="59A"/>
    <n v="3"/>
    <n v="1"/>
    <n v="42.333496716008234"/>
    <n v="29.856000000000002"/>
    <m/>
    <x v="1"/>
    <s v="2WU"/>
    <s v="내창_LS"/>
  </r>
  <r>
    <s v="6CL+12ALC+6CL"/>
    <n v="742"/>
    <n v="1746"/>
    <n v="3"/>
    <x v="0"/>
    <x v="0"/>
    <s v="거실"/>
    <s v="59A"/>
    <n v="3"/>
    <n v="1"/>
    <n v="42.333496716008234"/>
    <n v="29.856000000000002"/>
    <m/>
    <x v="1"/>
    <s v="2WU"/>
    <s v="내창_LS"/>
  </r>
  <r>
    <s v="6CL+12ALC+6CL"/>
    <n v="1631"/>
    <n v="1746"/>
    <n v="3"/>
    <x v="0"/>
    <x v="0"/>
    <s v="거실"/>
    <s v="59A"/>
    <n v="3"/>
    <n v="1"/>
    <n v="93.053818253112439"/>
    <n v="40.524000000000001"/>
    <m/>
    <x v="1"/>
    <s v="2WU"/>
    <s v="내창_LS"/>
  </r>
  <r>
    <s v="6CL+12ALC+6CL"/>
    <n v="1631"/>
    <n v="1746"/>
    <n v="3"/>
    <x v="0"/>
    <x v="0"/>
    <s v="거실"/>
    <s v="59A"/>
    <n v="3"/>
    <n v="1"/>
    <n v="93.053818253112439"/>
    <n v="40.524000000000001"/>
    <m/>
    <x v="1"/>
    <s v="2WU"/>
    <s v="내창_LS"/>
  </r>
  <r>
    <s v="5CL/0.76PVB/5CL+10ALC+6EMT178"/>
    <n v="543"/>
    <n v="1745"/>
    <n v="5"/>
    <x v="1"/>
    <x v="1"/>
    <s v="발코니1"/>
    <s v="74B"/>
    <n v="5"/>
    <n v="1"/>
    <n v="51.603600954154821"/>
    <n v="45.76"/>
    <m/>
    <x v="0"/>
    <s v="2W"/>
    <s v="단창픽스"/>
  </r>
  <r>
    <s v="5CL/0.76PVB/5CL+10ALC+6EMT178"/>
    <n v="543"/>
    <n v="1745"/>
    <n v="4"/>
    <x v="1"/>
    <x v="1"/>
    <s v="발코니1"/>
    <s v="74B"/>
    <n v="4"/>
    <n v="1"/>
    <n v="41.28288076332386"/>
    <n v="36.607999999999997"/>
    <m/>
    <x v="0"/>
    <s v="2W"/>
    <s v="단창픽스"/>
  </r>
  <r>
    <s v="5CL/0.76PVB/5CL+10ALC+6EMT178"/>
    <n v="543"/>
    <n v="1745"/>
    <n v="4"/>
    <x v="1"/>
    <x v="1"/>
    <s v="발코니1"/>
    <s v="59A"/>
    <n v="4"/>
    <n v="1"/>
    <n v="41.28288076332386"/>
    <n v="36.607999999999997"/>
    <m/>
    <x v="0"/>
    <s v="2W"/>
    <s v="단창픽스"/>
  </r>
  <r>
    <s v="5CL/0.76PVB/5CL+10ALC+6EMT178"/>
    <n v="543"/>
    <n v="1745"/>
    <n v="3"/>
    <x v="1"/>
    <x v="1"/>
    <s v="발코니1"/>
    <s v="59A"/>
    <n v="3"/>
    <n v="1"/>
    <n v="30.962160572492891"/>
    <n v="27.456"/>
    <m/>
    <x v="0"/>
    <s v="2W"/>
    <s v="단창픽스"/>
  </r>
  <r>
    <s v="5CL/0.76PVB/5CL+10ALC+6EMT178"/>
    <n v="543"/>
    <n v="1745"/>
    <n v="5"/>
    <x v="1"/>
    <x v="1"/>
    <s v="발코니1"/>
    <s v="74B"/>
    <n v="5"/>
    <n v="1"/>
    <n v="51.603600954154821"/>
    <n v="45.76"/>
    <m/>
    <x v="0"/>
    <s v="2W"/>
    <s v="단창픽스"/>
  </r>
  <r>
    <s v="5CL/0.76PVB/5CL+10ALC+6EMT178"/>
    <n v="591"/>
    <n v="1748"/>
    <n v="5"/>
    <x v="1"/>
    <x v="1"/>
    <s v="침실2"/>
    <s v="74B"/>
    <n v="5"/>
    <n v="1"/>
    <n v="56.26180439826161"/>
    <n v="46.78"/>
    <m/>
    <x v="0"/>
    <s v="2W"/>
    <s v="외창픽스"/>
  </r>
  <r>
    <s v="5CL/0.76PVB/5CL+10ALC+6EMT178"/>
    <n v="591"/>
    <n v="1748"/>
    <n v="5"/>
    <x v="1"/>
    <x v="1"/>
    <s v="침실3"/>
    <s v="74B"/>
    <n v="5"/>
    <n v="1"/>
    <n v="56.26180439826161"/>
    <n v="46.78"/>
    <m/>
    <x v="0"/>
    <s v="2W"/>
    <s v="외창픽스"/>
  </r>
  <r>
    <s v="5CL/0.76PVB/5CL+10ALC+6EMT178"/>
    <n v="591"/>
    <n v="1748"/>
    <n v="4"/>
    <x v="1"/>
    <x v="1"/>
    <s v="침실2"/>
    <s v="74B"/>
    <n v="4"/>
    <n v="1"/>
    <n v="45.009443518609288"/>
    <n v="37.423999999999999"/>
    <m/>
    <x v="0"/>
    <s v="2W"/>
    <s v="외창픽스"/>
  </r>
  <r>
    <s v="5CL/0.76PVB/5CL+10ALC+6EMT178"/>
    <n v="591"/>
    <n v="1748"/>
    <n v="4"/>
    <x v="1"/>
    <x v="1"/>
    <s v="침실3"/>
    <s v="74B"/>
    <n v="4"/>
    <n v="1"/>
    <n v="45.009443518609288"/>
    <n v="37.423999999999999"/>
    <m/>
    <x v="0"/>
    <s v="2W"/>
    <s v="외창픽스"/>
  </r>
  <r>
    <s v="5CL/0.76PVB/5CL+10ALC+6EMT178"/>
    <n v="591"/>
    <n v="1748"/>
    <n v="4"/>
    <x v="1"/>
    <x v="1"/>
    <s v="침실2"/>
    <s v="59A"/>
    <n v="4"/>
    <n v="1"/>
    <n v="45.009443518609288"/>
    <n v="37.423999999999999"/>
    <m/>
    <x v="0"/>
    <s v="2W"/>
    <s v="외창픽스"/>
  </r>
  <r>
    <s v="5CL/0.76PVB/5CL+10ALC+6EMT178"/>
    <n v="591"/>
    <n v="1748"/>
    <n v="3"/>
    <x v="1"/>
    <x v="1"/>
    <s v="침실2"/>
    <s v="59A"/>
    <n v="3"/>
    <n v="1"/>
    <n v="33.757082638956966"/>
    <n v="28.068000000000001"/>
    <m/>
    <x v="0"/>
    <s v="2W"/>
    <s v="외창픽스"/>
  </r>
  <r>
    <s v="5CL/0.76PVB/5CL+10ALC+6EMT178"/>
    <n v="591"/>
    <n v="1748"/>
    <n v="3"/>
    <x v="1"/>
    <x v="1"/>
    <s v="침실3"/>
    <s v="59A"/>
    <n v="3"/>
    <n v="1"/>
    <n v="33.757082638956966"/>
    <n v="28.068000000000001"/>
    <m/>
    <x v="0"/>
    <s v="2W"/>
    <s v="외창픽스"/>
  </r>
  <r>
    <s v="5CL/0.76PVB/5CL+10ALC+6EMT178"/>
    <n v="591"/>
    <n v="1748"/>
    <n v="5"/>
    <x v="1"/>
    <x v="1"/>
    <s v="침실3"/>
    <s v="74B"/>
    <n v="5"/>
    <n v="1"/>
    <n v="56.26180439826161"/>
    <n v="46.78"/>
    <m/>
    <x v="0"/>
    <s v="2W"/>
    <s v="외창픽스"/>
  </r>
  <r>
    <s v="5CL/0.76PVB/5CL+10ALC+6EMT178"/>
    <n v="1646"/>
    <n v="1748"/>
    <n v="4"/>
    <x v="1"/>
    <x v="1"/>
    <s v="거실"/>
    <s v="59A"/>
    <n v="4"/>
    <n v="1"/>
    <n v="125.35625047653281"/>
    <n v="54.304000000000002"/>
    <m/>
    <x v="0"/>
    <s v="2WU"/>
    <s v="외창픽스"/>
  </r>
  <r>
    <s v="5CL/0.76PVB/5CL+10ALC+6EMT178"/>
    <n v="1646"/>
    <n v="1748"/>
    <n v="3"/>
    <x v="1"/>
    <x v="1"/>
    <s v="거실"/>
    <s v="59A"/>
    <n v="3"/>
    <n v="1"/>
    <n v="94.017187857399605"/>
    <n v="40.728000000000002"/>
    <m/>
    <x v="0"/>
    <s v="2WU"/>
    <s v="외창픽스"/>
  </r>
  <r>
    <s v="5CL/0.76PVB/5CL+10ALC+6EMT178"/>
    <n v="2246"/>
    <n v="1748"/>
    <n v="5"/>
    <x v="1"/>
    <x v="1"/>
    <s v="거실"/>
    <s v="74B"/>
    <n v="5"/>
    <n v="1"/>
    <n v="213.81389624110926"/>
    <n v="79.88"/>
    <m/>
    <x v="0"/>
    <s v="2WU"/>
    <s v="외창픽스"/>
  </r>
  <r>
    <s v="5CL/0.76PVB/5CL+10ALC+6EMT178"/>
    <n v="2246"/>
    <n v="1748"/>
    <n v="4"/>
    <x v="1"/>
    <x v="1"/>
    <s v="거실"/>
    <s v="74B"/>
    <n v="4"/>
    <n v="1"/>
    <n v="171.05111699288742"/>
    <n v="63.904000000000003"/>
    <m/>
    <x v="0"/>
    <s v="2WU"/>
    <s v="외창픽스"/>
  </r>
  <r>
    <s v="5CL/0.76PVB/5CL+10ALC+6EMT178"/>
    <n v="2246"/>
    <n v="1748"/>
    <n v="5"/>
    <x v="1"/>
    <x v="1"/>
    <s v="거실"/>
    <s v="74B"/>
    <n v="5"/>
    <n v="1"/>
    <n v="213.81389624110926"/>
    <n v="79.88"/>
    <m/>
    <x v="0"/>
    <s v="2WU"/>
    <s v="외창픽스"/>
  </r>
  <r>
    <s v="6CL+12ALC+6CL"/>
    <n v="285"/>
    <n v="794"/>
    <n v="10"/>
    <x v="1"/>
    <x v="1"/>
    <s v="다용도"/>
    <s v="74B"/>
    <n v="5"/>
    <n v="2"/>
    <n v="24.647910335588016"/>
    <n v="43.16"/>
    <m/>
    <x v="0"/>
    <s v="2W"/>
    <s v="내창"/>
  </r>
  <r>
    <s v="6CL+12ALC+6CL"/>
    <n v="285"/>
    <n v="794"/>
    <n v="8"/>
    <x v="1"/>
    <x v="1"/>
    <s v="다용도"/>
    <s v="74B"/>
    <n v="4"/>
    <n v="2"/>
    <n v="19.718328268470412"/>
    <n v="34.527999999999999"/>
    <m/>
    <x v="0"/>
    <s v="2W"/>
    <s v="내창"/>
  </r>
  <r>
    <s v="6CL+12ALC+6CL"/>
    <n v="285"/>
    <n v="794"/>
    <n v="8"/>
    <x v="1"/>
    <x v="1"/>
    <s v="다용도"/>
    <s v="59A"/>
    <n v="4"/>
    <n v="2"/>
    <n v="19.718328268470412"/>
    <n v="34.527999999999999"/>
    <m/>
    <x v="0"/>
    <s v="2W"/>
    <s v="내창"/>
  </r>
  <r>
    <s v="6CL+12ALC+6CL"/>
    <n v="285"/>
    <n v="794"/>
    <n v="6"/>
    <x v="1"/>
    <x v="1"/>
    <s v="다용도"/>
    <s v="59A"/>
    <n v="3"/>
    <n v="2"/>
    <n v="14.788746201352808"/>
    <n v="25.896000000000001"/>
    <m/>
    <x v="0"/>
    <s v="2W"/>
    <s v="내창"/>
  </r>
  <r>
    <s v="6CL+12ALC+6CL"/>
    <n v="285"/>
    <n v="794"/>
    <n v="10"/>
    <x v="1"/>
    <x v="1"/>
    <s v="다용도"/>
    <s v="74B"/>
    <n v="5"/>
    <n v="2"/>
    <n v="24.647910335588016"/>
    <n v="43.16"/>
    <m/>
    <x v="0"/>
    <s v="2W"/>
    <s v="내창"/>
  </r>
  <r>
    <s v="6CL+12ALC+6CL"/>
    <n v="435"/>
    <n v="794"/>
    <n v="10"/>
    <x v="1"/>
    <x v="1"/>
    <s v="주방/식당"/>
    <s v="74B"/>
    <n v="5"/>
    <n v="2"/>
    <n v="37.6204947227396"/>
    <n v="49.16"/>
    <m/>
    <x v="0"/>
    <s v="2W"/>
    <s v="내창"/>
  </r>
  <r>
    <s v="6CL+12ALC+6CL"/>
    <n v="435"/>
    <n v="794"/>
    <n v="8"/>
    <x v="1"/>
    <x v="1"/>
    <s v="주방/식당"/>
    <s v="74B"/>
    <n v="4"/>
    <n v="2"/>
    <n v="30.096395778191681"/>
    <n v="39.328000000000003"/>
    <m/>
    <x v="0"/>
    <s v="2W"/>
    <s v="내창"/>
  </r>
  <r>
    <s v="6CL+12ALC+6CL"/>
    <n v="435"/>
    <n v="794"/>
    <n v="8"/>
    <x v="1"/>
    <x v="1"/>
    <s v="주방/식당"/>
    <s v="59A"/>
    <n v="4"/>
    <n v="2"/>
    <n v="30.096395778191681"/>
    <n v="39.328000000000003"/>
    <m/>
    <x v="0"/>
    <s v="2W"/>
    <s v="내창"/>
  </r>
  <r>
    <s v="6CL+12ALC+6CL"/>
    <n v="435"/>
    <n v="794"/>
    <n v="6"/>
    <x v="1"/>
    <x v="1"/>
    <s v="주방/식당"/>
    <s v="59A"/>
    <n v="3"/>
    <n v="2"/>
    <n v="22.572296833643762"/>
    <n v="29.495999999999999"/>
    <m/>
    <x v="0"/>
    <s v="2W"/>
    <s v="내창"/>
  </r>
  <r>
    <s v="6CL+12ALC+6CL"/>
    <n v="435"/>
    <n v="794"/>
    <n v="10"/>
    <x v="1"/>
    <x v="1"/>
    <s v="주방/식당"/>
    <s v="74B"/>
    <n v="5"/>
    <n v="2"/>
    <n v="37.6204947227396"/>
    <n v="49.16"/>
    <m/>
    <x v="0"/>
    <s v="2W"/>
    <s v="내창"/>
  </r>
  <r>
    <s v="6CL+12ALC+6EMT178"/>
    <n v="291"/>
    <n v="798"/>
    <n v="10"/>
    <x v="1"/>
    <x v="1"/>
    <s v="다용도"/>
    <s v="74B"/>
    <n v="5"/>
    <n v="2"/>
    <n v="25.293598666797372"/>
    <n v="43.56"/>
    <m/>
    <x v="0"/>
    <s v="2W"/>
    <s v="외창"/>
  </r>
  <r>
    <s v="6CL+12ALC+6EMT178"/>
    <n v="291"/>
    <n v="798"/>
    <n v="8"/>
    <x v="1"/>
    <x v="1"/>
    <s v="다용도"/>
    <s v="74B"/>
    <n v="4"/>
    <n v="2"/>
    <n v="20.234878933437898"/>
    <n v="34.847999999999999"/>
    <m/>
    <x v="0"/>
    <s v="2W"/>
    <s v="외창"/>
  </r>
  <r>
    <s v="6CL+12ALC+6EMT178"/>
    <n v="291"/>
    <n v="798"/>
    <n v="8"/>
    <x v="1"/>
    <x v="1"/>
    <s v="다용도"/>
    <s v="59A"/>
    <n v="4"/>
    <n v="2"/>
    <n v="20.234878933437898"/>
    <n v="34.847999999999999"/>
    <m/>
    <x v="0"/>
    <s v="2W"/>
    <s v="외창"/>
  </r>
  <r>
    <s v="6CL+12ALC+6EMT178"/>
    <n v="291"/>
    <n v="798"/>
    <n v="6"/>
    <x v="1"/>
    <x v="1"/>
    <s v="다용도"/>
    <s v="59A"/>
    <n v="3"/>
    <n v="2"/>
    <n v="15.176159200078423"/>
    <n v="26.135999999999999"/>
    <m/>
    <x v="0"/>
    <s v="2W"/>
    <s v="외창"/>
  </r>
  <r>
    <s v="6CL+12ALC+6EMT178"/>
    <n v="291"/>
    <n v="798"/>
    <n v="10"/>
    <x v="1"/>
    <x v="1"/>
    <s v="다용도"/>
    <s v="74B"/>
    <n v="5"/>
    <n v="2"/>
    <n v="25.293598666797372"/>
    <n v="43.56"/>
    <m/>
    <x v="0"/>
    <s v="2W"/>
    <s v="외창"/>
  </r>
  <r>
    <s v="6CL+12ALC+6EMT178"/>
    <n v="441"/>
    <n v="798"/>
    <n v="10"/>
    <x v="1"/>
    <x v="1"/>
    <s v="주방/식당"/>
    <s v="74B"/>
    <n v="5"/>
    <n v="2"/>
    <n v="38.331536123909423"/>
    <n v="49.56"/>
    <m/>
    <x v="0"/>
    <s v="2W"/>
    <s v="외창"/>
  </r>
  <r>
    <s v="6CL+12ALC+6EMT178"/>
    <n v="441"/>
    <n v="798"/>
    <n v="8"/>
    <x v="1"/>
    <x v="1"/>
    <s v="주방/식당"/>
    <s v="74B"/>
    <n v="4"/>
    <n v="2"/>
    <n v="30.665228899127538"/>
    <n v="39.648000000000003"/>
    <m/>
    <x v="0"/>
    <s v="2W"/>
    <s v="외창"/>
  </r>
  <r>
    <s v="6CL+12ALC+6EMT178"/>
    <n v="441"/>
    <n v="798"/>
    <n v="8"/>
    <x v="1"/>
    <x v="1"/>
    <s v="주방/식당"/>
    <s v="59A"/>
    <n v="4"/>
    <n v="2"/>
    <n v="30.665228899127538"/>
    <n v="39.648000000000003"/>
    <m/>
    <x v="0"/>
    <s v="2W"/>
    <s v="외창"/>
  </r>
  <r>
    <s v="6CL+12ALC+6EMT178"/>
    <n v="441"/>
    <n v="798"/>
    <n v="6"/>
    <x v="1"/>
    <x v="1"/>
    <s v="주방/식당"/>
    <s v="59A"/>
    <n v="3"/>
    <n v="2"/>
    <n v="22.998921674345652"/>
    <n v="29.736000000000001"/>
    <m/>
    <x v="0"/>
    <s v="2W"/>
    <s v="외창"/>
  </r>
  <r>
    <s v="6CL+12ALC+6EMT178"/>
    <n v="441"/>
    <n v="798"/>
    <n v="10"/>
    <x v="1"/>
    <x v="1"/>
    <s v="주방/식당"/>
    <s v="74B"/>
    <n v="5"/>
    <n v="2"/>
    <n v="38.331536123909423"/>
    <n v="49.56"/>
    <m/>
    <x v="0"/>
    <s v="2W"/>
    <s v="외창"/>
  </r>
  <r>
    <s v="6CL+12ALC+6EMT178"/>
    <n v="543"/>
    <n v="1745"/>
    <n v="5"/>
    <x v="1"/>
    <x v="1"/>
    <s v="발코니1"/>
    <s v="74B"/>
    <n v="5"/>
    <n v="1"/>
    <n v="51.603600954154821"/>
    <n v="45.76"/>
    <m/>
    <x v="0"/>
    <s v="2W"/>
    <s v="단창밴트"/>
  </r>
  <r>
    <s v="6CL+12ALC+6EMT178"/>
    <n v="543"/>
    <n v="1745"/>
    <n v="4"/>
    <x v="1"/>
    <x v="1"/>
    <s v="발코니1"/>
    <s v="74B"/>
    <n v="4"/>
    <n v="1"/>
    <n v="41.28288076332386"/>
    <n v="36.607999999999997"/>
    <m/>
    <x v="0"/>
    <s v="2W"/>
    <s v="단창밴트"/>
  </r>
  <r>
    <s v="6CL+12ALC+6EMT178"/>
    <n v="543"/>
    <n v="1745"/>
    <n v="4"/>
    <x v="1"/>
    <x v="1"/>
    <s v="발코니1"/>
    <s v="59A"/>
    <n v="4"/>
    <n v="1"/>
    <n v="41.28288076332386"/>
    <n v="36.607999999999997"/>
    <m/>
    <x v="0"/>
    <s v="2W"/>
    <s v="단창밴트"/>
  </r>
  <r>
    <s v="6CL+12ALC+6EMT178"/>
    <n v="543"/>
    <n v="1745"/>
    <n v="3"/>
    <x v="1"/>
    <x v="1"/>
    <s v="발코니1"/>
    <s v="59A"/>
    <n v="3"/>
    <n v="1"/>
    <n v="30.962160572492891"/>
    <n v="27.456"/>
    <m/>
    <x v="0"/>
    <s v="2W"/>
    <s v="단창밴트"/>
  </r>
  <r>
    <s v="6CL+12ALC+6EMT178"/>
    <n v="543"/>
    <n v="1745"/>
    <n v="5"/>
    <x v="1"/>
    <x v="1"/>
    <s v="발코니1"/>
    <s v="74B"/>
    <n v="5"/>
    <n v="1"/>
    <n v="51.603600954154821"/>
    <n v="45.76"/>
    <m/>
    <x v="0"/>
    <s v="2W"/>
    <s v="단창밴트"/>
  </r>
  <r>
    <s v="6CL+12ALC+6EMT178"/>
    <n v="591"/>
    <n v="1748"/>
    <n v="5"/>
    <x v="1"/>
    <x v="1"/>
    <s v="침실2"/>
    <s v="74B"/>
    <n v="5"/>
    <n v="1"/>
    <n v="56.26180439826161"/>
    <n v="46.78"/>
    <m/>
    <x v="0"/>
    <s v="2W"/>
    <s v="외창밴트"/>
  </r>
  <r>
    <s v="6CL+12ALC+6EMT178"/>
    <n v="591"/>
    <n v="1748"/>
    <n v="5"/>
    <x v="1"/>
    <x v="1"/>
    <s v="침실3"/>
    <s v="74B"/>
    <n v="5"/>
    <n v="1"/>
    <n v="56.26180439826161"/>
    <n v="46.78"/>
    <m/>
    <x v="0"/>
    <s v="2W"/>
    <s v="외창밴트"/>
  </r>
  <r>
    <s v="6CL+12ALC+6EMT178"/>
    <n v="591"/>
    <n v="1748"/>
    <n v="4"/>
    <x v="1"/>
    <x v="1"/>
    <s v="침실2"/>
    <s v="74B"/>
    <n v="4"/>
    <n v="1"/>
    <n v="45.009443518609288"/>
    <n v="37.423999999999999"/>
    <m/>
    <x v="0"/>
    <s v="2W"/>
    <s v="외창밴트"/>
  </r>
  <r>
    <s v="6CL+12ALC+6EMT178"/>
    <n v="591"/>
    <n v="1748"/>
    <n v="4"/>
    <x v="1"/>
    <x v="1"/>
    <s v="침실3"/>
    <s v="74B"/>
    <n v="4"/>
    <n v="1"/>
    <n v="45.009443518609288"/>
    <n v="37.423999999999999"/>
    <m/>
    <x v="0"/>
    <s v="2W"/>
    <s v="외창밴트"/>
  </r>
  <r>
    <s v="6CL+12ALC+6EMT178"/>
    <n v="591"/>
    <n v="1748"/>
    <n v="4"/>
    <x v="1"/>
    <x v="1"/>
    <s v="침실2"/>
    <s v="59A"/>
    <n v="4"/>
    <n v="1"/>
    <n v="45.009443518609288"/>
    <n v="37.423999999999999"/>
    <m/>
    <x v="0"/>
    <s v="2W"/>
    <s v="외창밴트"/>
  </r>
  <r>
    <s v="6CL+12ALC+6EMT178"/>
    <n v="591"/>
    <n v="1748"/>
    <n v="3"/>
    <x v="1"/>
    <x v="1"/>
    <s v="침실2"/>
    <s v="59A"/>
    <n v="3"/>
    <n v="1"/>
    <n v="33.757082638956966"/>
    <n v="28.068000000000001"/>
    <m/>
    <x v="0"/>
    <s v="2W"/>
    <s v="외창밴트"/>
  </r>
  <r>
    <s v="6CL+12ALC+6EMT178"/>
    <n v="591"/>
    <n v="1748"/>
    <n v="3"/>
    <x v="1"/>
    <x v="1"/>
    <s v="침실3"/>
    <s v="59A"/>
    <n v="3"/>
    <n v="1"/>
    <n v="33.757082638956966"/>
    <n v="28.068000000000001"/>
    <m/>
    <x v="0"/>
    <s v="2W"/>
    <s v="외창밴트"/>
  </r>
  <r>
    <s v="6CL+12ALC+6EMT178"/>
    <n v="591"/>
    <n v="1748"/>
    <n v="5"/>
    <x v="1"/>
    <x v="1"/>
    <s v="침실3"/>
    <s v="74B"/>
    <n v="5"/>
    <n v="1"/>
    <n v="56.26180439826161"/>
    <n v="46.78"/>
    <m/>
    <x v="0"/>
    <s v="2W"/>
    <s v="외창밴트"/>
  </r>
  <r>
    <s v="6CL+12ALC+6EMT178"/>
    <n v="742"/>
    <n v="1748"/>
    <n v="5"/>
    <x v="1"/>
    <x v="1"/>
    <s v="거실"/>
    <s v="74B"/>
    <n v="5"/>
    <n v="1"/>
    <n v="70.63664782319816"/>
    <n v="49.8"/>
    <m/>
    <x v="0"/>
    <s v="2WU"/>
    <s v="외창밴트"/>
  </r>
  <r>
    <s v="6CL+12ALC+6EMT178"/>
    <n v="742"/>
    <n v="1748"/>
    <n v="4"/>
    <x v="1"/>
    <x v="1"/>
    <s v="거실"/>
    <s v="74B"/>
    <n v="4"/>
    <n v="1"/>
    <n v="56.50931825855853"/>
    <n v="39.840000000000003"/>
    <m/>
    <x v="0"/>
    <s v="2WU"/>
    <s v="외창밴트"/>
  </r>
  <r>
    <s v="6CL+12ALC+6EMT178"/>
    <n v="742"/>
    <n v="1748"/>
    <n v="4"/>
    <x v="1"/>
    <x v="1"/>
    <s v="거실"/>
    <s v="59A"/>
    <n v="4"/>
    <n v="1"/>
    <n v="56.50931825855853"/>
    <n v="39.840000000000003"/>
    <m/>
    <x v="0"/>
    <s v="2WU"/>
    <s v="외창밴트"/>
  </r>
  <r>
    <s v="6CL+12ALC+6EMT178"/>
    <n v="742"/>
    <n v="1748"/>
    <n v="3"/>
    <x v="1"/>
    <x v="1"/>
    <s v="거실"/>
    <s v="59A"/>
    <n v="3"/>
    <n v="1"/>
    <n v="42.381988693918899"/>
    <n v="29.88"/>
    <m/>
    <x v="0"/>
    <s v="2WU"/>
    <s v="외창밴트"/>
  </r>
  <r>
    <s v="6CL+12ALC+6EMT178"/>
    <n v="742"/>
    <n v="1748"/>
    <n v="5"/>
    <x v="1"/>
    <x v="1"/>
    <s v="거실"/>
    <s v="74B"/>
    <n v="5"/>
    <n v="1"/>
    <n v="70.63664782319816"/>
    <n v="49.8"/>
    <m/>
    <x v="0"/>
    <s v="2WU"/>
    <s v="외창밴트"/>
  </r>
  <r>
    <s v="6CL+12ALC+6CL"/>
    <n v="587"/>
    <n v="1746"/>
    <n v="10"/>
    <x v="1"/>
    <x v="2"/>
    <s v="침실2"/>
    <s v="74B"/>
    <n v="5"/>
    <n v="2"/>
    <n v="111.63415351436134"/>
    <n v="93.32"/>
    <m/>
    <x v="1"/>
    <s v="2W"/>
    <s v="내창_LS"/>
  </r>
  <r>
    <s v="6CL+12ALC+6CL"/>
    <n v="587"/>
    <n v="1746"/>
    <n v="10"/>
    <x v="1"/>
    <x v="2"/>
    <s v="침실3"/>
    <s v="74B"/>
    <n v="5"/>
    <n v="2"/>
    <n v="111.63415351436134"/>
    <n v="93.32"/>
    <m/>
    <x v="1"/>
    <s v="2W"/>
    <s v="내창_LS"/>
  </r>
  <r>
    <s v="6CL+12ALC+6CL"/>
    <n v="587"/>
    <n v="1746"/>
    <n v="8"/>
    <x v="1"/>
    <x v="2"/>
    <s v="침실2"/>
    <s v="74B"/>
    <n v="4"/>
    <n v="2"/>
    <n v="89.307322811489072"/>
    <n v="74.656000000000006"/>
    <m/>
    <x v="1"/>
    <s v="2W"/>
    <s v="내창_LS"/>
  </r>
  <r>
    <s v="6CL+12ALC+6CL"/>
    <n v="587"/>
    <n v="1746"/>
    <n v="8"/>
    <x v="1"/>
    <x v="2"/>
    <s v="침실3"/>
    <s v="74B"/>
    <n v="4"/>
    <n v="2"/>
    <n v="89.307322811489072"/>
    <n v="74.656000000000006"/>
    <m/>
    <x v="1"/>
    <s v="2W"/>
    <s v="내창_LS"/>
  </r>
  <r>
    <s v="6CL+12ALC+6CL"/>
    <n v="587"/>
    <n v="1746"/>
    <n v="8"/>
    <x v="1"/>
    <x v="2"/>
    <s v="침실2"/>
    <s v="59A"/>
    <n v="4"/>
    <n v="2"/>
    <n v="89.307322811489072"/>
    <n v="74.656000000000006"/>
    <m/>
    <x v="1"/>
    <s v="2W"/>
    <s v="내창_LS"/>
  </r>
  <r>
    <s v="6CL+12ALC+6CL"/>
    <n v="742"/>
    <n v="1746"/>
    <n v="5"/>
    <x v="1"/>
    <x v="2"/>
    <s v="거실"/>
    <s v="74B"/>
    <n v="5"/>
    <n v="1"/>
    <n v="70.555827860013721"/>
    <n v="49.76"/>
    <m/>
    <x v="1"/>
    <s v="2WU"/>
    <s v="내창_LS"/>
  </r>
  <r>
    <s v="6CL+12ALC+6CL"/>
    <n v="742"/>
    <n v="1746"/>
    <n v="4"/>
    <x v="1"/>
    <x v="2"/>
    <s v="거실"/>
    <s v="74B"/>
    <n v="4"/>
    <n v="1"/>
    <n v="56.444662288010981"/>
    <n v="39.808"/>
    <m/>
    <x v="1"/>
    <s v="2WU"/>
    <s v="내창_LS"/>
  </r>
  <r>
    <s v="6CL+12ALC+6CL"/>
    <n v="742"/>
    <n v="1746"/>
    <n v="4"/>
    <x v="1"/>
    <x v="2"/>
    <s v="거실"/>
    <s v="59A"/>
    <n v="4"/>
    <n v="1"/>
    <n v="56.444662288010981"/>
    <n v="39.808"/>
    <m/>
    <x v="1"/>
    <s v="2WU"/>
    <s v="내창_LS"/>
  </r>
  <r>
    <s v="6CL+12ALC+6CL"/>
    <n v="1631"/>
    <n v="1746"/>
    <n v="4"/>
    <x v="1"/>
    <x v="2"/>
    <s v="거실"/>
    <s v="59A"/>
    <n v="4"/>
    <n v="1"/>
    <n v="124.07175767081658"/>
    <n v="54.031999999999996"/>
    <m/>
    <x v="1"/>
    <s v="2WU"/>
    <s v="내창_LS"/>
  </r>
  <r>
    <s v="6CL+12ALC+6CL"/>
    <n v="2231"/>
    <n v="1746"/>
    <n v="5"/>
    <x v="1"/>
    <x v="2"/>
    <s v="거실"/>
    <s v="74B"/>
    <n v="5"/>
    <n v="1"/>
    <n v="212.14292716400354"/>
    <n v="79.540000000000006"/>
    <m/>
    <x v="1"/>
    <s v="2WU"/>
    <s v="내창_LS"/>
  </r>
  <r>
    <s v="6CL+12ALC+6CL"/>
    <n v="2231"/>
    <n v="1746"/>
    <n v="4"/>
    <x v="1"/>
    <x v="2"/>
    <s v="거실"/>
    <s v="74B"/>
    <n v="4"/>
    <n v="1"/>
    <n v="169.71434173120284"/>
    <n v="63.631999999999998"/>
    <m/>
    <x v="1"/>
    <s v="2WU"/>
    <s v="내창_LS"/>
  </r>
  <r>
    <s v="6CL+12ALC+6CL"/>
    <n v="587"/>
    <n v="1746"/>
    <n v="6"/>
    <x v="1"/>
    <x v="3"/>
    <s v="침실2"/>
    <s v="59A"/>
    <n v="3"/>
    <n v="2"/>
    <n v="66.980492108616801"/>
    <n v="55.991999999999997"/>
    <m/>
    <x v="1"/>
    <s v="2W"/>
    <s v="내창_LS"/>
  </r>
  <r>
    <s v="6CL+12ALC+6CL"/>
    <n v="587"/>
    <n v="1746"/>
    <n v="6"/>
    <x v="1"/>
    <x v="3"/>
    <s v="침실3"/>
    <s v="59A"/>
    <n v="3"/>
    <n v="2"/>
    <n v="66.980492108616801"/>
    <n v="55.991999999999997"/>
    <m/>
    <x v="1"/>
    <s v="2W"/>
    <s v="내창_LS"/>
  </r>
  <r>
    <s v="6CL+12ALC+6CL"/>
    <n v="587"/>
    <n v="1746"/>
    <n v="10"/>
    <x v="1"/>
    <x v="3"/>
    <s v="침실3"/>
    <s v="74B"/>
    <n v="5"/>
    <n v="2"/>
    <n v="111.63415351436134"/>
    <n v="93.32"/>
    <m/>
    <x v="1"/>
    <s v="2W"/>
    <s v="내창_LS"/>
  </r>
  <r>
    <s v="6CL+12ALC+6CL"/>
    <n v="742"/>
    <n v="1746"/>
    <n v="3"/>
    <x v="1"/>
    <x v="3"/>
    <s v="거실"/>
    <s v="59A"/>
    <n v="3"/>
    <n v="1"/>
    <n v="42.333496716008234"/>
    <n v="29.856000000000002"/>
    <m/>
    <x v="1"/>
    <s v="2WU"/>
    <s v="내창_LS"/>
  </r>
  <r>
    <s v="6CL+12ALC+6CL"/>
    <n v="742"/>
    <n v="1746"/>
    <n v="5"/>
    <x v="1"/>
    <x v="3"/>
    <s v="거실"/>
    <s v="74B"/>
    <n v="5"/>
    <n v="1"/>
    <n v="70.555827860013721"/>
    <n v="49.76"/>
    <m/>
    <x v="1"/>
    <s v="2WU"/>
    <s v="내창_LS"/>
  </r>
  <r>
    <s v="6CL+12ALC+6CL"/>
    <n v="1631"/>
    <n v="1746"/>
    <n v="3"/>
    <x v="1"/>
    <x v="3"/>
    <s v="거실"/>
    <s v="59A"/>
    <n v="3"/>
    <n v="1"/>
    <n v="93.053818253112439"/>
    <n v="40.524000000000001"/>
    <m/>
    <x v="1"/>
    <s v="2WU"/>
    <s v="내창_LS"/>
  </r>
  <r>
    <s v="6CL+12ALC+6CL"/>
    <n v="2231"/>
    <n v="1746"/>
    <n v="5"/>
    <x v="1"/>
    <x v="3"/>
    <s v="거실"/>
    <s v="74B"/>
    <n v="5"/>
    <n v="1"/>
    <n v="212.14292716400354"/>
    <n v="79.540000000000006"/>
    <m/>
    <x v="1"/>
    <s v="2WU"/>
    <s v="내창_LS"/>
  </r>
  <r>
    <s v="5CL/0.76PVB/5CL+10ALC+6EMT178"/>
    <n v="543"/>
    <n v="1745"/>
    <n v="1"/>
    <x v="2"/>
    <x v="4"/>
    <s v="발코니1"/>
    <s v="59B"/>
    <n v="1"/>
    <n v="1"/>
    <n v="10.320720190830965"/>
    <n v="9.1519999999999992"/>
    <m/>
    <x v="0"/>
    <s v="2W"/>
    <s v="단창픽스"/>
  </r>
  <r>
    <s v="5CL/0.76PVB/5CL+10ALC+6EMT178"/>
    <n v="591"/>
    <n v="1748"/>
    <n v="1"/>
    <x v="2"/>
    <x v="4"/>
    <s v="침실2"/>
    <s v="59B"/>
    <n v="1"/>
    <n v="1"/>
    <n v="11.252360879652322"/>
    <n v="9.3559999999999999"/>
    <m/>
    <x v="0"/>
    <s v="2W"/>
    <s v="외창픽스"/>
  </r>
  <r>
    <s v="5CL/0.76PVB/5CL+10ALC+6EMT178"/>
    <n v="591"/>
    <n v="1748"/>
    <n v="1"/>
    <x v="2"/>
    <x v="4"/>
    <s v="침실3"/>
    <s v="59B"/>
    <n v="1"/>
    <n v="1"/>
    <n v="11.252360879652322"/>
    <n v="9.3559999999999999"/>
    <m/>
    <x v="0"/>
    <s v="2W"/>
    <s v="외창픽스"/>
  </r>
  <r>
    <s v="5CL/0.76PVB/5CL+10ALC+6EMT178"/>
    <n v="1646"/>
    <n v="1748"/>
    <n v="1"/>
    <x v="2"/>
    <x v="4"/>
    <s v="거실"/>
    <s v="59B"/>
    <n v="1"/>
    <n v="1"/>
    <n v="31.339062619133202"/>
    <n v="13.576000000000001"/>
    <m/>
    <x v="0"/>
    <s v="2WU"/>
    <s v="외창픽스"/>
  </r>
  <r>
    <s v="6CL+12ALC+6CL"/>
    <n v="285"/>
    <n v="794"/>
    <n v="2"/>
    <x v="2"/>
    <x v="4"/>
    <s v="다용도"/>
    <s v="59B"/>
    <n v="1"/>
    <n v="2"/>
    <n v="4.9295820671176029"/>
    <n v="8.6319999999999997"/>
    <m/>
    <x v="0"/>
    <s v="2W"/>
    <s v="내창"/>
  </r>
  <r>
    <s v="6CL+12ALC+6CL"/>
    <n v="435"/>
    <n v="794"/>
    <n v="2"/>
    <x v="2"/>
    <x v="4"/>
    <s v="주방/식당"/>
    <s v="59B"/>
    <n v="1"/>
    <n v="2"/>
    <n v="7.5240989445479203"/>
    <n v="9.8320000000000007"/>
    <m/>
    <x v="0"/>
    <s v="2W"/>
    <s v="내창"/>
  </r>
  <r>
    <s v="6CL+12ALC+6EMT178"/>
    <n v="291"/>
    <n v="798"/>
    <n v="2"/>
    <x v="2"/>
    <x v="4"/>
    <s v="다용도"/>
    <s v="59B"/>
    <n v="1"/>
    <n v="2"/>
    <n v="5.0587197333594744"/>
    <n v="8.7119999999999997"/>
    <m/>
    <x v="0"/>
    <s v="2W"/>
    <s v="외창"/>
  </r>
  <r>
    <s v="6CL+12ALC+6EMT178"/>
    <n v="441"/>
    <n v="798"/>
    <n v="2"/>
    <x v="2"/>
    <x v="4"/>
    <s v="주방/식당"/>
    <s v="59B"/>
    <n v="1"/>
    <n v="2"/>
    <n v="7.6663072247818844"/>
    <n v="9.9120000000000008"/>
    <m/>
    <x v="0"/>
    <s v="2W"/>
    <s v="외창"/>
  </r>
  <r>
    <s v="6CL+12ALC+6EMT178"/>
    <n v="543"/>
    <n v="1745"/>
    <n v="1"/>
    <x v="2"/>
    <x v="4"/>
    <s v="발코니1"/>
    <s v="59B"/>
    <n v="1"/>
    <n v="1"/>
    <n v="10.320720190830965"/>
    <n v="9.1519999999999992"/>
    <m/>
    <x v="0"/>
    <s v="2W"/>
    <s v="단창밴트"/>
  </r>
  <r>
    <s v="6CL+12ALC+6EMT178"/>
    <n v="591"/>
    <n v="1748"/>
    <n v="1"/>
    <x v="2"/>
    <x v="4"/>
    <s v="침실2"/>
    <s v="59B"/>
    <n v="1"/>
    <n v="1"/>
    <n v="11.252360879652322"/>
    <n v="9.3559999999999999"/>
    <m/>
    <x v="0"/>
    <s v="2W"/>
    <s v="외창밴트"/>
  </r>
  <r>
    <s v="6CL+12ALC+6EMT178"/>
    <n v="591"/>
    <n v="1748"/>
    <n v="1"/>
    <x v="2"/>
    <x v="4"/>
    <s v="침실3"/>
    <s v="59B"/>
    <n v="1"/>
    <n v="1"/>
    <n v="11.252360879652322"/>
    <n v="9.3559999999999999"/>
    <m/>
    <x v="0"/>
    <s v="2W"/>
    <s v="외창밴트"/>
  </r>
  <r>
    <s v="6CL+12ALC+6EMT178"/>
    <n v="742"/>
    <n v="1748"/>
    <n v="1"/>
    <x v="2"/>
    <x v="4"/>
    <s v="거실"/>
    <s v="59B"/>
    <n v="1"/>
    <n v="1"/>
    <n v="14.127329564639632"/>
    <n v="9.9600000000000009"/>
    <m/>
    <x v="0"/>
    <s v="2WU"/>
    <s v="외창밴트"/>
  </r>
  <r>
    <s v="6CL+12ALC+6CL"/>
    <n v="587"/>
    <n v="1746"/>
    <n v="2"/>
    <x v="2"/>
    <x v="4"/>
    <s v="침실2"/>
    <s v="59B"/>
    <n v="1"/>
    <n v="2"/>
    <n v="22.326830702872268"/>
    <n v="18.664000000000001"/>
    <m/>
    <x v="1"/>
    <s v="2W"/>
    <s v="내창_LS"/>
  </r>
  <r>
    <s v="6CL+12ALC+6CL"/>
    <n v="587"/>
    <n v="1746"/>
    <n v="2"/>
    <x v="2"/>
    <x v="4"/>
    <s v="침실3"/>
    <s v="59B"/>
    <n v="1"/>
    <n v="2"/>
    <n v="22.326830702872268"/>
    <n v="18.664000000000001"/>
    <m/>
    <x v="1"/>
    <s v="2W"/>
    <s v="내창_LS"/>
  </r>
  <r>
    <s v="6CL+12ALC+6CL"/>
    <n v="742"/>
    <n v="1746"/>
    <n v="1"/>
    <x v="2"/>
    <x v="4"/>
    <s v="거실"/>
    <s v="59B"/>
    <n v="1"/>
    <n v="1"/>
    <n v="14.111165572002745"/>
    <n v="9.952"/>
    <m/>
    <x v="1"/>
    <s v="2WU"/>
    <s v="내창_LS"/>
  </r>
  <r>
    <s v="6CL+12ALC+6CL"/>
    <n v="1631"/>
    <n v="1746"/>
    <n v="1"/>
    <x v="2"/>
    <x v="4"/>
    <s v="거실"/>
    <s v="59B"/>
    <n v="1"/>
    <n v="1"/>
    <n v="31.017939417704145"/>
    <n v="13.507999999999999"/>
    <m/>
    <x v="1"/>
    <s v="2WU"/>
    <s v="내창_L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D26E14-404B-47B3-9EA5-9A9659055691}" name="피벗 테이블11" cacheId="3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compact="0" compactData="0" multipleFieldFilters="0">
  <location ref="A3:E19" firstHeaderRow="0" firstDataRow="1" firstDataCol="3"/>
  <pivotFields count="16"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>
      <items count="6">
        <item x="0"/>
        <item x="2"/>
        <item x="1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41" outline="0" showAll="0"/>
    <pivotField compact="0" numFmtId="41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3">
    <field x="4"/>
    <field x="5"/>
    <field x="13"/>
  </rowFields>
  <rowItems count="16">
    <i>
      <x/>
      <x/>
      <x/>
    </i>
    <i r="2">
      <x v="1"/>
    </i>
    <i t="default" r="1">
      <x/>
    </i>
    <i t="default">
      <x/>
    </i>
    <i>
      <x v="1"/>
      <x v="3"/>
      <x/>
    </i>
    <i r="2">
      <x v="1"/>
    </i>
    <i t="default" r="1">
      <x v="3"/>
    </i>
    <i t="default">
      <x v="1"/>
    </i>
    <i>
      <x v="2"/>
      <x v="1"/>
      <x v="1"/>
    </i>
    <i t="default" r="1">
      <x v="1"/>
    </i>
    <i r="1">
      <x v="2"/>
      <x/>
    </i>
    <i t="default" r="1">
      <x v="2"/>
    </i>
    <i r="1">
      <x v="4"/>
      <x v="1"/>
    </i>
    <i t="default" r="1">
      <x v="4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수량" fld="3" baseField="0" baseItem="0"/>
    <dataField name="합계 : 평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F4B5-7B50-4949-BC3F-2913D07C5F42}">
  <dimension ref="A1:AS44"/>
  <sheetViews>
    <sheetView workbookViewId="0">
      <selection activeCell="V14" sqref="V14"/>
    </sheetView>
  </sheetViews>
  <sheetFormatPr defaultRowHeight="13.5" x14ac:dyDescent="0.3"/>
  <cols>
    <col min="1" max="1" width="5.625" style="36" customWidth="1"/>
    <col min="2" max="2" width="2.375" style="36" customWidth="1"/>
    <col min="3" max="4" width="5.625" style="36" customWidth="1"/>
    <col min="5" max="5" width="2.375" style="36" customWidth="1"/>
    <col min="6" max="8" width="5.625" style="36" customWidth="1"/>
    <col min="9" max="9" width="2.375" style="36" customWidth="1"/>
    <col min="10" max="11" width="5.625" style="36" customWidth="1"/>
    <col min="12" max="12" width="2.375" style="36" customWidth="1"/>
    <col min="13" max="17" width="5.625" style="36" customWidth="1"/>
    <col min="18" max="18" width="2.375" style="36" customWidth="1"/>
    <col min="19" max="20" width="5.625" style="36" customWidth="1"/>
    <col min="21" max="21" width="2.375" style="36" customWidth="1"/>
    <col min="22" max="25" width="5.625" style="36" customWidth="1"/>
    <col min="26" max="26" width="2.375" style="36" customWidth="1"/>
    <col min="27" max="31" width="5.625" style="36" customWidth="1"/>
    <col min="32" max="32" width="2.375" style="36" customWidth="1"/>
    <col min="33" max="37" width="5.625" style="36" customWidth="1"/>
    <col min="38" max="38" width="2.375" style="36" customWidth="1"/>
    <col min="39" max="40" width="5.625" style="36" customWidth="1"/>
    <col min="41" max="41" width="2.375" style="36" customWidth="1"/>
    <col min="42" max="44" width="5.625" style="36" customWidth="1"/>
    <col min="45" max="45" width="5.875" style="36" bestFit="1" customWidth="1"/>
    <col min="46" max="58" width="5.625" style="36" customWidth="1"/>
    <col min="59" max="16384" width="9" style="36"/>
  </cols>
  <sheetData>
    <row r="1" spans="1:45" ht="41.25" customHeight="1" x14ac:dyDescent="0.3">
      <c r="A1" s="111" t="s">
        <v>100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</row>
    <row r="6" spans="1:45" ht="12" customHeight="1" x14ac:dyDescent="0.3">
      <c r="A6" s="37" t="s">
        <v>101</v>
      </c>
      <c r="AP6" s="37" t="s">
        <v>101</v>
      </c>
      <c r="AR6" s="38" t="s">
        <v>102</v>
      </c>
      <c r="AS6" s="39"/>
    </row>
    <row r="7" spans="1:45" ht="12" customHeight="1" x14ac:dyDescent="0.3">
      <c r="A7" s="37" t="s">
        <v>103</v>
      </c>
      <c r="X7" s="40">
        <v>2903</v>
      </c>
      <c r="Y7" s="41">
        <v>2904</v>
      </c>
      <c r="AP7" s="37" t="s">
        <v>103</v>
      </c>
      <c r="AR7" s="42" t="s">
        <v>23</v>
      </c>
      <c r="AS7" s="36">
        <f>C40+D40+F40+H40+J40+K40+N40+O40+Q40+S40+T40+W40+Y40+AB40+AC40+AE40+AI40+AJ40</f>
        <v>398</v>
      </c>
    </row>
    <row r="8" spans="1:45" ht="12" customHeight="1" x14ac:dyDescent="0.3">
      <c r="A8" s="37" t="s">
        <v>104</v>
      </c>
      <c r="P8" s="40">
        <v>2804</v>
      </c>
      <c r="Q8" s="41">
        <v>2805</v>
      </c>
      <c r="X8" s="40">
        <v>2803</v>
      </c>
      <c r="Y8" s="41">
        <v>2804</v>
      </c>
      <c r="AP8" s="37" t="s">
        <v>104</v>
      </c>
      <c r="AR8" s="43" t="s">
        <v>52</v>
      </c>
      <c r="AS8" s="36">
        <f>G40+M40+P40+V40+X40+AA40+AD40</f>
        <v>151</v>
      </c>
    </row>
    <row r="9" spans="1:45" ht="12" customHeight="1" x14ac:dyDescent="0.3">
      <c r="A9" s="37" t="s">
        <v>105</v>
      </c>
      <c r="P9" s="40">
        <v>2704</v>
      </c>
      <c r="Q9" s="41">
        <v>2705</v>
      </c>
      <c r="X9" s="40">
        <v>2703</v>
      </c>
      <c r="Y9" s="41">
        <v>2704</v>
      </c>
      <c r="AC9" s="41">
        <v>2703</v>
      </c>
      <c r="AD9" s="40">
        <v>2704</v>
      </c>
      <c r="AG9" s="39" t="s">
        <v>106</v>
      </c>
      <c r="AJ9" s="39" t="s">
        <v>107</v>
      </c>
      <c r="AP9" s="37" t="s">
        <v>105</v>
      </c>
      <c r="AR9" s="44" t="s">
        <v>108</v>
      </c>
    </row>
    <row r="10" spans="1:45" ht="12" customHeight="1" x14ac:dyDescent="0.3">
      <c r="A10" s="37" t="s">
        <v>109</v>
      </c>
      <c r="P10" s="40">
        <v>2604</v>
      </c>
      <c r="Q10" s="41">
        <v>2605</v>
      </c>
      <c r="X10" s="40">
        <v>2603</v>
      </c>
      <c r="Y10" s="41">
        <v>2604</v>
      </c>
      <c r="AC10" s="41">
        <v>2603</v>
      </c>
      <c r="AD10" s="40">
        <v>2604</v>
      </c>
      <c r="AG10" s="39" t="s">
        <v>110</v>
      </c>
      <c r="AJ10" s="39" t="s">
        <v>110</v>
      </c>
      <c r="AP10" s="37" t="s">
        <v>109</v>
      </c>
      <c r="AR10" s="45" t="s">
        <v>49</v>
      </c>
      <c r="AS10" s="36">
        <f>AG40+AH40+AK40</f>
        <v>52</v>
      </c>
    </row>
    <row r="11" spans="1:45" ht="12" customHeight="1" x14ac:dyDescent="0.3">
      <c r="A11" s="37" t="s">
        <v>111</v>
      </c>
      <c r="J11" s="41">
        <v>2501</v>
      </c>
      <c r="K11" s="41">
        <v>2502</v>
      </c>
      <c r="P11" s="40">
        <v>2504</v>
      </c>
      <c r="Q11" s="41">
        <v>2505</v>
      </c>
      <c r="X11" s="40">
        <v>2503</v>
      </c>
      <c r="Y11" s="41">
        <v>2504</v>
      </c>
      <c r="AC11" s="41">
        <v>2503</v>
      </c>
      <c r="AD11" s="40">
        <v>2504</v>
      </c>
      <c r="AP11" s="37" t="s">
        <v>111</v>
      </c>
      <c r="AR11" s="46" t="s">
        <v>112</v>
      </c>
    </row>
    <row r="12" spans="1:45" ht="12" customHeight="1" x14ac:dyDescent="0.3">
      <c r="A12" s="37" t="s">
        <v>113</v>
      </c>
      <c r="J12" s="41">
        <v>2401</v>
      </c>
      <c r="K12" s="41">
        <v>2402</v>
      </c>
      <c r="O12" s="41">
        <v>2403</v>
      </c>
      <c r="P12" s="40">
        <v>2404</v>
      </c>
      <c r="Q12" s="41">
        <v>2405</v>
      </c>
      <c r="X12" s="40">
        <v>2403</v>
      </c>
      <c r="Y12" s="41">
        <v>2404</v>
      </c>
      <c r="AC12" s="41">
        <v>2403</v>
      </c>
      <c r="AD12" s="40">
        <v>2404</v>
      </c>
      <c r="AP12" s="37" t="s">
        <v>113</v>
      </c>
      <c r="AR12" s="47" t="s">
        <v>114</v>
      </c>
    </row>
    <row r="13" spans="1:45" ht="12" customHeight="1" x14ac:dyDescent="0.3">
      <c r="A13" s="37" t="s">
        <v>115</v>
      </c>
      <c r="J13" s="41">
        <v>2301</v>
      </c>
      <c r="K13" s="41">
        <v>2302</v>
      </c>
      <c r="O13" s="41">
        <v>2303</v>
      </c>
      <c r="P13" s="40">
        <v>2304</v>
      </c>
      <c r="Q13" s="41">
        <v>2305</v>
      </c>
      <c r="X13" s="40">
        <v>2303</v>
      </c>
      <c r="Y13" s="41">
        <v>2304</v>
      </c>
      <c r="AC13" s="41">
        <v>2303</v>
      </c>
      <c r="AD13" s="40">
        <v>2304</v>
      </c>
      <c r="AP13" s="37" t="s">
        <v>115</v>
      </c>
      <c r="AR13" s="48" t="s">
        <v>116</v>
      </c>
      <c r="AS13" s="36">
        <f>AM40+AN40</f>
        <v>6</v>
      </c>
    </row>
    <row r="14" spans="1:45" ht="12" customHeight="1" x14ac:dyDescent="0.3">
      <c r="A14" s="37" t="s">
        <v>117</v>
      </c>
      <c r="F14" s="41">
        <v>2201</v>
      </c>
      <c r="H14" s="41">
        <v>2203</v>
      </c>
      <c r="J14" s="41">
        <v>2201</v>
      </c>
      <c r="K14" s="41">
        <v>2202</v>
      </c>
      <c r="O14" s="41">
        <v>2203</v>
      </c>
      <c r="P14" s="40">
        <v>2204</v>
      </c>
      <c r="Q14" s="41">
        <v>2205</v>
      </c>
      <c r="S14" s="41">
        <v>2201</v>
      </c>
      <c r="T14" s="41">
        <v>2202</v>
      </c>
      <c r="X14" s="40">
        <v>2203</v>
      </c>
      <c r="Y14" s="41">
        <v>2204</v>
      </c>
      <c r="AC14" s="41">
        <v>2203</v>
      </c>
      <c r="AD14" s="40">
        <v>2204</v>
      </c>
      <c r="AI14" s="41">
        <v>2203</v>
      </c>
      <c r="AJ14" s="41">
        <v>2204</v>
      </c>
      <c r="AK14" s="49">
        <v>2205</v>
      </c>
      <c r="AP14" s="37" t="s">
        <v>117</v>
      </c>
      <c r="AR14" s="50">
        <v>99</v>
      </c>
    </row>
    <row r="15" spans="1:45" ht="12" customHeight="1" x14ac:dyDescent="0.3">
      <c r="A15" s="37" t="s">
        <v>118</v>
      </c>
      <c r="C15" s="41">
        <v>2101</v>
      </c>
      <c r="D15" s="41">
        <v>2102</v>
      </c>
      <c r="F15" s="41">
        <v>2101</v>
      </c>
      <c r="G15" s="40">
        <v>2102</v>
      </c>
      <c r="H15" s="41">
        <v>2103</v>
      </c>
      <c r="J15" s="41">
        <v>2101</v>
      </c>
      <c r="K15" s="41">
        <v>2102</v>
      </c>
      <c r="O15" s="41">
        <v>2103</v>
      </c>
      <c r="P15" s="40">
        <v>2104</v>
      </c>
      <c r="Q15" s="41">
        <v>2105</v>
      </c>
      <c r="S15" s="41">
        <v>2101</v>
      </c>
      <c r="T15" s="41">
        <v>2102</v>
      </c>
      <c r="W15" s="41">
        <v>2102</v>
      </c>
      <c r="X15" s="40">
        <v>2103</v>
      </c>
      <c r="Y15" s="41">
        <v>2104</v>
      </c>
      <c r="AA15" s="40">
        <v>2101</v>
      </c>
      <c r="AB15" s="41">
        <v>2102</v>
      </c>
      <c r="AC15" s="41">
        <v>2103</v>
      </c>
      <c r="AD15" s="40">
        <v>2104</v>
      </c>
      <c r="AI15" s="41">
        <v>2103</v>
      </c>
      <c r="AJ15" s="41">
        <v>2104</v>
      </c>
      <c r="AK15" s="49">
        <v>2105</v>
      </c>
      <c r="AP15" s="37" t="s">
        <v>118</v>
      </c>
      <c r="AR15" s="51">
        <v>125</v>
      </c>
    </row>
    <row r="16" spans="1:45" ht="12" customHeight="1" x14ac:dyDescent="0.3">
      <c r="A16" s="37" t="s">
        <v>119</v>
      </c>
      <c r="C16" s="41">
        <v>2001</v>
      </c>
      <c r="D16" s="41">
        <v>2002</v>
      </c>
      <c r="F16" s="41">
        <v>2001</v>
      </c>
      <c r="G16" s="40">
        <v>2002</v>
      </c>
      <c r="H16" s="41">
        <v>2003</v>
      </c>
      <c r="J16" s="41">
        <v>2001</v>
      </c>
      <c r="K16" s="41">
        <v>2002</v>
      </c>
      <c r="O16" s="41">
        <v>2003</v>
      </c>
      <c r="P16" s="40">
        <v>2004</v>
      </c>
      <c r="Q16" s="41">
        <v>2005</v>
      </c>
      <c r="S16" s="41">
        <v>2001</v>
      </c>
      <c r="T16" s="41">
        <v>2002</v>
      </c>
      <c r="W16" s="41">
        <v>2002</v>
      </c>
      <c r="X16" s="40">
        <v>2003</v>
      </c>
      <c r="Y16" s="41">
        <v>2004</v>
      </c>
      <c r="AA16" s="40">
        <v>2001</v>
      </c>
      <c r="AB16" s="41">
        <v>2002</v>
      </c>
      <c r="AC16" s="41">
        <v>2003</v>
      </c>
      <c r="AD16" s="40">
        <v>2004</v>
      </c>
      <c r="AI16" s="41">
        <v>2003</v>
      </c>
      <c r="AJ16" s="41">
        <v>2004</v>
      </c>
      <c r="AK16" s="49">
        <v>2005</v>
      </c>
      <c r="AP16" s="37" t="s">
        <v>119</v>
      </c>
      <c r="AS16" s="36">
        <f>SUM(AS7:AS15)</f>
        <v>607</v>
      </c>
    </row>
    <row r="17" spans="1:45" ht="12" customHeight="1" x14ac:dyDescent="0.3">
      <c r="A17" s="37" t="s">
        <v>120</v>
      </c>
      <c r="C17" s="41">
        <v>1901</v>
      </c>
      <c r="D17" s="41">
        <v>1902</v>
      </c>
      <c r="F17" s="41">
        <v>1901</v>
      </c>
      <c r="G17" s="40">
        <v>1902</v>
      </c>
      <c r="H17" s="41">
        <v>1903</v>
      </c>
      <c r="J17" s="41">
        <v>1901</v>
      </c>
      <c r="K17" s="41">
        <v>1902</v>
      </c>
      <c r="O17" s="41">
        <v>1903</v>
      </c>
      <c r="P17" s="40">
        <v>1904</v>
      </c>
      <c r="Q17" s="41">
        <v>1905</v>
      </c>
      <c r="S17" s="41">
        <v>1901</v>
      </c>
      <c r="T17" s="41">
        <v>1902</v>
      </c>
      <c r="W17" s="41">
        <v>1902</v>
      </c>
      <c r="X17" s="40">
        <v>1903</v>
      </c>
      <c r="Y17" s="41">
        <v>1904</v>
      </c>
      <c r="AA17" s="40">
        <v>1901</v>
      </c>
      <c r="AB17" s="41">
        <v>1902</v>
      </c>
      <c r="AC17" s="41">
        <v>1903</v>
      </c>
      <c r="AD17" s="40">
        <v>1904</v>
      </c>
      <c r="AE17" s="41">
        <v>1905</v>
      </c>
      <c r="AI17" s="41">
        <v>1903</v>
      </c>
      <c r="AJ17" s="41">
        <v>1904</v>
      </c>
      <c r="AK17" s="49">
        <v>1905</v>
      </c>
      <c r="AP17" s="37" t="s">
        <v>120</v>
      </c>
    </row>
    <row r="18" spans="1:45" ht="12" customHeight="1" thickBot="1" x14ac:dyDescent="0.35">
      <c r="A18" s="37" t="s">
        <v>121</v>
      </c>
      <c r="C18" s="41">
        <v>1801</v>
      </c>
      <c r="D18" s="41">
        <v>1802</v>
      </c>
      <c r="F18" s="41">
        <v>1801</v>
      </c>
      <c r="G18" s="40">
        <v>1802</v>
      </c>
      <c r="H18" s="41">
        <v>1803</v>
      </c>
      <c r="J18" s="41">
        <v>1801</v>
      </c>
      <c r="K18" s="41">
        <v>1802</v>
      </c>
      <c r="N18" s="41">
        <v>1802</v>
      </c>
      <c r="O18" s="41">
        <v>1803</v>
      </c>
      <c r="P18" s="40">
        <v>1804</v>
      </c>
      <c r="Q18" s="41">
        <v>1805</v>
      </c>
      <c r="S18" s="41">
        <v>1801</v>
      </c>
      <c r="T18" s="41">
        <v>1802</v>
      </c>
      <c r="W18" s="41">
        <v>1802</v>
      </c>
      <c r="X18" s="40">
        <v>1803</v>
      </c>
      <c r="Y18" s="41">
        <v>1804</v>
      </c>
      <c r="AA18" s="40">
        <v>1801</v>
      </c>
      <c r="AB18" s="41">
        <v>1802</v>
      </c>
      <c r="AC18" s="41">
        <v>1803</v>
      </c>
      <c r="AD18" s="40">
        <v>1804</v>
      </c>
      <c r="AE18" s="41">
        <v>1805</v>
      </c>
      <c r="AI18" s="41">
        <v>1803</v>
      </c>
      <c r="AJ18" s="41">
        <v>1804</v>
      </c>
      <c r="AK18" s="49">
        <v>1805</v>
      </c>
      <c r="AP18" s="37" t="s">
        <v>121</v>
      </c>
    </row>
    <row r="19" spans="1:45" ht="12" customHeight="1" thickTop="1" thickBot="1" x14ac:dyDescent="0.35">
      <c r="A19" s="37" t="s">
        <v>122</v>
      </c>
      <c r="C19" s="41">
        <v>1701</v>
      </c>
      <c r="D19" s="41">
        <v>1702</v>
      </c>
      <c r="F19" s="41">
        <v>1701</v>
      </c>
      <c r="G19" s="40">
        <v>1702</v>
      </c>
      <c r="H19" s="41">
        <v>1703</v>
      </c>
      <c r="J19" s="41">
        <v>1701</v>
      </c>
      <c r="K19" s="41">
        <v>1702</v>
      </c>
      <c r="N19" s="41">
        <v>1702</v>
      </c>
      <c r="O19" s="41">
        <v>1703</v>
      </c>
      <c r="P19" s="40">
        <v>1704</v>
      </c>
      <c r="Q19" s="41">
        <v>1705</v>
      </c>
      <c r="S19" s="41">
        <v>1701</v>
      </c>
      <c r="T19" s="41">
        <v>1702</v>
      </c>
      <c r="W19" s="41">
        <v>1702</v>
      </c>
      <c r="X19" s="40">
        <v>1703</v>
      </c>
      <c r="Y19" s="41">
        <v>1704</v>
      </c>
      <c r="AA19" s="40">
        <v>1701</v>
      </c>
      <c r="AB19" s="41">
        <v>1702</v>
      </c>
      <c r="AC19" s="41">
        <v>1703</v>
      </c>
      <c r="AD19" s="40">
        <v>1704</v>
      </c>
      <c r="AE19" s="41">
        <v>1705</v>
      </c>
      <c r="AI19" s="41">
        <v>1703</v>
      </c>
      <c r="AJ19" s="41">
        <v>1704</v>
      </c>
      <c r="AK19" s="49">
        <v>1705</v>
      </c>
      <c r="AP19" s="37" t="s">
        <v>122</v>
      </c>
      <c r="AR19" s="52"/>
      <c r="AS19" s="39" t="s">
        <v>123</v>
      </c>
    </row>
    <row r="20" spans="1:45" ht="12" customHeight="1" thickTop="1" thickBot="1" x14ac:dyDescent="0.35">
      <c r="A20" s="37" t="s">
        <v>124</v>
      </c>
      <c r="C20" s="41">
        <v>1601</v>
      </c>
      <c r="D20" s="41">
        <v>1602</v>
      </c>
      <c r="F20" s="41">
        <v>1601</v>
      </c>
      <c r="G20" s="40">
        <v>1602</v>
      </c>
      <c r="H20" s="41">
        <v>1603</v>
      </c>
      <c r="J20" s="41">
        <v>1601</v>
      </c>
      <c r="K20" s="41">
        <v>1602</v>
      </c>
      <c r="N20" s="41">
        <v>1602</v>
      </c>
      <c r="O20" s="41">
        <v>1603</v>
      </c>
      <c r="P20" s="40">
        <v>1604</v>
      </c>
      <c r="Q20" s="41">
        <v>1605</v>
      </c>
      <c r="S20" s="41">
        <v>1601</v>
      </c>
      <c r="T20" s="41">
        <v>1602</v>
      </c>
      <c r="W20" s="41">
        <v>1602</v>
      </c>
      <c r="X20" s="40">
        <v>1603</v>
      </c>
      <c r="Y20" s="41">
        <v>1604</v>
      </c>
      <c r="AA20" s="40">
        <v>1601</v>
      </c>
      <c r="AB20" s="41">
        <v>1602</v>
      </c>
      <c r="AC20" s="41">
        <v>1603</v>
      </c>
      <c r="AD20" s="40">
        <v>1604</v>
      </c>
      <c r="AE20" s="41">
        <v>1605</v>
      </c>
      <c r="AG20" s="49">
        <v>1601</v>
      </c>
      <c r="AI20" s="41">
        <v>1603</v>
      </c>
      <c r="AJ20" s="41">
        <v>1604</v>
      </c>
      <c r="AK20" s="49">
        <v>1605</v>
      </c>
      <c r="AP20" s="37" t="s">
        <v>124</v>
      </c>
    </row>
    <row r="21" spans="1:45" ht="12" customHeight="1" thickTop="1" thickBot="1" x14ac:dyDescent="0.35">
      <c r="A21" s="37" t="s">
        <v>125</v>
      </c>
      <c r="C21" s="53">
        <v>1501</v>
      </c>
      <c r="D21" s="53">
        <v>1502</v>
      </c>
      <c r="F21" s="41">
        <v>1501</v>
      </c>
      <c r="G21" s="40">
        <v>1502</v>
      </c>
      <c r="H21" s="41">
        <v>1503</v>
      </c>
      <c r="J21" s="41">
        <v>1501</v>
      </c>
      <c r="K21" s="41">
        <v>1502</v>
      </c>
      <c r="N21" s="41">
        <v>1502</v>
      </c>
      <c r="O21" s="41">
        <v>1503</v>
      </c>
      <c r="P21" s="40">
        <v>1504</v>
      </c>
      <c r="Q21" s="41">
        <v>1505</v>
      </c>
      <c r="S21" s="41">
        <v>1501</v>
      </c>
      <c r="T21" s="41">
        <v>1502</v>
      </c>
      <c r="V21" s="40">
        <v>1501</v>
      </c>
      <c r="W21" s="41">
        <v>1502</v>
      </c>
      <c r="X21" s="40">
        <v>1503</v>
      </c>
      <c r="Y21" s="41">
        <v>1504</v>
      </c>
      <c r="AA21" s="40">
        <v>1501</v>
      </c>
      <c r="AB21" s="41">
        <v>1502</v>
      </c>
      <c r="AC21" s="41">
        <v>1503</v>
      </c>
      <c r="AD21" s="40">
        <v>1504</v>
      </c>
      <c r="AE21" s="41">
        <v>1505</v>
      </c>
      <c r="AG21" s="49">
        <v>1501</v>
      </c>
      <c r="AI21" s="41">
        <v>1503</v>
      </c>
      <c r="AJ21" s="41">
        <v>1504</v>
      </c>
      <c r="AK21" s="49">
        <v>1505</v>
      </c>
      <c r="AP21" s="37" t="s">
        <v>125</v>
      </c>
      <c r="AR21" s="54"/>
      <c r="AS21" s="39" t="s">
        <v>126</v>
      </c>
    </row>
    <row r="22" spans="1:45" ht="12" customHeight="1" thickTop="1" x14ac:dyDescent="0.3">
      <c r="A22" s="37" t="s">
        <v>127</v>
      </c>
      <c r="C22" s="124">
        <v>1401</v>
      </c>
      <c r="D22" s="125">
        <v>1402</v>
      </c>
      <c r="F22" s="41">
        <v>1401</v>
      </c>
      <c r="G22" s="40">
        <v>1402</v>
      </c>
      <c r="H22" s="41">
        <v>1403</v>
      </c>
      <c r="J22" s="41">
        <v>1401</v>
      </c>
      <c r="K22" s="41">
        <v>1402</v>
      </c>
      <c r="N22" s="41">
        <v>1402</v>
      </c>
      <c r="O22" s="41">
        <v>1403</v>
      </c>
      <c r="P22" s="40">
        <v>1404</v>
      </c>
      <c r="Q22" s="41">
        <v>1405</v>
      </c>
      <c r="S22" s="41">
        <v>1401</v>
      </c>
      <c r="T22" s="41">
        <v>1402</v>
      </c>
      <c r="V22" s="40">
        <v>1401</v>
      </c>
      <c r="W22" s="41">
        <v>1402</v>
      </c>
      <c r="X22" s="40">
        <v>1403</v>
      </c>
      <c r="Y22" s="41">
        <v>1404</v>
      </c>
      <c r="AA22" s="40">
        <v>1401</v>
      </c>
      <c r="AB22" s="41">
        <v>1402</v>
      </c>
      <c r="AC22" s="41">
        <v>1403</v>
      </c>
      <c r="AD22" s="40">
        <v>1404</v>
      </c>
      <c r="AE22" s="41">
        <v>1405</v>
      </c>
      <c r="AG22" s="49">
        <v>1401</v>
      </c>
      <c r="AI22" s="41">
        <v>1403</v>
      </c>
      <c r="AJ22" s="41">
        <v>1404</v>
      </c>
      <c r="AK22" s="49">
        <v>1405</v>
      </c>
      <c r="AP22" s="37" t="s">
        <v>127</v>
      </c>
    </row>
    <row r="23" spans="1:45" ht="12" customHeight="1" x14ac:dyDescent="0.3">
      <c r="A23" s="37" t="s">
        <v>128</v>
      </c>
      <c r="C23" s="59">
        <v>1301</v>
      </c>
      <c r="D23" s="60">
        <v>1302</v>
      </c>
      <c r="F23" s="41">
        <v>1301</v>
      </c>
      <c r="G23" s="40">
        <v>1302</v>
      </c>
      <c r="H23" s="41">
        <v>1303</v>
      </c>
      <c r="J23" s="41">
        <v>1301</v>
      </c>
      <c r="K23" s="41">
        <v>1302</v>
      </c>
      <c r="N23" s="41">
        <v>1302</v>
      </c>
      <c r="O23" s="41">
        <v>1303</v>
      </c>
      <c r="P23" s="40">
        <v>1304</v>
      </c>
      <c r="Q23" s="41">
        <v>1305</v>
      </c>
      <c r="S23" s="41">
        <v>1301</v>
      </c>
      <c r="T23" s="41">
        <v>1302</v>
      </c>
      <c r="V23" s="40">
        <v>1301</v>
      </c>
      <c r="W23" s="41">
        <v>1302</v>
      </c>
      <c r="X23" s="40">
        <v>1303</v>
      </c>
      <c r="Y23" s="41">
        <v>1304</v>
      </c>
      <c r="AA23" s="40">
        <v>1301</v>
      </c>
      <c r="AB23" s="41">
        <v>1302</v>
      </c>
      <c r="AC23" s="41">
        <v>1303</v>
      </c>
      <c r="AD23" s="40">
        <v>1304</v>
      </c>
      <c r="AE23" s="41">
        <v>1305</v>
      </c>
      <c r="AG23" s="49">
        <v>1301</v>
      </c>
      <c r="AI23" s="41">
        <v>1303</v>
      </c>
      <c r="AJ23" s="41">
        <v>1304</v>
      </c>
      <c r="AK23" s="49">
        <v>1305</v>
      </c>
      <c r="AP23" s="37" t="s">
        <v>128</v>
      </c>
    </row>
    <row r="24" spans="1:45" ht="12" customHeight="1" x14ac:dyDescent="0.3">
      <c r="A24" s="37" t="s">
        <v>129</v>
      </c>
      <c r="C24" s="59">
        <v>1201</v>
      </c>
      <c r="D24" s="60">
        <v>1202</v>
      </c>
      <c r="F24" s="41">
        <v>1201</v>
      </c>
      <c r="G24" s="40">
        <v>1202</v>
      </c>
      <c r="H24" s="41">
        <v>1203</v>
      </c>
      <c r="J24" s="41">
        <v>1201</v>
      </c>
      <c r="K24" s="41">
        <v>1202</v>
      </c>
      <c r="M24" s="40">
        <v>1201</v>
      </c>
      <c r="N24" s="41">
        <v>1202</v>
      </c>
      <c r="O24" s="41">
        <v>1203</v>
      </c>
      <c r="P24" s="40">
        <v>1204</v>
      </c>
      <c r="Q24" s="41">
        <v>1205</v>
      </c>
      <c r="S24" s="41">
        <v>1201</v>
      </c>
      <c r="T24" s="41">
        <v>1202</v>
      </c>
      <c r="V24" s="40">
        <v>1201</v>
      </c>
      <c r="W24" s="41">
        <v>1202</v>
      </c>
      <c r="X24" s="40">
        <v>1203</v>
      </c>
      <c r="Y24" s="41">
        <v>1204</v>
      </c>
      <c r="AA24" s="40">
        <v>1201</v>
      </c>
      <c r="AB24" s="41">
        <v>1202</v>
      </c>
      <c r="AC24" s="41">
        <v>1203</v>
      </c>
      <c r="AD24" s="40">
        <v>1204</v>
      </c>
      <c r="AE24" s="41">
        <v>1205</v>
      </c>
      <c r="AG24" s="49">
        <v>1201</v>
      </c>
      <c r="AH24" s="49">
        <v>1202</v>
      </c>
      <c r="AI24" s="41">
        <v>1203</v>
      </c>
      <c r="AJ24" s="41">
        <v>1204</v>
      </c>
      <c r="AK24" s="49">
        <v>1205</v>
      </c>
      <c r="AP24" s="37" t="s">
        <v>129</v>
      </c>
    </row>
    <row r="25" spans="1:45" ht="12" customHeight="1" thickBot="1" x14ac:dyDescent="0.35">
      <c r="A25" s="37" t="s">
        <v>130</v>
      </c>
      <c r="C25" s="59">
        <v>1101</v>
      </c>
      <c r="D25" s="60">
        <v>1102</v>
      </c>
      <c r="F25" s="41">
        <v>1101</v>
      </c>
      <c r="G25" s="40">
        <v>1102</v>
      </c>
      <c r="H25" s="41">
        <v>1103</v>
      </c>
      <c r="J25" s="41">
        <v>1101</v>
      </c>
      <c r="K25" s="41">
        <v>1102</v>
      </c>
      <c r="M25" s="40">
        <v>1101</v>
      </c>
      <c r="N25" s="41">
        <v>1102</v>
      </c>
      <c r="O25" s="41">
        <v>1103</v>
      </c>
      <c r="P25" s="40">
        <v>1104</v>
      </c>
      <c r="Q25" s="41">
        <v>1105</v>
      </c>
      <c r="S25" s="41">
        <v>1101</v>
      </c>
      <c r="T25" s="41">
        <v>1102</v>
      </c>
      <c r="V25" s="55">
        <v>1101</v>
      </c>
      <c r="W25" s="53">
        <v>1102</v>
      </c>
      <c r="X25" s="55">
        <v>1103</v>
      </c>
      <c r="Y25" s="53">
        <v>1104</v>
      </c>
      <c r="AA25" s="40">
        <v>1101</v>
      </c>
      <c r="AB25" s="41">
        <v>1102</v>
      </c>
      <c r="AC25" s="41">
        <v>1103</v>
      </c>
      <c r="AD25" s="40">
        <v>1104</v>
      </c>
      <c r="AE25" s="41">
        <v>1105</v>
      </c>
      <c r="AG25" s="56">
        <v>1101</v>
      </c>
      <c r="AH25" s="56">
        <v>1102</v>
      </c>
      <c r="AI25" s="53">
        <v>1103</v>
      </c>
      <c r="AJ25" s="53">
        <v>1104</v>
      </c>
      <c r="AK25" s="56">
        <v>1105</v>
      </c>
      <c r="AP25" s="37" t="s">
        <v>130</v>
      </c>
    </row>
    <row r="26" spans="1:45" ht="12" customHeight="1" thickTop="1" thickBot="1" x14ac:dyDescent="0.35">
      <c r="A26" s="37" t="s">
        <v>131</v>
      </c>
      <c r="C26" s="61">
        <v>1001</v>
      </c>
      <c r="D26" s="62">
        <v>1002</v>
      </c>
      <c r="F26" s="41">
        <v>1001</v>
      </c>
      <c r="G26" s="40">
        <v>1002</v>
      </c>
      <c r="H26" s="41">
        <v>1003</v>
      </c>
      <c r="J26" s="53">
        <v>1001</v>
      </c>
      <c r="K26" s="53">
        <v>1002</v>
      </c>
      <c r="M26" s="40">
        <v>1001</v>
      </c>
      <c r="N26" s="41">
        <v>1002</v>
      </c>
      <c r="O26" s="41">
        <v>1003</v>
      </c>
      <c r="P26" s="40">
        <v>1004</v>
      </c>
      <c r="Q26" s="41">
        <v>1005</v>
      </c>
      <c r="S26" s="41">
        <v>1001</v>
      </c>
      <c r="T26" s="41">
        <v>1002</v>
      </c>
      <c r="V26" s="126">
        <v>1001</v>
      </c>
      <c r="W26" s="127">
        <v>1002</v>
      </c>
      <c r="X26" s="128">
        <v>1003</v>
      </c>
      <c r="Y26" s="125">
        <v>1004</v>
      </c>
      <c r="AA26" s="55">
        <v>1001</v>
      </c>
      <c r="AB26" s="53">
        <v>1002</v>
      </c>
      <c r="AC26" s="53">
        <v>1003</v>
      </c>
      <c r="AD26" s="55">
        <v>1004</v>
      </c>
      <c r="AE26" s="53">
        <v>1005</v>
      </c>
      <c r="AG26" s="130">
        <v>1001</v>
      </c>
      <c r="AH26" s="131">
        <v>1002</v>
      </c>
      <c r="AI26" s="127">
        <v>1003</v>
      </c>
      <c r="AJ26" s="127">
        <v>1004</v>
      </c>
      <c r="AK26" s="132">
        <v>1005</v>
      </c>
      <c r="AP26" s="37" t="s">
        <v>131</v>
      </c>
    </row>
    <row r="27" spans="1:45" ht="12" customHeight="1" thickTop="1" x14ac:dyDescent="0.3">
      <c r="A27" s="37" t="s">
        <v>132</v>
      </c>
      <c r="C27" s="57">
        <v>901</v>
      </c>
      <c r="D27" s="58">
        <v>902</v>
      </c>
      <c r="F27" s="41">
        <v>901</v>
      </c>
      <c r="G27" s="40">
        <v>902</v>
      </c>
      <c r="H27" s="41">
        <v>903</v>
      </c>
      <c r="J27" s="124">
        <v>901</v>
      </c>
      <c r="K27" s="125">
        <v>902</v>
      </c>
      <c r="M27" s="40">
        <v>901</v>
      </c>
      <c r="N27" s="41">
        <v>902</v>
      </c>
      <c r="O27" s="41">
        <v>903</v>
      </c>
      <c r="P27" s="40">
        <v>904</v>
      </c>
      <c r="Q27" s="41">
        <v>905</v>
      </c>
      <c r="S27" s="41">
        <v>901</v>
      </c>
      <c r="T27" s="41">
        <v>902</v>
      </c>
      <c r="V27" s="74">
        <v>901</v>
      </c>
      <c r="W27" s="41">
        <v>902</v>
      </c>
      <c r="X27" s="40">
        <v>903</v>
      </c>
      <c r="Y27" s="60">
        <v>904</v>
      </c>
      <c r="AA27" s="126">
        <v>901</v>
      </c>
      <c r="AB27" s="127">
        <v>902</v>
      </c>
      <c r="AC27" s="127">
        <v>903</v>
      </c>
      <c r="AD27" s="128">
        <v>904</v>
      </c>
      <c r="AE27" s="125">
        <v>905</v>
      </c>
      <c r="AG27" s="75">
        <v>901</v>
      </c>
      <c r="AH27" s="49">
        <v>902</v>
      </c>
      <c r="AI27" s="41">
        <v>903</v>
      </c>
      <c r="AJ27" s="41">
        <v>904</v>
      </c>
      <c r="AK27" s="76">
        <v>905</v>
      </c>
      <c r="AP27" s="37" t="s">
        <v>132</v>
      </c>
    </row>
    <row r="28" spans="1:45" ht="12" customHeight="1" x14ac:dyDescent="0.3">
      <c r="A28" s="37" t="s">
        <v>133</v>
      </c>
      <c r="C28" s="59">
        <v>801</v>
      </c>
      <c r="D28" s="60">
        <v>802</v>
      </c>
      <c r="F28" s="41">
        <v>801</v>
      </c>
      <c r="G28" s="40">
        <v>802</v>
      </c>
      <c r="H28" s="41">
        <v>803</v>
      </c>
      <c r="J28" s="59">
        <v>801</v>
      </c>
      <c r="K28" s="60">
        <v>802</v>
      </c>
      <c r="M28" s="40">
        <v>801</v>
      </c>
      <c r="N28" s="41">
        <v>802</v>
      </c>
      <c r="O28" s="41">
        <v>803</v>
      </c>
      <c r="P28" s="40">
        <v>804</v>
      </c>
      <c r="Q28" s="41">
        <v>805</v>
      </c>
      <c r="S28" s="41">
        <v>801</v>
      </c>
      <c r="T28" s="41">
        <v>802</v>
      </c>
      <c r="V28" s="74">
        <v>801</v>
      </c>
      <c r="W28" s="41">
        <v>802</v>
      </c>
      <c r="X28" s="40">
        <v>803</v>
      </c>
      <c r="Y28" s="60">
        <v>804</v>
      </c>
      <c r="AA28" s="74">
        <v>801</v>
      </c>
      <c r="AB28" s="41">
        <v>802</v>
      </c>
      <c r="AC28" s="41">
        <v>803</v>
      </c>
      <c r="AD28" s="40">
        <v>804</v>
      </c>
      <c r="AE28" s="60">
        <v>805</v>
      </c>
      <c r="AG28" s="75">
        <v>801</v>
      </c>
      <c r="AH28" s="49">
        <v>802</v>
      </c>
      <c r="AI28" s="41">
        <v>803</v>
      </c>
      <c r="AJ28" s="41">
        <v>804</v>
      </c>
      <c r="AK28" s="76">
        <v>805</v>
      </c>
      <c r="AP28" s="37" t="s">
        <v>133</v>
      </c>
    </row>
    <row r="29" spans="1:45" ht="12" customHeight="1" x14ac:dyDescent="0.3">
      <c r="A29" s="37" t="s">
        <v>134</v>
      </c>
      <c r="C29" s="59">
        <v>701</v>
      </c>
      <c r="D29" s="60">
        <v>702</v>
      </c>
      <c r="F29" s="41">
        <v>701</v>
      </c>
      <c r="G29" s="40">
        <v>702</v>
      </c>
      <c r="H29" s="41">
        <v>703</v>
      </c>
      <c r="J29" s="59">
        <v>701</v>
      </c>
      <c r="K29" s="60">
        <v>702</v>
      </c>
      <c r="M29" s="40">
        <v>701</v>
      </c>
      <c r="N29" s="41">
        <v>702</v>
      </c>
      <c r="O29" s="41">
        <v>703</v>
      </c>
      <c r="P29" s="40">
        <v>704</v>
      </c>
      <c r="Q29" s="41">
        <v>705</v>
      </c>
      <c r="S29" s="41">
        <v>701</v>
      </c>
      <c r="T29" s="41">
        <v>702</v>
      </c>
      <c r="V29" s="74">
        <v>701</v>
      </c>
      <c r="W29" s="41">
        <v>702</v>
      </c>
      <c r="X29" s="40">
        <v>703</v>
      </c>
      <c r="Y29" s="60">
        <v>704</v>
      </c>
      <c r="AA29" s="74">
        <v>701</v>
      </c>
      <c r="AB29" s="41">
        <v>702</v>
      </c>
      <c r="AC29" s="41">
        <v>703</v>
      </c>
      <c r="AD29" s="40">
        <v>704</v>
      </c>
      <c r="AE29" s="60">
        <v>705</v>
      </c>
      <c r="AG29" s="75">
        <v>701</v>
      </c>
      <c r="AH29" s="49">
        <v>702</v>
      </c>
      <c r="AI29" s="41">
        <v>703</v>
      </c>
      <c r="AJ29" s="41">
        <v>704</v>
      </c>
      <c r="AK29" s="76">
        <v>705</v>
      </c>
      <c r="AP29" s="37" t="s">
        <v>134</v>
      </c>
    </row>
    <row r="30" spans="1:45" ht="12" customHeight="1" thickBot="1" x14ac:dyDescent="0.35">
      <c r="A30" s="37" t="s">
        <v>135</v>
      </c>
      <c r="C30" s="59">
        <v>601</v>
      </c>
      <c r="D30" s="60">
        <v>602</v>
      </c>
      <c r="F30" s="41">
        <v>601</v>
      </c>
      <c r="G30" s="40">
        <v>602</v>
      </c>
      <c r="H30" s="41">
        <v>603</v>
      </c>
      <c r="J30" s="59">
        <v>601</v>
      </c>
      <c r="K30" s="60">
        <v>602</v>
      </c>
      <c r="M30" s="40">
        <v>601</v>
      </c>
      <c r="N30" s="41">
        <v>602</v>
      </c>
      <c r="O30" s="41">
        <v>603</v>
      </c>
      <c r="P30" s="40">
        <v>604</v>
      </c>
      <c r="Q30" s="41">
        <v>605</v>
      </c>
      <c r="S30" s="41">
        <v>601</v>
      </c>
      <c r="T30" s="41">
        <v>602</v>
      </c>
      <c r="V30" s="129">
        <v>601</v>
      </c>
      <c r="W30" s="98">
        <v>602</v>
      </c>
      <c r="X30" s="99">
        <v>603</v>
      </c>
      <c r="Y30" s="62">
        <v>604</v>
      </c>
      <c r="AA30" s="74">
        <v>601</v>
      </c>
      <c r="AB30" s="41">
        <v>602</v>
      </c>
      <c r="AC30" s="41">
        <v>603</v>
      </c>
      <c r="AD30" s="40">
        <v>604</v>
      </c>
      <c r="AE30" s="60">
        <v>605</v>
      </c>
      <c r="AG30" s="103">
        <v>601</v>
      </c>
      <c r="AH30" s="133">
        <v>602</v>
      </c>
      <c r="AI30" s="98">
        <v>603</v>
      </c>
      <c r="AJ30" s="98">
        <v>604</v>
      </c>
      <c r="AK30" s="106">
        <v>605</v>
      </c>
      <c r="AP30" s="37" t="s">
        <v>135</v>
      </c>
    </row>
    <row r="31" spans="1:45" ht="12" customHeight="1" thickTop="1" thickBot="1" x14ac:dyDescent="0.35">
      <c r="A31" s="37" t="s">
        <v>136</v>
      </c>
      <c r="C31" s="61">
        <v>501</v>
      </c>
      <c r="D31" s="62">
        <v>502</v>
      </c>
      <c r="F31" s="53">
        <v>501</v>
      </c>
      <c r="G31" s="55">
        <v>502</v>
      </c>
      <c r="H31" s="53">
        <v>503</v>
      </c>
      <c r="J31" s="61">
        <v>501</v>
      </c>
      <c r="K31" s="62">
        <v>502</v>
      </c>
      <c r="M31" s="55">
        <v>501</v>
      </c>
      <c r="N31" s="53">
        <v>502</v>
      </c>
      <c r="O31" s="53">
        <v>503</v>
      </c>
      <c r="P31" s="55">
        <v>504</v>
      </c>
      <c r="Q31" s="53">
        <v>505</v>
      </c>
      <c r="S31" s="53">
        <v>501</v>
      </c>
      <c r="T31" s="53">
        <v>502</v>
      </c>
      <c r="V31" s="63">
        <v>501</v>
      </c>
      <c r="W31" s="64">
        <v>502</v>
      </c>
      <c r="X31" s="65">
        <v>503</v>
      </c>
      <c r="Y31" s="58">
        <v>504</v>
      </c>
      <c r="AA31" s="129">
        <v>501</v>
      </c>
      <c r="AB31" s="98">
        <v>502</v>
      </c>
      <c r="AC31" s="98">
        <v>503</v>
      </c>
      <c r="AD31" s="99">
        <v>504</v>
      </c>
      <c r="AE31" s="62">
        <v>505</v>
      </c>
      <c r="AG31" s="66">
        <v>501</v>
      </c>
      <c r="AH31" s="67">
        <v>502</v>
      </c>
      <c r="AI31" s="64">
        <v>503</v>
      </c>
      <c r="AJ31" s="64">
        <v>504</v>
      </c>
      <c r="AK31" s="68">
        <v>505</v>
      </c>
      <c r="AP31" s="37" t="s">
        <v>136</v>
      </c>
    </row>
    <row r="32" spans="1:45" ht="12" customHeight="1" thickTop="1" x14ac:dyDescent="0.3">
      <c r="A32" s="37" t="s">
        <v>137</v>
      </c>
      <c r="C32" s="57">
        <v>401</v>
      </c>
      <c r="D32" s="58">
        <v>402</v>
      </c>
      <c r="F32" s="69">
        <v>401</v>
      </c>
      <c r="G32" s="70">
        <v>402</v>
      </c>
      <c r="H32" s="71">
        <v>403</v>
      </c>
      <c r="J32" s="72">
        <v>401</v>
      </c>
      <c r="K32" s="73">
        <v>402</v>
      </c>
      <c r="M32" s="126">
        <v>401</v>
      </c>
      <c r="N32" s="127">
        <v>402</v>
      </c>
      <c r="O32" s="127">
        <v>403</v>
      </c>
      <c r="P32" s="128">
        <v>404</v>
      </c>
      <c r="Q32" s="125">
        <v>405</v>
      </c>
      <c r="S32" s="124">
        <v>401</v>
      </c>
      <c r="T32" s="125">
        <v>402</v>
      </c>
      <c r="V32" s="74">
        <v>401</v>
      </c>
      <c r="W32" s="41">
        <v>402</v>
      </c>
      <c r="X32" s="40">
        <v>403</v>
      </c>
      <c r="Y32" s="60">
        <v>404</v>
      </c>
      <c r="AA32" s="63">
        <v>401</v>
      </c>
      <c r="AB32" s="64">
        <v>402</v>
      </c>
      <c r="AC32" s="64">
        <v>403</v>
      </c>
      <c r="AD32" s="65">
        <v>404</v>
      </c>
      <c r="AE32" s="58">
        <v>405</v>
      </c>
      <c r="AG32" s="75">
        <v>401</v>
      </c>
      <c r="AH32" s="49">
        <v>402</v>
      </c>
      <c r="AI32" s="41">
        <v>403</v>
      </c>
      <c r="AJ32" s="41">
        <v>404</v>
      </c>
      <c r="AK32" s="76">
        <v>405</v>
      </c>
      <c r="AP32" s="37" t="s">
        <v>137</v>
      </c>
    </row>
    <row r="33" spans="1:42" ht="12" customHeight="1" thickBot="1" x14ac:dyDescent="0.35">
      <c r="A33" s="37" t="s">
        <v>138</v>
      </c>
      <c r="C33" s="59">
        <v>301</v>
      </c>
      <c r="D33" s="60">
        <v>302</v>
      </c>
      <c r="F33" s="77">
        <v>301</v>
      </c>
      <c r="G33" s="40">
        <v>302</v>
      </c>
      <c r="H33" s="78">
        <v>303</v>
      </c>
      <c r="J33" s="79">
        <v>301</v>
      </c>
      <c r="K33" s="80">
        <v>302</v>
      </c>
      <c r="M33" s="74">
        <v>301</v>
      </c>
      <c r="N33" s="41">
        <v>302</v>
      </c>
      <c r="O33" s="41">
        <v>303</v>
      </c>
      <c r="P33" s="40">
        <v>304</v>
      </c>
      <c r="Q33" s="60">
        <v>305</v>
      </c>
      <c r="S33" s="59">
        <v>301</v>
      </c>
      <c r="T33" s="60">
        <v>302</v>
      </c>
      <c r="V33" s="81">
        <v>301</v>
      </c>
      <c r="W33" s="41">
        <v>302</v>
      </c>
      <c r="X33" s="40">
        <v>303</v>
      </c>
      <c r="Y33" s="60">
        <v>304</v>
      </c>
      <c r="AA33" s="74">
        <v>301</v>
      </c>
      <c r="AB33" s="41">
        <v>302</v>
      </c>
      <c r="AC33" s="41">
        <v>303</v>
      </c>
      <c r="AD33" s="40">
        <v>304</v>
      </c>
      <c r="AE33" s="60">
        <v>305</v>
      </c>
      <c r="AG33" s="75">
        <v>301</v>
      </c>
      <c r="AH33" s="56">
        <v>302</v>
      </c>
      <c r="AI33" s="41">
        <v>303</v>
      </c>
      <c r="AJ33" s="53">
        <v>304</v>
      </c>
      <c r="AK33" s="76">
        <v>305</v>
      </c>
      <c r="AM33" s="82">
        <v>301</v>
      </c>
      <c r="AN33" s="82">
        <v>302</v>
      </c>
      <c r="AP33" s="37" t="s">
        <v>138</v>
      </c>
    </row>
    <row r="34" spans="1:42" ht="12" customHeight="1" thickTop="1" thickBot="1" x14ac:dyDescent="0.35">
      <c r="A34" s="37" t="s">
        <v>139</v>
      </c>
      <c r="C34" s="61">
        <v>201</v>
      </c>
      <c r="D34" s="62">
        <v>202</v>
      </c>
      <c r="F34" s="77">
        <v>201</v>
      </c>
      <c r="G34" s="40">
        <v>202</v>
      </c>
      <c r="H34" s="78">
        <v>203</v>
      </c>
      <c r="J34" s="79">
        <v>201</v>
      </c>
      <c r="K34" s="80">
        <v>202</v>
      </c>
      <c r="M34" s="74">
        <v>201</v>
      </c>
      <c r="N34" s="41">
        <v>202</v>
      </c>
      <c r="O34" s="41">
        <v>203</v>
      </c>
      <c r="P34" s="40">
        <v>204</v>
      </c>
      <c r="Q34" s="60">
        <v>205</v>
      </c>
      <c r="S34" s="59">
        <v>201</v>
      </c>
      <c r="T34" s="60">
        <v>202</v>
      </c>
      <c r="V34" s="83">
        <v>201</v>
      </c>
      <c r="W34" s="84">
        <v>202</v>
      </c>
      <c r="X34" s="40">
        <v>203</v>
      </c>
      <c r="Y34" s="60">
        <v>204</v>
      </c>
      <c r="AA34" s="74">
        <v>201</v>
      </c>
      <c r="AB34" s="85"/>
      <c r="AC34" s="85"/>
      <c r="AD34" s="40">
        <v>204</v>
      </c>
      <c r="AE34" s="60">
        <v>205</v>
      </c>
      <c r="AG34" s="86">
        <v>201</v>
      </c>
      <c r="AH34" s="87">
        <v>202</v>
      </c>
      <c r="AI34" s="88">
        <v>203</v>
      </c>
      <c r="AJ34" s="89">
        <v>204</v>
      </c>
      <c r="AK34" s="90">
        <v>205</v>
      </c>
      <c r="AM34" s="82">
        <v>201</v>
      </c>
      <c r="AN34" s="82">
        <v>202</v>
      </c>
      <c r="AP34" s="37" t="s">
        <v>139</v>
      </c>
    </row>
    <row r="35" spans="1:42" ht="12" customHeight="1" thickTop="1" thickBot="1" x14ac:dyDescent="0.35">
      <c r="A35" s="37" t="s">
        <v>140</v>
      </c>
      <c r="C35" s="91"/>
      <c r="D35" s="91"/>
      <c r="F35" s="92">
        <v>101</v>
      </c>
      <c r="G35" s="93">
        <v>102</v>
      </c>
      <c r="H35" s="94"/>
      <c r="J35" s="95"/>
      <c r="K35" s="96">
        <v>102</v>
      </c>
      <c r="M35" s="129">
        <v>101</v>
      </c>
      <c r="N35" s="102"/>
      <c r="O35" s="98">
        <v>103</v>
      </c>
      <c r="P35" s="99">
        <v>104</v>
      </c>
      <c r="Q35" s="100"/>
      <c r="S35" s="101"/>
      <c r="T35" s="62">
        <v>102</v>
      </c>
      <c r="V35" s="97">
        <v>101</v>
      </c>
      <c r="W35" s="98">
        <v>102</v>
      </c>
      <c r="X35" s="99">
        <v>103</v>
      </c>
      <c r="Y35" s="100"/>
      <c r="AA35" s="101"/>
      <c r="AB35" s="102"/>
      <c r="AC35" s="102"/>
      <c r="AD35" s="102"/>
      <c r="AE35" s="100"/>
      <c r="AG35" s="103">
        <v>101</v>
      </c>
      <c r="AH35" s="104">
        <v>102</v>
      </c>
      <c r="AI35" s="102"/>
      <c r="AJ35" s="105"/>
      <c r="AK35" s="106">
        <v>105</v>
      </c>
      <c r="AM35" s="82">
        <v>101</v>
      </c>
      <c r="AN35" s="82">
        <v>102</v>
      </c>
      <c r="AP35" s="37" t="s">
        <v>140</v>
      </c>
    </row>
    <row r="36" spans="1:42" ht="12" customHeight="1" thickTop="1" x14ac:dyDescent="0.3">
      <c r="A36" s="37"/>
      <c r="C36" s="112"/>
      <c r="D36" s="113"/>
      <c r="F36" s="114"/>
      <c r="G36" s="115"/>
      <c r="H36" s="116"/>
      <c r="J36" s="114"/>
      <c r="K36" s="116"/>
      <c r="M36" s="114"/>
      <c r="N36" s="115"/>
      <c r="O36" s="115"/>
      <c r="P36" s="115"/>
      <c r="Q36" s="116"/>
      <c r="S36" s="114"/>
      <c r="T36" s="116"/>
      <c r="V36" s="114"/>
      <c r="W36" s="115"/>
      <c r="X36" s="115"/>
      <c r="Y36" s="116"/>
      <c r="AA36" s="114"/>
      <c r="AB36" s="115"/>
      <c r="AC36" s="115"/>
      <c r="AD36" s="115"/>
      <c r="AE36" s="116"/>
      <c r="AG36" s="114"/>
      <c r="AH36" s="115"/>
      <c r="AI36" s="115"/>
      <c r="AJ36" s="115"/>
      <c r="AK36" s="116"/>
      <c r="AM36" s="112"/>
      <c r="AN36" s="113"/>
      <c r="AP36" s="37"/>
    </row>
    <row r="37" spans="1:42" ht="12" customHeight="1" x14ac:dyDescent="0.3">
      <c r="A37" s="37" t="s">
        <v>141</v>
      </c>
      <c r="C37" s="41" t="s">
        <v>23</v>
      </c>
      <c r="D37" s="41" t="s">
        <v>23</v>
      </c>
      <c r="F37" s="41" t="s">
        <v>23</v>
      </c>
      <c r="G37" s="40" t="s">
        <v>52</v>
      </c>
      <c r="H37" s="41" t="s">
        <v>23</v>
      </c>
      <c r="J37" s="41" t="s">
        <v>23</v>
      </c>
      <c r="K37" s="41" t="s">
        <v>23</v>
      </c>
      <c r="M37" s="40" t="s">
        <v>52</v>
      </c>
      <c r="N37" s="41" t="s">
        <v>23</v>
      </c>
      <c r="O37" s="41" t="s">
        <v>23</v>
      </c>
      <c r="P37" s="40" t="s">
        <v>52</v>
      </c>
      <c r="Q37" s="41" t="s">
        <v>23</v>
      </c>
      <c r="S37" s="41" t="s">
        <v>23</v>
      </c>
      <c r="T37" s="41" t="s">
        <v>23</v>
      </c>
      <c r="V37" s="40" t="s">
        <v>52</v>
      </c>
      <c r="W37" s="41" t="s">
        <v>23</v>
      </c>
      <c r="X37" s="40" t="s">
        <v>52</v>
      </c>
      <c r="Y37" s="41" t="s">
        <v>23</v>
      </c>
      <c r="AA37" s="40" t="s">
        <v>52</v>
      </c>
      <c r="AB37" s="41" t="s">
        <v>23</v>
      </c>
      <c r="AC37" s="41" t="s">
        <v>23</v>
      </c>
      <c r="AD37" s="40" t="s">
        <v>52</v>
      </c>
      <c r="AE37" s="41" t="s">
        <v>23</v>
      </c>
      <c r="AG37" s="49" t="s">
        <v>49</v>
      </c>
      <c r="AH37" s="49" t="s">
        <v>49</v>
      </c>
      <c r="AI37" s="41" t="s">
        <v>23</v>
      </c>
      <c r="AJ37" s="41" t="s">
        <v>23</v>
      </c>
      <c r="AK37" s="49" t="s">
        <v>49</v>
      </c>
      <c r="AM37" s="82" t="s">
        <v>116</v>
      </c>
      <c r="AN37" s="82" t="s">
        <v>116</v>
      </c>
      <c r="AP37" s="37" t="s">
        <v>141</v>
      </c>
    </row>
    <row r="38" spans="1:42" ht="12" customHeight="1" x14ac:dyDescent="0.3">
      <c r="A38" s="37" t="s">
        <v>142</v>
      </c>
      <c r="C38" s="37" t="s">
        <v>143</v>
      </c>
      <c r="D38" s="107" t="s">
        <v>144</v>
      </c>
      <c r="F38" s="37" t="s">
        <v>143</v>
      </c>
      <c r="G38" s="107" t="s">
        <v>144</v>
      </c>
      <c r="H38" s="107" t="s">
        <v>144</v>
      </c>
      <c r="J38" s="37" t="s">
        <v>143</v>
      </c>
      <c r="K38" s="107" t="s">
        <v>144</v>
      </c>
      <c r="M38" s="107" t="s">
        <v>144</v>
      </c>
      <c r="N38" s="107" t="s">
        <v>144</v>
      </c>
      <c r="O38" s="37" t="s">
        <v>143</v>
      </c>
      <c r="P38" s="37" t="s">
        <v>143</v>
      </c>
      <c r="Q38" s="107" t="s">
        <v>144</v>
      </c>
      <c r="S38" s="37" t="s">
        <v>143</v>
      </c>
      <c r="T38" s="107" t="s">
        <v>144</v>
      </c>
      <c r="V38" s="107" t="s">
        <v>144</v>
      </c>
      <c r="W38" s="107" t="s">
        <v>144</v>
      </c>
      <c r="X38" s="107" t="s">
        <v>144</v>
      </c>
      <c r="Y38" s="107" t="s">
        <v>144</v>
      </c>
      <c r="AA38" s="107" t="s">
        <v>144</v>
      </c>
      <c r="AB38" s="107" t="s">
        <v>144</v>
      </c>
      <c r="AC38" s="37" t="s">
        <v>143</v>
      </c>
      <c r="AD38" s="37" t="s">
        <v>143</v>
      </c>
      <c r="AE38" s="107" t="s">
        <v>144</v>
      </c>
      <c r="AG38" s="37" t="s">
        <v>143</v>
      </c>
      <c r="AH38" s="37" t="s">
        <v>143</v>
      </c>
      <c r="AI38" s="107" t="s">
        <v>144</v>
      </c>
      <c r="AJ38" s="37" t="s">
        <v>143</v>
      </c>
      <c r="AK38" s="107" t="s">
        <v>144</v>
      </c>
      <c r="AM38" s="37" t="s">
        <v>143</v>
      </c>
      <c r="AN38" s="107" t="s">
        <v>144</v>
      </c>
      <c r="AP38" s="37" t="s">
        <v>142</v>
      </c>
    </row>
    <row r="39" spans="1:42" ht="12" customHeight="1" x14ac:dyDescent="0.3">
      <c r="A39" s="37" t="s">
        <v>145</v>
      </c>
      <c r="C39" s="108" t="s">
        <v>146</v>
      </c>
      <c r="D39" s="37"/>
      <c r="F39" s="37"/>
      <c r="G39" s="37"/>
      <c r="H39" s="108" t="s">
        <v>146</v>
      </c>
      <c r="J39" s="37"/>
      <c r="K39" s="108" t="s">
        <v>146</v>
      </c>
      <c r="M39" s="37"/>
      <c r="N39" s="109" t="s">
        <v>147</v>
      </c>
      <c r="O39" s="37"/>
      <c r="P39" s="108" t="s">
        <v>146</v>
      </c>
      <c r="Q39" s="37"/>
      <c r="S39" s="108" t="s">
        <v>146</v>
      </c>
      <c r="T39" s="37"/>
      <c r="V39" s="37"/>
      <c r="W39" s="108" t="s">
        <v>146</v>
      </c>
      <c r="X39" s="37"/>
      <c r="Y39" s="108" t="s">
        <v>146</v>
      </c>
      <c r="AA39" s="108" t="s">
        <v>146</v>
      </c>
      <c r="AB39" s="37"/>
      <c r="AC39" s="37"/>
      <c r="AD39" s="108" t="s">
        <v>146</v>
      </c>
      <c r="AE39" s="37"/>
      <c r="AG39" s="37"/>
      <c r="AH39" s="37"/>
      <c r="AI39" s="110" t="s">
        <v>148</v>
      </c>
      <c r="AJ39" s="37"/>
      <c r="AK39" s="109" t="s">
        <v>147</v>
      </c>
      <c r="AM39" s="37"/>
      <c r="AN39" s="37"/>
      <c r="AP39" s="37" t="s">
        <v>145</v>
      </c>
    </row>
    <row r="40" spans="1:42" ht="12" customHeight="1" x14ac:dyDescent="0.3">
      <c r="A40" s="37" t="s">
        <v>149</v>
      </c>
      <c r="C40" s="37">
        <f>COUNTA(C6:C35)</f>
        <v>20</v>
      </c>
      <c r="D40" s="37">
        <f>COUNTA(D6:D35)</f>
        <v>20</v>
      </c>
      <c r="F40" s="37">
        <f t="shared" ref="F40:H40" si="0">COUNTA(F6:F35)</f>
        <v>22</v>
      </c>
      <c r="G40" s="37">
        <f t="shared" si="0"/>
        <v>21</v>
      </c>
      <c r="H40" s="37">
        <f t="shared" si="0"/>
        <v>21</v>
      </c>
      <c r="J40" s="37">
        <f t="shared" ref="J40:K40" si="1">COUNTA(J6:J35)</f>
        <v>24</v>
      </c>
      <c r="K40" s="37">
        <f t="shared" si="1"/>
        <v>25</v>
      </c>
      <c r="M40" s="37">
        <f t="shared" ref="M40:Q40" si="2">COUNTA(M6:M35)</f>
        <v>12</v>
      </c>
      <c r="N40" s="37">
        <f t="shared" si="2"/>
        <v>17</v>
      </c>
      <c r="O40" s="37">
        <f t="shared" si="2"/>
        <v>24</v>
      </c>
      <c r="P40" s="37">
        <f t="shared" si="2"/>
        <v>28</v>
      </c>
      <c r="Q40" s="37">
        <f t="shared" si="2"/>
        <v>27</v>
      </c>
      <c r="S40" s="37">
        <f t="shared" ref="S40:T40" si="3">COUNTA(S6:S35)</f>
        <v>21</v>
      </c>
      <c r="T40" s="37">
        <f t="shared" si="3"/>
        <v>22</v>
      </c>
      <c r="V40" s="37">
        <f t="shared" ref="V40:Y40" si="4">COUNTA(V6:V35)</f>
        <v>15</v>
      </c>
      <c r="W40" s="37">
        <f t="shared" si="4"/>
        <v>21</v>
      </c>
      <c r="X40" s="37">
        <f t="shared" si="4"/>
        <v>29</v>
      </c>
      <c r="Y40" s="37">
        <f t="shared" si="4"/>
        <v>28</v>
      </c>
      <c r="AA40" s="37">
        <f t="shared" ref="AA40:AE40" si="5">COUNTA(AA6:AA35)</f>
        <v>20</v>
      </c>
      <c r="AB40" s="37">
        <f t="shared" si="5"/>
        <v>19</v>
      </c>
      <c r="AC40" s="37">
        <f t="shared" si="5"/>
        <v>25</v>
      </c>
      <c r="AD40" s="37">
        <f t="shared" si="5"/>
        <v>26</v>
      </c>
      <c r="AE40" s="37">
        <f t="shared" si="5"/>
        <v>18</v>
      </c>
      <c r="AG40" s="37">
        <f t="shared" ref="AG40:AK40" si="6">COUNTA(AG6:AG35)</f>
        <v>18</v>
      </c>
      <c r="AH40" s="37">
        <f t="shared" si="6"/>
        <v>12</v>
      </c>
      <c r="AI40" s="37">
        <f t="shared" si="6"/>
        <v>21</v>
      </c>
      <c r="AJ40" s="37">
        <f t="shared" si="6"/>
        <v>23</v>
      </c>
      <c r="AK40" s="37">
        <f t="shared" si="6"/>
        <v>22</v>
      </c>
      <c r="AM40" s="37">
        <f t="shared" ref="AM40:AN40" si="7">COUNTA(AM6:AM35)</f>
        <v>3</v>
      </c>
      <c r="AN40" s="37">
        <f t="shared" si="7"/>
        <v>3</v>
      </c>
      <c r="AP40" s="37" t="s">
        <v>149</v>
      </c>
    </row>
    <row r="41" spans="1:42" ht="12" customHeight="1" x14ac:dyDescent="0.3">
      <c r="A41" s="37" t="s">
        <v>150</v>
      </c>
      <c r="C41" s="112">
        <f>SUM(C40:D40)</f>
        <v>40</v>
      </c>
      <c r="D41" s="113"/>
      <c r="F41" s="112">
        <f>SUM(F40:H40)</f>
        <v>64</v>
      </c>
      <c r="G41" s="120"/>
      <c r="H41" s="113"/>
      <c r="J41" s="112">
        <f>SUM(J40:K40)</f>
        <v>49</v>
      </c>
      <c r="K41" s="113"/>
      <c r="M41" s="112">
        <f>SUM(M40:Q40)</f>
        <v>108</v>
      </c>
      <c r="N41" s="120"/>
      <c r="O41" s="120"/>
      <c r="P41" s="120"/>
      <c r="Q41" s="113"/>
      <c r="S41" s="112">
        <f>SUM(S40:T40)</f>
        <v>43</v>
      </c>
      <c r="T41" s="113"/>
      <c r="V41" s="112">
        <f>SUM(V40:Y40)</f>
        <v>93</v>
      </c>
      <c r="W41" s="120"/>
      <c r="X41" s="120"/>
      <c r="Y41" s="113"/>
      <c r="AA41" s="112">
        <f>SUM(AA40:AE40)</f>
        <v>108</v>
      </c>
      <c r="AB41" s="120"/>
      <c r="AC41" s="120"/>
      <c r="AD41" s="120"/>
      <c r="AE41" s="113"/>
      <c r="AG41" s="112">
        <f>SUM(AG40:AK40)</f>
        <v>96</v>
      </c>
      <c r="AH41" s="120"/>
      <c r="AI41" s="120"/>
      <c r="AJ41" s="120"/>
      <c r="AK41" s="113"/>
      <c r="AM41" s="112">
        <f>SUM(AM40:AN40)</f>
        <v>6</v>
      </c>
      <c r="AN41" s="113"/>
      <c r="AP41" s="37" t="s">
        <v>150</v>
      </c>
    </row>
    <row r="42" spans="1:42" ht="12" customHeight="1" x14ac:dyDescent="0.3">
      <c r="A42" s="37" t="s">
        <v>81</v>
      </c>
      <c r="C42" s="117" t="s">
        <v>21</v>
      </c>
      <c r="D42" s="119"/>
      <c r="F42" s="117" t="s">
        <v>151</v>
      </c>
      <c r="G42" s="118"/>
      <c r="H42" s="119"/>
      <c r="J42" s="117" t="s">
        <v>91</v>
      </c>
      <c r="K42" s="119"/>
      <c r="M42" s="117" t="s">
        <v>99</v>
      </c>
      <c r="N42" s="118"/>
      <c r="O42" s="118"/>
      <c r="P42" s="118"/>
      <c r="Q42" s="119"/>
      <c r="S42" s="117" t="s">
        <v>92</v>
      </c>
      <c r="T42" s="119"/>
      <c r="V42" s="117" t="s">
        <v>50</v>
      </c>
      <c r="W42" s="118"/>
      <c r="X42" s="118"/>
      <c r="Y42" s="119"/>
      <c r="AA42" s="117" t="s">
        <v>94</v>
      </c>
      <c r="AB42" s="118"/>
      <c r="AC42" s="118"/>
      <c r="AD42" s="118"/>
      <c r="AE42" s="119"/>
      <c r="AG42" s="117" t="s">
        <v>48</v>
      </c>
      <c r="AH42" s="118"/>
      <c r="AI42" s="118"/>
      <c r="AJ42" s="118"/>
      <c r="AK42" s="119"/>
      <c r="AM42" s="117" t="s">
        <v>152</v>
      </c>
      <c r="AN42" s="119"/>
      <c r="AP42" s="37" t="s">
        <v>81</v>
      </c>
    </row>
    <row r="43" spans="1:42" ht="12" customHeight="1" x14ac:dyDescent="0.3"/>
    <row r="44" spans="1:42" ht="12" customHeight="1" x14ac:dyDescent="0.3"/>
  </sheetData>
  <mergeCells count="28">
    <mergeCell ref="AG42:AK42"/>
    <mergeCell ref="AM42:AN42"/>
    <mergeCell ref="AA41:AE41"/>
    <mergeCell ref="AG41:AK41"/>
    <mergeCell ref="AM41:AN41"/>
    <mergeCell ref="V42:Y42"/>
    <mergeCell ref="AA42:AE42"/>
    <mergeCell ref="C41:D41"/>
    <mergeCell ref="F41:H41"/>
    <mergeCell ref="J41:K41"/>
    <mergeCell ref="M41:Q41"/>
    <mergeCell ref="S41:T41"/>
    <mergeCell ref="V41:Y41"/>
    <mergeCell ref="C42:D42"/>
    <mergeCell ref="F42:H42"/>
    <mergeCell ref="J42:K42"/>
    <mergeCell ref="M42:Q42"/>
    <mergeCell ref="S42:T42"/>
    <mergeCell ref="A1:AN1"/>
    <mergeCell ref="C36:D36"/>
    <mergeCell ref="F36:H36"/>
    <mergeCell ref="J36:K36"/>
    <mergeCell ref="M36:Q36"/>
    <mergeCell ref="S36:T36"/>
    <mergeCell ref="V36:Y36"/>
    <mergeCell ref="AA36:AE36"/>
    <mergeCell ref="AG36:AK36"/>
    <mergeCell ref="AM36:AN36"/>
  </mergeCells>
  <phoneticPr fontId="3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7CB1-3925-4640-BE96-C3D86B341591}">
  <sheetPr>
    <tabColor rgb="FF00B050"/>
  </sheetPr>
  <dimension ref="A1:H10"/>
  <sheetViews>
    <sheetView tabSelected="1" workbookViewId="0">
      <selection activeCell="F9" sqref="F9"/>
    </sheetView>
  </sheetViews>
  <sheetFormatPr defaultRowHeight="16.5" x14ac:dyDescent="0.3"/>
  <cols>
    <col min="2" max="2" width="16.375" bestFit="1" customWidth="1"/>
    <col min="7" max="7" width="11.25" bestFit="1" customWidth="1"/>
    <col min="8" max="8" width="10.375" bestFit="1" customWidth="1"/>
  </cols>
  <sheetData>
    <row r="1" spans="1:8" ht="27.75" customHeight="1" x14ac:dyDescent="0.3">
      <c r="A1" s="27" t="s">
        <v>95</v>
      </c>
    </row>
    <row r="3" spans="1:8" x14ac:dyDescent="0.3">
      <c r="A3" s="24" t="s">
        <v>81</v>
      </c>
      <c r="B3" s="24" t="s">
        <v>82</v>
      </c>
      <c r="C3" s="24" t="s">
        <v>83</v>
      </c>
      <c r="D3" s="24" t="s">
        <v>84</v>
      </c>
      <c r="E3" s="24" t="s">
        <v>85</v>
      </c>
      <c r="F3" s="24" t="s">
        <v>86</v>
      </c>
      <c r="G3" s="24" t="s">
        <v>89</v>
      </c>
      <c r="H3" s="24" t="s">
        <v>87</v>
      </c>
    </row>
    <row r="4" spans="1:8" x14ac:dyDescent="0.3">
      <c r="A4" s="121" t="s">
        <v>151</v>
      </c>
      <c r="B4" s="121" t="s">
        <v>153</v>
      </c>
      <c r="C4" s="121" t="s">
        <v>58</v>
      </c>
      <c r="D4" s="24" t="s">
        <v>65</v>
      </c>
      <c r="E4" s="30">
        <v>262</v>
      </c>
      <c r="F4" s="30">
        <v>2213.8245270071557</v>
      </c>
      <c r="G4" s="122">
        <v>46255</v>
      </c>
      <c r="H4" s="123"/>
    </row>
    <row r="5" spans="1:8" x14ac:dyDescent="0.3">
      <c r="A5" s="121"/>
      <c r="B5" s="121"/>
      <c r="C5" s="121"/>
      <c r="D5" s="24" t="s">
        <v>66</v>
      </c>
      <c r="E5" s="30">
        <v>102</v>
      </c>
      <c r="F5" s="30">
        <v>1526.3070287226744</v>
      </c>
      <c r="G5" s="121"/>
      <c r="H5" s="121"/>
    </row>
    <row r="6" spans="1:8" x14ac:dyDescent="0.3">
      <c r="A6" s="29" t="s">
        <v>88</v>
      </c>
      <c r="B6" s="29"/>
      <c r="C6" s="25"/>
      <c r="D6" s="29"/>
      <c r="E6" s="31">
        <f>SUM(E4:E5)</f>
        <v>364</v>
      </c>
      <c r="F6" s="31">
        <f>SUM(F4:F5)</f>
        <v>3740.1315557298303</v>
      </c>
      <c r="G6" s="25"/>
      <c r="H6" s="25"/>
    </row>
    <row r="7" spans="1:8" x14ac:dyDescent="0.3">
      <c r="A7" s="26" t="s">
        <v>64</v>
      </c>
      <c r="B7" s="26"/>
      <c r="C7" s="26"/>
      <c r="D7" s="26"/>
      <c r="E7" s="32">
        <f>SUM(E6)</f>
        <v>364</v>
      </c>
      <c r="F7" s="32">
        <f>SUM(F6)</f>
        <v>3740.1315557298303</v>
      </c>
      <c r="G7" s="26"/>
      <c r="H7" s="26"/>
    </row>
    <row r="10" spans="1:8" ht="24" x14ac:dyDescent="0.3">
      <c r="A10" s="28" t="s">
        <v>90</v>
      </c>
    </row>
  </sheetData>
  <mergeCells count="5">
    <mergeCell ref="H4:H5"/>
    <mergeCell ref="A4:A5"/>
    <mergeCell ref="B4:B5"/>
    <mergeCell ref="C4:C5"/>
    <mergeCell ref="G4:G5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EA4C-8464-4532-80C7-22A9EB10CD54}">
  <dimension ref="A1:Q35"/>
  <sheetViews>
    <sheetView topLeftCell="A6" workbookViewId="0">
      <selection activeCell="K2" sqref="K2:K35"/>
    </sheetView>
  </sheetViews>
  <sheetFormatPr defaultRowHeight="16.5" x14ac:dyDescent="0.3"/>
  <cols>
    <col min="1" max="1" width="34.375" bestFit="1" customWidth="1"/>
    <col min="2" max="3" width="8" bestFit="1" customWidth="1"/>
    <col min="4" max="4" width="4.75" bestFit="1" customWidth="1"/>
    <col min="5" max="5" width="6.375" bestFit="1" customWidth="1"/>
    <col min="6" max="6" width="13" bestFit="1" customWidth="1"/>
    <col min="7" max="7" width="9.75" bestFit="1" customWidth="1"/>
    <col min="8" max="10" width="4.75" bestFit="1" customWidth="1"/>
    <col min="11" max="12" width="6" bestFit="1" customWidth="1"/>
    <col min="13" max="13" width="9.25" bestFit="1" customWidth="1"/>
    <col min="15" max="16" width="5.625" bestFit="1" customWidth="1"/>
  </cols>
  <sheetData>
    <row r="1" spans="1:17" x14ac:dyDescent="0.3">
      <c r="A1" s="33" t="s">
        <v>0</v>
      </c>
      <c r="B1" s="33" t="s">
        <v>1</v>
      </c>
      <c r="C1" s="33" t="s">
        <v>2</v>
      </c>
      <c r="D1" s="33" t="s">
        <v>3</v>
      </c>
      <c r="E1" s="1" t="s">
        <v>4</v>
      </c>
      <c r="F1" s="1" t="s">
        <v>5</v>
      </c>
      <c r="G1" s="33" t="s">
        <v>6</v>
      </c>
      <c r="H1" s="34" t="s">
        <v>7</v>
      </c>
      <c r="I1" s="33" t="s">
        <v>8</v>
      </c>
      <c r="J1" s="33" t="s">
        <v>9</v>
      </c>
      <c r="K1" s="35" t="s">
        <v>10</v>
      </c>
      <c r="L1" s="35" t="s">
        <v>96</v>
      </c>
      <c r="M1" s="35" t="s">
        <v>97</v>
      </c>
      <c r="N1" s="33" t="s">
        <v>98</v>
      </c>
      <c r="O1" s="33" t="s">
        <v>12</v>
      </c>
      <c r="P1" s="33" t="s">
        <v>14</v>
      </c>
      <c r="Q1" s="33" t="s">
        <v>13</v>
      </c>
    </row>
    <row r="2" spans="1:17" x14ac:dyDescent="0.3">
      <c r="A2" s="10" t="s">
        <v>20</v>
      </c>
      <c r="B2" s="10">
        <v>543</v>
      </c>
      <c r="C2" s="10">
        <v>1745</v>
      </c>
      <c r="D2" s="10">
        <f>I2*J2</f>
        <v>6</v>
      </c>
      <c r="E2" s="11" t="s">
        <v>151</v>
      </c>
      <c r="F2" s="11" t="s">
        <v>154</v>
      </c>
      <c r="G2" s="10" t="s">
        <v>22</v>
      </c>
      <c r="H2" s="10" t="s">
        <v>23</v>
      </c>
      <c r="I2" s="10">
        <v>6</v>
      </c>
      <c r="J2" s="10">
        <v>1</v>
      </c>
      <c r="K2" s="12">
        <f>B2*C2*D2/91809</f>
        <v>61.924321144985782</v>
      </c>
      <c r="L2" s="12">
        <v>54.911999999999999</v>
      </c>
      <c r="M2" s="12" t="s">
        <v>93</v>
      </c>
      <c r="N2" s="10" t="s">
        <v>24</v>
      </c>
      <c r="O2" s="10" t="s">
        <v>25</v>
      </c>
      <c r="P2" s="10"/>
      <c r="Q2" s="10" t="s">
        <v>26</v>
      </c>
    </row>
    <row r="3" spans="1:17" x14ac:dyDescent="0.3">
      <c r="A3" s="10" t="s">
        <v>20</v>
      </c>
      <c r="B3" s="10">
        <v>543</v>
      </c>
      <c r="C3" s="10">
        <v>1745</v>
      </c>
      <c r="D3" s="10">
        <f t="shared" ref="D3:D35" si="0">I3*J3</f>
        <v>6</v>
      </c>
      <c r="E3" s="11" t="s">
        <v>151</v>
      </c>
      <c r="F3" s="11" t="s">
        <v>155</v>
      </c>
      <c r="G3" s="10" t="s">
        <v>22</v>
      </c>
      <c r="H3" s="10" t="s">
        <v>52</v>
      </c>
      <c r="I3" s="10">
        <v>6</v>
      </c>
      <c r="J3" s="10">
        <v>1</v>
      </c>
      <c r="K3" s="12">
        <f t="shared" ref="K3:K35" si="1">B3*C3*D3/91809</f>
        <v>61.924321144985782</v>
      </c>
      <c r="L3" s="12">
        <v>54.911999999999999</v>
      </c>
      <c r="M3" s="12" t="s">
        <v>93</v>
      </c>
      <c r="N3" s="10" t="s">
        <v>24</v>
      </c>
      <c r="O3" s="10" t="s">
        <v>25</v>
      </c>
      <c r="P3" s="10"/>
      <c r="Q3" s="10" t="s">
        <v>26</v>
      </c>
    </row>
    <row r="4" spans="1:17" x14ac:dyDescent="0.3">
      <c r="A4" s="10" t="s">
        <v>20</v>
      </c>
      <c r="B4" s="10">
        <v>591</v>
      </c>
      <c r="C4" s="10">
        <v>1748</v>
      </c>
      <c r="D4" s="10">
        <f t="shared" si="0"/>
        <v>6</v>
      </c>
      <c r="E4" s="11" t="s">
        <v>151</v>
      </c>
      <c r="F4" s="11" t="s">
        <v>154</v>
      </c>
      <c r="G4" s="10" t="s">
        <v>28</v>
      </c>
      <c r="H4" s="10" t="s">
        <v>23</v>
      </c>
      <c r="I4" s="10">
        <v>6</v>
      </c>
      <c r="J4" s="10">
        <v>1</v>
      </c>
      <c r="K4" s="12">
        <f t="shared" si="1"/>
        <v>67.514165277913932</v>
      </c>
      <c r="L4" s="18">
        <v>56.136000000000003</v>
      </c>
      <c r="M4" s="12" t="s">
        <v>93</v>
      </c>
      <c r="N4" s="10" t="s">
        <v>24</v>
      </c>
      <c r="O4" s="10" t="s">
        <v>25</v>
      </c>
      <c r="P4" s="10"/>
      <c r="Q4" s="10" t="s">
        <v>29</v>
      </c>
    </row>
    <row r="5" spans="1:17" x14ac:dyDescent="0.3">
      <c r="A5" s="10" t="s">
        <v>20</v>
      </c>
      <c r="B5" s="10">
        <v>591</v>
      </c>
      <c r="C5" s="10">
        <v>1748</v>
      </c>
      <c r="D5" s="10">
        <f t="shared" si="0"/>
        <v>6</v>
      </c>
      <c r="E5" s="11" t="s">
        <v>151</v>
      </c>
      <c r="F5" s="11" t="s">
        <v>154</v>
      </c>
      <c r="G5" s="10" t="s">
        <v>31</v>
      </c>
      <c r="H5" s="10" t="s">
        <v>23</v>
      </c>
      <c r="I5" s="10">
        <v>6</v>
      </c>
      <c r="J5" s="10">
        <v>1</v>
      </c>
      <c r="K5" s="12">
        <f t="shared" si="1"/>
        <v>67.514165277913932</v>
      </c>
      <c r="L5" s="12">
        <v>56.136000000000003</v>
      </c>
      <c r="M5" s="12" t="s">
        <v>93</v>
      </c>
      <c r="N5" s="10" t="s">
        <v>24</v>
      </c>
      <c r="O5" s="10" t="s">
        <v>25</v>
      </c>
      <c r="P5" s="10"/>
      <c r="Q5" s="10" t="s">
        <v>29</v>
      </c>
    </row>
    <row r="6" spans="1:17" x14ac:dyDescent="0.3">
      <c r="A6" s="10" t="s">
        <v>20</v>
      </c>
      <c r="B6" s="10">
        <v>591</v>
      </c>
      <c r="C6" s="10">
        <v>1748</v>
      </c>
      <c r="D6" s="10">
        <f t="shared" si="0"/>
        <v>6</v>
      </c>
      <c r="E6" s="11" t="s">
        <v>151</v>
      </c>
      <c r="F6" s="11" t="s">
        <v>155</v>
      </c>
      <c r="G6" s="10" t="s">
        <v>28</v>
      </c>
      <c r="H6" s="10" t="s">
        <v>52</v>
      </c>
      <c r="I6" s="10">
        <v>6</v>
      </c>
      <c r="J6" s="10">
        <v>1</v>
      </c>
      <c r="K6" s="12">
        <f t="shared" si="1"/>
        <v>67.514165277913932</v>
      </c>
      <c r="L6" s="12">
        <v>56.136000000000003</v>
      </c>
      <c r="M6" s="12" t="s">
        <v>93</v>
      </c>
      <c r="N6" s="10" t="s">
        <v>24</v>
      </c>
      <c r="O6" s="10" t="s">
        <v>25</v>
      </c>
      <c r="P6" s="10"/>
      <c r="Q6" s="10" t="s">
        <v>29</v>
      </c>
    </row>
    <row r="7" spans="1:17" x14ac:dyDescent="0.3">
      <c r="A7" s="10" t="s">
        <v>20</v>
      </c>
      <c r="B7" s="10">
        <v>591</v>
      </c>
      <c r="C7" s="10">
        <v>1748</v>
      </c>
      <c r="D7" s="10">
        <f t="shared" si="0"/>
        <v>6</v>
      </c>
      <c r="E7" s="11" t="s">
        <v>151</v>
      </c>
      <c r="F7" s="11" t="s">
        <v>155</v>
      </c>
      <c r="G7" s="10" t="s">
        <v>31</v>
      </c>
      <c r="H7" s="10" t="s">
        <v>52</v>
      </c>
      <c r="I7" s="10">
        <v>6</v>
      </c>
      <c r="J7" s="10">
        <v>1</v>
      </c>
      <c r="K7" s="12">
        <f t="shared" si="1"/>
        <v>67.514165277913932</v>
      </c>
      <c r="L7" s="12">
        <v>56.136000000000003</v>
      </c>
      <c r="M7" s="12" t="s">
        <v>93</v>
      </c>
      <c r="N7" s="10" t="s">
        <v>24</v>
      </c>
      <c r="O7" s="10" t="s">
        <v>25</v>
      </c>
      <c r="P7" s="10"/>
      <c r="Q7" s="10" t="s">
        <v>29</v>
      </c>
    </row>
    <row r="8" spans="1:17" x14ac:dyDescent="0.3">
      <c r="A8" s="10" t="s">
        <v>20</v>
      </c>
      <c r="B8" s="10">
        <v>591</v>
      </c>
      <c r="C8" s="10">
        <v>1748</v>
      </c>
      <c r="D8" s="10">
        <f t="shared" si="0"/>
        <v>5</v>
      </c>
      <c r="E8" s="11" t="s">
        <v>151</v>
      </c>
      <c r="F8" s="11" t="s">
        <v>156</v>
      </c>
      <c r="G8" s="10" t="s">
        <v>28</v>
      </c>
      <c r="H8" s="10" t="s">
        <v>23</v>
      </c>
      <c r="I8" s="10">
        <v>5</v>
      </c>
      <c r="J8" s="10">
        <v>1</v>
      </c>
      <c r="K8" s="12">
        <f t="shared" si="1"/>
        <v>56.26180439826161</v>
      </c>
      <c r="L8" s="12">
        <v>46.78</v>
      </c>
      <c r="M8" s="12" t="s">
        <v>93</v>
      </c>
      <c r="N8" s="10" t="s">
        <v>24</v>
      </c>
      <c r="O8" s="10" t="s">
        <v>25</v>
      </c>
      <c r="P8" s="10"/>
      <c r="Q8" s="10" t="s">
        <v>29</v>
      </c>
    </row>
    <row r="9" spans="1:17" x14ac:dyDescent="0.3">
      <c r="A9" s="10" t="s">
        <v>20</v>
      </c>
      <c r="B9" s="10">
        <v>591</v>
      </c>
      <c r="C9" s="10">
        <v>1748</v>
      </c>
      <c r="D9" s="10">
        <f t="shared" si="0"/>
        <v>5</v>
      </c>
      <c r="E9" s="11" t="s">
        <v>151</v>
      </c>
      <c r="F9" s="11" t="s">
        <v>156</v>
      </c>
      <c r="G9" s="10" t="s">
        <v>31</v>
      </c>
      <c r="H9" s="10" t="s">
        <v>23</v>
      </c>
      <c r="I9" s="10">
        <v>5</v>
      </c>
      <c r="J9" s="10">
        <v>1</v>
      </c>
      <c r="K9" s="12">
        <f t="shared" si="1"/>
        <v>56.26180439826161</v>
      </c>
      <c r="L9" s="12">
        <v>46.78</v>
      </c>
      <c r="M9" s="12" t="s">
        <v>93</v>
      </c>
      <c r="N9" s="10" t="s">
        <v>24</v>
      </c>
      <c r="O9" s="10" t="s">
        <v>25</v>
      </c>
      <c r="P9" s="10"/>
      <c r="Q9" s="10" t="s">
        <v>29</v>
      </c>
    </row>
    <row r="10" spans="1:17" x14ac:dyDescent="0.3">
      <c r="A10" s="10" t="s">
        <v>20</v>
      </c>
      <c r="B10" s="10">
        <v>1646</v>
      </c>
      <c r="C10" s="10">
        <v>1748</v>
      </c>
      <c r="D10" s="10">
        <f t="shared" si="0"/>
        <v>6</v>
      </c>
      <c r="E10" s="11" t="s">
        <v>151</v>
      </c>
      <c r="F10" s="11" t="s">
        <v>154</v>
      </c>
      <c r="G10" s="10" t="s">
        <v>33</v>
      </c>
      <c r="H10" s="10" t="s">
        <v>23</v>
      </c>
      <c r="I10" s="10">
        <v>6</v>
      </c>
      <c r="J10" s="10">
        <v>1</v>
      </c>
      <c r="K10" s="12">
        <f t="shared" si="1"/>
        <v>188.03437571479921</v>
      </c>
      <c r="L10" s="12">
        <v>81.456000000000003</v>
      </c>
      <c r="M10" s="12" t="s">
        <v>93</v>
      </c>
      <c r="N10" s="10" t="s">
        <v>24</v>
      </c>
      <c r="O10" s="10" t="s">
        <v>34</v>
      </c>
      <c r="P10" s="10"/>
      <c r="Q10" s="10" t="s">
        <v>29</v>
      </c>
    </row>
    <row r="11" spans="1:17" x14ac:dyDescent="0.3">
      <c r="A11" s="10" t="s">
        <v>20</v>
      </c>
      <c r="B11" s="10">
        <v>1646</v>
      </c>
      <c r="C11" s="10">
        <v>1748</v>
      </c>
      <c r="D11" s="10">
        <f t="shared" si="0"/>
        <v>6</v>
      </c>
      <c r="E11" s="11" t="s">
        <v>151</v>
      </c>
      <c r="F11" s="11" t="s">
        <v>155</v>
      </c>
      <c r="G11" s="10" t="s">
        <v>33</v>
      </c>
      <c r="H11" s="10" t="s">
        <v>52</v>
      </c>
      <c r="I11" s="10">
        <v>6</v>
      </c>
      <c r="J11" s="10">
        <v>1</v>
      </c>
      <c r="K11" s="12">
        <f t="shared" si="1"/>
        <v>188.03437571479921</v>
      </c>
      <c r="L11" s="12">
        <v>81.456000000000003</v>
      </c>
      <c r="M11" s="12" t="s">
        <v>93</v>
      </c>
      <c r="N11" s="10" t="s">
        <v>24</v>
      </c>
      <c r="O11" s="10" t="s">
        <v>34</v>
      </c>
      <c r="P11" s="10"/>
      <c r="Q11" s="10" t="s">
        <v>29</v>
      </c>
    </row>
    <row r="12" spans="1:17" x14ac:dyDescent="0.3">
      <c r="A12" s="10" t="s">
        <v>20</v>
      </c>
      <c r="B12" s="10">
        <v>1646</v>
      </c>
      <c r="C12" s="10">
        <v>1748</v>
      </c>
      <c r="D12" s="10">
        <f t="shared" si="0"/>
        <v>5</v>
      </c>
      <c r="E12" s="11" t="s">
        <v>151</v>
      </c>
      <c r="F12" s="11" t="s">
        <v>156</v>
      </c>
      <c r="G12" s="10" t="s">
        <v>33</v>
      </c>
      <c r="H12" s="10" t="s">
        <v>23</v>
      </c>
      <c r="I12" s="10">
        <v>5</v>
      </c>
      <c r="J12" s="10">
        <v>1</v>
      </c>
      <c r="K12" s="12">
        <f t="shared" si="1"/>
        <v>156.69531309566599</v>
      </c>
      <c r="L12" s="12">
        <v>67.88</v>
      </c>
      <c r="M12" s="12" t="s">
        <v>93</v>
      </c>
      <c r="N12" s="10" t="s">
        <v>24</v>
      </c>
      <c r="O12" s="10" t="s">
        <v>34</v>
      </c>
      <c r="P12" s="10"/>
      <c r="Q12" s="10" t="s">
        <v>29</v>
      </c>
    </row>
    <row r="13" spans="1:17" x14ac:dyDescent="0.3">
      <c r="A13" s="10" t="s">
        <v>36</v>
      </c>
      <c r="B13" s="10">
        <v>285</v>
      </c>
      <c r="C13" s="10">
        <v>794</v>
      </c>
      <c r="D13" s="10">
        <f t="shared" si="0"/>
        <v>12</v>
      </c>
      <c r="E13" s="11" t="s">
        <v>151</v>
      </c>
      <c r="F13" s="11" t="s">
        <v>154</v>
      </c>
      <c r="G13" s="10" t="s">
        <v>37</v>
      </c>
      <c r="H13" s="10" t="s">
        <v>23</v>
      </c>
      <c r="I13" s="10">
        <v>6</v>
      </c>
      <c r="J13" s="10">
        <v>2</v>
      </c>
      <c r="K13" s="12">
        <f t="shared" si="1"/>
        <v>29.577492402705616</v>
      </c>
      <c r="L13" s="12">
        <v>51.792000000000002</v>
      </c>
      <c r="M13" s="12" t="s">
        <v>93</v>
      </c>
      <c r="N13" s="10" t="s">
        <v>24</v>
      </c>
      <c r="O13" s="10" t="s">
        <v>25</v>
      </c>
      <c r="P13" s="10"/>
      <c r="Q13" s="10" t="s">
        <v>38</v>
      </c>
    </row>
    <row r="14" spans="1:17" x14ac:dyDescent="0.3">
      <c r="A14" s="10" t="s">
        <v>36</v>
      </c>
      <c r="B14" s="10">
        <v>285</v>
      </c>
      <c r="C14" s="10">
        <v>794</v>
      </c>
      <c r="D14" s="10">
        <f t="shared" si="0"/>
        <v>12</v>
      </c>
      <c r="E14" s="11" t="s">
        <v>151</v>
      </c>
      <c r="F14" s="11" t="s">
        <v>155</v>
      </c>
      <c r="G14" s="10" t="s">
        <v>37</v>
      </c>
      <c r="H14" s="10" t="s">
        <v>52</v>
      </c>
      <c r="I14" s="10">
        <v>6</v>
      </c>
      <c r="J14" s="10">
        <v>2</v>
      </c>
      <c r="K14" s="12">
        <f t="shared" si="1"/>
        <v>29.577492402705616</v>
      </c>
      <c r="L14" s="12">
        <v>51.792000000000002</v>
      </c>
      <c r="M14" s="12" t="s">
        <v>93</v>
      </c>
      <c r="N14" s="10" t="s">
        <v>24</v>
      </c>
      <c r="O14" s="10" t="s">
        <v>25</v>
      </c>
      <c r="P14" s="10"/>
      <c r="Q14" s="10" t="s">
        <v>38</v>
      </c>
    </row>
    <row r="15" spans="1:17" x14ac:dyDescent="0.3">
      <c r="A15" s="10" t="s">
        <v>36</v>
      </c>
      <c r="B15" s="10">
        <v>285</v>
      </c>
      <c r="C15" s="10">
        <v>794</v>
      </c>
      <c r="D15" s="10">
        <f t="shared" si="0"/>
        <v>10</v>
      </c>
      <c r="E15" s="11" t="s">
        <v>151</v>
      </c>
      <c r="F15" s="11" t="s">
        <v>156</v>
      </c>
      <c r="G15" s="10" t="s">
        <v>37</v>
      </c>
      <c r="H15" s="10" t="s">
        <v>23</v>
      </c>
      <c r="I15" s="10">
        <v>5</v>
      </c>
      <c r="J15" s="10">
        <v>2</v>
      </c>
      <c r="K15" s="12">
        <f t="shared" si="1"/>
        <v>24.647910335588016</v>
      </c>
      <c r="L15" s="12">
        <v>43.16</v>
      </c>
      <c r="M15" s="12" t="s">
        <v>93</v>
      </c>
      <c r="N15" s="10" t="s">
        <v>24</v>
      </c>
      <c r="O15" s="10" t="s">
        <v>25</v>
      </c>
      <c r="P15" s="10"/>
      <c r="Q15" s="10" t="s">
        <v>38</v>
      </c>
    </row>
    <row r="16" spans="1:17" x14ac:dyDescent="0.3">
      <c r="A16" s="10" t="s">
        <v>36</v>
      </c>
      <c r="B16" s="10">
        <v>435</v>
      </c>
      <c r="C16" s="10">
        <v>794</v>
      </c>
      <c r="D16" s="10">
        <f t="shared" si="0"/>
        <v>12</v>
      </c>
      <c r="E16" s="11" t="s">
        <v>151</v>
      </c>
      <c r="F16" s="11" t="s">
        <v>154</v>
      </c>
      <c r="G16" s="10" t="s">
        <v>40</v>
      </c>
      <c r="H16" s="10" t="s">
        <v>23</v>
      </c>
      <c r="I16" s="10">
        <v>6</v>
      </c>
      <c r="J16" s="10">
        <v>2</v>
      </c>
      <c r="K16" s="12">
        <f t="shared" si="1"/>
        <v>45.144593667287523</v>
      </c>
      <c r="L16" s="12">
        <v>58.991999999999997</v>
      </c>
      <c r="M16" s="12" t="s">
        <v>93</v>
      </c>
      <c r="N16" s="10" t="s">
        <v>24</v>
      </c>
      <c r="O16" s="10" t="s">
        <v>25</v>
      </c>
      <c r="P16" s="10"/>
      <c r="Q16" s="10" t="s">
        <v>38</v>
      </c>
    </row>
    <row r="17" spans="1:17" x14ac:dyDescent="0.3">
      <c r="A17" s="10" t="s">
        <v>36</v>
      </c>
      <c r="B17" s="10">
        <v>435</v>
      </c>
      <c r="C17" s="10">
        <v>794</v>
      </c>
      <c r="D17" s="10">
        <f t="shared" si="0"/>
        <v>12</v>
      </c>
      <c r="E17" s="11" t="s">
        <v>151</v>
      </c>
      <c r="F17" s="11" t="s">
        <v>155</v>
      </c>
      <c r="G17" s="10" t="s">
        <v>40</v>
      </c>
      <c r="H17" s="10" t="s">
        <v>52</v>
      </c>
      <c r="I17" s="10">
        <v>6</v>
      </c>
      <c r="J17" s="10">
        <v>2</v>
      </c>
      <c r="K17" s="12">
        <f t="shared" si="1"/>
        <v>45.144593667287523</v>
      </c>
      <c r="L17" s="12">
        <v>58.991999999999997</v>
      </c>
      <c r="M17" s="12" t="s">
        <v>93</v>
      </c>
      <c r="N17" s="10" t="s">
        <v>24</v>
      </c>
      <c r="O17" s="10" t="s">
        <v>25</v>
      </c>
      <c r="P17" s="10"/>
      <c r="Q17" s="10" t="s">
        <v>38</v>
      </c>
    </row>
    <row r="18" spans="1:17" x14ac:dyDescent="0.3">
      <c r="A18" s="10" t="s">
        <v>36</v>
      </c>
      <c r="B18" s="10">
        <v>435</v>
      </c>
      <c r="C18" s="10">
        <v>794</v>
      </c>
      <c r="D18" s="10">
        <f t="shared" si="0"/>
        <v>10</v>
      </c>
      <c r="E18" s="11" t="s">
        <v>151</v>
      </c>
      <c r="F18" s="11" t="s">
        <v>156</v>
      </c>
      <c r="G18" s="10" t="s">
        <v>40</v>
      </c>
      <c r="H18" s="10" t="s">
        <v>23</v>
      </c>
      <c r="I18" s="10">
        <v>5</v>
      </c>
      <c r="J18" s="10">
        <v>2</v>
      </c>
      <c r="K18" s="12">
        <f t="shared" si="1"/>
        <v>37.6204947227396</v>
      </c>
      <c r="L18" s="12">
        <v>49.16</v>
      </c>
      <c r="M18" s="12" t="s">
        <v>93</v>
      </c>
      <c r="N18" s="10" t="s">
        <v>24</v>
      </c>
      <c r="O18" s="10" t="s">
        <v>25</v>
      </c>
      <c r="P18" s="10"/>
      <c r="Q18" s="10" t="s">
        <v>38</v>
      </c>
    </row>
    <row r="19" spans="1:17" x14ac:dyDescent="0.3">
      <c r="A19" s="10" t="s">
        <v>44</v>
      </c>
      <c r="B19" s="10">
        <v>291</v>
      </c>
      <c r="C19" s="10">
        <v>798</v>
      </c>
      <c r="D19" s="10">
        <f t="shared" si="0"/>
        <v>12</v>
      </c>
      <c r="E19" s="11" t="s">
        <v>151</v>
      </c>
      <c r="F19" s="11" t="s">
        <v>154</v>
      </c>
      <c r="G19" s="10" t="s">
        <v>37</v>
      </c>
      <c r="H19" s="10" t="s">
        <v>23</v>
      </c>
      <c r="I19" s="10">
        <v>6</v>
      </c>
      <c r="J19" s="10">
        <v>2</v>
      </c>
      <c r="K19" s="12">
        <f t="shared" si="1"/>
        <v>30.352318400156847</v>
      </c>
      <c r="L19" s="12">
        <v>52.271999999999998</v>
      </c>
      <c r="M19" s="12" t="s">
        <v>93</v>
      </c>
      <c r="N19" s="10" t="s">
        <v>24</v>
      </c>
      <c r="O19" s="10" t="s">
        <v>25</v>
      </c>
      <c r="P19" s="10"/>
      <c r="Q19" s="10" t="s">
        <v>45</v>
      </c>
    </row>
    <row r="20" spans="1:17" x14ac:dyDescent="0.3">
      <c r="A20" s="10" t="s">
        <v>44</v>
      </c>
      <c r="B20" s="10">
        <v>291</v>
      </c>
      <c r="C20" s="10">
        <v>798</v>
      </c>
      <c r="D20" s="10">
        <f t="shared" si="0"/>
        <v>12</v>
      </c>
      <c r="E20" s="11" t="s">
        <v>151</v>
      </c>
      <c r="F20" s="11" t="s">
        <v>155</v>
      </c>
      <c r="G20" s="10" t="s">
        <v>37</v>
      </c>
      <c r="H20" s="10" t="s">
        <v>52</v>
      </c>
      <c r="I20" s="10">
        <v>6</v>
      </c>
      <c r="J20" s="10">
        <v>2</v>
      </c>
      <c r="K20" s="12">
        <f t="shared" si="1"/>
        <v>30.352318400156847</v>
      </c>
      <c r="L20" s="12">
        <v>52.271999999999998</v>
      </c>
      <c r="M20" s="12" t="s">
        <v>93</v>
      </c>
      <c r="N20" s="10" t="s">
        <v>24</v>
      </c>
      <c r="O20" s="10" t="s">
        <v>25</v>
      </c>
      <c r="P20" s="10"/>
      <c r="Q20" s="10" t="s">
        <v>45</v>
      </c>
    </row>
    <row r="21" spans="1:17" x14ac:dyDescent="0.3">
      <c r="A21" s="10" t="s">
        <v>44</v>
      </c>
      <c r="B21" s="10">
        <v>291</v>
      </c>
      <c r="C21" s="10">
        <v>798</v>
      </c>
      <c r="D21" s="10">
        <f t="shared" si="0"/>
        <v>10</v>
      </c>
      <c r="E21" s="11" t="s">
        <v>151</v>
      </c>
      <c r="F21" s="11" t="s">
        <v>156</v>
      </c>
      <c r="G21" s="10" t="s">
        <v>37</v>
      </c>
      <c r="H21" s="10" t="s">
        <v>23</v>
      </c>
      <c r="I21" s="10">
        <v>5</v>
      </c>
      <c r="J21" s="10">
        <v>2</v>
      </c>
      <c r="K21" s="12">
        <f t="shared" si="1"/>
        <v>25.293598666797372</v>
      </c>
      <c r="L21" s="12">
        <v>43.56</v>
      </c>
      <c r="M21" s="12" t="s">
        <v>93</v>
      </c>
      <c r="N21" s="10" t="s">
        <v>24</v>
      </c>
      <c r="O21" s="10" t="s">
        <v>25</v>
      </c>
      <c r="P21" s="10"/>
      <c r="Q21" s="10" t="s">
        <v>45</v>
      </c>
    </row>
    <row r="22" spans="1:17" x14ac:dyDescent="0.3">
      <c r="A22" s="10" t="s">
        <v>44</v>
      </c>
      <c r="B22" s="10">
        <v>441</v>
      </c>
      <c r="C22" s="10">
        <v>798</v>
      </c>
      <c r="D22" s="10">
        <f t="shared" si="0"/>
        <v>12</v>
      </c>
      <c r="E22" s="11" t="s">
        <v>151</v>
      </c>
      <c r="F22" s="11" t="s">
        <v>154</v>
      </c>
      <c r="G22" s="10" t="s">
        <v>40</v>
      </c>
      <c r="H22" s="10" t="s">
        <v>23</v>
      </c>
      <c r="I22" s="10">
        <v>6</v>
      </c>
      <c r="J22" s="10">
        <v>2</v>
      </c>
      <c r="K22" s="12">
        <f t="shared" si="1"/>
        <v>45.997843348691305</v>
      </c>
      <c r="L22" s="12">
        <v>59.472000000000001</v>
      </c>
      <c r="M22" s="12" t="s">
        <v>93</v>
      </c>
      <c r="N22" s="10" t="s">
        <v>24</v>
      </c>
      <c r="O22" s="10" t="s">
        <v>25</v>
      </c>
      <c r="P22" s="10"/>
      <c r="Q22" s="10" t="s">
        <v>45</v>
      </c>
    </row>
    <row r="23" spans="1:17" x14ac:dyDescent="0.3">
      <c r="A23" s="10" t="s">
        <v>44</v>
      </c>
      <c r="B23" s="10">
        <v>441</v>
      </c>
      <c r="C23" s="10">
        <v>798</v>
      </c>
      <c r="D23" s="10">
        <f t="shared" si="0"/>
        <v>12</v>
      </c>
      <c r="E23" s="11" t="s">
        <v>151</v>
      </c>
      <c r="F23" s="11" t="s">
        <v>155</v>
      </c>
      <c r="G23" s="10" t="s">
        <v>40</v>
      </c>
      <c r="H23" s="10" t="s">
        <v>52</v>
      </c>
      <c r="I23" s="10">
        <v>6</v>
      </c>
      <c r="J23" s="10">
        <v>2</v>
      </c>
      <c r="K23" s="12">
        <f t="shared" si="1"/>
        <v>45.997843348691305</v>
      </c>
      <c r="L23" s="12">
        <v>59.472000000000001</v>
      </c>
      <c r="M23" s="12" t="s">
        <v>93</v>
      </c>
      <c r="N23" s="10" t="s">
        <v>24</v>
      </c>
      <c r="O23" s="10" t="s">
        <v>25</v>
      </c>
      <c r="P23" s="10"/>
      <c r="Q23" s="10" t="s">
        <v>45</v>
      </c>
    </row>
    <row r="24" spans="1:17" x14ac:dyDescent="0.3">
      <c r="A24" s="10" t="s">
        <v>44</v>
      </c>
      <c r="B24" s="10">
        <v>441</v>
      </c>
      <c r="C24" s="10">
        <v>798</v>
      </c>
      <c r="D24" s="10">
        <f t="shared" si="0"/>
        <v>10</v>
      </c>
      <c r="E24" s="11" t="s">
        <v>151</v>
      </c>
      <c r="F24" s="11" t="s">
        <v>156</v>
      </c>
      <c r="G24" s="10" t="s">
        <v>40</v>
      </c>
      <c r="H24" s="10" t="s">
        <v>23</v>
      </c>
      <c r="I24" s="10">
        <v>5</v>
      </c>
      <c r="J24" s="10">
        <v>2</v>
      </c>
      <c r="K24" s="12">
        <f t="shared" si="1"/>
        <v>38.331536123909423</v>
      </c>
      <c r="L24" s="12">
        <v>49.56</v>
      </c>
      <c r="M24" s="12" t="s">
        <v>93</v>
      </c>
      <c r="N24" s="10" t="s">
        <v>24</v>
      </c>
      <c r="O24" s="10" t="s">
        <v>25</v>
      </c>
      <c r="P24" s="10"/>
      <c r="Q24" s="10" t="s">
        <v>45</v>
      </c>
    </row>
    <row r="25" spans="1:17" x14ac:dyDescent="0.3">
      <c r="A25" s="10" t="s">
        <v>44</v>
      </c>
      <c r="B25" s="10">
        <v>543</v>
      </c>
      <c r="C25" s="10">
        <v>1745</v>
      </c>
      <c r="D25" s="10">
        <f t="shared" si="0"/>
        <v>6</v>
      </c>
      <c r="E25" s="11" t="s">
        <v>151</v>
      </c>
      <c r="F25" s="11" t="s">
        <v>154</v>
      </c>
      <c r="G25" s="10" t="s">
        <v>22</v>
      </c>
      <c r="H25" s="10" t="s">
        <v>23</v>
      </c>
      <c r="I25" s="10">
        <v>6</v>
      </c>
      <c r="J25" s="10">
        <v>1</v>
      </c>
      <c r="K25" s="12">
        <f t="shared" si="1"/>
        <v>61.924321144985782</v>
      </c>
      <c r="L25" s="12">
        <v>54.911999999999999</v>
      </c>
      <c r="M25" s="12" t="s">
        <v>93</v>
      </c>
      <c r="N25" s="10" t="s">
        <v>24</v>
      </c>
      <c r="O25" s="10" t="s">
        <v>25</v>
      </c>
      <c r="P25" s="10"/>
      <c r="Q25" s="10" t="s">
        <v>46</v>
      </c>
    </row>
    <row r="26" spans="1:17" x14ac:dyDescent="0.3">
      <c r="A26" s="10" t="s">
        <v>44</v>
      </c>
      <c r="B26" s="10">
        <v>543</v>
      </c>
      <c r="C26" s="10">
        <v>1745</v>
      </c>
      <c r="D26" s="10">
        <f t="shared" si="0"/>
        <v>6</v>
      </c>
      <c r="E26" s="11" t="s">
        <v>151</v>
      </c>
      <c r="F26" s="11" t="s">
        <v>155</v>
      </c>
      <c r="G26" s="10" t="s">
        <v>22</v>
      </c>
      <c r="H26" s="10" t="s">
        <v>52</v>
      </c>
      <c r="I26" s="10">
        <v>6</v>
      </c>
      <c r="J26" s="10">
        <v>1</v>
      </c>
      <c r="K26" s="12">
        <f t="shared" si="1"/>
        <v>61.924321144985782</v>
      </c>
      <c r="L26" s="12">
        <v>54.911999999999999</v>
      </c>
      <c r="M26" s="12" t="s">
        <v>93</v>
      </c>
      <c r="N26" s="10" t="s">
        <v>24</v>
      </c>
      <c r="O26" s="10" t="s">
        <v>25</v>
      </c>
      <c r="P26" s="10"/>
      <c r="Q26" s="10" t="s">
        <v>46</v>
      </c>
    </row>
    <row r="27" spans="1:17" x14ac:dyDescent="0.3">
      <c r="A27" s="10" t="s">
        <v>44</v>
      </c>
      <c r="B27" s="10">
        <v>591</v>
      </c>
      <c r="C27" s="10">
        <v>1748</v>
      </c>
      <c r="D27" s="10">
        <f t="shared" si="0"/>
        <v>6</v>
      </c>
      <c r="E27" s="11" t="s">
        <v>151</v>
      </c>
      <c r="F27" s="11" t="s">
        <v>154</v>
      </c>
      <c r="G27" s="10" t="s">
        <v>28</v>
      </c>
      <c r="H27" s="10" t="s">
        <v>23</v>
      </c>
      <c r="I27" s="10">
        <v>6</v>
      </c>
      <c r="J27" s="10">
        <v>1</v>
      </c>
      <c r="K27" s="12">
        <f t="shared" si="1"/>
        <v>67.514165277913932</v>
      </c>
      <c r="L27" s="18">
        <v>56.136000000000003</v>
      </c>
      <c r="M27" s="12" t="s">
        <v>93</v>
      </c>
      <c r="N27" s="10" t="s">
        <v>24</v>
      </c>
      <c r="O27" s="10" t="s">
        <v>25</v>
      </c>
      <c r="P27" s="10"/>
      <c r="Q27" s="10" t="s">
        <v>47</v>
      </c>
    </row>
    <row r="28" spans="1:17" x14ac:dyDescent="0.3">
      <c r="A28" s="10" t="s">
        <v>44</v>
      </c>
      <c r="B28" s="10">
        <v>591</v>
      </c>
      <c r="C28" s="10">
        <v>1748</v>
      </c>
      <c r="D28" s="10">
        <f t="shared" si="0"/>
        <v>6</v>
      </c>
      <c r="E28" s="11" t="s">
        <v>151</v>
      </c>
      <c r="F28" s="11" t="s">
        <v>154</v>
      </c>
      <c r="G28" s="10" t="s">
        <v>31</v>
      </c>
      <c r="H28" s="10" t="s">
        <v>23</v>
      </c>
      <c r="I28" s="10">
        <v>6</v>
      </c>
      <c r="J28" s="10">
        <v>1</v>
      </c>
      <c r="K28" s="12">
        <f t="shared" si="1"/>
        <v>67.514165277913932</v>
      </c>
      <c r="L28" s="12">
        <v>56.136000000000003</v>
      </c>
      <c r="M28" s="12" t="s">
        <v>93</v>
      </c>
      <c r="N28" s="10" t="s">
        <v>24</v>
      </c>
      <c r="O28" s="10" t="s">
        <v>25</v>
      </c>
      <c r="P28" s="10"/>
      <c r="Q28" s="10" t="s">
        <v>47</v>
      </c>
    </row>
    <row r="29" spans="1:17" x14ac:dyDescent="0.3">
      <c r="A29" s="10" t="s">
        <v>44</v>
      </c>
      <c r="B29" s="10">
        <v>591</v>
      </c>
      <c r="C29" s="10">
        <v>1748</v>
      </c>
      <c r="D29" s="10">
        <f t="shared" si="0"/>
        <v>6</v>
      </c>
      <c r="E29" s="11" t="s">
        <v>151</v>
      </c>
      <c r="F29" s="11" t="s">
        <v>155</v>
      </c>
      <c r="G29" s="10" t="s">
        <v>28</v>
      </c>
      <c r="H29" s="10" t="s">
        <v>52</v>
      </c>
      <c r="I29" s="10">
        <v>6</v>
      </c>
      <c r="J29" s="10">
        <v>1</v>
      </c>
      <c r="K29" s="12">
        <f t="shared" si="1"/>
        <v>67.514165277913932</v>
      </c>
      <c r="L29" s="12">
        <v>56.136000000000003</v>
      </c>
      <c r="M29" s="12" t="s">
        <v>93</v>
      </c>
      <c r="N29" s="10" t="s">
        <v>24</v>
      </c>
      <c r="O29" s="10" t="s">
        <v>25</v>
      </c>
      <c r="P29" s="10"/>
      <c r="Q29" s="10" t="s">
        <v>47</v>
      </c>
    </row>
    <row r="30" spans="1:17" x14ac:dyDescent="0.3">
      <c r="A30" s="10" t="s">
        <v>44</v>
      </c>
      <c r="B30" s="10">
        <v>591</v>
      </c>
      <c r="C30" s="10">
        <v>1748</v>
      </c>
      <c r="D30" s="10">
        <f t="shared" si="0"/>
        <v>6</v>
      </c>
      <c r="E30" s="11" t="s">
        <v>151</v>
      </c>
      <c r="F30" s="11" t="s">
        <v>155</v>
      </c>
      <c r="G30" s="10" t="s">
        <v>31</v>
      </c>
      <c r="H30" s="10" t="s">
        <v>52</v>
      </c>
      <c r="I30" s="10">
        <v>6</v>
      </c>
      <c r="J30" s="10">
        <v>1</v>
      </c>
      <c r="K30" s="12">
        <f t="shared" si="1"/>
        <v>67.514165277913932</v>
      </c>
      <c r="L30" s="12">
        <v>56.136000000000003</v>
      </c>
      <c r="M30" s="12" t="s">
        <v>93</v>
      </c>
      <c r="N30" s="10" t="s">
        <v>24</v>
      </c>
      <c r="O30" s="10" t="s">
        <v>25</v>
      </c>
      <c r="P30" s="10"/>
      <c r="Q30" s="10" t="s">
        <v>47</v>
      </c>
    </row>
    <row r="31" spans="1:17" x14ac:dyDescent="0.3">
      <c r="A31" s="10" t="s">
        <v>44</v>
      </c>
      <c r="B31" s="10">
        <v>591</v>
      </c>
      <c r="C31" s="10">
        <v>1748</v>
      </c>
      <c r="D31" s="10">
        <f t="shared" si="0"/>
        <v>5</v>
      </c>
      <c r="E31" s="11" t="s">
        <v>151</v>
      </c>
      <c r="F31" s="11" t="s">
        <v>156</v>
      </c>
      <c r="G31" s="10" t="s">
        <v>28</v>
      </c>
      <c r="H31" s="10" t="s">
        <v>23</v>
      </c>
      <c r="I31" s="10">
        <v>5</v>
      </c>
      <c r="J31" s="10">
        <v>1</v>
      </c>
      <c r="K31" s="12">
        <f t="shared" si="1"/>
        <v>56.26180439826161</v>
      </c>
      <c r="L31" s="12">
        <v>46.78</v>
      </c>
      <c r="M31" s="12" t="s">
        <v>93</v>
      </c>
      <c r="N31" s="10" t="s">
        <v>24</v>
      </c>
      <c r="O31" s="10" t="s">
        <v>25</v>
      </c>
      <c r="P31" s="10"/>
      <c r="Q31" s="10" t="s">
        <v>47</v>
      </c>
    </row>
    <row r="32" spans="1:17" x14ac:dyDescent="0.3">
      <c r="A32" s="10" t="s">
        <v>44</v>
      </c>
      <c r="B32" s="10">
        <v>591</v>
      </c>
      <c r="C32" s="10">
        <v>1748</v>
      </c>
      <c r="D32" s="10">
        <f t="shared" si="0"/>
        <v>5</v>
      </c>
      <c r="E32" s="11" t="s">
        <v>151</v>
      </c>
      <c r="F32" s="11" t="s">
        <v>156</v>
      </c>
      <c r="G32" s="10" t="s">
        <v>31</v>
      </c>
      <c r="H32" s="10" t="s">
        <v>23</v>
      </c>
      <c r="I32" s="10">
        <v>5</v>
      </c>
      <c r="J32" s="10">
        <v>1</v>
      </c>
      <c r="K32" s="12">
        <f t="shared" si="1"/>
        <v>56.26180439826161</v>
      </c>
      <c r="L32" s="12">
        <v>46.78</v>
      </c>
      <c r="M32" s="12" t="s">
        <v>93</v>
      </c>
      <c r="N32" s="10" t="s">
        <v>24</v>
      </c>
      <c r="O32" s="10" t="s">
        <v>25</v>
      </c>
      <c r="P32" s="10"/>
      <c r="Q32" s="10" t="s">
        <v>47</v>
      </c>
    </row>
    <row r="33" spans="1:17" x14ac:dyDescent="0.3">
      <c r="A33" s="10" t="s">
        <v>44</v>
      </c>
      <c r="B33" s="10">
        <v>742</v>
      </c>
      <c r="C33" s="10">
        <v>1748</v>
      </c>
      <c r="D33" s="10">
        <f t="shared" si="0"/>
        <v>6</v>
      </c>
      <c r="E33" s="11" t="s">
        <v>151</v>
      </c>
      <c r="F33" s="11" t="s">
        <v>154</v>
      </c>
      <c r="G33" s="10" t="s">
        <v>33</v>
      </c>
      <c r="H33" s="10" t="s">
        <v>23</v>
      </c>
      <c r="I33" s="10">
        <v>6</v>
      </c>
      <c r="J33" s="10">
        <v>1</v>
      </c>
      <c r="K33" s="12">
        <f t="shared" si="1"/>
        <v>84.763977387837798</v>
      </c>
      <c r="L33" s="12">
        <v>59.76</v>
      </c>
      <c r="M33" s="12" t="s">
        <v>93</v>
      </c>
      <c r="N33" s="10" t="s">
        <v>24</v>
      </c>
      <c r="O33" s="10" t="s">
        <v>34</v>
      </c>
      <c r="P33" s="10"/>
      <c r="Q33" s="10" t="s">
        <v>47</v>
      </c>
    </row>
    <row r="34" spans="1:17" x14ac:dyDescent="0.3">
      <c r="A34" s="10" t="s">
        <v>44</v>
      </c>
      <c r="B34" s="10">
        <v>742</v>
      </c>
      <c r="C34" s="10">
        <v>1748</v>
      </c>
      <c r="D34" s="10">
        <f t="shared" si="0"/>
        <v>6</v>
      </c>
      <c r="E34" s="11" t="s">
        <v>151</v>
      </c>
      <c r="F34" s="11" t="s">
        <v>155</v>
      </c>
      <c r="G34" s="10" t="s">
        <v>33</v>
      </c>
      <c r="H34" s="10" t="s">
        <v>52</v>
      </c>
      <c r="I34" s="10">
        <v>6</v>
      </c>
      <c r="J34" s="10">
        <v>1</v>
      </c>
      <c r="K34" s="12">
        <f t="shared" si="1"/>
        <v>84.763977387837798</v>
      </c>
      <c r="L34" s="12">
        <v>59.76</v>
      </c>
      <c r="M34" s="12" t="s">
        <v>93</v>
      </c>
      <c r="N34" s="10" t="s">
        <v>24</v>
      </c>
      <c r="O34" s="10" t="s">
        <v>34</v>
      </c>
      <c r="P34" s="10"/>
      <c r="Q34" s="10" t="s">
        <v>47</v>
      </c>
    </row>
    <row r="35" spans="1:17" x14ac:dyDescent="0.3">
      <c r="A35" s="10" t="s">
        <v>44</v>
      </c>
      <c r="B35" s="10">
        <v>742</v>
      </c>
      <c r="C35" s="10">
        <v>1748</v>
      </c>
      <c r="D35" s="10">
        <f t="shared" si="0"/>
        <v>5</v>
      </c>
      <c r="E35" s="11" t="s">
        <v>151</v>
      </c>
      <c r="F35" s="11" t="s">
        <v>156</v>
      </c>
      <c r="G35" s="10" t="s">
        <v>33</v>
      </c>
      <c r="H35" s="10" t="s">
        <v>23</v>
      </c>
      <c r="I35" s="10">
        <v>5</v>
      </c>
      <c r="J35" s="10">
        <v>1</v>
      </c>
      <c r="K35" s="12">
        <f t="shared" si="1"/>
        <v>70.63664782319816</v>
      </c>
      <c r="L35" s="12">
        <v>49.8</v>
      </c>
      <c r="M35" s="12" t="s">
        <v>93</v>
      </c>
      <c r="N35" s="10" t="s">
        <v>24</v>
      </c>
      <c r="O35" s="10" t="s">
        <v>34</v>
      </c>
      <c r="P35" s="10"/>
      <c r="Q35" s="10" t="s">
        <v>47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93A0-ED86-4839-9C01-D34F3B7B8F29}">
  <dimension ref="A1:Q13"/>
  <sheetViews>
    <sheetView workbookViewId="0">
      <selection activeCell="K1" sqref="K1:K1048576"/>
    </sheetView>
  </sheetViews>
  <sheetFormatPr defaultRowHeight="16.5" x14ac:dyDescent="0.3"/>
  <cols>
    <col min="1" max="1" width="34.375" bestFit="1" customWidth="1"/>
    <col min="2" max="3" width="8" bestFit="1" customWidth="1"/>
    <col min="4" max="4" width="4.75" bestFit="1" customWidth="1"/>
    <col min="5" max="5" width="6.375" bestFit="1" customWidth="1"/>
    <col min="6" max="6" width="13" bestFit="1" customWidth="1"/>
    <col min="7" max="7" width="9.75" bestFit="1" customWidth="1"/>
    <col min="8" max="10" width="4.75" bestFit="1" customWidth="1"/>
    <col min="11" max="12" width="6" bestFit="1" customWidth="1"/>
    <col min="13" max="13" width="9.25" bestFit="1" customWidth="1"/>
    <col min="15" max="16" width="5.625" bestFit="1" customWidth="1"/>
  </cols>
  <sheetData>
    <row r="1" spans="1:17" x14ac:dyDescent="0.3">
      <c r="A1" s="33" t="s">
        <v>0</v>
      </c>
      <c r="B1" s="33" t="s">
        <v>1</v>
      </c>
      <c r="C1" s="33" t="s">
        <v>2</v>
      </c>
      <c r="D1" s="33" t="s">
        <v>3</v>
      </c>
      <c r="E1" s="1" t="s">
        <v>4</v>
      </c>
      <c r="F1" s="1" t="s">
        <v>5</v>
      </c>
      <c r="G1" s="33" t="s">
        <v>6</v>
      </c>
      <c r="H1" s="34" t="s">
        <v>7</v>
      </c>
      <c r="I1" s="33" t="s">
        <v>8</v>
      </c>
      <c r="J1" s="33" t="s">
        <v>9</v>
      </c>
      <c r="K1" s="35" t="s">
        <v>10</v>
      </c>
      <c r="L1" s="35" t="s">
        <v>96</v>
      </c>
      <c r="M1" s="35" t="s">
        <v>97</v>
      </c>
      <c r="N1" s="33" t="s">
        <v>98</v>
      </c>
      <c r="O1" s="33" t="s">
        <v>12</v>
      </c>
      <c r="P1" s="33" t="s">
        <v>14</v>
      </c>
      <c r="Q1" s="33" t="s">
        <v>13</v>
      </c>
    </row>
    <row r="2" spans="1:17" x14ac:dyDescent="0.3">
      <c r="A2" s="10" t="s">
        <v>36</v>
      </c>
      <c r="B2" s="10">
        <v>587</v>
      </c>
      <c r="C2" s="10">
        <v>1746</v>
      </c>
      <c r="D2" s="10">
        <f>I2*J2</f>
        <v>12</v>
      </c>
      <c r="E2" s="11" t="s">
        <v>151</v>
      </c>
      <c r="F2" s="11" t="s">
        <v>154</v>
      </c>
      <c r="G2" s="10" t="s">
        <v>28</v>
      </c>
      <c r="H2" s="10" t="s">
        <v>23</v>
      </c>
      <c r="I2" s="10">
        <v>6</v>
      </c>
      <c r="J2" s="10">
        <v>2</v>
      </c>
      <c r="K2" s="12">
        <f>B2*C2*D2/91809</f>
        <v>133.9609842172336</v>
      </c>
      <c r="L2" s="18">
        <v>111.98399999999999</v>
      </c>
      <c r="M2" s="12" t="s">
        <v>93</v>
      </c>
      <c r="N2" s="10" t="s">
        <v>42</v>
      </c>
      <c r="O2" s="10" t="s">
        <v>25</v>
      </c>
      <c r="P2" s="10"/>
      <c r="Q2" s="10" t="s">
        <v>43</v>
      </c>
    </row>
    <row r="3" spans="1:17" x14ac:dyDescent="0.3">
      <c r="A3" s="10" t="s">
        <v>36</v>
      </c>
      <c r="B3" s="10">
        <v>587</v>
      </c>
      <c r="C3" s="10">
        <v>1746</v>
      </c>
      <c r="D3" s="10">
        <f>I3*J3</f>
        <v>12</v>
      </c>
      <c r="E3" s="11" t="s">
        <v>151</v>
      </c>
      <c r="F3" s="11" t="s">
        <v>154</v>
      </c>
      <c r="G3" s="10" t="s">
        <v>31</v>
      </c>
      <c r="H3" s="10" t="s">
        <v>23</v>
      </c>
      <c r="I3" s="10">
        <v>6</v>
      </c>
      <c r="J3" s="10">
        <v>2</v>
      </c>
      <c r="K3" s="12">
        <f>B3*C3*D3/91809</f>
        <v>133.9609842172336</v>
      </c>
      <c r="L3" s="12">
        <v>111.98399999999999</v>
      </c>
      <c r="M3" s="12" t="s">
        <v>93</v>
      </c>
      <c r="N3" s="10" t="s">
        <v>42</v>
      </c>
      <c r="O3" s="10" t="s">
        <v>25</v>
      </c>
      <c r="P3" s="10"/>
      <c r="Q3" s="10" t="s">
        <v>43</v>
      </c>
    </row>
    <row r="4" spans="1:17" x14ac:dyDescent="0.3">
      <c r="A4" s="10" t="s">
        <v>36</v>
      </c>
      <c r="B4" s="10">
        <v>587</v>
      </c>
      <c r="C4" s="10">
        <v>1746</v>
      </c>
      <c r="D4" s="10">
        <f>I4*J4</f>
        <v>12</v>
      </c>
      <c r="E4" s="11" t="s">
        <v>151</v>
      </c>
      <c r="F4" s="11" t="s">
        <v>155</v>
      </c>
      <c r="G4" s="10" t="s">
        <v>28</v>
      </c>
      <c r="H4" s="10" t="s">
        <v>52</v>
      </c>
      <c r="I4" s="10">
        <v>6</v>
      </c>
      <c r="J4" s="10">
        <v>2</v>
      </c>
      <c r="K4" s="12">
        <f>B4*C4*D4/91809</f>
        <v>133.9609842172336</v>
      </c>
      <c r="L4" s="12">
        <v>111.98399999999999</v>
      </c>
      <c r="M4" s="12" t="s">
        <v>93</v>
      </c>
      <c r="N4" s="10" t="s">
        <v>42</v>
      </c>
      <c r="O4" s="10" t="s">
        <v>25</v>
      </c>
      <c r="P4" s="10"/>
      <c r="Q4" s="10" t="s">
        <v>43</v>
      </c>
    </row>
    <row r="5" spans="1:17" x14ac:dyDescent="0.3">
      <c r="A5" s="10" t="s">
        <v>36</v>
      </c>
      <c r="B5" s="10">
        <v>587</v>
      </c>
      <c r="C5" s="10">
        <v>1746</v>
      </c>
      <c r="D5" s="10">
        <f>I5*J5</f>
        <v>12</v>
      </c>
      <c r="E5" s="11" t="s">
        <v>151</v>
      </c>
      <c r="F5" s="11" t="s">
        <v>155</v>
      </c>
      <c r="G5" s="10" t="s">
        <v>31</v>
      </c>
      <c r="H5" s="10" t="s">
        <v>52</v>
      </c>
      <c r="I5" s="10">
        <v>6</v>
      </c>
      <c r="J5" s="10">
        <v>2</v>
      </c>
      <c r="K5" s="12">
        <f>B5*C5*D5/91809</f>
        <v>133.9609842172336</v>
      </c>
      <c r="L5" s="12">
        <v>111.98399999999999</v>
      </c>
      <c r="M5" s="12" t="s">
        <v>93</v>
      </c>
      <c r="N5" s="10" t="s">
        <v>42</v>
      </c>
      <c r="O5" s="10" t="s">
        <v>25</v>
      </c>
      <c r="P5" s="10"/>
      <c r="Q5" s="10" t="s">
        <v>43</v>
      </c>
    </row>
    <row r="6" spans="1:17" x14ac:dyDescent="0.3">
      <c r="A6" s="10" t="s">
        <v>36</v>
      </c>
      <c r="B6" s="10">
        <v>587</v>
      </c>
      <c r="C6" s="10">
        <v>1746</v>
      </c>
      <c r="D6" s="10">
        <f>I6*J6</f>
        <v>10</v>
      </c>
      <c r="E6" s="11" t="s">
        <v>151</v>
      </c>
      <c r="F6" s="11" t="s">
        <v>156</v>
      </c>
      <c r="G6" s="10" t="s">
        <v>28</v>
      </c>
      <c r="H6" s="10" t="s">
        <v>23</v>
      </c>
      <c r="I6" s="10">
        <v>5</v>
      </c>
      <c r="J6" s="10">
        <v>2</v>
      </c>
      <c r="K6" s="12">
        <f>B6*C6*D6/91809</f>
        <v>111.63415351436134</v>
      </c>
      <c r="L6" s="12">
        <v>93.32</v>
      </c>
      <c r="M6" s="12" t="s">
        <v>93</v>
      </c>
      <c r="N6" s="10" t="s">
        <v>42</v>
      </c>
      <c r="O6" s="10" t="s">
        <v>25</v>
      </c>
      <c r="P6" s="10"/>
      <c r="Q6" s="10" t="s">
        <v>43</v>
      </c>
    </row>
    <row r="7" spans="1:17" x14ac:dyDescent="0.3">
      <c r="A7" s="10" t="s">
        <v>36</v>
      </c>
      <c r="B7" s="10">
        <v>587</v>
      </c>
      <c r="C7" s="10">
        <v>1746</v>
      </c>
      <c r="D7" s="10">
        <f>I7*J7</f>
        <v>10</v>
      </c>
      <c r="E7" s="11" t="s">
        <v>151</v>
      </c>
      <c r="F7" s="11" t="s">
        <v>156</v>
      </c>
      <c r="G7" s="10" t="s">
        <v>31</v>
      </c>
      <c r="H7" s="10" t="s">
        <v>23</v>
      </c>
      <c r="I7" s="10">
        <v>5</v>
      </c>
      <c r="J7" s="10">
        <v>2</v>
      </c>
      <c r="K7" s="12">
        <f>B7*C7*D7/91809</f>
        <v>111.63415351436134</v>
      </c>
      <c r="L7" s="12">
        <v>93.32</v>
      </c>
      <c r="M7" s="12" t="s">
        <v>93</v>
      </c>
      <c r="N7" s="10" t="s">
        <v>42</v>
      </c>
      <c r="O7" s="10" t="s">
        <v>25</v>
      </c>
      <c r="P7" s="10"/>
      <c r="Q7" s="10" t="s">
        <v>43</v>
      </c>
    </row>
    <row r="8" spans="1:17" x14ac:dyDescent="0.3">
      <c r="A8" s="10" t="s">
        <v>36</v>
      </c>
      <c r="B8" s="10">
        <v>742</v>
      </c>
      <c r="C8" s="10">
        <v>1746</v>
      </c>
      <c r="D8" s="10">
        <f>I8*J8</f>
        <v>6</v>
      </c>
      <c r="E8" s="11" t="s">
        <v>151</v>
      </c>
      <c r="F8" s="11" t="s">
        <v>154</v>
      </c>
      <c r="G8" s="10" t="s">
        <v>33</v>
      </c>
      <c r="H8" s="10" t="s">
        <v>23</v>
      </c>
      <c r="I8" s="10">
        <v>6</v>
      </c>
      <c r="J8" s="10">
        <v>1</v>
      </c>
      <c r="K8" s="12">
        <f>B8*C8*D8/91809</f>
        <v>84.666993432016469</v>
      </c>
      <c r="L8" s="12">
        <v>59.712000000000003</v>
      </c>
      <c r="M8" s="12" t="s">
        <v>93</v>
      </c>
      <c r="N8" s="10" t="s">
        <v>42</v>
      </c>
      <c r="O8" s="10" t="s">
        <v>34</v>
      </c>
      <c r="P8" s="10"/>
      <c r="Q8" s="10" t="s">
        <v>43</v>
      </c>
    </row>
    <row r="9" spans="1:17" x14ac:dyDescent="0.3">
      <c r="A9" s="10" t="s">
        <v>36</v>
      </c>
      <c r="B9" s="10">
        <v>742</v>
      </c>
      <c r="C9" s="10">
        <v>1746</v>
      </c>
      <c r="D9" s="10">
        <f>I9*J9</f>
        <v>6</v>
      </c>
      <c r="E9" s="11" t="s">
        <v>151</v>
      </c>
      <c r="F9" s="11" t="s">
        <v>155</v>
      </c>
      <c r="G9" s="10" t="s">
        <v>33</v>
      </c>
      <c r="H9" s="10" t="s">
        <v>52</v>
      </c>
      <c r="I9" s="10">
        <v>6</v>
      </c>
      <c r="J9" s="10">
        <v>1</v>
      </c>
      <c r="K9" s="12">
        <f>B9*C9*D9/91809</f>
        <v>84.666993432016469</v>
      </c>
      <c r="L9" s="12">
        <v>59.712000000000003</v>
      </c>
      <c r="M9" s="12" t="s">
        <v>93</v>
      </c>
      <c r="N9" s="10" t="s">
        <v>42</v>
      </c>
      <c r="O9" s="10" t="s">
        <v>34</v>
      </c>
      <c r="P9" s="10"/>
      <c r="Q9" s="10" t="s">
        <v>43</v>
      </c>
    </row>
    <row r="10" spans="1:17" x14ac:dyDescent="0.3">
      <c r="A10" s="10" t="s">
        <v>36</v>
      </c>
      <c r="B10" s="10">
        <v>742</v>
      </c>
      <c r="C10" s="10">
        <v>1746</v>
      </c>
      <c r="D10" s="10">
        <f>I10*J10</f>
        <v>5</v>
      </c>
      <c r="E10" s="11" t="s">
        <v>151</v>
      </c>
      <c r="F10" s="11" t="s">
        <v>156</v>
      </c>
      <c r="G10" s="10" t="s">
        <v>33</v>
      </c>
      <c r="H10" s="10" t="s">
        <v>23</v>
      </c>
      <c r="I10" s="10">
        <v>5</v>
      </c>
      <c r="J10" s="10">
        <v>1</v>
      </c>
      <c r="K10" s="12">
        <f>B10*C10*D10/91809</f>
        <v>70.555827860013721</v>
      </c>
      <c r="L10" s="12">
        <v>49.76</v>
      </c>
      <c r="M10" s="12" t="s">
        <v>93</v>
      </c>
      <c r="N10" s="10" t="s">
        <v>42</v>
      </c>
      <c r="O10" s="10" t="s">
        <v>34</v>
      </c>
      <c r="P10" s="10"/>
      <c r="Q10" s="10" t="s">
        <v>43</v>
      </c>
    </row>
    <row r="11" spans="1:17" x14ac:dyDescent="0.3">
      <c r="A11" s="10" t="s">
        <v>36</v>
      </c>
      <c r="B11" s="10">
        <v>1631</v>
      </c>
      <c r="C11" s="10">
        <v>1746</v>
      </c>
      <c r="D11" s="10">
        <f>I11*J11</f>
        <v>6</v>
      </c>
      <c r="E11" s="11" t="s">
        <v>151</v>
      </c>
      <c r="F11" s="11" t="s">
        <v>154</v>
      </c>
      <c r="G11" s="10" t="s">
        <v>33</v>
      </c>
      <c r="H11" s="10" t="s">
        <v>23</v>
      </c>
      <c r="I11" s="10">
        <v>6</v>
      </c>
      <c r="J11" s="10">
        <v>1</v>
      </c>
      <c r="K11" s="12">
        <f>B11*C11*D11/91809</f>
        <v>186.10763650622488</v>
      </c>
      <c r="L11" s="12">
        <v>81.048000000000002</v>
      </c>
      <c r="M11" s="12" t="s">
        <v>93</v>
      </c>
      <c r="N11" s="10" t="s">
        <v>42</v>
      </c>
      <c r="O11" s="10" t="s">
        <v>34</v>
      </c>
      <c r="P11" s="10"/>
      <c r="Q11" s="10" t="s">
        <v>43</v>
      </c>
    </row>
    <row r="12" spans="1:17" x14ac:dyDescent="0.3">
      <c r="A12" s="10" t="s">
        <v>36</v>
      </c>
      <c r="B12" s="10">
        <v>1631</v>
      </c>
      <c r="C12" s="10">
        <v>1746</v>
      </c>
      <c r="D12" s="10">
        <f>I12*J12</f>
        <v>6</v>
      </c>
      <c r="E12" s="11" t="s">
        <v>151</v>
      </c>
      <c r="F12" s="11" t="s">
        <v>155</v>
      </c>
      <c r="G12" s="10" t="s">
        <v>33</v>
      </c>
      <c r="H12" s="10" t="s">
        <v>52</v>
      </c>
      <c r="I12" s="10">
        <v>6</v>
      </c>
      <c r="J12" s="10">
        <v>1</v>
      </c>
      <c r="K12" s="12">
        <f>B12*C12*D12/91809</f>
        <v>186.10763650622488</v>
      </c>
      <c r="L12" s="12">
        <v>81.048000000000002</v>
      </c>
      <c r="M12" s="12" t="s">
        <v>93</v>
      </c>
      <c r="N12" s="10" t="s">
        <v>42</v>
      </c>
      <c r="O12" s="10" t="s">
        <v>34</v>
      </c>
      <c r="P12" s="10"/>
      <c r="Q12" s="10" t="s">
        <v>43</v>
      </c>
    </row>
    <row r="13" spans="1:17" x14ac:dyDescent="0.3">
      <c r="A13" s="10" t="s">
        <v>36</v>
      </c>
      <c r="B13" s="10">
        <v>1631</v>
      </c>
      <c r="C13" s="10">
        <v>1746</v>
      </c>
      <c r="D13" s="10">
        <f>I13*J13</f>
        <v>5</v>
      </c>
      <c r="E13" s="11" t="s">
        <v>151</v>
      </c>
      <c r="F13" s="11" t="s">
        <v>156</v>
      </c>
      <c r="G13" s="10" t="s">
        <v>33</v>
      </c>
      <c r="H13" s="10" t="s">
        <v>23</v>
      </c>
      <c r="I13" s="10">
        <v>5</v>
      </c>
      <c r="J13" s="10">
        <v>1</v>
      </c>
      <c r="K13" s="12">
        <f>B13*C13*D13/91809</f>
        <v>155.08969708852072</v>
      </c>
      <c r="L13" s="12">
        <v>67.540000000000006</v>
      </c>
      <c r="M13" s="12" t="s">
        <v>93</v>
      </c>
      <c r="N13" s="10" t="s">
        <v>42</v>
      </c>
      <c r="O13" s="10" t="s">
        <v>34</v>
      </c>
      <c r="P13" s="10"/>
      <c r="Q13" s="10" t="s">
        <v>43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EA18-6CC3-472A-BD6D-077096EBDC66}">
  <dimension ref="A3:E19"/>
  <sheetViews>
    <sheetView workbookViewId="0">
      <selection activeCell="E29" sqref="E29"/>
    </sheetView>
  </sheetViews>
  <sheetFormatPr defaultRowHeight="16.5" x14ac:dyDescent="0.3"/>
  <cols>
    <col min="1" max="1" width="13.5" bestFit="1" customWidth="1"/>
    <col min="2" max="3" width="9" bestFit="1" customWidth="1"/>
    <col min="4" max="4" width="11.125" bestFit="1" customWidth="1"/>
    <col min="5" max="5" width="14.5" bestFit="1" customWidth="1"/>
  </cols>
  <sheetData>
    <row r="3" spans="1:5" x14ac:dyDescent="0.3">
      <c r="A3" s="23" t="s">
        <v>69</v>
      </c>
      <c r="B3" s="23" t="s">
        <v>74</v>
      </c>
      <c r="C3" s="23" t="s">
        <v>70</v>
      </c>
      <c r="D3" t="s">
        <v>67</v>
      </c>
      <c r="E3" t="s">
        <v>68</v>
      </c>
    </row>
    <row r="4" spans="1:5" x14ac:dyDescent="0.3">
      <c r="A4" t="s">
        <v>61</v>
      </c>
      <c r="B4" t="s">
        <v>53</v>
      </c>
      <c r="C4" t="s">
        <v>65</v>
      </c>
      <c r="D4">
        <v>90</v>
      </c>
      <c r="E4">
        <v>755.85158317811954</v>
      </c>
    </row>
    <row r="5" spans="1:5" x14ac:dyDescent="0.3">
      <c r="C5" t="s">
        <v>66</v>
      </c>
      <c r="D5">
        <v>36</v>
      </c>
      <c r="E5">
        <v>538.69659837270865</v>
      </c>
    </row>
    <row r="6" spans="1:5" x14ac:dyDescent="0.3">
      <c r="B6" t="s">
        <v>75</v>
      </c>
      <c r="D6">
        <v>126</v>
      </c>
      <c r="E6">
        <v>1294.5481815508283</v>
      </c>
    </row>
    <row r="7" spans="1:5" x14ac:dyDescent="0.3">
      <c r="A7" t="s">
        <v>71</v>
      </c>
      <c r="D7">
        <v>126</v>
      </c>
      <c r="E7">
        <v>1294.5481815508283</v>
      </c>
    </row>
    <row r="8" spans="1:5" x14ac:dyDescent="0.3">
      <c r="A8" t="s">
        <v>62</v>
      </c>
      <c r="B8" t="s">
        <v>76</v>
      </c>
      <c r="C8" t="s">
        <v>65</v>
      </c>
      <c r="D8">
        <v>16</v>
      </c>
      <c r="E8">
        <v>136.29598405385093</v>
      </c>
    </row>
    <row r="9" spans="1:5" x14ac:dyDescent="0.3">
      <c r="C9" t="s">
        <v>66</v>
      </c>
      <c r="D9">
        <v>6</v>
      </c>
      <c r="E9">
        <v>89.782766395451432</v>
      </c>
    </row>
    <row r="10" spans="1:5" x14ac:dyDescent="0.3">
      <c r="B10" t="s">
        <v>77</v>
      </c>
      <c r="D10">
        <v>22</v>
      </c>
      <c r="E10">
        <v>226.07875044930236</v>
      </c>
    </row>
    <row r="11" spans="1:5" x14ac:dyDescent="0.3">
      <c r="A11" t="s">
        <v>72</v>
      </c>
      <c r="D11">
        <v>22</v>
      </c>
      <c r="E11">
        <v>226.07875044930236</v>
      </c>
    </row>
    <row r="12" spans="1:5" x14ac:dyDescent="0.3">
      <c r="A12" t="s">
        <v>63</v>
      </c>
      <c r="B12" t="s">
        <v>57</v>
      </c>
      <c r="C12" t="s">
        <v>66</v>
      </c>
      <c r="D12">
        <v>70</v>
      </c>
      <c r="E12">
        <v>1180.5644544652487</v>
      </c>
    </row>
    <row r="13" spans="1:5" x14ac:dyDescent="0.3">
      <c r="B13" t="s">
        <v>78</v>
      </c>
      <c r="D13">
        <v>70</v>
      </c>
      <c r="E13">
        <v>1180.5644544652487</v>
      </c>
    </row>
    <row r="14" spans="1:5" x14ac:dyDescent="0.3">
      <c r="B14" t="s">
        <v>55</v>
      </c>
      <c r="C14" t="s">
        <v>65</v>
      </c>
      <c r="D14">
        <v>318</v>
      </c>
      <c r="E14">
        <v>2819.6052021043679</v>
      </c>
    </row>
    <row r="15" spans="1:5" x14ac:dyDescent="0.3">
      <c r="B15" t="s">
        <v>79</v>
      </c>
      <c r="D15">
        <v>318</v>
      </c>
      <c r="E15">
        <v>2819.6052021043679</v>
      </c>
    </row>
    <row r="16" spans="1:5" x14ac:dyDescent="0.3">
      <c r="B16" t="s">
        <v>59</v>
      </c>
      <c r="C16" t="s">
        <v>66</v>
      </c>
      <c r="D16">
        <v>38</v>
      </c>
      <c r="E16">
        <v>663.68120772473299</v>
      </c>
    </row>
    <row r="17" spans="1:5" x14ac:dyDescent="0.3">
      <c r="B17" t="s">
        <v>80</v>
      </c>
      <c r="D17">
        <v>38</v>
      </c>
      <c r="E17">
        <v>663.68120772473299</v>
      </c>
    </row>
    <row r="18" spans="1:5" x14ac:dyDescent="0.3">
      <c r="A18" t="s">
        <v>73</v>
      </c>
      <c r="D18">
        <v>426</v>
      </c>
      <c r="E18">
        <v>4663.8508642943498</v>
      </c>
    </row>
    <row r="19" spans="1:5" x14ac:dyDescent="0.3">
      <c r="A19" t="s">
        <v>64</v>
      </c>
      <c r="D19">
        <v>574</v>
      </c>
      <c r="E19">
        <v>6184.4777962944809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D089-CE8C-44B5-AF86-824ECE08E77B}">
  <dimension ref="A1:U121"/>
  <sheetViews>
    <sheetView workbookViewId="0">
      <selection activeCell="P121" sqref="A1:P121"/>
    </sheetView>
  </sheetViews>
  <sheetFormatPr defaultRowHeight="16.5" x14ac:dyDescent="0.3"/>
  <cols>
    <col min="1" max="1" width="45.5" bestFit="1" customWidth="1"/>
    <col min="4" max="4" width="5.25" bestFit="1" customWidth="1"/>
    <col min="5" max="5" width="9" style="11"/>
    <col min="6" max="6" width="13" style="11" bestFit="1" customWidth="1"/>
    <col min="7" max="7" width="9.75" bestFit="1" customWidth="1"/>
    <col min="8" max="8" width="16.5" bestFit="1" customWidth="1"/>
    <col min="16" max="16" width="14" customWidth="1"/>
    <col min="17" max="17" width="10" bestFit="1" customWidth="1"/>
  </cols>
  <sheetData>
    <row r="1" spans="1:21" s="9" customFormat="1" ht="17.25" thickTop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5" t="s">
        <v>16</v>
      </c>
      <c r="R1" s="6" t="s">
        <v>17</v>
      </c>
      <c r="S1" s="7" t="s">
        <v>18</v>
      </c>
      <c r="T1" s="6" t="s">
        <v>19</v>
      </c>
      <c r="U1" s="8"/>
    </row>
    <row r="2" spans="1:21" x14ac:dyDescent="0.3">
      <c r="A2" s="10" t="s">
        <v>20</v>
      </c>
      <c r="B2" s="10">
        <v>543</v>
      </c>
      <c r="C2" s="10">
        <v>1745</v>
      </c>
      <c r="D2" s="10">
        <f t="shared" ref="D2:D65" si="0">I2*J2</f>
        <v>3</v>
      </c>
      <c r="E2" s="11" t="s">
        <v>21</v>
      </c>
      <c r="F2" s="11" t="s">
        <v>54</v>
      </c>
      <c r="G2" s="10" t="s">
        <v>22</v>
      </c>
      <c r="H2" s="10" t="s">
        <v>23</v>
      </c>
      <c r="I2" s="10">
        <v>3</v>
      </c>
      <c r="J2" s="10">
        <v>1</v>
      </c>
      <c r="K2" s="12">
        <f t="shared" ref="K2:K65" si="1">B2*C2*D2/91809</f>
        <v>30.962160572492891</v>
      </c>
      <c r="L2" s="12">
        <f t="shared" ref="L2:L65" si="2">((((B2+C2)*2)*D2)/1000)*2</f>
        <v>27.456</v>
      </c>
      <c r="M2" s="12"/>
      <c r="N2" s="10" t="s">
        <v>24</v>
      </c>
      <c r="O2" s="10" t="s">
        <v>25</v>
      </c>
      <c r="P2" s="10" t="s">
        <v>26</v>
      </c>
      <c r="Q2" s="11"/>
      <c r="R2" s="13" t="s">
        <v>27</v>
      </c>
      <c r="S2" s="11">
        <v>1400</v>
      </c>
      <c r="T2" s="11">
        <v>2000</v>
      </c>
    </row>
    <row r="3" spans="1:21" x14ac:dyDescent="0.3">
      <c r="A3" s="10" t="s">
        <v>20</v>
      </c>
      <c r="B3" s="10">
        <v>591</v>
      </c>
      <c r="C3" s="10">
        <v>1748</v>
      </c>
      <c r="D3" s="10">
        <f t="shared" si="0"/>
        <v>3</v>
      </c>
      <c r="E3" s="11" t="s">
        <v>21</v>
      </c>
      <c r="F3" s="11" t="s">
        <v>54</v>
      </c>
      <c r="G3" s="10" t="s">
        <v>28</v>
      </c>
      <c r="H3" s="10" t="s">
        <v>23</v>
      </c>
      <c r="I3" s="10">
        <v>3</v>
      </c>
      <c r="J3" s="10">
        <v>1</v>
      </c>
      <c r="K3" s="12">
        <f t="shared" si="1"/>
        <v>33.757082638956966</v>
      </c>
      <c r="L3" s="12">
        <f t="shared" si="2"/>
        <v>28.068000000000001</v>
      </c>
      <c r="M3" s="12"/>
      <c r="N3" s="10" t="s">
        <v>24</v>
      </c>
      <c r="O3" s="10" t="s">
        <v>25</v>
      </c>
      <c r="P3" s="10" t="s">
        <v>29</v>
      </c>
      <c r="Q3" s="11"/>
      <c r="R3" s="13" t="s">
        <v>30</v>
      </c>
      <c r="S3" s="11">
        <v>1500</v>
      </c>
      <c r="T3" s="11">
        <v>2000</v>
      </c>
    </row>
    <row r="4" spans="1:21" x14ac:dyDescent="0.3">
      <c r="A4" s="10" t="s">
        <v>20</v>
      </c>
      <c r="B4" s="10">
        <v>591</v>
      </c>
      <c r="C4" s="10">
        <v>1748</v>
      </c>
      <c r="D4" s="10">
        <f t="shared" si="0"/>
        <v>3</v>
      </c>
      <c r="E4" s="11" t="s">
        <v>21</v>
      </c>
      <c r="F4" s="11" t="s">
        <v>54</v>
      </c>
      <c r="G4" s="10" t="s">
        <v>31</v>
      </c>
      <c r="H4" s="10" t="s">
        <v>23</v>
      </c>
      <c r="I4" s="10">
        <v>3</v>
      </c>
      <c r="J4" s="10">
        <v>1</v>
      </c>
      <c r="K4" s="12">
        <f t="shared" si="1"/>
        <v>33.757082638956966</v>
      </c>
      <c r="L4" s="12">
        <f t="shared" si="2"/>
        <v>28.068000000000001</v>
      </c>
      <c r="M4" s="12"/>
      <c r="N4" s="10" t="s">
        <v>24</v>
      </c>
      <c r="O4" s="10" t="s">
        <v>25</v>
      </c>
      <c r="P4" s="10" t="s">
        <v>29</v>
      </c>
      <c r="Q4" s="11"/>
      <c r="R4" s="13" t="s">
        <v>32</v>
      </c>
      <c r="S4" s="11">
        <v>1500</v>
      </c>
      <c r="T4" s="11">
        <v>2000</v>
      </c>
    </row>
    <row r="5" spans="1:21" x14ac:dyDescent="0.3">
      <c r="A5" s="10" t="s">
        <v>20</v>
      </c>
      <c r="B5" s="10">
        <v>591</v>
      </c>
      <c r="C5" s="10">
        <v>1748</v>
      </c>
      <c r="D5" s="10">
        <f t="shared" si="0"/>
        <v>3</v>
      </c>
      <c r="E5" s="11" t="s">
        <v>21</v>
      </c>
      <c r="F5" s="11" t="s">
        <v>54</v>
      </c>
      <c r="G5" s="10" t="s">
        <v>28</v>
      </c>
      <c r="H5" s="10" t="s">
        <v>23</v>
      </c>
      <c r="I5" s="10">
        <v>3</v>
      </c>
      <c r="J5" s="10">
        <v>1</v>
      </c>
      <c r="K5" s="12">
        <f t="shared" si="1"/>
        <v>33.757082638956966</v>
      </c>
      <c r="L5" s="12">
        <f t="shared" si="2"/>
        <v>28.068000000000001</v>
      </c>
      <c r="M5" s="12"/>
      <c r="N5" s="10" t="s">
        <v>24</v>
      </c>
      <c r="O5" s="10" t="s">
        <v>25</v>
      </c>
      <c r="P5" s="10" t="s">
        <v>29</v>
      </c>
      <c r="Q5" s="11"/>
      <c r="R5" s="13" t="s">
        <v>30</v>
      </c>
      <c r="S5" s="11">
        <v>1500</v>
      </c>
      <c r="T5" s="11">
        <v>2000</v>
      </c>
    </row>
    <row r="6" spans="1:21" x14ac:dyDescent="0.3">
      <c r="A6" s="10" t="s">
        <v>20</v>
      </c>
      <c r="B6" s="10">
        <v>591</v>
      </c>
      <c r="C6" s="10">
        <v>1748</v>
      </c>
      <c r="D6" s="10">
        <f t="shared" si="0"/>
        <v>3</v>
      </c>
      <c r="E6" s="11" t="s">
        <v>21</v>
      </c>
      <c r="F6" s="11" t="s">
        <v>54</v>
      </c>
      <c r="G6" s="10" t="s">
        <v>31</v>
      </c>
      <c r="H6" s="10" t="s">
        <v>23</v>
      </c>
      <c r="I6" s="10">
        <v>3</v>
      </c>
      <c r="J6" s="10">
        <v>1</v>
      </c>
      <c r="K6" s="12">
        <f t="shared" si="1"/>
        <v>33.757082638956966</v>
      </c>
      <c r="L6" s="12">
        <f t="shared" si="2"/>
        <v>28.068000000000001</v>
      </c>
      <c r="M6" s="12"/>
      <c r="N6" s="10" t="s">
        <v>24</v>
      </c>
      <c r="O6" s="10" t="s">
        <v>25</v>
      </c>
      <c r="P6" s="10" t="s">
        <v>29</v>
      </c>
      <c r="Q6" s="11"/>
      <c r="R6" s="13" t="s">
        <v>32</v>
      </c>
      <c r="S6" s="11">
        <v>1500</v>
      </c>
      <c r="T6" s="11">
        <v>2000</v>
      </c>
    </row>
    <row r="7" spans="1:21" x14ac:dyDescent="0.3">
      <c r="A7" s="10" t="s">
        <v>20</v>
      </c>
      <c r="B7" s="10">
        <v>1646</v>
      </c>
      <c r="C7" s="10">
        <v>1748</v>
      </c>
      <c r="D7" s="10">
        <f t="shared" si="0"/>
        <v>3</v>
      </c>
      <c r="E7" s="11" t="s">
        <v>21</v>
      </c>
      <c r="F7" s="11" t="s">
        <v>54</v>
      </c>
      <c r="G7" s="10" t="s">
        <v>33</v>
      </c>
      <c r="H7" s="10" t="s">
        <v>23</v>
      </c>
      <c r="I7" s="10">
        <v>3</v>
      </c>
      <c r="J7" s="10">
        <v>1</v>
      </c>
      <c r="K7" s="12">
        <f t="shared" si="1"/>
        <v>94.017187857399605</v>
      </c>
      <c r="L7" s="12">
        <f t="shared" si="2"/>
        <v>40.728000000000002</v>
      </c>
      <c r="M7" s="12"/>
      <c r="N7" s="10" t="s">
        <v>24</v>
      </c>
      <c r="O7" s="10" t="s">
        <v>34</v>
      </c>
      <c r="P7" s="10" t="s">
        <v>29</v>
      </c>
      <c r="Q7" s="11"/>
      <c r="R7" s="13" t="s">
        <v>35</v>
      </c>
      <c r="S7" s="11">
        <v>2700</v>
      </c>
      <c r="T7" s="11">
        <v>2000</v>
      </c>
    </row>
    <row r="8" spans="1:21" x14ac:dyDescent="0.3">
      <c r="A8" s="10" t="s">
        <v>20</v>
      </c>
      <c r="B8" s="10">
        <v>1646</v>
      </c>
      <c r="C8" s="10">
        <v>1748</v>
      </c>
      <c r="D8" s="10">
        <f t="shared" si="0"/>
        <v>3</v>
      </c>
      <c r="E8" s="11" t="s">
        <v>21</v>
      </c>
      <c r="F8" s="11" t="s">
        <v>54</v>
      </c>
      <c r="G8" s="10" t="s">
        <v>33</v>
      </c>
      <c r="H8" s="10" t="s">
        <v>23</v>
      </c>
      <c r="I8" s="10">
        <v>3</v>
      </c>
      <c r="J8" s="10">
        <v>1</v>
      </c>
      <c r="K8" s="12">
        <f t="shared" si="1"/>
        <v>94.017187857399605</v>
      </c>
      <c r="L8" s="12">
        <f t="shared" si="2"/>
        <v>40.728000000000002</v>
      </c>
      <c r="M8" s="12"/>
      <c r="N8" s="10" t="s">
        <v>24</v>
      </c>
      <c r="O8" s="10" t="s">
        <v>34</v>
      </c>
      <c r="P8" s="10" t="s">
        <v>29</v>
      </c>
      <c r="Q8" s="11"/>
      <c r="R8" s="13" t="s">
        <v>35</v>
      </c>
      <c r="S8" s="11">
        <v>2700</v>
      </c>
      <c r="T8" s="11">
        <v>2000</v>
      </c>
    </row>
    <row r="9" spans="1:21" s="17" customFormat="1" x14ac:dyDescent="0.3">
      <c r="A9" s="14" t="s">
        <v>36</v>
      </c>
      <c r="B9" s="14">
        <v>285</v>
      </c>
      <c r="C9" s="14">
        <v>794</v>
      </c>
      <c r="D9" s="10">
        <f t="shared" si="0"/>
        <v>6</v>
      </c>
      <c r="E9" s="15" t="s">
        <v>21</v>
      </c>
      <c r="F9" s="11" t="s">
        <v>54</v>
      </c>
      <c r="G9" s="14" t="s">
        <v>37</v>
      </c>
      <c r="H9" s="14" t="s">
        <v>23</v>
      </c>
      <c r="I9" s="14">
        <v>3</v>
      </c>
      <c r="J9" s="14">
        <v>2</v>
      </c>
      <c r="K9" s="16">
        <f t="shared" si="1"/>
        <v>14.788746201352808</v>
      </c>
      <c r="L9" s="16">
        <f t="shared" si="2"/>
        <v>25.896000000000001</v>
      </c>
      <c r="M9" s="16"/>
      <c r="N9" s="14" t="s">
        <v>24</v>
      </c>
      <c r="O9" s="14" t="s">
        <v>25</v>
      </c>
      <c r="P9" s="14" t="s">
        <v>38</v>
      </c>
      <c r="Q9" s="15"/>
      <c r="R9" s="15" t="s">
        <v>39</v>
      </c>
      <c r="S9" s="15">
        <v>900</v>
      </c>
      <c r="T9" s="15">
        <v>1050</v>
      </c>
    </row>
    <row r="10" spans="1:21" s="17" customFormat="1" x14ac:dyDescent="0.3">
      <c r="A10" s="14" t="s">
        <v>36</v>
      </c>
      <c r="B10" s="14">
        <v>285</v>
      </c>
      <c r="C10" s="14">
        <v>794</v>
      </c>
      <c r="D10" s="10">
        <f t="shared" si="0"/>
        <v>6</v>
      </c>
      <c r="E10" s="15" t="s">
        <v>21</v>
      </c>
      <c r="F10" s="11" t="s">
        <v>54</v>
      </c>
      <c r="G10" s="14" t="s">
        <v>37</v>
      </c>
      <c r="H10" s="14" t="s">
        <v>23</v>
      </c>
      <c r="I10" s="14">
        <v>3</v>
      </c>
      <c r="J10" s="14">
        <v>2</v>
      </c>
      <c r="K10" s="16">
        <f t="shared" si="1"/>
        <v>14.788746201352808</v>
      </c>
      <c r="L10" s="16">
        <f t="shared" si="2"/>
        <v>25.896000000000001</v>
      </c>
      <c r="M10" s="16"/>
      <c r="N10" s="14" t="s">
        <v>24</v>
      </c>
      <c r="O10" s="14" t="s">
        <v>25</v>
      </c>
      <c r="P10" s="14" t="s">
        <v>38</v>
      </c>
      <c r="Q10" s="15"/>
      <c r="R10" s="15" t="s">
        <v>39</v>
      </c>
      <c r="S10" s="15">
        <v>900</v>
      </c>
      <c r="T10" s="15">
        <v>1050</v>
      </c>
    </row>
    <row r="11" spans="1:21" s="17" customFormat="1" x14ac:dyDescent="0.3">
      <c r="A11" s="14" t="s">
        <v>36</v>
      </c>
      <c r="B11" s="14">
        <v>435</v>
      </c>
      <c r="C11" s="14">
        <v>794</v>
      </c>
      <c r="D11" s="10">
        <f t="shared" si="0"/>
        <v>6</v>
      </c>
      <c r="E11" s="15" t="s">
        <v>21</v>
      </c>
      <c r="F11" s="11" t="s">
        <v>54</v>
      </c>
      <c r="G11" s="14" t="s">
        <v>40</v>
      </c>
      <c r="H11" s="14" t="s">
        <v>23</v>
      </c>
      <c r="I11" s="14">
        <v>3</v>
      </c>
      <c r="J11" s="14">
        <v>2</v>
      </c>
      <c r="K11" s="16">
        <f t="shared" si="1"/>
        <v>22.572296833643762</v>
      </c>
      <c r="L11" s="16">
        <f t="shared" si="2"/>
        <v>29.495999999999999</v>
      </c>
      <c r="M11" s="16"/>
      <c r="N11" s="14" t="s">
        <v>24</v>
      </c>
      <c r="O11" s="14" t="s">
        <v>25</v>
      </c>
      <c r="P11" s="14" t="s">
        <v>38</v>
      </c>
      <c r="Q11" s="15"/>
      <c r="R11" s="15" t="s">
        <v>41</v>
      </c>
      <c r="S11" s="15">
        <v>1200</v>
      </c>
      <c r="T11" s="15">
        <v>1050</v>
      </c>
    </row>
    <row r="12" spans="1:21" s="17" customFormat="1" x14ac:dyDescent="0.3">
      <c r="A12" s="14" t="s">
        <v>36</v>
      </c>
      <c r="B12" s="14">
        <v>435</v>
      </c>
      <c r="C12" s="14">
        <v>794</v>
      </c>
      <c r="D12" s="10">
        <f t="shared" si="0"/>
        <v>6</v>
      </c>
      <c r="E12" s="15" t="s">
        <v>21</v>
      </c>
      <c r="F12" s="11" t="s">
        <v>54</v>
      </c>
      <c r="G12" s="14" t="s">
        <v>40</v>
      </c>
      <c r="H12" s="14" t="s">
        <v>23</v>
      </c>
      <c r="I12" s="14">
        <v>3</v>
      </c>
      <c r="J12" s="14">
        <v>2</v>
      </c>
      <c r="K12" s="16">
        <f t="shared" si="1"/>
        <v>22.572296833643762</v>
      </c>
      <c r="L12" s="16">
        <f t="shared" si="2"/>
        <v>29.495999999999999</v>
      </c>
      <c r="M12" s="16"/>
      <c r="N12" s="14" t="s">
        <v>24</v>
      </c>
      <c r="O12" s="14" t="s">
        <v>25</v>
      </c>
      <c r="P12" s="14" t="s">
        <v>38</v>
      </c>
      <c r="Q12" s="15"/>
      <c r="R12" s="15" t="s">
        <v>41</v>
      </c>
      <c r="S12" s="15">
        <v>1200</v>
      </c>
      <c r="T12" s="15">
        <v>1050</v>
      </c>
    </row>
    <row r="13" spans="1:21" x14ac:dyDescent="0.3">
      <c r="A13" s="10" t="s">
        <v>44</v>
      </c>
      <c r="B13" s="10">
        <v>291</v>
      </c>
      <c r="C13" s="10">
        <v>798</v>
      </c>
      <c r="D13" s="10">
        <f t="shared" si="0"/>
        <v>6</v>
      </c>
      <c r="E13" s="11" t="s">
        <v>21</v>
      </c>
      <c r="F13" s="11" t="s">
        <v>54</v>
      </c>
      <c r="G13" s="10" t="s">
        <v>37</v>
      </c>
      <c r="H13" s="10" t="s">
        <v>23</v>
      </c>
      <c r="I13" s="10">
        <v>3</v>
      </c>
      <c r="J13" s="10">
        <v>2</v>
      </c>
      <c r="K13" s="12">
        <f t="shared" si="1"/>
        <v>15.176159200078423</v>
      </c>
      <c r="L13" s="12">
        <f t="shared" si="2"/>
        <v>26.135999999999999</v>
      </c>
      <c r="M13" s="12"/>
      <c r="N13" s="10" t="s">
        <v>24</v>
      </c>
      <c r="O13" s="10" t="s">
        <v>25</v>
      </c>
      <c r="P13" s="10" t="s">
        <v>45</v>
      </c>
      <c r="Q13" s="11"/>
      <c r="R13" s="13" t="s">
        <v>39</v>
      </c>
      <c r="S13" s="11">
        <v>900</v>
      </c>
      <c r="T13" s="11">
        <v>1050</v>
      </c>
    </row>
    <row r="14" spans="1:21" x14ac:dyDescent="0.3">
      <c r="A14" s="10" t="s">
        <v>44</v>
      </c>
      <c r="B14" s="10">
        <v>291</v>
      </c>
      <c r="C14" s="10">
        <v>798</v>
      </c>
      <c r="D14" s="10">
        <f t="shared" si="0"/>
        <v>6</v>
      </c>
      <c r="E14" s="11" t="s">
        <v>21</v>
      </c>
      <c r="F14" s="11" t="s">
        <v>54</v>
      </c>
      <c r="G14" s="10" t="s">
        <v>37</v>
      </c>
      <c r="H14" s="10" t="s">
        <v>23</v>
      </c>
      <c r="I14" s="10">
        <v>3</v>
      </c>
      <c r="J14" s="10">
        <v>2</v>
      </c>
      <c r="K14" s="12">
        <f t="shared" si="1"/>
        <v>15.176159200078423</v>
      </c>
      <c r="L14" s="12">
        <f t="shared" si="2"/>
        <v>26.135999999999999</v>
      </c>
      <c r="M14" s="12"/>
      <c r="N14" s="10" t="s">
        <v>24</v>
      </c>
      <c r="O14" s="10" t="s">
        <v>25</v>
      </c>
      <c r="P14" s="10" t="s">
        <v>45</v>
      </c>
      <c r="Q14" s="11"/>
      <c r="R14" s="13" t="s">
        <v>39</v>
      </c>
      <c r="S14" s="11">
        <v>900</v>
      </c>
      <c r="T14" s="11">
        <v>1050</v>
      </c>
    </row>
    <row r="15" spans="1:21" x14ac:dyDescent="0.3">
      <c r="A15" s="10" t="s">
        <v>44</v>
      </c>
      <c r="B15" s="10">
        <v>441</v>
      </c>
      <c r="C15" s="10">
        <v>798</v>
      </c>
      <c r="D15" s="10">
        <f t="shared" si="0"/>
        <v>6</v>
      </c>
      <c r="E15" s="11" t="s">
        <v>21</v>
      </c>
      <c r="F15" s="11" t="s">
        <v>54</v>
      </c>
      <c r="G15" s="10" t="s">
        <v>40</v>
      </c>
      <c r="H15" s="10" t="s">
        <v>23</v>
      </c>
      <c r="I15" s="10">
        <v>3</v>
      </c>
      <c r="J15" s="10">
        <v>2</v>
      </c>
      <c r="K15" s="12">
        <f t="shared" si="1"/>
        <v>22.998921674345652</v>
      </c>
      <c r="L15" s="12">
        <f t="shared" si="2"/>
        <v>29.736000000000001</v>
      </c>
      <c r="M15" s="12"/>
      <c r="N15" s="10" t="s">
        <v>24</v>
      </c>
      <c r="O15" s="10" t="s">
        <v>25</v>
      </c>
      <c r="P15" s="10" t="s">
        <v>45</v>
      </c>
      <c r="Q15" s="11"/>
      <c r="R15" s="13" t="s">
        <v>41</v>
      </c>
      <c r="S15" s="11">
        <v>1200</v>
      </c>
      <c r="T15" s="11">
        <v>1050</v>
      </c>
    </row>
    <row r="16" spans="1:21" x14ac:dyDescent="0.3">
      <c r="A16" s="10" t="s">
        <v>44</v>
      </c>
      <c r="B16" s="10">
        <v>441</v>
      </c>
      <c r="C16" s="10">
        <v>798</v>
      </c>
      <c r="D16" s="10">
        <f t="shared" si="0"/>
        <v>6</v>
      </c>
      <c r="E16" s="11" t="s">
        <v>21</v>
      </c>
      <c r="F16" s="11" t="s">
        <v>54</v>
      </c>
      <c r="G16" s="10" t="s">
        <v>40</v>
      </c>
      <c r="H16" s="10" t="s">
        <v>23</v>
      </c>
      <c r="I16" s="10">
        <v>3</v>
      </c>
      <c r="J16" s="10">
        <v>2</v>
      </c>
      <c r="K16" s="12">
        <f t="shared" si="1"/>
        <v>22.998921674345652</v>
      </c>
      <c r="L16" s="12">
        <f t="shared" si="2"/>
        <v>29.736000000000001</v>
      </c>
      <c r="M16" s="12"/>
      <c r="N16" s="10" t="s">
        <v>24</v>
      </c>
      <c r="O16" s="10" t="s">
        <v>25</v>
      </c>
      <c r="P16" s="10" t="s">
        <v>45</v>
      </c>
      <c r="Q16" s="11"/>
      <c r="R16" s="13" t="s">
        <v>41</v>
      </c>
      <c r="S16" s="11">
        <v>1200</v>
      </c>
      <c r="T16" s="11">
        <v>1050</v>
      </c>
    </row>
    <row r="17" spans="1:20" x14ac:dyDescent="0.3">
      <c r="A17" s="10" t="s">
        <v>44</v>
      </c>
      <c r="B17" s="10">
        <v>543</v>
      </c>
      <c r="C17" s="10">
        <v>1745</v>
      </c>
      <c r="D17" s="10">
        <f t="shared" si="0"/>
        <v>3</v>
      </c>
      <c r="E17" s="11" t="s">
        <v>21</v>
      </c>
      <c r="F17" s="11" t="s">
        <v>54</v>
      </c>
      <c r="G17" s="10" t="s">
        <v>22</v>
      </c>
      <c r="H17" s="10" t="s">
        <v>23</v>
      </c>
      <c r="I17" s="10">
        <v>3</v>
      </c>
      <c r="J17" s="10">
        <v>1</v>
      </c>
      <c r="K17" s="12">
        <f t="shared" si="1"/>
        <v>30.962160572492891</v>
      </c>
      <c r="L17" s="12">
        <f t="shared" si="2"/>
        <v>27.456</v>
      </c>
      <c r="M17" s="12"/>
      <c r="N17" s="10" t="s">
        <v>24</v>
      </c>
      <c r="O17" s="10" t="s">
        <v>25</v>
      </c>
      <c r="P17" s="10" t="s">
        <v>46</v>
      </c>
      <c r="Q17" s="11"/>
      <c r="R17" s="13" t="s">
        <v>27</v>
      </c>
      <c r="S17" s="11">
        <v>1400</v>
      </c>
      <c r="T17" s="11">
        <v>2000</v>
      </c>
    </row>
    <row r="18" spans="1:20" x14ac:dyDescent="0.3">
      <c r="A18" s="10" t="s">
        <v>44</v>
      </c>
      <c r="B18" s="10">
        <v>591</v>
      </c>
      <c r="C18" s="10">
        <v>1748</v>
      </c>
      <c r="D18" s="10">
        <f t="shared" si="0"/>
        <v>3</v>
      </c>
      <c r="E18" s="11" t="s">
        <v>21</v>
      </c>
      <c r="F18" s="11" t="s">
        <v>54</v>
      </c>
      <c r="G18" s="10" t="s">
        <v>28</v>
      </c>
      <c r="H18" s="10" t="s">
        <v>23</v>
      </c>
      <c r="I18" s="10">
        <v>3</v>
      </c>
      <c r="J18" s="10">
        <v>1</v>
      </c>
      <c r="K18" s="12">
        <f t="shared" si="1"/>
        <v>33.757082638956966</v>
      </c>
      <c r="L18" s="12">
        <f t="shared" si="2"/>
        <v>28.068000000000001</v>
      </c>
      <c r="M18" s="12"/>
      <c r="N18" s="10" t="s">
        <v>24</v>
      </c>
      <c r="O18" s="10" t="s">
        <v>25</v>
      </c>
      <c r="P18" s="10" t="s">
        <v>47</v>
      </c>
      <c r="Q18" s="11"/>
      <c r="R18" s="13" t="s">
        <v>30</v>
      </c>
      <c r="S18" s="11">
        <v>1500</v>
      </c>
      <c r="T18" s="11">
        <v>2000</v>
      </c>
    </row>
    <row r="19" spans="1:20" x14ac:dyDescent="0.3">
      <c r="A19" s="10" t="s">
        <v>44</v>
      </c>
      <c r="B19" s="10">
        <v>591</v>
      </c>
      <c r="C19" s="10">
        <v>1748</v>
      </c>
      <c r="D19" s="10">
        <f t="shared" si="0"/>
        <v>3</v>
      </c>
      <c r="E19" s="11" t="s">
        <v>21</v>
      </c>
      <c r="F19" s="11" t="s">
        <v>54</v>
      </c>
      <c r="G19" s="10" t="s">
        <v>31</v>
      </c>
      <c r="H19" s="10" t="s">
        <v>23</v>
      </c>
      <c r="I19" s="10">
        <v>3</v>
      </c>
      <c r="J19" s="10">
        <v>1</v>
      </c>
      <c r="K19" s="12">
        <f t="shared" si="1"/>
        <v>33.757082638956966</v>
      </c>
      <c r="L19" s="12">
        <f t="shared" si="2"/>
        <v>28.068000000000001</v>
      </c>
      <c r="M19" s="12"/>
      <c r="N19" s="10" t="s">
        <v>24</v>
      </c>
      <c r="O19" s="10" t="s">
        <v>25</v>
      </c>
      <c r="P19" s="10" t="s">
        <v>47</v>
      </c>
      <c r="Q19" s="11"/>
      <c r="R19" s="13" t="s">
        <v>32</v>
      </c>
      <c r="S19" s="11">
        <v>1500</v>
      </c>
      <c r="T19" s="11">
        <v>2000</v>
      </c>
    </row>
    <row r="20" spans="1:20" x14ac:dyDescent="0.3">
      <c r="A20" s="10" t="s">
        <v>44</v>
      </c>
      <c r="B20" s="10">
        <v>591</v>
      </c>
      <c r="C20" s="10">
        <v>1748</v>
      </c>
      <c r="D20" s="10">
        <f t="shared" si="0"/>
        <v>3</v>
      </c>
      <c r="E20" s="11" t="s">
        <v>21</v>
      </c>
      <c r="F20" s="11" t="s">
        <v>54</v>
      </c>
      <c r="G20" s="10" t="s">
        <v>28</v>
      </c>
      <c r="H20" s="10" t="s">
        <v>23</v>
      </c>
      <c r="I20" s="10">
        <v>3</v>
      </c>
      <c r="J20" s="10">
        <v>1</v>
      </c>
      <c r="K20" s="12">
        <f t="shared" si="1"/>
        <v>33.757082638956966</v>
      </c>
      <c r="L20" s="12">
        <f t="shared" si="2"/>
        <v>28.068000000000001</v>
      </c>
      <c r="M20" s="12"/>
      <c r="N20" s="10" t="s">
        <v>24</v>
      </c>
      <c r="O20" s="10" t="s">
        <v>25</v>
      </c>
      <c r="P20" s="10" t="s">
        <v>47</v>
      </c>
      <c r="Q20" s="11"/>
      <c r="R20" s="13" t="s">
        <v>30</v>
      </c>
      <c r="S20" s="11">
        <v>1500</v>
      </c>
      <c r="T20" s="11">
        <v>2000</v>
      </c>
    </row>
    <row r="21" spans="1:20" x14ac:dyDescent="0.3">
      <c r="A21" s="10" t="s">
        <v>44</v>
      </c>
      <c r="B21" s="10">
        <v>591</v>
      </c>
      <c r="C21" s="10">
        <v>1748</v>
      </c>
      <c r="D21" s="10">
        <f t="shared" si="0"/>
        <v>3</v>
      </c>
      <c r="E21" s="11" t="s">
        <v>21</v>
      </c>
      <c r="F21" s="11" t="s">
        <v>54</v>
      </c>
      <c r="G21" s="10" t="s">
        <v>31</v>
      </c>
      <c r="H21" s="10" t="s">
        <v>23</v>
      </c>
      <c r="I21" s="10">
        <v>3</v>
      </c>
      <c r="J21" s="10">
        <v>1</v>
      </c>
      <c r="K21" s="12">
        <f t="shared" si="1"/>
        <v>33.757082638956966</v>
      </c>
      <c r="L21" s="12">
        <f t="shared" si="2"/>
        <v>28.068000000000001</v>
      </c>
      <c r="M21" s="12"/>
      <c r="N21" s="10" t="s">
        <v>24</v>
      </c>
      <c r="O21" s="10" t="s">
        <v>25</v>
      </c>
      <c r="P21" s="10" t="s">
        <v>47</v>
      </c>
      <c r="Q21" s="11"/>
      <c r="R21" s="13" t="s">
        <v>32</v>
      </c>
      <c r="S21" s="11">
        <v>1500</v>
      </c>
      <c r="T21" s="11">
        <v>2000</v>
      </c>
    </row>
    <row r="22" spans="1:20" x14ac:dyDescent="0.3">
      <c r="A22" s="10" t="s">
        <v>44</v>
      </c>
      <c r="B22" s="10">
        <v>742</v>
      </c>
      <c r="C22" s="10">
        <v>1748</v>
      </c>
      <c r="D22" s="10">
        <f t="shared" si="0"/>
        <v>3</v>
      </c>
      <c r="E22" s="11" t="s">
        <v>21</v>
      </c>
      <c r="F22" s="11" t="s">
        <v>54</v>
      </c>
      <c r="G22" s="10" t="s">
        <v>33</v>
      </c>
      <c r="H22" s="10" t="s">
        <v>23</v>
      </c>
      <c r="I22" s="10">
        <v>3</v>
      </c>
      <c r="J22" s="10">
        <v>1</v>
      </c>
      <c r="K22" s="12">
        <f t="shared" si="1"/>
        <v>42.381988693918899</v>
      </c>
      <c r="L22" s="12">
        <f t="shared" si="2"/>
        <v>29.88</v>
      </c>
      <c r="M22" s="12"/>
      <c r="N22" s="10" t="s">
        <v>24</v>
      </c>
      <c r="O22" s="10" t="s">
        <v>34</v>
      </c>
      <c r="P22" s="10" t="s">
        <v>47</v>
      </c>
      <c r="Q22" s="11"/>
      <c r="R22" s="13" t="s">
        <v>35</v>
      </c>
      <c r="S22" s="11">
        <v>2700</v>
      </c>
      <c r="T22" s="11">
        <v>2000</v>
      </c>
    </row>
    <row r="23" spans="1:20" x14ac:dyDescent="0.3">
      <c r="A23" s="10" t="s">
        <v>44</v>
      </c>
      <c r="B23" s="10">
        <v>742</v>
      </c>
      <c r="C23" s="10">
        <v>1748</v>
      </c>
      <c r="D23" s="10">
        <f t="shared" si="0"/>
        <v>3</v>
      </c>
      <c r="E23" s="11" t="s">
        <v>21</v>
      </c>
      <c r="F23" s="11" t="s">
        <v>54</v>
      </c>
      <c r="G23" s="10" t="s">
        <v>33</v>
      </c>
      <c r="H23" s="10" t="s">
        <v>23</v>
      </c>
      <c r="I23" s="10">
        <v>3</v>
      </c>
      <c r="J23" s="10">
        <v>1</v>
      </c>
      <c r="K23" s="12">
        <f t="shared" si="1"/>
        <v>42.381988693918899</v>
      </c>
      <c r="L23" s="12">
        <f t="shared" si="2"/>
        <v>29.88</v>
      </c>
      <c r="M23" s="12"/>
      <c r="N23" s="10" t="s">
        <v>24</v>
      </c>
      <c r="O23" s="10" t="s">
        <v>34</v>
      </c>
      <c r="P23" s="10" t="s">
        <v>47</v>
      </c>
      <c r="Q23" s="11"/>
      <c r="R23" s="13" t="s">
        <v>35</v>
      </c>
      <c r="S23" s="11">
        <v>2700</v>
      </c>
      <c r="T23" s="11">
        <v>2000</v>
      </c>
    </row>
    <row r="24" spans="1:20" x14ac:dyDescent="0.3">
      <c r="A24" s="10" t="s">
        <v>36</v>
      </c>
      <c r="B24" s="10">
        <v>587</v>
      </c>
      <c r="C24" s="10">
        <v>1746</v>
      </c>
      <c r="D24" s="10">
        <f t="shared" si="0"/>
        <v>6</v>
      </c>
      <c r="E24" s="11" t="s">
        <v>21</v>
      </c>
      <c r="F24" s="11" t="s">
        <v>54</v>
      </c>
      <c r="G24" s="10" t="s">
        <v>28</v>
      </c>
      <c r="H24" s="10" t="s">
        <v>23</v>
      </c>
      <c r="I24" s="10">
        <v>3</v>
      </c>
      <c r="J24" s="10">
        <v>2</v>
      </c>
      <c r="K24" s="18">
        <f t="shared" si="1"/>
        <v>66.980492108616801</v>
      </c>
      <c r="L24" s="18">
        <f t="shared" si="2"/>
        <v>55.991999999999997</v>
      </c>
      <c r="M24" s="18"/>
      <c r="N24" s="10" t="s">
        <v>42</v>
      </c>
      <c r="O24" s="10" t="s">
        <v>25</v>
      </c>
      <c r="P24" s="10" t="s">
        <v>43</v>
      </c>
      <c r="Q24" s="11"/>
      <c r="R24" s="11" t="s">
        <v>30</v>
      </c>
      <c r="S24" s="11">
        <v>1500</v>
      </c>
      <c r="T24" s="11">
        <v>2000</v>
      </c>
    </row>
    <row r="25" spans="1:20" x14ac:dyDescent="0.3">
      <c r="A25" s="10" t="s">
        <v>36</v>
      </c>
      <c r="B25" s="10">
        <v>587</v>
      </c>
      <c r="C25" s="10">
        <v>1746</v>
      </c>
      <c r="D25" s="10">
        <f t="shared" si="0"/>
        <v>6</v>
      </c>
      <c r="E25" s="11" t="s">
        <v>21</v>
      </c>
      <c r="F25" s="11" t="s">
        <v>54</v>
      </c>
      <c r="G25" s="10" t="s">
        <v>31</v>
      </c>
      <c r="H25" s="10" t="s">
        <v>23</v>
      </c>
      <c r="I25" s="10">
        <v>3</v>
      </c>
      <c r="J25" s="10">
        <v>2</v>
      </c>
      <c r="K25" s="18">
        <f t="shared" si="1"/>
        <v>66.980492108616801</v>
      </c>
      <c r="L25" s="18">
        <f t="shared" si="2"/>
        <v>55.991999999999997</v>
      </c>
      <c r="M25" s="18"/>
      <c r="N25" s="10" t="s">
        <v>42</v>
      </c>
      <c r="O25" s="10" t="s">
        <v>25</v>
      </c>
      <c r="P25" s="10" t="s">
        <v>43</v>
      </c>
      <c r="Q25" s="11"/>
      <c r="R25" s="11" t="s">
        <v>32</v>
      </c>
      <c r="S25" s="11">
        <v>1500</v>
      </c>
      <c r="T25" s="11">
        <v>2000</v>
      </c>
    </row>
    <row r="26" spans="1:20" x14ac:dyDescent="0.3">
      <c r="A26" s="10" t="s">
        <v>36</v>
      </c>
      <c r="B26" s="10">
        <v>587</v>
      </c>
      <c r="C26" s="10">
        <v>1746</v>
      </c>
      <c r="D26" s="10">
        <f t="shared" si="0"/>
        <v>6</v>
      </c>
      <c r="E26" s="11" t="s">
        <v>21</v>
      </c>
      <c r="F26" s="11" t="s">
        <v>54</v>
      </c>
      <c r="G26" s="10" t="s">
        <v>28</v>
      </c>
      <c r="H26" s="10" t="s">
        <v>23</v>
      </c>
      <c r="I26" s="10">
        <v>3</v>
      </c>
      <c r="J26" s="10">
        <v>2</v>
      </c>
      <c r="K26" s="18">
        <f t="shared" si="1"/>
        <v>66.980492108616801</v>
      </c>
      <c r="L26" s="18">
        <f t="shared" si="2"/>
        <v>55.991999999999997</v>
      </c>
      <c r="M26" s="18"/>
      <c r="N26" s="10" t="s">
        <v>42</v>
      </c>
      <c r="O26" s="10" t="s">
        <v>25</v>
      </c>
      <c r="P26" s="10" t="s">
        <v>43</v>
      </c>
      <c r="Q26" s="11"/>
      <c r="R26" s="11" t="s">
        <v>30</v>
      </c>
      <c r="S26" s="11">
        <v>1500</v>
      </c>
      <c r="T26" s="11">
        <v>2000</v>
      </c>
    </row>
    <row r="27" spans="1:20" x14ac:dyDescent="0.3">
      <c r="A27" s="10" t="s">
        <v>36</v>
      </c>
      <c r="B27" s="10">
        <v>587</v>
      </c>
      <c r="C27" s="10">
        <v>1746</v>
      </c>
      <c r="D27" s="10">
        <f t="shared" si="0"/>
        <v>6</v>
      </c>
      <c r="E27" s="11" t="s">
        <v>21</v>
      </c>
      <c r="F27" s="11" t="s">
        <v>54</v>
      </c>
      <c r="G27" s="10" t="s">
        <v>31</v>
      </c>
      <c r="H27" s="10" t="s">
        <v>23</v>
      </c>
      <c r="I27" s="10">
        <v>3</v>
      </c>
      <c r="J27" s="10">
        <v>2</v>
      </c>
      <c r="K27" s="18">
        <f t="shared" si="1"/>
        <v>66.980492108616801</v>
      </c>
      <c r="L27" s="18">
        <f t="shared" si="2"/>
        <v>55.991999999999997</v>
      </c>
      <c r="M27" s="18"/>
      <c r="N27" s="10" t="s">
        <v>42</v>
      </c>
      <c r="O27" s="10" t="s">
        <v>25</v>
      </c>
      <c r="P27" s="10" t="s">
        <v>43</v>
      </c>
      <c r="Q27" s="11"/>
      <c r="R27" s="11" t="s">
        <v>32</v>
      </c>
      <c r="S27" s="11">
        <v>1500</v>
      </c>
      <c r="T27" s="11">
        <v>2000</v>
      </c>
    </row>
    <row r="28" spans="1:20" x14ac:dyDescent="0.3">
      <c r="A28" s="10" t="s">
        <v>36</v>
      </c>
      <c r="B28" s="10">
        <v>742</v>
      </c>
      <c r="C28" s="10">
        <v>1746</v>
      </c>
      <c r="D28" s="10">
        <f t="shared" si="0"/>
        <v>3</v>
      </c>
      <c r="E28" s="11" t="s">
        <v>21</v>
      </c>
      <c r="F28" s="11" t="s">
        <v>54</v>
      </c>
      <c r="G28" s="10" t="s">
        <v>33</v>
      </c>
      <c r="H28" s="10" t="s">
        <v>23</v>
      </c>
      <c r="I28" s="10">
        <v>3</v>
      </c>
      <c r="J28" s="10">
        <v>1</v>
      </c>
      <c r="K28" s="18">
        <f t="shared" si="1"/>
        <v>42.333496716008234</v>
      </c>
      <c r="L28" s="18">
        <f t="shared" si="2"/>
        <v>29.856000000000002</v>
      </c>
      <c r="M28" s="18"/>
      <c r="N28" s="10" t="s">
        <v>42</v>
      </c>
      <c r="O28" s="10" t="s">
        <v>34</v>
      </c>
      <c r="P28" s="10" t="s">
        <v>43</v>
      </c>
      <c r="Q28" s="11"/>
      <c r="R28" s="11" t="s">
        <v>35</v>
      </c>
      <c r="S28" s="11">
        <v>2700</v>
      </c>
      <c r="T28" s="11">
        <v>2000</v>
      </c>
    </row>
    <row r="29" spans="1:20" x14ac:dyDescent="0.3">
      <c r="A29" s="10" t="s">
        <v>36</v>
      </c>
      <c r="B29" s="10">
        <v>742</v>
      </c>
      <c r="C29" s="10">
        <v>1746</v>
      </c>
      <c r="D29" s="10">
        <f t="shared" si="0"/>
        <v>3</v>
      </c>
      <c r="E29" s="11" t="s">
        <v>21</v>
      </c>
      <c r="F29" s="11" t="s">
        <v>54</v>
      </c>
      <c r="G29" s="10" t="s">
        <v>33</v>
      </c>
      <c r="H29" s="10" t="s">
        <v>23</v>
      </c>
      <c r="I29" s="10">
        <v>3</v>
      </c>
      <c r="J29" s="10">
        <v>1</v>
      </c>
      <c r="K29" s="18">
        <f t="shared" si="1"/>
        <v>42.333496716008234</v>
      </c>
      <c r="L29" s="18">
        <f t="shared" si="2"/>
        <v>29.856000000000002</v>
      </c>
      <c r="M29" s="18"/>
      <c r="N29" s="10" t="s">
        <v>42</v>
      </c>
      <c r="O29" s="10" t="s">
        <v>34</v>
      </c>
      <c r="P29" s="10" t="s">
        <v>43</v>
      </c>
      <c r="Q29" s="11"/>
      <c r="R29" s="11" t="s">
        <v>35</v>
      </c>
      <c r="S29" s="11">
        <v>2700</v>
      </c>
      <c r="T29" s="11">
        <v>2000</v>
      </c>
    </row>
    <row r="30" spans="1:20" x14ac:dyDescent="0.3">
      <c r="A30" s="10" t="s">
        <v>36</v>
      </c>
      <c r="B30" s="10">
        <v>1631</v>
      </c>
      <c r="C30" s="10">
        <v>1746</v>
      </c>
      <c r="D30" s="10">
        <f t="shared" si="0"/>
        <v>3</v>
      </c>
      <c r="E30" s="11" t="s">
        <v>21</v>
      </c>
      <c r="F30" s="11" t="s">
        <v>54</v>
      </c>
      <c r="G30" s="10" t="s">
        <v>33</v>
      </c>
      <c r="H30" s="10" t="s">
        <v>23</v>
      </c>
      <c r="I30" s="10">
        <v>3</v>
      </c>
      <c r="J30" s="10">
        <v>1</v>
      </c>
      <c r="K30" s="18">
        <f t="shared" si="1"/>
        <v>93.053818253112439</v>
      </c>
      <c r="L30" s="18">
        <f t="shared" si="2"/>
        <v>40.524000000000001</v>
      </c>
      <c r="M30" s="18"/>
      <c r="N30" s="10" t="s">
        <v>42</v>
      </c>
      <c r="O30" s="10" t="s">
        <v>34</v>
      </c>
      <c r="P30" s="10" t="s">
        <v>43</v>
      </c>
      <c r="Q30" s="11"/>
      <c r="R30" s="11" t="s">
        <v>35</v>
      </c>
      <c r="S30" s="11">
        <v>2700</v>
      </c>
      <c r="T30" s="11">
        <v>2000</v>
      </c>
    </row>
    <row r="31" spans="1:20" x14ac:dyDescent="0.3">
      <c r="A31" s="10" t="s">
        <v>36</v>
      </c>
      <c r="B31" s="10">
        <v>1631</v>
      </c>
      <c r="C31" s="10">
        <v>1746</v>
      </c>
      <c r="D31" s="10">
        <f t="shared" si="0"/>
        <v>3</v>
      </c>
      <c r="E31" s="11" t="s">
        <v>21</v>
      </c>
      <c r="F31" s="11" t="s">
        <v>54</v>
      </c>
      <c r="G31" s="10" t="s">
        <v>33</v>
      </c>
      <c r="H31" s="10" t="s">
        <v>23</v>
      </c>
      <c r="I31" s="10">
        <v>3</v>
      </c>
      <c r="J31" s="10">
        <v>1</v>
      </c>
      <c r="K31" s="18">
        <f t="shared" si="1"/>
        <v>93.053818253112439</v>
      </c>
      <c r="L31" s="18">
        <f t="shared" si="2"/>
        <v>40.524000000000001</v>
      </c>
      <c r="M31" s="18"/>
      <c r="N31" s="10" t="s">
        <v>42</v>
      </c>
      <c r="O31" s="10" t="s">
        <v>34</v>
      </c>
      <c r="P31" s="10" t="s">
        <v>43</v>
      </c>
      <c r="Q31" s="11"/>
      <c r="R31" s="11" t="s">
        <v>35</v>
      </c>
      <c r="S31" s="11">
        <v>2700</v>
      </c>
      <c r="T31" s="11">
        <v>2000</v>
      </c>
    </row>
    <row r="32" spans="1:20" x14ac:dyDescent="0.3">
      <c r="A32" s="10" t="s">
        <v>20</v>
      </c>
      <c r="B32" s="10">
        <v>543</v>
      </c>
      <c r="C32" s="10">
        <v>1745</v>
      </c>
      <c r="D32" s="10">
        <f t="shared" si="0"/>
        <v>5</v>
      </c>
      <c r="E32" s="11" t="s">
        <v>48</v>
      </c>
      <c r="F32" s="11" t="s">
        <v>56</v>
      </c>
      <c r="G32" s="10" t="s">
        <v>22</v>
      </c>
      <c r="H32" s="10" t="s">
        <v>49</v>
      </c>
      <c r="I32" s="10">
        <v>5</v>
      </c>
      <c r="J32" s="10">
        <v>1</v>
      </c>
      <c r="K32" s="12">
        <f t="shared" si="1"/>
        <v>51.603600954154821</v>
      </c>
      <c r="L32" s="12">
        <f t="shared" si="2"/>
        <v>45.76</v>
      </c>
      <c r="M32" s="12"/>
      <c r="N32" s="10" t="s">
        <v>24</v>
      </c>
      <c r="O32" s="10" t="s">
        <v>25</v>
      </c>
      <c r="P32" s="10" t="s">
        <v>26</v>
      </c>
      <c r="Q32" s="11"/>
      <c r="R32" s="13" t="s">
        <v>27</v>
      </c>
      <c r="S32" s="11">
        <v>1400</v>
      </c>
      <c r="T32" s="11">
        <v>2000</v>
      </c>
    </row>
    <row r="33" spans="1:20" x14ac:dyDescent="0.3">
      <c r="A33" s="10" t="s">
        <v>20</v>
      </c>
      <c r="B33" s="10">
        <v>543</v>
      </c>
      <c r="C33" s="10">
        <v>1745</v>
      </c>
      <c r="D33" s="10">
        <f t="shared" si="0"/>
        <v>4</v>
      </c>
      <c r="E33" s="11" t="s">
        <v>48</v>
      </c>
      <c r="F33" s="11" t="s">
        <v>56</v>
      </c>
      <c r="G33" s="10" t="s">
        <v>22</v>
      </c>
      <c r="H33" s="10" t="s">
        <v>49</v>
      </c>
      <c r="I33" s="10">
        <v>4</v>
      </c>
      <c r="J33" s="10">
        <v>1</v>
      </c>
      <c r="K33" s="12">
        <f t="shared" si="1"/>
        <v>41.28288076332386</v>
      </c>
      <c r="L33" s="12">
        <f t="shared" si="2"/>
        <v>36.607999999999997</v>
      </c>
      <c r="M33" s="12"/>
      <c r="N33" s="10" t="s">
        <v>24</v>
      </c>
      <c r="O33" s="10" t="s">
        <v>25</v>
      </c>
      <c r="P33" s="10" t="s">
        <v>26</v>
      </c>
      <c r="Q33" s="11"/>
      <c r="R33" s="13" t="s">
        <v>27</v>
      </c>
      <c r="S33" s="11">
        <v>1400</v>
      </c>
      <c r="T33" s="11">
        <v>2000</v>
      </c>
    </row>
    <row r="34" spans="1:20" x14ac:dyDescent="0.3">
      <c r="A34" s="10" t="s">
        <v>20</v>
      </c>
      <c r="B34" s="10">
        <v>543</v>
      </c>
      <c r="C34" s="10">
        <v>1745</v>
      </c>
      <c r="D34" s="10">
        <f t="shared" si="0"/>
        <v>4</v>
      </c>
      <c r="E34" s="11" t="s">
        <v>48</v>
      </c>
      <c r="F34" s="11" t="s">
        <v>56</v>
      </c>
      <c r="G34" s="10" t="s">
        <v>22</v>
      </c>
      <c r="H34" s="10" t="s">
        <v>23</v>
      </c>
      <c r="I34" s="10">
        <v>4</v>
      </c>
      <c r="J34" s="10">
        <v>1</v>
      </c>
      <c r="K34" s="12">
        <f t="shared" si="1"/>
        <v>41.28288076332386</v>
      </c>
      <c r="L34" s="12">
        <f t="shared" si="2"/>
        <v>36.607999999999997</v>
      </c>
      <c r="M34" s="12"/>
      <c r="N34" s="10" t="s">
        <v>24</v>
      </c>
      <c r="O34" s="10" t="s">
        <v>25</v>
      </c>
      <c r="P34" s="10" t="s">
        <v>26</v>
      </c>
      <c r="Q34" s="11"/>
      <c r="R34" s="13" t="s">
        <v>27</v>
      </c>
      <c r="S34" s="11">
        <v>1400</v>
      </c>
      <c r="T34" s="11">
        <v>2000</v>
      </c>
    </row>
    <row r="35" spans="1:20" x14ac:dyDescent="0.3">
      <c r="A35" s="10" t="s">
        <v>20</v>
      </c>
      <c r="B35" s="10">
        <v>543</v>
      </c>
      <c r="C35" s="10">
        <v>1745</v>
      </c>
      <c r="D35" s="10">
        <f t="shared" si="0"/>
        <v>3</v>
      </c>
      <c r="E35" s="11" t="s">
        <v>48</v>
      </c>
      <c r="F35" s="11" t="s">
        <v>56</v>
      </c>
      <c r="G35" s="10" t="s">
        <v>22</v>
      </c>
      <c r="H35" s="10" t="s">
        <v>23</v>
      </c>
      <c r="I35" s="10">
        <v>3</v>
      </c>
      <c r="J35" s="10">
        <v>1</v>
      </c>
      <c r="K35" s="12">
        <f t="shared" si="1"/>
        <v>30.962160572492891</v>
      </c>
      <c r="L35" s="12">
        <f t="shared" si="2"/>
        <v>27.456</v>
      </c>
      <c r="M35" s="12"/>
      <c r="N35" s="10" t="s">
        <v>24</v>
      </c>
      <c r="O35" s="10" t="s">
        <v>25</v>
      </c>
      <c r="P35" s="10" t="s">
        <v>26</v>
      </c>
      <c r="Q35" s="11"/>
      <c r="R35" s="13" t="s">
        <v>27</v>
      </c>
      <c r="S35" s="11">
        <v>1400</v>
      </c>
      <c r="T35" s="11">
        <v>2000</v>
      </c>
    </row>
    <row r="36" spans="1:20" x14ac:dyDescent="0.3">
      <c r="A36" s="10" t="s">
        <v>20</v>
      </c>
      <c r="B36" s="10">
        <v>543</v>
      </c>
      <c r="C36" s="10">
        <v>1745</v>
      </c>
      <c r="D36" s="10">
        <f t="shared" si="0"/>
        <v>5</v>
      </c>
      <c r="E36" s="11" t="s">
        <v>48</v>
      </c>
      <c r="F36" s="11" t="s">
        <v>56</v>
      </c>
      <c r="G36" s="10" t="s">
        <v>22</v>
      </c>
      <c r="H36" s="10" t="s">
        <v>49</v>
      </c>
      <c r="I36" s="10">
        <v>5</v>
      </c>
      <c r="J36" s="10">
        <v>1</v>
      </c>
      <c r="K36" s="12">
        <f t="shared" si="1"/>
        <v>51.603600954154821</v>
      </c>
      <c r="L36" s="12">
        <f t="shared" si="2"/>
        <v>45.76</v>
      </c>
      <c r="M36" s="12"/>
      <c r="N36" s="10" t="s">
        <v>24</v>
      </c>
      <c r="O36" s="10" t="s">
        <v>25</v>
      </c>
      <c r="P36" s="10" t="s">
        <v>26</v>
      </c>
      <c r="Q36" s="11"/>
      <c r="R36" s="13" t="s">
        <v>27</v>
      </c>
      <c r="S36" s="11">
        <v>1400</v>
      </c>
      <c r="T36" s="11">
        <v>2000</v>
      </c>
    </row>
    <row r="37" spans="1:20" x14ac:dyDescent="0.3">
      <c r="A37" s="10" t="s">
        <v>20</v>
      </c>
      <c r="B37" s="10">
        <v>591</v>
      </c>
      <c r="C37" s="10">
        <v>1748</v>
      </c>
      <c r="D37" s="10">
        <f t="shared" si="0"/>
        <v>5</v>
      </c>
      <c r="E37" s="11" t="s">
        <v>48</v>
      </c>
      <c r="F37" s="11" t="s">
        <v>56</v>
      </c>
      <c r="G37" s="10" t="s">
        <v>28</v>
      </c>
      <c r="H37" s="10" t="s">
        <v>49</v>
      </c>
      <c r="I37" s="10">
        <v>5</v>
      </c>
      <c r="J37" s="10">
        <v>1</v>
      </c>
      <c r="K37" s="12">
        <f t="shared" si="1"/>
        <v>56.26180439826161</v>
      </c>
      <c r="L37" s="12">
        <f t="shared" si="2"/>
        <v>46.78</v>
      </c>
      <c r="M37" s="12"/>
      <c r="N37" s="10" t="s">
        <v>24</v>
      </c>
      <c r="O37" s="10" t="s">
        <v>25</v>
      </c>
      <c r="P37" s="10" t="s">
        <v>29</v>
      </c>
      <c r="Q37" s="11"/>
      <c r="R37" s="13" t="s">
        <v>30</v>
      </c>
      <c r="S37" s="11">
        <v>1500</v>
      </c>
      <c r="T37" s="11">
        <v>2000</v>
      </c>
    </row>
    <row r="38" spans="1:20" x14ac:dyDescent="0.3">
      <c r="A38" s="10" t="s">
        <v>20</v>
      </c>
      <c r="B38" s="10">
        <v>591</v>
      </c>
      <c r="C38" s="10">
        <v>1748</v>
      </c>
      <c r="D38" s="10">
        <f t="shared" si="0"/>
        <v>5</v>
      </c>
      <c r="E38" s="11" t="s">
        <v>48</v>
      </c>
      <c r="F38" s="11" t="s">
        <v>56</v>
      </c>
      <c r="G38" s="10" t="s">
        <v>31</v>
      </c>
      <c r="H38" s="10" t="s">
        <v>49</v>
      </c>
      <c r="I38" s="10">
        <v>5</v>
      </c>
      <c r="J38" s="10">
        <v>1</v>
      </c>
      <c r="K38" s="12">
        <f t="shared" si="1"/>
        <v>56.26180439826161</v>
      </c>
      <c r="L38" s="12">
        <f t="shared" si="2"/>
        <v>46.78</v>
      </c>
      <c r="M38" s="12"/>
      <c r="N38" s="10" t="s">
        <v>24</v>
      </c>
      <c r="O38" s="10" t="s">
        <v>25</v>
      </c>
      <c r="P38" s="10" t="s">
        <v>29</v>
      </c>
      <c r="Q38" s="11"/>
      <c r="R38" s="13" t="s">
        <v>32</v>
      </c>
      <c r="S38" s="11">
        <v>1500</v>
      </c>
      <c r="T38" s="11">
        <v>2000</v>
      </c>
    </row>
    <row r="39" spans="1:20" x14ac:dyDescent="0.3">
      <c r="A39" s="10" t="s">
        <v>20</v>
      </c>
      <c r="B39" s="10">
        <v>591</v>
      </c>
      <c r="C39" s="10">
        <v>1748</v>
      </c>
      <c r="D39" s="10">
        <f t="shared" si="0"/>
        <v>4</v>
      </c>
      <c r="E39" s="11" t="s">
        <v>48</v>
      </c>
      <c r="F39" s="11" t="s">
        <v>56</v>
      </c>
      <c r="G39" s="10" t="s">
        <v>28</v>
      </c>
      <c r="H39" s="10" t="s">
        <v>49</v>
      </c>
      <c r="I39" s="10">
        <v>4</v>
      </c>
      <c r="J39" s="10">
        <v>1</v>
      </c>
      <c r="K39" s="12">
        <f t="shared" si="1"/>
        <v>45.009443518609288</v>
      </c>
      <c r="L39" s="12">
        <f t="shared" si="2"/>
        <v>37.423999999999999</v>
      </c>
      <c r="M39" s="12"/>
      <c r="N39" s="10" t="s">
        <v>24</v>
      </c>
      <c r="O39" s="10" t="s">
        <v>25</v>
      </c>
      <c r="P39" s="10" t="s">
        <v>29</v>
      </c>
      <c r="Q39" s="11"/>
      <c r="R39" s="13" t="s">
        <v>30</v>
      </c>
      <c r="S39" s="11">
        <v>1500</v>
      </c>
      <c r="T39" s="11">
        <v>2000</v>
      </c>
    </row>
    <row r="40" spans="1:20" x14ac:dyDescent="0.3">
      <c r="A40" s="10" t="s">
        <v>20</v>
      </c>
      <c r="B40" s="10">
        <v>591</v>
      </c>
      <c r="C40" s="10">
        <v>1748</v>
      </c>
      <c r="D40" s="10">
        <f t="shared" si="0"/>
        <v>4</v>
      </c>
      <c r="E40" s="11" t="s">
        <v>48</v>
      </c>
      <c r="F40" s="11" t="s">
        <v>56</v>
      </c>
      <c r="G40" s="10" t="s">
        <v>31</v>
      </c>
      <c r="H40" s="10" t="s">
        <v>49</v>
      </c>
      <c r="I40" s="10">
        <v>4</v>
      </c>
      <c r="J40" s="10">
        <v>1</v>
      </c>
      <c r="K40" s="12">
        <f t="shared" si="1"/>
        <v>45.009443518609288</v>
      </c>
      <c r="L40" s="12">
        <f t="shared" si="2"/>
        <v>37.423999999999999</v>
      </c>
      <c r="M40" s="12"/>
      <c r="N40" s="10" t="s">
        <v>24</v>
      </c>
      <c r="O40" s="10" t="s">
        <v>25</v>
      </c>
      <c r="P40" s="10" t="s">
        <v>29</v>
      </c>
      <c r="Q40" s="11"/>
      <c r="R40" s="13" t="s">
        <v>32</v>
      </c>
      <c r="S40" s="11">
        <v>1500</v>
      </c>
      <c r="T40" s="11">
        <v>2000</v>
      </c>
    </row>
    <row r="41" spans="1:20" x14ac:dyDescent="0.3">
      <c r="A41" s="10" t="s">
        <v>20</v>
      </c>
      <c r="B41" s="10">
        <v>591</v>
      </c>
      <c r="C41" s="10">
        <v>1748</v>
      </c>
      <c r="D41" s="10">
        <f t="shared" si="0"/>
        <v>4</v>
      </c>
      <c r="E41" s="11" t="s">
        <v>48</v>
      </c>
      <c r="F41" s="11" t="s">
        <v>56</v>
      </c>
      <c r="G41" s="10" t="s">
        <v>28</v>
      </c>
      <c r="H41" s="10" t="s">
        <v>23</v>
      </c>
      <c r="I41" s="10">
        <v>4</v>
      </c>
      <c r="J41" s="10">
        <v>1</v>
      </c>
      <c r="K41" s="12">
        <f t="shared" si="1"/>
        <v>45.009443518609288</v>
      </c>
      <c r="L41" s="12">
        <f t="shared" si="2"/>
        <v>37.423999999999999</v>
      </c>
      <c r="M41" s="12"/>
      <c r="N41" s="10" t="s">
        <v>24</v>
      </c>
      <c r="O41" s="10" t="s">
        <v>25</v>
      </c>
      <c r="P41" s="10" t="s">
        <v>29</v>
      </c>
      <c r="Q41" s="11"/>
      <c r="R41" s="13" t="s">
        <v>30</v>
      </c>
      <c r="S41" s="11">
        <v>1500</v>
      </c>
      <c r="T41" s="11">
        <v>2000</v>
      </c>
    </row>
    <row r="42" spans="1:20" x14ac:dyDescent="0.3">
      <c r="A42" s="10" t="s">
        <v>20</v>
      </c>
      <c r="B42" s="10">
        <v>591</v>
      </c>
      <c r="C42" s="10">
        <v>1748</v>
      </c>
      <c r="D42" s="10">
        <f t="shared" si="0"/>
        <v>3</v>
      </c>
      <c r="E42" s="11" t="s">
        <v>48</v>
      </c>
      <c r="F42" s="11" t="s">
        <v>56</v>
      </c>
      <c r="G42" s="10" t="s">
        <v>28</v>
      </c>
      <c r="H42" s="10" t="s">
        <v>23</v>
      </c>
      <c r="I42" s="10">
        <v>3</v>
      </c>
      <c r="J42" s="10">
        <v>1</v>
      </c>
      <c r="K42" s="12">
        <f t="shared" si="1"/>
        <v>33.757082638956966</v>
      </c>
      <c r="L42" s="12">
        <f t="shared" si="2"/>
        <v>28.068000000000001</v>
      </c>
      <c r="M42" s="12"/>
      <c r="N42" s="10" t="s">
        <v>24</v>
      </c>
      <c r="O42" s="10" t="s">
        <v>25</v>
      </c>
      <c r="P42" s="10" t="s">
        <v>29</v>
      </c>
      <c r="Q42" s="11"/>
      <c r="R42" s="13" t="s">
        <v>30</v>
      </c>
      <c r="S42" s="11">
        <v>1500</v>
      </c>
      <c r="T42" s="11">
        <v>2000</v>
      </c>
    </row>
    <row r="43" spans="1:20" x14ac:dyDescent="0.3">
      <c r="A43" s="10" t="s">
        <v>20</v>
      </c>
      <c r="B43" s="10">
        <v>591</v>
      </c>
      <c r="C43" s="10">
        <v>1748</v>
      </c>
      <c r="D43" s="10">
        <f t="shared" si="0"/>
        <v>3</v>
      </c>
      <c r="E43" s="11" t="s">
        <v>48</v>
      </c>
      <c r="F43" s="11" t="s">
        <v>56</v>
      </c>
      <c r="G43" s="10" t="s">
        <v>31</v>
      </c>
      <c r="H43" s="10" t="s">
        <v>23</v>
      </c>
      <c r="I43" s="10">
        <v>3</v>
      </c>
      <c r="J43" s="10">
        <v>1</v>
      </c>
      <c r="K43" s="12">
        <f t="shared" si="1"/>
        <v>33.757082638956966</v>
      </c>
      <c r="L43" s="12">
        <f t="shared" si="2"/>
        <v>28.068000000000001</v>
      </c>
      <c r="M43" s="12"/>
      <c r="N43" s="10" t="s">
        <v>24</v>
      </c>
      <c r="O43" s="10" t="s">
        <v>25</v>
      </c>
      <c r="P43" s="10" t="s">
        <v>29</v>
      </c>
      <c r="Q43" s="11"/>
      <c r="R43" s="13" t="s">
        <v>32</v>
      </c>
      <c r="S43" s="11">
        <v>1500</v>
      </c>
      <c r="T43" s="11">
        <v>2000</v>
      </c>
    </row>
    <row r="44" spans="1:20" x14ac:dyDescent="0.3">
      <c r="A44" s="10" t="s">
        <v>20</v>
      </c>
      <c r="B44" s="10">
        <v>591</v>
      </c>
      <c r="C44" s="10">
        <v>1748</v>
      </c>
      <c r="D44" s="10">
        <f t="shared" si="0"/>
        <v>5</v>
      </c>
      <c r="E44" s="11" t="s">
        <v>48</v>
      </c>
      <c r="F44" s="11" t="s">
        <v>56</v>
      </c>
      <c r="G44" s="10" t="s">
        <v>31</v>
      </c>
      <c r="H44" s="10" t="s">
        <v>49</v>
      </c>
      <c r="I44" s="10">
        <v>5</v>
      </c>
      <c r="J44" s="10">
        <v>1</v>
      </c>
      <c r="K44" s="12">
        <f t="shared" si="1"/>
        <v>56.26180439826161</v>
      </c>
      <c r="L44" s="12">
        <f t="shared" si="2"/>
        <v>46.78</v>
      </c>
      <c r="M44" s="12"/>
      <c r="N44" s="10" t="s">
        <v>24</v>
      </c>
      <c r="O44" s="10" t="s">
        <v>25</v>
      </c>
      <c r="P44" s="10" t="s">
        <v>29</v>
      </c>
      <c r="Q44" s="11"/>
      <c r="R44" s="13" t="s">
        <v>32</v>
      </c>
      <c r="S44" s="11">
        <v>1500</v>
      </c>
      <c r="T44" s="11">
        <v>2000</v>
      </c>
    </row>
    <row r="45" spans="1:20" x14ac:dyDescent="0.3">
      <c r="A45" s="10" t="s">
        <v>20</v>
      </c>
      <c r="B45" s="10">
        <v>1646</v>
      </c>
      <c r="C45" s="10">
        <v>1748</v>
      </c>
      <c r="D45" s="10">
        <f t="shared" si="0"/>
        <v>4</v>
      </c>
      <c r="E45" s="11" t="s">
        <v>48</v>
      </c>
      <c r="F45" s="11" t="s">
        <v>56</v>
      </c>
      <c r="G45" s="10" t="s">
        <v>33</v>
      </c>
      <c r="H45" s="10" t="s">
        <v>23</v>
      </c>
      <c r="I45" s="10">
        <v>4</v>
      </c>
      <c r="J45" s="10">
        <v>1</v>
      </c>
      <c r="K45" s="12">
        <f t="shared" si="1"/>
        <v>125.35625047653281</v>
      </c>
      <c r="L45" s="12">
        <f t="shared" si="2"/>
        <v>54.304000000000002</v>
      </c>
      <c r="M45" s="12"/>
      <c r="N45" s="10" t="s">
        <v>24</v>
      </c>
      <c r="O45" s="10" t="s">
        <v>34</v>
      </c>
      <c r="P45" s="10" t="s">
        <v>29</v>
      </c>
      <c r="Q45" s="11"/>
      <c r="R45" s="13" t="s">
        <v>35</v>
      </c>
      <c r="S45" s="11">
        <v>2700</v>
      </c>
      <c r="T45" s="11">
        <v>2000</v>
      </c>
    </row>
    <row r="46" spans="1:20" x14ac:dyDescent="0.3">
      <c r="A46" s="10" t="s">
        <v>20</v>
      </c>
      <c r="B46" s="10">
        <v>1646</v>
      </c>
      <c r="C46" s="10">
        <v>1748</v>
      </c>
      <c r="D46" s="10">
        <f t="shared" si="0"/>
        <v>3</v>
      </c>
      <c r="E46" s="11" t="s">
        <v>48</v>
      </c>
      <c r="F46" s="11" t="s">
        <v>56</v>
      </c>
      <c r="G46" s="10" t="s">
        <v>33</v>
      </c>
      <c r="H46" s="10" t="s">
        <v>23</v>
      </c>
      <c r="I46" s="10">
        <v>3</v>
      </c>
      <c r="J46" s="10">
        <v>1</v>
      </c>
      <c r="K46" s="12">
        <f t="shared" si="1"/>
        <v>94.017187857399605</v>
      </c>
      <c r="L46" s="12">
        <f t="shared" si="2"/>
        <v>40.728000000000002</v>
      </c>
      <c r="M46" s="12"/>
      <c r="N46" s="10" t="s">
        <v>24</v>
      </c>
      <c r="O46" s="10" t="s">
        <v>34</v>
      </c>
      <c r="P46" s="10" t="s">
        <v>29</v>
      </c>
      <c r="Q46" s="11"/>
      <c r="R46" s="13" t="s">
        <v>35</v>
      </c>
      <c r="S46" s="11">
        <v>2700</v>
      </c>
      <c r="T46" s="11">
        <v>2000</v>
      </c>
    </row>
    <row r="47" spans="1:20" x14ac:dyDescent="0.3">
      <c r="A47" s="10" t="s">
        <v>20</v>
      </c>
      <c r="B47" s="10">
        <v>2246</v>
      </c>
      <c r="C47" s="10">
        <v>1748</v>
      </c>
      <c r="D47" s="10">
        <f t="shared" si="0"/>
        <v>5</v>
      </c>
      <c r="E47" s="11" t="s">
        <v>48</v>
      </c>
      <c r="F47" s="11" t="s">
        <v>56</v>
      </c>
      <c r="G47" s="10" t="s">
        <v>33</v>
      </c>
      <c r="H47" s="10" t="s">
        <v>49</v>
      </c>
      <c r="I47" s="10">
        <v>5</v>
      </c>
      <c r="J47" s="10">
        <v>1</v>
      </c>
      <c r="K47" s="12">
        <f t="shared" si="1"/>
        <v>213.81389624110926</v>
      </c>
      <c r="L47" s="12">
        <f t="shared" si="2"/>
        <v>79.88</v>
      </c>
      <c r="M47" s="12"/>
      <c r="N47" s="10" t="s">
        <v>24</v>
      </c>
      <c r="O47" s="10" t="s">
        <v>34</v>
      </c>
      <c r="P47" s="10" t="s">
        <v>29</v>
      </c>
      <c r="Q47" s="11"/>
      <c r="R47" s="13" t="s">
        <v>35</v>
      </c>
      <c r="S47" s="11">
        <v>3300</v>
      </c>
      <c r="T47" s="11">
        <v>2000</v>
      </c>
    </row>
    <row r="48" spans="1:20" x14ac:dyDescent="0.3">
      <c r="A48" s="10" t="s">
        <v>20</v>
      </c>
      <c r="B48" s="10">
        <v>2246</v>
      </c>
      <c r="C48" s="10">
        <v>1748</v>
      </c>
      <c r="D48" s="10">
        <f t="shared" si="0"/>
        <v>4</v>
      </c>
      <c r="E48" s="11" t="s">
        <v>48</v>
      </c>
      <c r="F48" s="11" t="s">
        <v>56</v>
      </c>
      <c r="G48" s="10" t="s">
        <v>33</v>
      </c>
      <c r="H48" s="10" t="s">
        <v>49</v>
      </c>
      <c r="I48" s="10">
        <v>4</v>
      </c>
      <c r="J48" s="10">
        <v>1</v>
      </c>
      <c r="K48" s="12">
        <f t="shared" si="1"/>
        <v>171.05111699288742</v>
      </c>
      <c r="L48" s="12">
        <f t="shared" si="2"/>
        <v>63.904000000000003</v>
      </c>
      <c r="M48" s="12"/>
      <c r="N48" s="10" t="s">
        <v>24</v>
      </c>
      <c r="O48" s="10" t="s">
        <v>34</v>
      </c>
      <c r="P48" s="10" t="s">
        <v>29</v>
      </c>
      <c r="Q48" s="11"/>
      <c r="R48" s="13" t="s">
        <v>35</v>
      </c>
      <c r="S48" s="11">
        <v>3300</v>
      </c>
      <c r="T48" s="11">
        <v>2000</v>
      </c>
    </row>
    <row r="49" spans="1:20" x14ac:dyDescent="0.3">
      <c r="A49" s="10" t="s">
        <v>20</v>
      </c>
      <c r="B49" s="10">
        <v>2246</v>
      </c>
      <c r="C49" s="10">
        <v>1748</v>
      </c>
      <c r="D49" s="10">
        <f t="shared" si="0"/>
        <v>5</v>
      </c>
      <c r="E49" s="11" t="s">
        <v>48</v>
      </c>
      <c r="F49" s="11" t="s">
        <v>56</v>
      </c>
      <c r="G49" s="10" t="s">
        <v>33</v>
      </c>
      <c r="H49" s="10" t="s">
        <v>49</v>
      </c>
      <c r="I49" s="10">
        <v>5</v>
      </c>
      <c r="J49" s="10">
        <v>1</v>
      </c>
      <c r="K49" s="12">
        <f t="shared" si="1"/>
        <v>213.81389624110926</v>
      </c>
      <c r="L49" s="12">
        <f t="shared" si="2"/>
        <v>79.88</v>
      </c>
      <c r="M49" s="12"/>
      <c r="N49" s="10" t="s">
        <v>24</v>
      </c>
      <c r="O49" s="10" t="s">
        <v>34</v>
      </c>
      <c r="P49" s="10" t="s">
        <v>29</v>
      </c>
      <c r="Q49" s="11"/>
      <c r="R49" s="13" t="s">
        <v>35</v>
      </c>
      <c r="S49" s="11">
        <v>3300</v>
      </c>
      <c r="T49" s="11">
        <v>2000</v>
      </c>
    </row>
    <row r="50" spans="1:20" s="17" customFormat="1" x14ac:dyDescent="0.3">
      <c r="A50" s="14" t="s">
        <v>36</v>
      </c>
      <c r="B50" s="14">
        <v>285</v>
      </c>
      <c r="C50" s="14">
        <v>794</v>
      </c>
      <c r="D50" s="10">
        <f t="shared" si="0"/>
        <v>10</v>
      </c>
      <c r="E50" s="15" t="s">
        <v>48</v>
      </c>
      <c r="F50" s="11" t="s">
        <v>56</v>
      </c>
      <c r="G50" s="14" t="s">
        <v>37</v>
      </c>
      <c r="H50" s="14" t="s">
        <v>49</v>
      </c>
      <c r="I50" s="14">
        <v>5</v>
      </c>
      <c r="J50" s="14">
        <v>2</v>
      </c>
      <c r="K50" s="16">
        <f t="shared" si="1"/>
        <v>24.647910335588016</v>
      </c>
      <c r="L50" s="16">
        <f t="shared" si="2"/>
        <v>43.16</v>
      </c>
      <c r="M50" s="16"/>
      <c r="N50" s="14" t="s">
        <v>24</v>
      </c>
      <c r="O50" s="14" t="s">
        <v>25</v>
      </c>
      <c r="P50" s="14" t="s">
        <v>38</v>
      </c>
      <c r="Q50" s="15"/>
      <c r="R50" s="15" t="s">
        <v>39</v>
      </c>
      <c r="S50" s="15">
        <v>900</v>
      </c>
      <c r="T50" s="15">
        <v>1050</v>
      </c>
    </row>
    <row r="51" spans="1:20" s="17" customFormat="1" x14ac:dyDescent="0.3">
      <c r="A51" s="14" t="s">
        <v>36</v>
      </c>
      <c r="B51" s="14">
        <v>285</v>
      </c>
      <c r="C51" s="14">
        <v>794</v>
      </c>
      <c r="D51" s="10">
        <f t="shared" si="0"/>
        <v>8</v>
      </c>
      <c r="E51" s="15" t="s">
        <v>48</v>
      </c>
      <c r="F51" s="11" t="s">
        <v>56</v>
      </c>
      <c r="G51" s="14" t="s">
        <v>37</v>
      </c>
      <c r="H51" s="14" t="s">
        <v>49</v>
      </c>
      <c r="I51" s="14">
        <v>4</v>
      </c>
      <c r="J51" s="14">
        <v>2</v>
      </c>
      <c r="K51" s="16">
        <f t="shared" si="1"/>
        <v>19.718328268470412</v>
      </c>
      <c r="L51" s="16">
        <f t="shared" si="2"/>
        <v>34.527999999999999</v>
      </c>
      <c r="M51" s="16"/>
      <c r="N51" s="14" t="s">
        <v>24</v>
      </c>
      <c r="O51" s="14" t="s">
        <v>25</v>
      </c>
      <c r="P51" s="14" t="s">
        <v>38</v>
      </c>
      <c r="Q51" s="15"/>
      <c r="R51" s="15" t="s">
        <v>39</v>
      </c>
      <c r="S51" s="15">
        <v>900</v>
      </c>
      <c r="T51" s="15">
        <v>1050</v>
      </c>
    </row>
    <row r="52" spans="1:20" s="17" customFormat="1" x14ac:dyDescent="0.3">
      <c r="A52" s="14" t="s">
        <v>36</v>
      </c>
      <c r="B52" s="14">
        <v>285</v>
      </c>
      <c r="C52" s="14">
        <v>794</v>
      </c>
      <c r="D52" s="10">
        <f t="shared" si="0"/>
        <v>8</v>
      </c>
      <c r="E52" s="15" t="s">
        <v>48</v>
      </c>
      <c r="F52" s="11" t="s">
        <v>56</v>
      </c>
      <c r="G52" s="14" t="s">
        <v>37</v>
      </c>
      <c r="H52" s="14" t="s">
        <v>23</v>
      </c>
      <c r="I52" s="14">
        <v>4</v>
      </c>
      <c r="J52" s="14">
        <v>2</v>
      </c>
      <c r="K52" s="16">
        <f t="shared" si="1"/>
        <v>19.718328268470412</v>
      </c>
      <c r="L52" s="16">
        <f t="shared" si="2"/>
        <v>34.527999999999999</v>
      </c>
      <c r="M52" s="16"/>
      <c r="N52" s="14" t="s">
        <v>24</v>
      </c>
      <c r="O52" s="14" t="s">
        <v>25</v>
      </c>
      <c r="P52" s="14" t="s">
        <v>38</v>
      </c>
      <c r="Q52" s="15"/>
      <c r="R52" s="15" t="s">
        <v>39</v>
      </c>
      <c r="S52" s="15">
        <v>900</v>
      </c>
      <c r="T52" s="15">
        <v>1050</v>
      </c>
    </row>
    <row r="53" spans="1:20" s="17" customFormat="1" x14ac:dyDescent="0.3">
      <c r="A53" s="14" t="s">
        <v>36</v>
      </c>
      <c r="B53" s="14">
        <v>285</v>
      </c>
      <c r="C53" s="14">
        <v>794</v>
      </c>
      <c r="D53" s="10">
        <f t="shared" si="0"/>
        <v>6</v>
      </c>
      <c r="E53" s="15" t="s">
        <v>48</v>
      </c>
      <c r="F53" s="11" t="s">
        <v>56</v>
      </c>
      <c r="G53" s="14" t="s">
        <v>37</v>
      </c>
      <c r="H53" s="14" t="s">
        <v>23</v>
      </c>
      <c r="I53" s="14">
        <v>3</v>
      </c>
      <c r="J53" s="14">
        <v>2</v>
      </c>
      <c r="K53" s="16">
        <f t="shared" si="1"/>
        <v>14.788746201352808</v>
      </c>
      <c r="L53" s="16">
        <f t="shared" si="2"/>
        <v>25.896000000000001</v>
      </c>
      <c r="M53" s="16"/>
      <c r="N53" s="14" t="s">
        <v>24</v>
      </c>
      <c r="O53" s="14" t="s">
        <v>25</v>
      </c>
      <c r="P53" s="14" t="s">
        <v>38</v>
      </c>
      <c r="Q53" s="15"/>
      <c r="R53" s="15" t="s">
        <v>39</v>
      </c>
      <c r="S53" s="15">
        <v>900</v>
      </c>
      <c r="T53" s="15">
        <v>1050</v>
      </c>
    </row>
    <row r="54" spans="1:20" s="17" customFormat="1" x14ac:dyDescent="0.3">
      <c r="A54" s="14" t="s">
        <v>36</v>
      </c>
      <c r="B54" s="14">
        <v>285</v>
      </c>
      <c r="C54" s="14">
        <v>794</v>
      </c>
      <c r="D54" s="10">
        <f t="shared" si="0"/>
        <v>10</v>
      </c>
      <c r="E54" s="15" t="s">
        <v>48</v>
      </c>
      <c r="F54" s="11" t="s">
        <v>56</v>
      </c>
      <c r="G54" s="14" t="s">
        <v>37</v>
      </c>
      <c r="H54" s="14" t="s">
        <v>49</v>
      </c>
      <c r="I54" s="14">
        <v>5</v>
      </c>
      <c r="J54" s="14">
        <v>2</v>
      </c>
      <c r="K54" s="16">
        <f t="shared" si="1"/>
        <v>24.647910335588016</v>
      </c>
      <c r="L54" s="16">
        <f t="shared" si="2"/>
        <v>43.16</v>
      </c>
      <c r="M54" s="16"/>
      <c r="N54" s="14" t="s">
        <v>24</v>
      </c>
      <c r="O54" s="14" t="s">
        <v>25</v>
      </c>
      <c r="P54" s="14" t="s">
        <v>38</v>
      </c>
      <c r="Q54" s="15"/>
      <c r="R54" s="15" t="s">
        <v>39</v>
      </c>
      <c r="S54" s="15">
        <v>900</v>
      </c>
      <c r="T54" s="15">
        <v>1050</v>
      </c>
    </row>
    <row r="55" spans="1:20" s="17" customFormat="1" x14ac:dyDescent="0.3">
      <c r="A55" s="14" t="s">
        <v>36</v>
      </c>
      <c r="B55" s="14">
        <v>435</v>
      </c>
      <c r="C55" s="14">
        <v>794</v>
      </c>
      <c r="D55" s="10">
        <f t="shared" si="0"/>
        <v>10</v>
      </c>
      <c r="E55" s="15" t="s">
        <v>48</v>
      </c>
      <c r="F55" s="11" t="s">
        <v>56</v>
      </c>
      <c r="G55" s="14" t="s">
        <v>40</v>
      </c>
      <c r="H55" s="14" t="s">
        <v>49</v>
      </c>
      <c r="I55" s="14">
        <v>5</v>
      </c>
      <c r="J55" s="14">
        <v>2</v>
      </c>
      <c r="K55" s="16">
        <f t="shared" si="1"/>
        <v>37.6204947227396</v>
      </c>
      <c r="L55" s="16">
        <f t="shared" si="2"/>
        <v>49.16</v>
      </c>
      <c r="M55" s="16"/>
      <c r="N55" s="14" t="s">
        <v>24</v>
      </c>
      <c r="O55" s="14" t="s">
        <v>25</v>
      </c>
      <c r="P55" s="14" t="s">
        <v>38</v>
      </c>
      <c r="Q55" s="15"/>
      <c r="R55" s="15" t="s">
        <v>41</v>
      </c>
      <c r="S55" s="15">
        <v>1200</v>
      </c>
      <c r="T55" s="15">
        <v>1050</v>
      </c>
    </row>
    <row r="56" spans="1:20" s="17" customFormat="1" x14ac:dyDescent="0.3">
      <c r="A56" s="14" t="s">
        <v>36</v>
      </c>
      <c r="B56" s="14">
        <v>435</v>
      </c>
      <c r="C56" s="14">
        <v>794</v>
      </c>
      <c r="D56" s="10">
        <f t="shared" si="0"/>
        <v>8</v>
      </c>
      <c r="E56" s="15" t="s">
        <v>48</v>
      </c>
      <c r="F56" s="11" t="s">
        <v>56</v>
      </c>
      <c r="G56" s="14" t="s">
        <v>40</v>
      </c>
      <c r="H56" s="14" t="s">
        <v>49</v>
      </c>
      <c r="I56" s="14">
        <v>4</v>
      </c>
      <c r="J56" s="14">
        <v>2</v>
      </c>
      <c r="K56" s="16">
        <f t="shared" si="1"/>
        <v>30.096395778191681</v>
      </c>
      <c r="L56" s="16">
        <f t="shared" si="2"/>
        <v>39.328000000000003</v>
      </c>
      <c r="M56" s="16"/>
      <c r="N56" s="14" t="s">
        <v>24</v>
      </c>
      <c r="O56" s="14" t="s">
        <v>25</v>
      </c>
      <c r="P56" s="14" t="s">
        <v>38</v>
      </c>
      <c r="Q56" s="15"/>
      <c r="R56" s="15" t="s">
        <v>41</v>
      </c>
      <c r="S56" s="15">
        <v>1200</v>
      </c>
      <c r="T56" s="15">
        <v>1050</v>
      </c>
    </row>
    <row r="57" spans="1:20" s="17" customFormat="1" x14ac:dyDescent="0.3">
      <c r="A57" s="14" t="s">
        <v>36</v>
      </c>
      <c r="B57" s="14">
        <v>435</v>
      </c>
      <c r="C57" s="14">
        <v>794</v>
      </c>
      <c r="D57" s="10">
        <f t="shared" si="0"/>
        <v>8</v>
      </c>
      <c r="E57" s="15" t="s">
        <v>48</v>
      </c>
      <c r="F57" s="11" t="s">
        <v>56</v>
      </c>
      <c r="G57" s="14" t="s">
        <v>40</v>
      </c>
      <c r="H57" s="14" t="s">
        <v>23</v>
      </c>
      <c r="I57" s="14">
        <v>4</v>
      </c>
      <c r="J57" s="14">
        <v>2</v>
      </c>
      <c r="K57" s="16">
        <f t="shared" si="1"/>
        <v>30.096395778191681</v>
      </c>
      <c r="L57" s="16">
        <f t="shared" si="2"/>
        <v>39.328000000000003</v>
      </c>
      <c r="M57" s="16"/>
      <c r="N57" s="14" t="s">
        <v>24</v>
      </c>
      <c r="O57" s="14" t="s">
        <v>25</v>
      </c>
      <c r="P57" s="14" t="s">
        <v>38</v>
      </c>
      <c r="Q57" s="15"/>
      <c r="R57" s="15" t="s">
        <v>41</v>
      </c>
      <c r="S57" s="15">
        <v>1200</v>
      </c>
      <c r="T57" s="15">
        <v>1050</v>
      </c>
    </row>
    <row r="58" spans="1:20" s="17" customFormat="1" x14ac:dyDescent="0.3">
      <c r="A58" s="14" t="s">
        <v>36</v>
      </c>
      <c r="B58" s="14">
        <v>435</v>
      </c>
      <c r="C58" s="14">
        <v>794</v>
      </c>
      <c r="D58" s="10">
        <f t="shared" si="0"/>
        <v>6</v>
      </c>
      <c r="E58" s="15" t="s">
        <v>48</v>
      </c>
      <c r="F58" s="11" t="s">
        <v>56</v>
      </c>
      <c r="G58" s="14" t="s">
        <v>40</v>
      </c>
      <c r="H58" s="14" t="s">
        <v>23</v>
      </c>
      <c r="I58" s="14">
        <v>3</v>
      </c>
      <c r="J58" s="14">
        <v>2</v>
      </c>
      <c r="K58" s="16">
        <f t="shared" si="1"/>
        <v>22.572296833643762</v>
      </c>
      <c r="L58" s="16">
        <f t="shared" si="2"/>
        <v>29.495999999999999</v>
      </c>
      <c r="M58" s="16"/>
      <c r="N58" s="14" t="s">
        <v>24</v>
      </c>
      <c r="O58" s="14" t="s">
        <v>25</v>
      </c>
      <c r="P58" s="14" t="s">
        <v>38</v>
      </c>
      <c r="Q58" s="15"/>
      <c r="R58" s="15" t="s">
        <v>41</v>
      </c>
      <c r="S58" s="15">
        <v>1200</v>
      </c>
      <c r="T58" s="15">
        <v>1050</v>
      </c>
    </row>
    <row r="59" spans="1:20" s="17" customFormat="1" x14ac:dyDescent="0.3">
      <c r="A59" s="14" t="s">
        <v>36</v>
      </c>
      <c r="B59" s="14">
        <v>435</v>
      </c>
      <c r="C59" s="14">
        <v>794</v>
      </c>
      <c r="D59" s="10">
        <f t="shared" si="0"/>
        <v>10</v>
      </c>
      <c r="E59" s="15" t="s">
        <v>48</v>
      </c>
      <c r="F59" s="11" t="s">
        <v>56</v>
      </c>
      <c r="G59" s="14" t="s">
        <v>40</v>
      </c>
      <c r="H59" s="14" t="s">
        <v>49</v>
      </c>
      <c r="I59" s="14">
        <v>5</v>
      </c>
      <c r="J59" s="14">
        <v>2</v>
      </c>
      <c r="K59" s="16">
        <f t="shared" si="1"/>
        <v>37.6204947227396</v>
      </c>
      <c r="L59" s="16">
        <f t="shared" si="2"/>
        <v>49.16</v>
      </c>
      <c r="M59" s="16"/>
      <c r="N59" s="14" t="s">
        <v>24</v>
      </c>
      <c r="O59" s="14" t="s">
        <v>25</v>
      </c>
      <c r="P59" s="14" t="s">
        <v>38</v>
      </c>
      <c r="Q59" s="15"/>
      <c r="R59" s="15" t="s">
        <v>41</v>
      </c>
      <c r="S59" s="15">
        <v>1200</v>
      </c>
      <c r="T59" s="15">
        <v>1050</v>
      </c>
    </row>
    <row r="60" spans="1:20" x14ac:dyDescent="0.3">
      <c r="A60" s="10" t="s">
        <v>44</v>
      </c>
      <c r="B60" s="10">
        <v>291</v>
      </c>
      <c r="C60" s="10">
        <v>798</v>
      </c>
      <c r="D60" s="10">
        <f t="shared" si="0"/>
        <v>10</v>
      </c>
      <c r="E60" s="11" t="s">
        <v>48</v>
      </c>
      <c r="F60" s="11" t="s">
        <v>56</v>
      </c>
      <c r="G60" s="10" t="s">
        <v>37</v>
      </c>
      <c r="H60" s="10" t="s">
        <v>49</v>
      </c>
      <c r="I60" s="10">
        <v>5</v>
      </c>
      <c r="J60" s="10">
        <v>2</v>
      </c>
      <c r="K60" s="12">
        <f t="shared" si="1"/>
        <v>25.293598666797372</v>
      </c>
      <c r="L60" s="12">
        <f t="shared" si="2"/>
        <v>43.56</v>
      </c>
      <c r="M60" s="12"/>
      <c r="N60" s="10" t="s">
        <v>24</v>
      </c>
      <c r="O60" s="10" t="s">
        <v>25</v>
      </c>
      <c r="P60" s="10" t="s">
        <v>45</v>
      </c>
      <c r="Q60" s="11"/>
      <c r="R60" s="13" t="s">
        <v>39</v>
      </c>
      <c r="S60" s="11">
        <v>900</v>
      </c>
      <c r="T60" s="11">
        <v>1050</v>
      </c>
    </row>
    <row r="61" spans="1:20" x14ac:dyDescent="0.3">
      <c r="A61" s="10" t="s">
        <v>44</v>
      </c>
      <c r="B61" s="10">
        <v>291</v>
      </c>
      <c r="C61" s="10">
        <v>798</v>
      </c>
      <c r="D61" s="10">
        <f t="shared" si="0"/>
        <v>8</v>
      </c>
      <c r="E61" s="11" t="s">
        <v>48</v>
      </c>
      <c r="F61" s="11" t="s">
        <v>56</v>
      </c>
      <c r="G61" s="10" t="s">
        <v>37</v>
      </c>
      <c r="H61" s="10" t="s">
        <v>49</v>
      </c>
      <c r="I61" s="10">
        <v>4</v>
      </c>
      <c r="J61" s="10">
        <v>2</v>
      </c>
      <c r="K61" s="12">
        <f t="shared" si="1"/>
        <v>20.234878933437898</v>
      </c>
      <c r="L61" s="12">
        <f t="shared" si="2"/>
        <v>34.847999999999999</v>
      </c>
      <c r="M61" s="12"/>
      <c r="N61" s="10" t="s">
        <v>24</v>
      </c>
      <c r="O61" s="10" t="s">
        <v>25</v>
      </c>
      <c r="P61" s="10" t="s">
        <v>45</v>
      </c>
      <c r="Q61" s="11"/>
      <c r="R61" s="13" t="s">
        <v>39</v>
      </c>
      <c r="S61" s="11">
        <v>900</v>
      </c>
      <c r="T61" s="11">
        <v>1050</v>
      </c>
    </row>
    <row r="62" spans="1:20" x14ac:dyDescent="0.3">
      <c r="A62" s="10" t="s">
        <v>44</v>
      </c>
      <c r="B62" s="10">
        <v>291</v>
      </c>
      <c r="C62" s="10">
        <v>798</v>
      </c>
      <c r="D62" s="10">
        <f t="shared" si="0"/>
        <v>8</v>
      </c>
      <c r="E62" s="11" t="s">
        <v>48</v>
      </c>
      <c r="F62" s="11" t="s">
        <v>56</v>
      </c>
      <c r="G62" s="10" t="s">
        <v>37</v>
      </c>
      <c r="H62" s="10" t="s">
        <v>23</v>
      </c>
      <c r="I62" s="10">
        <v>4</v>
      </c>
      <c r="J62" s="10">
        <v>2</v>
      </c>
      <c r="K62" s="12">
        <f t="shared" si="1"/>
        <v>20.234878933437898</v>
      </c>
      <c r="L62" s="12">
        <f t="shared" si="2"/>
        <v>34.847999999999999</v>
      </c>
      <c r="M62" s="12"/>
      <c r="N62" s="10" t="s">
        <v>24</v>
      </c>
      <c r="O62" s="10" t="s">
        <v>25</v>
      </c>
      <c r="P62" s="10" t="s">
        <v>45</v>
      </c>
      <c r="Q62" s="11"/>
      <c r="R62" s="13" t="s">
        <v>39</v>
      </c>
      <c r="S62" s="11">
        <v>900</v>
      </c>
      <c r="T62" s="11">
        <v>1050</v>
      </c>
    </row>
    <row r="63" spans="1:20" x14ac:dyDescent="0.3">
      <c r="A63" s="10" t="s">
        <v>44</v>
      </c>
      <c r="B63" s="10">
        <v>291</v>
      </c>
      <c r="C63" s="10">
        <v>798</v>
      </c>
      <c r="D63" s="10">
        <f t="shared" si="0"/>
        <v>6</v>
      </c>
      <c r="E63" s="11" t="s">
        <v>48</v>
      </c>
      <c r="F63" s="11" t="s">
        <v>56</v>
      </c>
      <c r="G63" s="10" t="s">
        <v>37</v>
      </c>
      <c r="H63" s="10" t="s">
        <v>23</v>
      </c>
      <c r="I63" s="10">
        <v>3</v>
      </c>
      <c r="J63" s="10">
        <v>2</v>
      </c>
      <c r="K63" s="12">
        <f t="shared" si="1"/>
        <v>15.176159200078423</v>
      </c>
      <c r="L63" s="12">
        <f t="shared" si="2"/>
        <v>26.135999999999999</v>
      </c>
      <c r="M63" s="12"/>
      <c r="N63" s="10" t="s">
        <v>24</v>
      </c>
      <c r="O63" s="10" t="s">
        <v>25</v>
      </c>
      <c r="P63" s="10" t="s">
        <v>45</v>
      </c>
      <c r="Q63" s="11"/>
      <c r="R63" s="13" t="s">
        <v>39</v>
      </c>
      <c r="S63" s="11">
        <v>900</v>
      </c>
      <c r="T63" s="11">
        <v>1050</v>
      </c>
    </row>
    <row r="64" spans="1:20" x14ac:dyDescent="0.3">
      <c r="A64" s="10" t="s">
        <v>44</v>
      </c>
      <c r="B64" s="10">
        <v>291</v>
      </c>
      <c r="C64" s="10">
        <v>798</v>
      </c>
      <c r="D64" s="10">
        <f t="shared" si="0"/>
        <v>10</v>
      </c>
      <c r="E64" s="11" t="s">
        <v>48</v>
      </c>
      <c r="F64" s="11" t="s">
        <v>56</v>
      </c>
      <c r="G64" s="10" t="s">
        <v>37</v>
      </c>
      <c r="H64" s="10" t="s">
        <v>49</v>
      </c>
      <c r="I64" s="10">
        <v>5</v>
      </c>
      <c r="J64" s="10">
        <v>2</v>
      </c>
      <c r="K64" s="12">
        <f t="shared" si="1"/>
        <v>25.293598666797372</v>
      </c>
      <c r="L64" s="12">
        <f t="shared" si="2"/>
        <v>43.56</v>
      </c>
      <c r="M64" s="12"/>
      <c r="N64" s="10" t="s">
        <v>24</v>
      </c>
      <c r="O64" s="10" t="s">
        <v>25</v>
      </c>
      <c r="P64" s="10" t="s">
        <v>45</v>
      </c>
      <c r="Q64" s="11"/>
      <c r="R64" s="13" t="s">
        <v>39</v>
      </c>
      <c r="S64" s="11">
        <v>900</v>
      </c>
      <c r="T64" s="11">
        <v>1050</v>
      </c>
    </row>
    <row r="65" spans="1:20" x14ac:dyDescent="0.3">
      <c r="A65" s="10" t="s">
        <v>44</v>
      </c>
      <c r="B65" s="10">
        <v>441</v>
      </c>
      <c r="C65" s="10">
        <v>798</v>
      </c>
      <c r="D65" s="10">
        <f t="shared" si="0"/>
        <v>10</v>
      </c>
      <c r="E65" s="11" t="s">
        <v>48</v>
      </c>
      <c r="F65" s="11" t="s">
        <v>56</v>
      </c>
      <c r="G65" s="10" t="s">
        <v>40</v>
      </c>
      <c r="H65" s="10" t="s">
        <v>49</v>
      </c>
      <c r="I65" s="10">
        <v>5</v>
      </c>
      <c r="J65" s="10">
        <v>2</v>
      </c>
      <c r="K65" s="12">
        <f t="shared" si="1"/>
        <v>38.331536123909423</v>
      </c>
      <c r="L65" s="12">
        <f t="shared" si="2"/>
        <v>49.56</v>
      </c>
      <c r="M65" s="12"/>
      <c r="N65" s="10" t="s">
        <v>24</v>
      </c>
      <c r="O65" s="10" t="s">
        <v>25</v>
      </c>
      <c r="P65" s="10" t="s">
        <v>45</v>
      </c>
      <c r="Q65" s="11"/>
      <c r="R65" s="13" t="s">
        <v>41</v>
      </c>
      <c r="S65" s="11">
        <v>1200</v>
      </c>
      <c r="T65" s="11">
        <v>1050</v>
      </c>
    </row>
    <row r="66" spans="1:20" x14ac:dyDescent="0.3">
      <c r="A66" s="10" t="s">
        <v>44</v>
      </c>
      <c r="B66" s="10">
        <v>441</v>
      </c>
      <c r="C66" s="10">
        <v>798</v>
      </c>
      <c r="D66" s="10">
        <f t="shared" ref="D66:D121" si="3">I66*J66</f>
        <v>8</v>
      </c>
      <c r="E66" s="11" t="s">
        <v>48</v>
      </c>
      <c r="F66" s="11" t="s">
        <v>56</v>
      </c>
      <c r="G66" s="10" t="s">
        <v>40</v>
      </c>
      <c r="H66" s="10" t="s">
        <v>49</v>
      </c>
      <c r="I66" s="10">
        <v>4</v>
      </c>
      <c r="J66" s="10">
        <v>2</v>
      </c>
      <c r="K66" s="12">
        <f t="shared" ref="K66:K105" si="4">B66*C66*D66/91809</f>
        <v>30.665228899127538</v>
      </c>
      <c r="L66" s="12">
        <f t="shared" ref="L66:L105" si="5">((((B66+C66)*2)*D66)/1000)*2</f>
        <v>39.648000000000003</v>
      </c>
      <c r="M66" s="12"/>
      <c r="N66" s="10" t="s">
        <v>24</v>
      </c>
      <c r="O66" s="10" t="s">
        <v>25</v>
      </c>
      <c r="P66" s="10" t="s">
        <v>45</v>
      </c>
      <c r="Q66" s="11"/>
      <c r="R66" s="13" t="s">
        <v>41</v>
      </c>
      <c r="S66" s="11">
        <v>1200</v>
      </c>
      <c r="T66" s="11">
        <v>1050</v>
      </c>
    </row>
    <row r="67" spans="1:20" x14ac:dyDescent="0.3">
      <c r="A67" s="10" t="s">
        <v>44</v>
      </c>
      <c r="B67" s="10">
        <v>441</v>
      </c>
      <c r="C67" s="10">
        <v>798</v>
      </c>
      <c r="D67" s="10">
        <f t="shared" si="3"/>
        <v>8</v>
      </c>
      <c r="E67" s="11" t="s">
        <v>48</v>
      </c>
      <c r="F67" s="11" t="s">
        <v>56</v>
      </c>
      <c r="G67" s="10" t="s">
        <v>40</v>
      </c>
      <c r="H67" s="10" t="s">
        <v>23</v>
      </c>
      <c r="I67" s="10">
        <v>4</v>
      </c>
      <c r="J67" s="10">
        <v>2</v>
      </c>
      <c r="K67" s="12">
        <f t="shared" si="4"/>
        <v>30.665228899127538</v>
      </c>
      <c r="L67" s="12">
        <f t="shared" si="5"/>
        <v>39.648000000000003</v>
      </c>
      <c r="M67" s="12"/>
      <c r="N67" s="10" t="s">
        <v>24</v>
      </c>
      <c r="O67" s="10" t="s">
        <v>25</v>
      </c>
      <c r="P67" s="10" t="s">
        <v>45</v>
      </c>
      <c r="Q67" s="11"/>
      <c r="R67" s="13" t="s">
        <v>41</v>
      </c>
      <c r="S67" s="11">
        <v>1200</v>
      </c>
      <c r="T67" s="11">
        <v>1050</v>
      </c>
    </row>
    <row r="68" spans="1:20" x14ac:dyDescent="0.3">
      <c r="A68" s="10" t="s">
        <v>44</v>
      </c>
      <c r="B68" s="10">
        <v>441</v>
      </c>
      <c r="C68" s="10">
        <v>798</v>
      </c>
      <c r="D68" s="10">
        <f t="shared" si="3"/>
        <v>6</v>
      </c>
      <c r="E68" s="11" t="s">
        <v>48</v>
      </c>
      <c r="F68" s="11" t="s">
        <v>56</v>
      </c>
      <c r="G68" s="10" t="s">
        <v>40</v>
      </c>
      <c r="H68" s="10" t="s">
        <v>23</v>
      </c>
      <c r="I68" s="10">
        <v>3</v>
      </c>
      <c r="J68" s="10">
        <v>2</v>
      </c>
      <c r="K68" s="12">
        <f t="shared" si="4"/>
        <v>22.998921674345652</v>
      </c>
      <c r="L68" s="12">
        <f t="shared" si="5"/>
        <v>29.736000000000001</v>
      </c>
      <c r="M68" s="12"/>
      <c r="N68" s="10" t="s">
        <v>24</v>
      </c>
      <c r="O68" s="10" t="s">
        <v>25</v>
      </c>
      <c r="P68" s="10" t="s">
        <v>45</v>
      </c>
      <c r="Q68" s="11"/>
      <c r="R68" s="13" t="s">
        <v>41</v>
      </c>
      <c r="S68" s="11">
        <v>1200</v>
      </c>
      <c r="T68" s="11">
        <v>1050</v>
      </c>
    </row>
    <row r="69" spans="1:20" x14ac:dyDescent="0.3">
      <c r="A69" s="10" t="s">
        <v>44</v>
      </c>
      <c r="B69" s="10">
        <v>441</v>
      </c>
      <c r="C69" s="10">
        <v>798</v>
      </c>
      <c r="D69" s="10">
        <f t="shared" si="3"/>
        <v>10</v>
      </c>
      <c r="E69" s="11" t="s">
        <v>48</v>
      </c>
      <c r="F69" s="11" t="s">
        <v>56</v>
      </c>
      <c r="G69" s="10" t="s">
        <v>40</v>
      </c>
      <c r="H69" s="10" t="s">
        <v>49</v>
      </c>
      <c r="I69" s="10">
        <v>5</v>
      </c>
      <c r="J69" s="10">
        <v>2</v>
      </c>
      <c r="K69" s="12">
        <f t="shared" si="4"/>
        <v>38.331536123909423</v>
      </c>
      <c r="L69" s="12">
        <f t="shared" si="5"/>
        <v>49.56</v>
      </c>
      <c r="M69" s="12"/>
      <c r="N69" s="10" t="s">
        <v>24</v>
      </c>
      <c r="O69" s="10" t="s">
        <v>25</v>
      </c>
      <c r="P69" s="10" t="s">
        <v>45</v>
      </c>
      <c r="Q69" s="11"/>
      <c r="R69" s="13" t="s">
        <v>41</v>
      </c>
      <c r="S69" s="11">
        <v>1200</v>
      </c>
      <c r="T69" s="11">
        <v>1050</v>
      </c>
    </row>
    <row r="70" spans="1:20" x14ac:dyDescent="0.3">
      <c r="A70" s="10" t="s">
        <v>44</v>
      </c>
      <c r="B70" s="10">
        <v>543</v>
      </c>
      <c r="C70" s="10">
        <v>1745</v>
      </c>
      <c r="D70" s="10">
        <f t="shared" si="3"/>
        <v>5</v>
      </c>
      <c r="E70" s="11" t="s">
        <v>48</v>
      </c>
      <c r="F70" s="11" t="s">
        <v>56</v>
      </c>
      <c r="G70" s="10" t="s">
        <v>22</v>
      </c>
      <c r="H70" s="10" t="s">
        <v>49</v>
      </c>
      <c r="I70" s="10">
        <v>5</v>
      </c>
      <c r="J70" s="10">
        <v>1</v>
      </c>
      <c r="K70" s="12">
        <f t="shared" si="4"/>
        <v>51.603600954154821</v>
      </c>
      <c r="L70" s="12">
        <f t="shared" si="5"/>
        <v>45.76</v>
      </c>
      <c r="M70" s="12"/>
      <c r="N70" s="10" t="s">
        <v>24</v>
      </c>
      <c r="O70" s="10" t="s">
        <v>25</v>
      </c>
      <c r="P70" s="10" t="s">
        <v>46</v>
      </c>
      <c r="Q70" s="11"/>
      <c r="R70" s="13" t="s">
        <v>27</v>
      </c>
      <c r="S70" s="11">
        <v>1400</v>
      </c>
      <c r="T70" s="11">
        <v>2000</v>
      </c>
    </row>
    <row r="71" spans="1:20" x14ac:dyDescent="0.3">
      <c r="A71" s="10" t="s">
        <v>44</v>
      </c>
      <c r="B71" s="10">
        <v>543</v>
      </c>
      <c r="C71" s="10">
        <v>1745</v>
      </c>
      <c r="D71" s="10">
        <f t="shared" si="3"/>
        <v>4</v>
      </c>
      <c r="E71" s="11" t="s">
        <v>48</v>
      </c>
      <c r="F71" s="11" t="s">
        <v>56</v>
      </c>
      <c r="G71" s="10" t="s">
        <v>22</v>
      </c>
      <c r="H71" s="10" t="s">
        <v>49</v>
      </c>
      <c r="I71" s="10">
        <v>4</v>
      </c>
      <c r="J71" s="10">
        <v>1</v>
      </c>
      <c r="K71" s="12">
        <f t="shared" si="4"/>
        <v>41.28288076332386</v>
      </c>
      <c r="L71" s="12">
        <f t="shared" si="5"/>
        <v>36.607999999999997</v>
      </c>
      <c r="M71" s="12"/>
      <c r="N71" s="10" t="s">
        <v>24</v>
      </c>
      <c r="O71" s="10" t="s">
        <v>25</v>
      </c>
      <c r="P71" s="10" t="s">
        <v>46</v>
      </c>
      <c r="Q71" s="11"/>
      <c r="R71" s="13" t="s">
        <v>27</v>
      </c>
      <c r="S71" s="11">
        <v>1400</v>
      </c>
      <c r="T71" s="11">
        <v>2000</v>
      </c>
    </row>
    <row r="72" spans="1:20" x14ac:dyDescent="0.3">
      <c r="A72" s="10" t="s">
        <v>44</v>
      </c>
      <c r="B72" s="10">
        <v>543</v>
      </c>
      <c r="C72" s="10">
        <v>1745</v>
      </c>
      <c r="D72" s="10">
        <f t="shared" si="3"/>
        <v>4</v>
      </c>
      <c r="E72" s="11" t="s">
        <v>48</v>
      </c>
      <c r="F72" s="11" t="s">
        <v>56</v>
      </c>
      <c r="G72" s="10" t="s">
        <v>22</v>
      </c>
      <c r="H72" s="10" t="s">
        <v>23</v>
      </c>
      <c r="I72" s="10">
        <v>4</v>
      </c>
      <c r="J72" s="10">
        <v>1</v>
      </c>
      <c r="K72" s="12">
        <f t="shared" si="4"/>
        <v>41.28288076332386</v>
      </c>
      <c r="L72" s="12">
        <f t="shared" si="5"/>
        <v>36.607999999999997</v>
      </c>
      <c r="M72" s="12"/>
      <c r="N72" s="10" t="s">
        <v>24</v>
      </c>
      <c r="O72" s="10" t="s">
        <v>25</v>
      </c>
      <c r="P72" s="10" t="s">
        <v>46</v>
      </c>
      <c r="Q72" s="11"/>
      <c r="R72" s="13" t="s">
        <v>27</v>
      </c>
      <c r="S72" s="11">
        <v>1400</v>
      </c>
      <c r="T72" s="11">
        <v>2000</v>
      </c>
    </row>
    <row r="73" spans="1:20" x14ac:dyDescent="0.3">
      <c r="A73" s="10" t="s">
        <v>44</v>
      </c>
      <c r="B73" s="10">
        <v>543</v>
      </c>
      <c r="C73" s="10">
        <v>1745</v>
      </c>
      <c r="D73" s="10">
        <f t="shared" si="3"/>
        <v>3</v>
      </c>
      <c r="E73" s="11" t="s">
        <v>48</v>
      </c>
      <c r="F73" s="11" t="s">
        <v>56</v>
      </c>
      <c r="G73" s="10" t="s">
        <v>22</v>
      </c>
      <c r="H73" s="10" t="s">
        <v>23</v>
      </c>
      <c r="I73" s="10">
        <v>3</v>
      </c>
      <c r="J73" s="10">
        <v>1</v>
      </c>
      <c r="K73" s="12">
        <f t="shared" si="4"/>
        <v>30.962160572492891</v>
      </c>
      <c r="L73" s="12">
        <f t="shared" si="5"/>
        <v>27.456</v>
      </c>
      <c r="M73" s="12"/>
      <c r="N73" s="10" t="s">
        <v>24</v>
      </c>
      <c r="O73" s="10" t="s">
        <v>25</v>
      </c>
      <c r="P73" s="10" t="s">
        <v>46</v>
      </c>
      <c r="Q73" s="11"/>
      <c r="R73" s="13" t="s">
        <v>27</v>
      </c>
      <c r="S73" s="11">
        <v>1400</v>
      </c>
      <c r="T73" s="11">
        <v>2000</v>
      </c>
    </row>
    <row r="74" spans="1:20" x14ac:dyDescent="0.3">
      <c r="A74" s="10" t="s">
        <v>44</v>
      </c>
      <c r="B74" s="10">
        <v>543</v>
      </c>
      <c r="C74" s="10">
        <v>1745</v>
      </c>
      <c r="D74" s="10">
        <f t="shared" si="3"/>
        <v>5</v>
      </c>
      <c r="E74" s="11" t="s">
        <v>48</v>
      </c>
      <c r="F74" s="11" t="s">
        <v>56</v>
      </c>
      <c r="G74" s="10" t="s">
        <v>22</v>
      </c>
      <c r="H74" s="10" t="s">
        <v>49</v>
      </c>
      <c r="I74" s="10">
        <v>5</v>
      </c>
      <c r="J74" s="10">
        <v>1</v>
      </c>
      <c r="K74" s="12">
        <f t="shared" si="4"/>
        <v>51.603600954154821</v>
      </c>
      <c r="L74" s="12">
        <f t="shared" si="5"/>
        <v>45.76</v>
      </c>
      <c r="M74" s="12"/>
      <c r="N74" s="10" t="s">
        <v>24</v>
      </c>
      <c r="O74" s="10" t="s">
        <v>25</v>
      </c>
      <c r="P74" s="10" t="s">
        <v>46</v>
      </c>
      <c r="Q74" s="11"/>
      <c r="R74" s="13" t="s">
        <v>27</v>
      </c>
      <c r="S74" s="11">
        <v>1400</v>
      </c>
      <c r="T74" s="11">
        <v>2000</v>
      </c>
    </row>
    <row r="75" spans="1:20" x14ac:dyDescent="0.3">
      <c r="A75" s="10" t="s">
        <v>44</v>
      </c>
      <c r="B75" s="10">
        <v>591</v>
      </c>
      <c r="C75" s="10">
        <v>1748</v>
      </c>
      <c r="D75" s="10">
        <f t="shared" si="3"/>
        <v>5</v>
      </c>
      <c r="E75" s="11" t="s">
        <v>48</v>
      </c>
      <c r="F75" s="11" t="s">
        <v>56</v>
      </c>
      <c r="G75" s="10" t="s">
        <v>28</v>
      </c>
      <c r="H75" s="10" t="s">
        <v>49</v>
      </c>
      <c r="I75" s="10">
        <v>5</v>
      </c>
      <c r="J75" s="10">
        <v>1</v>
      </c>
      <c r="K75" s="12">
        <f t="shared" si="4"/>
        <v>56.26180439826161</v>
      </c>
      <c r="L75" s="12">
        <f t="shared" si="5"/>
        <v>46.78</v>
      </c>
      <c r="M75" s="12"/>
      <c r="N75" s="10" t="s">
        <v>24</v>
      </c>
      <c r="O75" s="10" t="s">
        <v>25</v>
      </c>
      <c r="P75" s="10" t="s">
        <v>47</v>
      </c>
      <c r="Q75" s="11"/>
      <c r="R75" s="13" t="s">
        <v>30</v>
      </c>
      <c r="S75" s="11">
        <v>1500</v>
      </c>
      <c r="T75" s="11">
        <v>2000</v>
      </c>
    </row>
    <row r="76" spans="1:20" x14ac:dyDescent="0.3">
      <c r="A76" s="10" t="s">
        <v>44</v>
      </c>
      <c r="B76" s="10">
        <v>591</v>
      </c>
      <c r="C76" s="10">
        <v>1748</v>
      </c>
      <c r="D76" s="10">
        <f t="shared" si="3"/>
        <v>5</v>
      </c>
      <c r="E76" s="11" t="s">
        <v>48</v>
      </c>
      <c r="F76" s="11" t="s">
        <v>56</v>
      </c>
      <c r="G76" s="10" t="s">
        <v>31</v>
      </c>
      <c r="H76" s="10" t="s">
        <v>49</v>
      </c>
      <c r="I76" s="10">
        <v>5</v>
      </c>
      <c r="J76" s="10">
        <v>1</v>
      </c>
      <c r="K76" s="12">
        <f t="shared" si="4"/>
        <v>56.26180439826161</v>
      </c>
      <c r="L76" s="12">
        <f t="shared" si="5"/>
        <v>46.78</v>
      </c>
      <c r="M76" s="12"/>
      <c r="N76" s="10" t="s">
        <v>24</v>
      </c>
      <c r="O76" s="10" t="s">
        <v>25</v>
      </c>
      <c r="P76" s="10" t="s">
        <v>47</v>
      </c>
      <c r="Q76" s="11"/>
      <c r="R76" s="13" t="s">
        <v>32</v>
      </c>
      <c r="S76" s="11">
        <v>1500</v>
      </c>
      <c r="T76" s="11">
        <v>2000</v>
      </c>
    </row>
    <row r="77" spans="1:20" x14ac:dyDescent="0.3">
      <c r="A77" s="10" t="s">
        <v>44</v>
      </c>
      <c r="B77" s="10">
        <v>591</v>
      </c>
      <c r="C77" s="10">
        <v>1748</v>
      </c>
      <c r="D77" s="10">
        <f t="shared" si="3"/>
        <v>4</v>
      </c>
      <c r="E77" s="11" t="s">
        <v>48</v>
      </c>
      <c r="F77" s="11" t="s">
        <v>56</v>
      </c>
      <c r="G77" s="10" t="s">
        <v>28</v>
      </c>
      <c r="H77" s="10" t="s">
        <v>49</v>
      </c>
      <c r="I77" s="10">
        <v>4</v>
      </c>
      <c r="J77" s="10">
        <v>1</v>
      </c>
      <c r="K77" s="12">
        <f t="shared" si="4"/>
        <v>45.009443518609288</v>
      </c>
      <c r="L77" s="12">
        <f t="shared" si="5"/>
        <v>37.423999999999999</v>
      </c>
      <c r="M77" s="12"/>
      <c r="N77" s="10" t="s">
        <v>24</v>
      </c>
      <c r="O77" s="10" t="s">
        <v>25</v>
      </c>
      <c r="P77" s="10" t="s">
        <v>47</v>
      </c>
      <c r="Q77" s="11"/>
      <c r="R77" s="13" t="s">
        <v>30</v>
      </c>
      <c r="S77" s="11">
        <v>1500</v>
      </c>
      <c r="T77" s="11">
        <v>2000</v>
      </c>
    </row>
    <row r="78" spans="1:20" x14ac:dyDescent="0.3">
      <c r="A78" s="10" t="s">
        <v>44</v>
      </c>
      <c r="B78" s="10">
        <v>591</v>
      </c>
      <c r="C78" s="10">
        <v>1748</v>
      </c>
      <c r="D78" s="10">
        <f t="shared" si="3"/>
        <v>4</v>
      </c>
      <c r="E78" s="11" t="s">
        <v>48</v>
      </c>
      <c r="F78" s="11" t="s">
        <v>56</v>
      </c>
      <c r="G78" s="10" t="s">
        <v>31</v>
      </c>
      <c r="H78" s="10" t="s">
        <v>49</v>
      </c>
      <c r="I78" s="10">
        <v>4</v>
      </c>
      <c r="J78" s="10">
        <v>1</v>
      </c>
      <c r="K78" s="12">
        <f t="shared" si="4"/>
        <v>45.009443518609288</v>
      </c>
      <c r="L78" s="12">
        <f t="shared" si="5"/>
        <v>37.423999999999999</v>
      </c>
      <c r="M78" s="12"/>
      <c r="N78" s="10" t="s">
        <v>24</v>
      </c>
      <c r="O78" s="10" t="s">
        <v>25</v>
      </c>
      <c r="P78" s="10" t="s">
        <v>47</v>
      </c>
      <c r="Q78" s="11"/>
      <c r="R78" s="13" t="s">
        <v>32</v>
      </c>
      <c r="S78" s="11">
        <v>1500</v>
      </c>
      <c r="T78" s="11">
        <v>2000</v>
      </c>
    </row>
    <row r="79" spans="1:20" x14ac:dyDescent="0.3">
      <c r="A79" s="10" t="s">
        <v>44</v>
      </c>
      <c r="B79" s="10">
        <v>591</v>
      </c>
      <c r="C79" s="10">
        <v>1748</v>
      </c>
      <c r="D79" s="10">
        <f t="shared" si="3"/>
        <v>4</v>
      </c>
      <c r="E79" s="11" t="s">
        <v>48</v>
      </c>
      <c r="F79" s="11" t="s">
        <v>56</v>
      </c>
      <c r="G79" s="10" t="s">
        <v>28</v>
      </c>
      <c r="H79" s="10" t="s">
        <v>23</v>
      </c>
      <c r="I79" s="10">
        <v>4</v>
      </c>
      <c r="J79" s="10">
        <v>1</v>
      </c>
      <c r="K79" s="12">
        <f t="shared" si="4"/>
        <v>45.009443518609288</v>
      </c>
      <c r="L79" s="12">
        <f t="shared" si="5"/>
        <v>37.423999999999999</v>
      </c>
      <c r="M79" s="12"/>
      <c r="N79" s="10" t="s">
        <v>24</v>
      </c>
      <c r="O79" s="10" t="s">
        <v>25</v>
      </c>
      <c r="P79" s="10" t="s">
        <v>47</v>
      </c>
      <c r="Q79" s="11"/>
      <c r="R79" s="13" t="s">
        <v>30</v>
      </c>
      <c r="S79" s="11">
        <v>1500</v>
      </c>
      <c r="T79" s="11">
        <v>2000</v>
      </c>
    </row>
    <row r="80" spans="1:20" x14ac:dyDescent="0.3">
      <c r="A80" s="10" t="s">
        <v>44</v>
      </c>
      <c r="B80" s="10">
        <v>591</v>
      </c>
      <c r="C80" s="10">
        <v>1748</v>
      </c>
      <c r="D80" s="10">
        <f t="shared" si="3"/>
        <v>3</v>
      </c>
      <c r="E80" s="11" t="s">
        <v>48</v>
      </c>
      <c r="F80" s="11" t="s">
        <v>56</v>
      </c>
      <c r="G80" s="10" t="s">
        <v>28</v>
      </c>
      <c r="H80" s="10" t="s">
        <v>23</v>
      </c>
      <c r="I80" s="10">
        <v>3</v>
      </c>
      <c r="J80" s="10">
        <v>1</v>
      </c>
      <c r="K80" s="12">
        <f t="shared" si="4"/>
        <v>33.757082638956966</v>
      </c>
      <c r="L80" s="12">
        <f t="shared" si="5"/>
        <v>28.068000000000001</v>
      </c>
      <c r="M80" s="12"/>
      <c r="N80" s="10" t="s">
        <v>24</v>
      </c>
      <c r="O80" s="10" t="s">
        <v>25</v>
      </c>
      <c r="P80" s="10" t="s">
        <v>47</v>
      </c>
      <c r="Q80" s="11"/>
      <c r="R80" s="13" t="s">
        <v>30</v>
      </c>
      <c r="S80" s="11">
        <v>1500</v>
      </c>
      <c r="T80" s="11">
        <v>2000</v>
      </c>
    </row>
    <row r="81" spans="1:20" x14ac:dyDescent="0.3">
      <c r="A81" s="10" t="s">
        <v>44</v>
      </c>
      <c r="B81" s="10">
        <v>591</v>
      </c>
      <c r="C81" s="10">
        <v>1748</v>
      </c>
      <c r="D81" s="10">
        <f t="shared" si="3"/>
        <v>3</v>
      </c>
      <c r="E81" s="11" t="s">
        <v>48</v>
      </c>
      <c r="F81" s="11" t="s">
        <v>56</v>
      </c>
      <c r="G81" s="10" t="s">
        <v>31</v>
      </c>
      <c r="H81" s="10" t="s">
        <v>23</v>
      </c>
      <c r="I81" s="10">
        <v>3</v>
      </c>
      <c r="J81" s="10">
        <v>1</v>
      </c>
      <c r="K81" s="12">
        <f t="shared" si="4"/>
        <v>33.757082638956966</v>
      </c>
      <c r="L81" s="12">
        <f t="shared" si="5"/>
        <v>28.068000000000001</v>
      </c>
      <c r="M81" s="12"/>
      <c r="N81" s="10" t="s">
        <v>24</v>
      </c>
      <c r="O81" s="10" t="s">
        <v>25</v>
      </c>
      <c r="P81" s="10" t="s">
        <v>47</v>
      </c>
      <c r="Q81" s="11"/>
      <c r="R81" s="13" t="s">
        <v>32</v>
      </c>
      <c r="S81" s="11">
        <v>1500</v>
      </c>
      <c r="T81" s="11">
        <v>2000</v>
      </c>
    </row>
    <row r="82" spans="1:20" x14ac:dyDescent="0.3">
      <c r="A82" s="10" t="s">
        <v>44</v>
      </c>
      <c r="B82" s="10">
        <v>591</v>
      </c>
      <c r="C82" s="10">
        <v>1748</v>
      </c>
      <c r="D82" s="10">
        <f t="shared" si="3"/>
        <v>5</v>
      </c>
      <c r="E82" s="11" t="s">
        <v>48</v>
      </c>
      <c r="F82" s="11" t="s">
        <v>56</v>
      </c>
      <c r="G82" s="10" t="s">
        <v>31</v>
      </c>
      <c r="H82" s="10" t="s">
        <v>49</v>
      </c>
      <c r="I82" s="10">
        <v>5</v>
      </c>
      <c r="J82" s="10">
        <v>1</v>
      </c>
      <c r="K82" s="12">
        <f t="shared" si="4"/>
        <v>56.26180439826161</v>
      </c>
      <c r="L82" s="12">
        <f t="shared" si="5"/>
        <v>46.78</v>
      </c>
      <c r="M82" s="12"/>
      <c r="N82" s="10" t="s">
        <v>24</v>
      </c>
      <c r="O82" s="10" t="s">
        <v>25</v>
      </c>
      <c r="P82" s="10" t="s">
        <v>47</v>
      </c>
      <c r="Q82" s="11"/>
      <c r="R82" s="13" t="s">
        <v>32</v>
      </c>
      <c r="S82" s="11">
        <v>1500</v>
      </c>
      <c r="T82" s="11">
        <v>2000</v>
      </c>
    </row>
    <row r="83" spans="1:20" x14ac:dyDescent="0.3">
      <c r="A83" s="10" t="s">
        <v>44</v>
      </c>
      <c r="B83" s="10">
        <v>742</v>
      </c>
      <c r="C83" s="10">
        <v>1748</v>
      </c>
      <c r="D83" s="10">
        <f t="shared" si="3"/>
        <v>5</v>
      </c>
      <c r="E83" s="11" t="s">
        <v>48</v>
      </c>
      <c r="F83" s="11" t="s">
        <v>56</v>
      </c>
      <c r="G83" s="10" t="s">
        <v>33</v>
      </c>
      <c r="H83" s="10" t="s">
        <v>49</v>
      </c>
      <c r="I83" s="10">
        <v>5</v>
      </c>
      <c r="J83" s="10">
        <v>1</v>
      </c>
      <c r="K83" s="12">
        <f t="shared" si="4"/>
        <v>70.63664782319816</v>
      </c>
      <c r="L83" s="12">
        <f t="shared" si="5"/>
        <v>49.8</v>
      </c>
      <c r="M83" s="12"/>
      <c r="N83" s="10" t="s">
        <v>24</v>
      </c>
      <c r="O83" s="10" t="s">
        <v>34</v>
      </c>
      <c r="P83" s="10" t="s">
        <v>47</v>
      </c>
      <c r="Q83" s="11"/>
      <c r="R83" s="13" t="s">
        <v>35</v>
      </c>
      <c r="S83" s="11">
        <v>3300</v>
      </c>
      <c r="T83" s="11">
        <v>2000</v>
      </c>
    </row>
    <row r="84" spans="1:20" x14ac:dyDescent="0.3">
      <c r="A84" s="10" t="s">
        <v>44</v>
      </c>
      <c r="B84" s="10">
        <v>742</v>
      </c>
      <c r="C84" s="10">
        <v>1748</v>
      </c>
      <c r="D84" s="10">
        <f t="shared" si="3"/>
        <v>4</v>
      </c>
      <c r="E84" s="11" t="s">
        <v>48</v>
      </c>
      <c r="F84" s="11" t="s">
        <v>56</v>
      </c>
      <c r="G84" s="10" t="s">
        <v>33</v>
      </c>
      <c r="H84" s="10" t="s">
        <v>49</v>
      </c>
      <c r="I84" s="10">
        <v>4</v>
      </c>
      <c r="J84" s="10">
        <v>1</v>
      </c>
      <c r="K84" s="12">
        <f t="shared" si="4"/>
        <v>56.50931825855853</v>
      </c>
      <c r="L84" s="12">
        <f t="shared" si="5"/>
        <v>39.840000000000003</v>
      </c>
      <c r="M84" s="12"/>
      <c r="N84" s="10" t="s">
        <v>24</v>
      </c>
      <c r="O84" s="10" t="s">
        <v>34</v>
      </c>
      <c r="P84" s="10" t="s">
        <v>47</v>
      </c>
      <c r="Q84" s="11"/>
      <c r="R84" s="13" t="s">
        <v>35</v>
      </c>
      <c r="S84" s="11">
        <v>3300</v>
      </c>
      <c r="T84" s="11">
        <v>2000</v>
      </c>
    </row>
    <row r="85" spans="1:20" x14ac:dyDescent="0.3">
      <c r="A85" s="10" t="s">
        <v>44</v>
      </c>
      <c r="B85" s="10">
        <v>742</v>
      </c>
      <c r="C85" s="10">
        <v>1748</v>
      </c>
      <c r="D85" s="10">
        <f t="shared" si="3"/>
        <v>4</v>
      </c>
      <c r="E85" s="11" t="s">
        <v>48</v>
      </c>
      <c r="F85" s="11" t="s">
        <v>56</v>
      </c>
      <c r="G85" s="10" t="s">
        <v>33</v>
      </c>
      <c r="H85" s="10" t="s">
        <v>23</v>
      </c>
      <c r="I85" s="10">
        <v>4</v>
      </c>
      <c r="J85" s="10">
        <v>1</v>
      </c>
      <c r="K85" s="12">
        <f t="shared" si="4"/>
        <v>56.50931825855853</v>
      </c>
      <c r="L85" s="12">
        <f t="shared" si="5"/>
        <v>39.840000000000003</v>
      </c>
      <c r="M85" s="12"/>
      <c r="N85" s="10" t="s">
        <v>24</v>
      </c>
      <c r="O85" s="10" t="s">
        <v>34</v>
      </c>
      <c r="P85" s="10" t="s">
        <v>47</v>
      </c>
      <c r="Q85" s="11"/>
      <c r="R85" s="13" t="s">
        <v>35</v>
      </c>
      <c r="S85" s="11">
        <v>2700</v>
      </c>
      <c r="T85" s="11">
        <v>2000</v>
      </c>
    </row>
    <row r="86" spans="1:20" x14ac:dyDescent="0.3">
      <c r="A86" s="10" t="s">
        <v>44</v>
      </c>
      <c r="B86" s="10">
        <v>742</v>
      </c>
      <c r="C86" s="10">
        <v>1748</v>
      </c>
      <c r="D86" s="10">
        <f t="shared" si="3"/>
        <v>3</v>
      </c>
      <c r="E86" s="11" t="s">
        <v>48</v>
      </c>
      <c r="F86" s="11" t="s">
        <v>56</v>
      </c>
      <c r="G86" s="10" t="s">
        <v>33</v>
      </c>
      <c r="H86" s="10" t="s">
        <v>23</v>
      </c>
      <c r="I86" s="10">
        <v>3</v>
      </c>
      <c r="J86" s="10">
        <v>1</v>
      </c>
      <c r="K86" s="12">
        <f t="shared" si="4"/>
        <v>42.381988693918899</v>
      </c>
      <c r="L86" s="12">
        <f t="shared" si="5"/>
        <v>29.88</v>
      </c>
      <c r="M86" s="12"/>
      <c r="N86" s="10" t="s">
        <v>24</v>
      </c>
      <c r="O86" s="10" t="s">
        <v>34</v>
      </c>
      <c r="P86" s="10" t="s">
        <v>47</v>
      </c>
      <c r="Q86" s="11"/>
      <c r="R86" s="13" t="s">
        <v>35</v>
      </c>
      <c r="S86" s="11">
        <v>2700</v>
      </c>
      <c r="T86" s="11">
        <v>2000</v>
      </c>
    </row>
    <row r="87" spans="1:20" x14ac:dyDescent="0.3">
      <c r="A87" s="10" t="s">
        <v>44</v>
      </c>
      <c r="B87" s="10">
        <v>742</v>
      </c>
      <c r="C87" s="10">
        <v>1748</v>
      </c>
      <c r="D87" s="10">
        <f t="shared" si="3"/>
        <v>5</v>
      </c>
      <c r="E87" s="11" t="s">
        <v>48</v>
      </c>
      <c r="F87" s="11" t="s">
        <v>56</v>
      </c>
      <c r="G87" s="10" t="s">
        <v>33</v>
      </c>
      <c r="H87" s="10" t="s">
        <v>49</v>
      </c>
      <c r="I87" s="10">
        <v>5</v>
      </c>
      <c r="J87" s="10">
        <v>1</v>
      </c>
      <c r="K87" s="12">
        <f t="shared" si="4"/>
        <v>70.63664782319816</v>
      </c>
      <c r="L87" s="12">
        <f t="shared" si="5"/>
        <v>49.8</v>
      </c>
      <c r="M87" s="12"/>
      <c r="N87" s="10" t="s">
        <v>24</v>
      </c>
      <c r="O87" s="10" t="s">
        <v>34</v>
      </c>
      <c r="P87" s="10" t="s">
        <v>47</v>
      </c>
      <c r="Q87" s="11"/>
      <c r="R87" s="13" t="s">
        <v>35</v>
      </c>
      <c r="S87" s="11">
        <v>3300</v>
      </c>
      <c r="T87" s="11">
        <v>2000</v>
      </c>
    </row>
    <row r="88" spans="1:20" x14ac:dyDescent="0.3">
      <c r="A88" s="10" t="s">
        <v>36</v>
      </c>
      <c r="B88" s="10">
        <v>587</v>
      </c>
      <c r="C88" s="10">
        <v>1746</v>
      </c>
      <c r="D88" s="10">
        <f t="shared" si="3"/>
        <v>10</v>
      </c>
      <c r="E88" s="11" t="s">
        <v>48</v>
      </c>
      <c r="F88" s="11" t="s">
        <v>58</v>
      </c>
      <c r="G88" s="10" t="s">
        <v>28</v>
      </c>
      <c r="H88" s="10" t="s">
        <v>49</v>
      </c>
      <c r="I88" s="10">
        <v>5</v>
      </c>
      <c r="J88" s="10">
        <v>2</v>
      </c>
      <c r="K88" s="18">
        <f t="shared" si="4"/>
        <v>111.63415351436134</v>
      </c>
      <c r="L88" s="18">
        <f t="shared" si="5"/>
        <v>93.32</v>
      </c>
      <c r="M88" s="18"/>
      <c r="N88" s="10" t="s">
        <v>42</v>
      </c>
      <c r="O88" s="10" t="s">
        <v>25</v>
      </c>
      <c r="P88" s="10" t="s">
        <v>43</v>
      </c>
      <c r="Q88" s="11"/>
      <c r="R88" s="11" t="s">
        <v>30</v>
      </c>
      <c r="S88" s="11">
        <v>1500</v>
      </c>
      <c r="T88" s="11">
        <v>2000</v>
      </c>
    </row>
    <row r="89" spans="1:20" x14ac:dyDescent="0.3">
      <c r="A89" s="10" t="s">
        <v>36</v>
      </c>
      <c r="B89" s="10">
        <v>587</v>
      </c>
      <c r="C89" s="10">
        <v>1746</v>
      </c>
      <c r="D89" s="10">
        <f t="shared" si="3"/>
        <v>10</v>
      </c>
      <c r="E89" s="11" t="s">
        <v>48</v>
      </c>
      <c r="F89" s="11" t="s">
        <v>58</v>
      </c>
      <c r="G89" s="10" t="s">
        <v>31</v>
      </c>
      <c r="H89" s="10" t="s">
        <v>49</v>
      </c>
      <c r="I89" s="10">
        <v>5</v>
      </c>
      <c r="J89" s="10">
        <v>2</v>
      </c>
      <c r="K89" s="18">
        <f t="shared" si="4"/>
        <v>111.63415351436134</v>
      </c>
      <c r="L89" s="18">
        <f t="shared" si="5"/>
        <v>93.32</v>
      </c>
      <c r="M89" s="18"/>
      <c r="N89" s="10" t="s">
        <v>42</v>
      </c>
      <c r="O89" s="10" t="s">
        <v>25</v>
      </c>
      <c r="P89" s="10" t="s">
        <v>43</v>
      </c>
      <c r="Q89" s="11"/>
      <c r="R89" s="11" t="s">
        <v>32</v>
      </c>
      <c r="S89" s="11">
        <v>1500</v>
      </c>
      <c r="T89" s="11">
        <v>2000</v>
      </c>
    </row>
    <row r="90" spans="1:20" x14ac:dyDescent="0.3">
      <c r="A90" s="10" t="s">
        <v>36</v>
      </c>
      <c r="B90" s="10">
        <v>587</v>
      </c>
      <c r="C90" s="10">
        <v>1746</v>
      </c>
      <c r="D90" s="10">
        <f t="shared" si="3"/>
        <v>8</v>
      </c>
      <c r="E90" s="11" t="s">
        <v>48</v>
      </c>
      <c r="F90" s="11" t="s">
        <v>58</v>
      </c>
      <c r="G90" s="10" t="s">
        <v>28</v>
      </c>
      <c r="H90" s="10" t="s">
        <v>49</v>
      </c>
      <c r="I90" s="10">
        <v>4</v>
      </c>
      <c r="J90" s="10">
        <v>2</v>
      </c>
      <c r="K90" s="18">
        <f t="shared" si="4"/>
        <v>89.307322811489072</v>
      </c>
      <c r="L90" s="18">
        <f t="shared" si="5"/>
        <v>74.656000000000006</v>
      </c>
      <c r="M90" s="18"/>
      <c r="N90" s="10" t="s">
        <v>42</v>
      </c>
      <c r="O90" s="10" t="s">
        <v>25</v>
      </c>
      <c r="P90" s="10" t="s">
        <v>43</v>
      </c>
      <c r="Q90" s="11"/>
      <c r="R90" s="11" t="s">
        <v>30</v>
      </c>
      <c r="S90" s="11">
        <v>1500</v>
      </c>
      <c r="T90" s="11">
        <v>2000</v>
      </c>
    </row>
    <row r="91" spans="1:20" x14ac:dyDescent="0.3">
      <c r="A91" s="10" t="s">
        <v>36</v>
      </c>
      <c r="B91" s="10">
        <v>587</v>
      </c>
      <c r="C91" s="10">
        <v>1746</v>
      </c>
      <c r="D91" s="10">
        <f t="shared" si="3"/>
        <v>8</v>
      </c>
      <c r="E91" s="11" t="s">
        <v>48</v>
      </c>
      <c r="F91" s="11" t="s">
        <v>58</v>
      </c>
      <c r="G91" s="10" t="s">
        <v>31</v>
      </c>
      <c r="H91" s="10" t="s">
        <v>49</v>
      </c>
      <c r="I91" s="10">
        <v>4</v>
      </c>
      <c r="J91" s="10">
        <v>2</v>
      </c>
      <c r="K91" s="18">
        <f t="shared" si="4"/>
        <v>89.307322811489072</v>
      </c>
      <c r="L91" s="18">
        <f t="shared" si="5"/>
        <v>74.656000000000006</v>
      </c>
      <c r="M91" s="18"/>
      <c r="N91" s="10" t="s">
        <v>42</v>
      </c>
      <c r="O91" s="10" t="s">
        <v>25</v>
      </c>
      <c r="P91" s="10" t="s">
        <v>43</v>
      </c>
      <c r="Q91" s="11"/>
      <c r="R91" s="11" t="s">
        <v>32</v>
      </c>
      <c r="S91" s="11">
        <v>1500</v>
      </c>
      <c r="T91" s="11">
        <v>2000</v>
      </c>
    </row>
    <row r="92" spans="1:20" x14ac:dyDescent="0.3">
      <c r="A92" s="10" t="s">
        <v>36</v>
      </c>
      <c r="B92" s="10">
        <v>587</v>
      </c>
      <c r="C92" s="10">
        <v>1746</v>
      </c>
      <c r="D92" s="10">
        <f t="shared" si="3"/>
        <v>8</v>
      </c>
      <c r="E92" s="11" t="s">
        <v>48</v>
      </c>
      <c r="F92" s="11" t="s">
        <v>58</v>
      </c>
      <c r="G92" s="10" t="s">
        <v>28</v>
      </c>
      <c r="H92" s="10" t="s">
        <v>23</v>
      </c>
      <c r="I92" s="10">
        <v>4</v>
      </c>
      <c r="J92" s="10">
        <v>2</v>
      </c>
      <c r="K92" s="18">
        <f t="shared" si="4"/>
        <v>89.307322811489072</v>
      </c>
      <c r="L92" s="18">
        <f t="shared" si="5"/>
        <v>74.656000000000006</v>
      </c>
      <c r="M92" s="18"/>
      <c r="N92" s="10" t="s">
        <v>42</v>
      </c>
      <c r="O92" s="10" t="s">
        <v>25</v>
      </c>
      <c r="P92" s="10" t="s">
        <v>43</v>
      </c>
      <c r="Q92" s="11"/>
      <c r="R92" s="11" t="s">
        <v>30</v>
      </c>
      <c r="S92" s="11">
        <v>1500</v>
      </c>
      <c r="T92" s="11">
        <v>2000</v>
      </c>
    </row>
    <row r="93" spans="1:20" x14ac:dyDescent="0.3">
      <c r="A93" s="10" t="s">
        <v>36</v>
      </c>
      <c r="B93" s="10">
        <v>742</v>
      </c>
      <c r="C93" s="10">
        <v>1746</v>
      </c>
      <c r="D93" s="10">
        <f t="shared" si="3"/>
        <v>5</v>
      </c>
      <c r="E93" s="11" t="s">
        <v>48</v>
      </c>
      <c r="F93" s="11" t="s">
        <v>58</v>
      </c>
      <c r="G93" s="10" t="s">
        <v>33</v>
      </c>
      <c r="H93" s="10" t="s">
        <v>49</v>
      </c>
      <c r="I93" s="10">
        <v>5</v>
      </c>
      <c r="J93" s="10">
        <v>1</v>
      </c>
      <c r="K93" s="18">
        <f t="shared" si="4"/>
        <v>70.555827860013721</v>
      </c>
      <c r="L93" s="18">
        <f t="shared" si="5"/>
        <v>49.76</v>
      </c>
      <c r="M93" s="18"/>
      <c r="N93" s="10" t="s">
        <v>42</v>
      </c>
      <c r="O93" s="10" t="s">
        <v>34</v>
      </c>
      <c r="P93" s="10" t="s">
        <v>43</v>
      </c>
      <c r="Q93" s="11"/>
      <c r="R93" s="11" t="s">
        <v>35</v>
      </c>
      <c r="S93" s="11">
        <v>3300</v>
      </c>
      <c r="T93" s="11">
        <v>2000</v>
      </c>
    </row>
    <row r="94" spans="1:20" x14ac:dyDescent="0.3">
      <c r="A94" s="10" t="s">
        <v>36</v>
      </c>
      <c r="B94" s="10">
        <v>742</v>
      </c>
      <c r="C94" s="10">
        <v>1746</v>
      </c>
      <c r="D94" s="10">
        <f t="shared" si="3"/>
        <v>4</v>
      </c>
      <c r="E94" s="11" t="s">
        <v>48</v>
      </c>
      <c r="F94" s="11" t="s">
        <v>58</v>
      </c>
      <c r="G94" s="10" t="s">
        <v>33</v>
      </c>
      <c r="H94" s="10" t="s">
        <v>49</v>
      </c>
      <c r="I94" s="10">
        <v>4</v>
      </c>
      <c r="J94" s="10">
        <v>1</v>
      </c>
      <c r="K94" s="18">
        <f t="shared" si="4"/>
        <v>56.444662288010981</v>
      </c>
      <c r="L94" s="18">
        <f t="shared" si="5"/>
        <v>39.808</v>
      </c>
      <c r="M94" s="18"/>
      <c r="N94" s="10" t="s">
        <v>42</v>
      </c>
      <c r="O94" s="10" t="s">
        <v>34</v>
      </c>
      <c r="P94" s="10" t="s">
        <v>43</v>
      </c>
      <c r="Q94" s="11"/>
      <c r="R94" s="11" t="s">
        <v>35</v>
      </c>
      <c r="S94" s="11">
        <v>3300</v>
      </c>
      <c r="T94" s="11">
        <v>2000</v>
      </c>
    </row>
    <row r="95" spans="1:20" x14ac:dyDescent="0.3">
      <c r="A95" s="10" t="s">
        <v>36</v>
      </c>
      <c r="B95" s="10">
        <v>742</v>
      </c>
      <c r="C95" s="10">
        <v>1746</v>
      </c>
      <c r="D95" s="10">
        <f t="shared" si="3"/>
        <v>4</v>
      </c>
      <c r="E95" s="11" t="s">
        <v>48</v>
      </c>
      <c r="F95" s="11" t="s">
        <v>58</v>
      </c>
      <c r="G95" s="10" t="s">
        <v>33</v>
      </c>
      <c r="H95" s="10" t="s">
        <v>23</v>
      </c>
      <c r="I95" s="10">
        <v>4</v>
      </c>
      <c r="J95" s="10">
        <v>1</v>
      </c>
      <c r="K95" s="18">
        <f t="shared" si="4"/>
        <v>56.444662288010981</v>
      </c>
      <c r="L95" s="18">
        <f t="shared" si="5"/>
        <v>39.808</v>
      </c>
      <c r="M95" s="18"/>
      <c r="N95" s="10" t="s">
        <v>42</v>
      </c>
      <c r="O95" s="10" t="s">
        <v>34</v>
      </c>
      <c r="P95" s="10" t="s">
        <v>43</v>
      </c>
      <c r="Q95" s="11"/>
      <c r="R95" s="11" t="s">
        <v>35</v>
      </c>
      <c r="S95" s="11">
        <v>2700</v>
      </c>
      <c r="T95" s="11">
        <v>2000</v>
      </c>
    </row>
    <row r="96" spans="1:20" x14ac:dyDescent="0.3">
      <c r="A96" s="10" t="s">
        <v>36</v>
      </c>
      <c r="B96" s="10">
        <v>1631</v>
      </c>
      <c r="C96" s="10">
        <v>1746</v>
      </c>
      <c r="D96" s="10">
        <f t="shared" si="3"/>
        <v>4</v>
      </c>
      <c r="E96" s="11" t="s">
        <v>48</v>
      </c>
      <c r="F96" s="11" t="s">
        <v>58</v>
      </c>
      <c r="G96" s="10" t="s">
        <v>33</v>
      </c>
      <c r="H96" s="10" t="s">
        <v>23</v>
      </c>
      <c r="I96" s="10">
        <v>4</v>
      </c>
      <c r="J96" s="10">
        <v>1</v>
      </c>
      <c r="K96" s="18">
        <f t="shared" si="4"/>
        <v>124.07175767081658</v>
      </c>
      <c r="L96" s="18">
        <f t="shared" si="5"/>
        <v>54.031999999999996</v>
      </c>
      <c r="M96" s="18"/>
      <c r="N96" s="10" t="s">
        <v>42</v>
      </c>
      <c r="O96" s="10" t="s">
        <v>34</v>
      </c>
      <c r="P96" s="10" t="s">
        <v>43</v>
      </c>
      <c r="Q96" s="11"/>
      <c r="R96" s="11" t="s">
        <v>35</v>
      </c>
      <c r="S96" s="11">
        <v>2700</v>
      </c>
      <c r="T96" s="11">
        <v>2000</v>
      </c>
    </row>
    <row r="97" spans="1:20" x14ac:dyDescent="0.3">
      <c r="A97" s="10" t="s">
        <v>36</v>
      </c>
      <c r="B97" s="10">
        <v>2231</v>
      </c>
      <c r="C97" s="10">
        <v>1746</v>
      </c>
      <c r="D97" s="10">
        <f t="shared" si="3"/>
        <v>5</v>
      </c>
      <c r="E97" s="11" t="s">
        <v>48</v>
      </c>
      <c r="F97" s="11" t="s">
        <v>58</v>
      </c>
      <c r="G97" s="10" t="s">
        <v>33</v>
      </c>
      <c r="H97" s="10" t="s">
        <v>49</v>
      </c>
      <c r="I97" s="10">
        <v>5</v>
      </c>
      <c r="J97" s="10">
        <v>1</v>
      </c>
      <c r="K97" s="18">
        <f t="shared" si="4"/>
        <v>212.14292716400354</v>
      </c>
      <c r="L97" s="18">
        <f t="shared" si="5"/>
        <v>79.540000000000006</v>
      </c>
      <c r="M97" s="18"/>
      <c r="N97" s="10" t="s">
        <v>42</v>
      </c>
      <c r="O97" s="10" t="s">
        <v>34</v>
      </c>
      <c r="P97" s="10" t="s">
        <v>43</v>
      </c>
      <c r="Q97" s="11"/>
      <c r="R97" s="11" t="s">
        <v>35</v>
      </c>
      <c r="S97" s="11">
        <v>3300</v>
      </c>
      <c r="T97" s="11">
        <v>2000</v>
      </c>
    </row>
    <row r="98" spans="1:20" x14ac:dyDescent="0.3">
      <c r="A98" s="10" t="s">
        <v>36</v>
      </c>
      <c r="B98" s="10">
        <v>2231</v>
      </c>
      <c r="C98" s="10">
        <v>1746</v>
      </c>
      <c r="D98" s="10">
        <f t="shared" si="3"/>
        <v>4</v>
      </c>
      <c r="E98" s="11" t="s">
        <v>48</v>
      </c>
      <c r="F98" s="11" t="s">
        <v>58</v>
      </c>
      <c r="G98" s="10" t="s">
        <v>33</v>
      </c>
      <c r="H98" s="10" t="s">
        <v>49</v>
      </c>
      <c r="I98" s="10">
        <v>4</v>
      </c>
      <c r="J98" s="10">
        <v>1</v>
      </c>
      <c r="K98" s="18">
        <f t="shared" si="4"/>
        <v>169.71434173120284</v>
      </c>
      <c r="L98" s="18">
        <f t="shared" si="5"/>
        <v>63.631999999999998</v>
      </c>
      <c r="M98" s="18"/>
      <c r="N98" s="10" t="s">
        <v>42</v>
      </c>
      <c r="O98" s="10" t="s">
        <v>34</v>
      </c>
      <c r="P98" s="10" t="s">
        <v>43</v>
      </c>
      <c r="Q98" s="11"/>
      <c r="R98" s="11" t="s">
        <v>35</v>
      </c>
      <c r="S98" s="11">
        <v>3300</v>
      </c>
      <c r="T98" s="11">
        <v>2000</v>
      </c>
    </row>
    <row r="99" spans="1:20" x14ac:dyDescent="0.3">
      <c r="A99" s="10" t="s">
        <v>36</v>
      </c>
      <c r="B99" s="10">
        <v>587</v>
      </c>
      <c r="C99" s="10">
        <v>1746</v>
      </c>
      <c r="D99" s="10">
        <f t="shared" si="3"/>
        <v>6</v>
      </c>
      <c r="E99" s="11" t="s">
        <v>48</v>
      </c>
      <c r="F99" s="11" t="s">
        <v>60</v>
      </c>
      <c r="G99" s="10" t="s">
        <v>28</v>
      </c>
      <c r="H99" s="10" t="s">
        <v>23</v>
      </c>
      <c r="I99" s="10">
        <v>3</v>
      </c>
      <c r="J99" s="10">
        <v>2</v>
      </c>
      <c r="K99" s="18">
        <f t="shared" si="4"/>
        <v>66.980492108616801</v>
      </c>
      <c r="L99" s="18">
        <f t="shared" si="5"/>
        <v>55.991999999999997</v>
      </c>
      <c r="M99" s="18"/>
      <c r="N99" s="10" t="s">
        <v>42</v>
      </c>
      <c r="O99" s="10" t="s">
        <v>25</v>
      </c>
      <c r="P99" s="10" t="s">
        <v>43</v>
      </c>
      <c r="Q99" s="11"/>
      <c r="R99" s="11" t="s">
        <v>30</v>
      </c>
      <c r="S99" s="11">
        <v>1500</v>
      </c>
      <c r="T99" s="11">
        <v>2000</v>
      </c>
    </row>
    <row r="100" spans="1:20" x14ac:dyDescent="0.3">
      <c r="A100" s="10" t="s">
        <v>36</v>
      </c>
      <c r="B100" s="10">
        <v>587</v>
      </c>
      <c r="C100" s="10">
        <v>1746</v>
      </c>
      <c r="D100" s="10">
        <f t="shared" si="3"/>
        <v>6</v>
      </c>
      <c r="E100" s="11" t="s">
        <v>48</v>
      </c>
      <c r="F100" s="11" t="s">
        <v>60</v>
      </c>
      <c r="G100" s="10" t="s">
        <v>31</v>
      </c>
      <c r="H100" s="10" t="s">
        <v>23</v>
      </c>
      <c r="I100" s="10">
        <v>3</v>
      </c>
      <c r="J100" s="10">
        <v>2</v>
      </c>
      <c r="K100" s="18">
        <f t="shared" si="4"/>
        <v>66.980492108616801</v>
      </c>
      <c r="L100" s="18">
        <f t="shared" si="5"/>
        <v>55.991999999999997</v>
      </c>
      <c r="M100" s="18"/>
      <c r="N100" s="10" t="s">
        <v>42</v>
      </c>
      <c r="O100" s="10" t="s">
        <v>25</v>
      </c>
      <c r="P100" s="10" t="s">
        <v>43</v>
      </c>
      <c r="Q100" s="11"/>
      <c r="R100" s="11" t="s">
        <v>32</v>
      </c>
      <c r="S100" s="11">
        <v>1500</v>
      </c>
      <c r="T100" s="11">
        <v>2000</v>
      </c>
    </row>
    <row r="101" spans="1:20" x14ac:dyDescent="0.3">
      <c r="A101" s="10" t="s">
        <v>36</v>
      </c>
      <c r="B101" s="10">
        <v>587</v>
      </c>
      <c r="C101" s="10">
        <v>1746</v>
      </c>
      <c r="D101" s="10">
        <f t="shared" si="3"/>
        <v>10</v>
      </c>
      <c r="E101" s="11" t="s">
        <v>48</v>
      </c>
      <c r="F101" s="11" t="s">
        <v>60</v>
      </c>
      <c r="G101" s="10" t="s">
        <v>31</v>
      </c>
      <c r="H101" s="10" t="s">
        <v>49</v>
      </c>
      <c r="I101" s="10">
        <v>5</v>
      </c>
      <c r="J101" s="10">
        <v>2</v>
      </c>
      <c r="K101" s="18">
        <f t="shared" si="4"/>
        <v>111.63415351436134</v>
      </c>
      <c r="L101" s="18">
        <f t="shared" si="5"/>
        <v>93.32</v>
      </c>
      <c r="M101" s="18"/>
      <c r="N101" s="10" t="s">
        <v>42</v>
      </c>
      <c r="O101" s="10" t="s">
        <v>25</v>
      </c>
      <c r="P101" s="10" t="s">
        <v>43</v>
      </c>
      <c r="Q101" s="11"/>
      <c r="R101" s="11" t="s">
        <v>32</v>
      </c>
      <c r="S101" s="11">
        <v>1500</v>
      </c>
      <c r="T101" s="11">
        <v>2000</v>
      </c>
    </row>
    <row r="102" spans="1:20" x14ac:dyDescent="0.3">
      <c r="A102" s="10" t="s">
        <v>36</v>
      </c>
      <c r="B102" s="10">
        <v>742</v>
      </c>
      <c r="C102" s="10">
        <v>1746</v>
      </c>
      <c r="D102" s="10">
        <f t="shared" si="3"/>
        <v>3</v>
      </c>
      <c r="E102" s="11" t="s">
        <v>48</v>
      </c>
      <c r="F102" s="11" t="s">
        <v>60</v>
      </c>
      <c r="G102" s="10" t="s">
        <v>33</v>
      </c>
      <c r="H102" s="10" t="s">
        <v>23</v>
      </c>
      <c r="I102" s="10">
        <v>3</v>
      </c>
      <c r="J102" s="10">
        <v>1</v>
      </c>
      <c r="K102" s="18">
        <f t="shared" si="4"/>
        <v>42.333496716008234</v>
      </c>
      <c r="L102" s="18">
        <f t="shared" si="5"/>
        <v>29.856000000000002</v>
      </c>
      <c r="M102" s="18"/>
      <c r="N102" s="10" t="s">
        <v>42</v>
      </c>
      <c r="O102" s="10" t="s">
        <v>34</v>
      </c>
      <c r="P102" s="10" t="s">
        <v>43</v>
      </c>
      <c r="Q102" s="11"/>
      <c r="R102" s="11" t="s">
        <v>35</v>
      </c>
      <c r="S102" s="11">
        <v>2700</v>
      </c>
      <c r="T102" s="11">
        <v>2000</v>
      </c>
    </row>
    <row r="103" spans="1:20" x14ac:dyDescent="0.3">
      <c r="A103" s="10" t="s">
        <v>36</v>
      </c>
      <c r="B103" s="10">
        <v>742</v>
      </c>
      <c r="C103" s="10">
        <v>1746</v>
      </c>
      <c r="D103" s="10">
        <f t="shared" si="3"/>
        <v>5</v>
      </c>
      <c r="E103" s="11" t="s">
        <v>48</v>
      </c>
      <c r="F103" s="11" t="s">
        <v>60</v>
      </c>
      <c r="G103" s="10" t="s">
        <v>33</v>
      </c>
      <c r="H103" s="10" t="s">
        <v>49</v>
      </c>
      <c r="I103" s="10">
        <v>5</v>
      </c>
      <c r="J103" s="10">
        <v>1</v>
      </c>
      <c r="K103" s="18">
        <f t="shared" si="4"/>
        <v>70.555827860013721</v>
      </c>
      <c r="L103" s="18">
        <f t="shared" si="5"/>
        <v>49.76</v>
      </c>
      <c r="M103" s="18"/>
      <c r="N103" s="10" t="s">
        <v>42</v>
      </c>
      <c r="O103" s="10" t="s">
        <v>34</v>
      </c>
      <c r="P103" s="10" t="s">
        <v>43</v>
      </c>
      <c r="Q103" s="11"/>
      <c r="R103" s="11" t="s">
        <v>35</v>
      </c>
      <c r="S103" s="11">
        <v>3300</v>
      </c>
      <c r="T103" s="11">
        <v>2000</v>
      </c>
    </row>
    <row r="104" spans="1:20" x14ac:dyDescent="0.3">
      <c r="A104" s="10" t="s">
        <v>36</v>
      </c>
      <c r="B104" s="10">
        <v>1631</v>
      </c>
      <c r="C104" s="10">
        <v>1746</v>
      </c>
      <c r="D104" s="10">
        <f t="shared" si="3"/>
        <v>3</v>
      </c>
      <c r="E104" s="11" t="s">
        <v>48</v>
      </c>
      <c r="F104" s="11" t="s">
        <v>60</v>
      </c>
      <c r="G104" s="10" t="s">
        <v>33</v>
      </c>
      <c r="H104" s="10" t="s">
        <v>23</v>
      </c>
      <c r="I104" s="10">
        <v>3</v>
      </c>
      <c r="J104" s="10">
        <v>1</v>
      </c>
      <c r="K104" s="18">
        <f t="shared" si="4"/>
        <v>93.053818253112439</v>
      </c>
      <c r="L104" s="18">
        <f t="shared" si="5"/>
        <v>40.524000000000001</v>
      </c>
      <c r="M104" s="18"/>
      <c r="N104" s="10" t="s">
        <v>42</v>
      </c>
      <c r="O104" s="10" t="s">
        <v>34</v>
      </c>
      <c r="P104" s="10" t="s">
        <v>43</v>
      </c>
      <c r="Q104" s="11"/>
      <c r="R104" s="11" t="s">
        <v>35</v>
      </c>
      <c r="S104" s="11">
        <v>2700</v>
      </c>
      <c r="T104" s="11">
        <v>2000</v>
      </c>
    </row>
    <row r="105" spans="1:20" x14ac:dyDescent="0.3">
      <c r="A105" s="10" t="s">
        <v>36</v>
      </c>
      <c r="B105" s="10">
        <v>2231</v>
      </c>
      <c r="C105" s="10">
        <v>1746</v>
      </c>
      <c r="D105" s="10">
        <f t="shared" si="3"/>
        <v>5</v>
      </c>
      <c r="E105" s="11" t="s">
        <v>48</v>
      </c>
      <c r="F105" s="11" t="s">
        <v>60</v>
      </c>
      <c r="G105" s="10" t="s">
        <v>33</v>
      </c>
      <c r="H105" s="10" t="s">
        <v>49</v>
      </c>
      <c r="I105" s="10">
        <v>5</v>
      </c>
      <c r="J105" s="10">
        <v>1</v>
      </c>
      <c r="K105" s="18">
        <f t="shared" si="4"/>
        <v>212.14292716400354</v>
      </c>
      <c r="L105" s="18">
        <f t="shared" si="5"/>
        <v>79.540000000000006</v>
      </c>
      <c r="M105" s="18"/>
      <c r="N105" s="10" t="s">
        <v>42</v>
      </c>
      <c r="O105" s="10" t="s">
        <v>34</v>
      </c>
      <c r="P105" s="10" t="s">
        <v>43</v>
      </c>
      <c r="Q105" s="11"/>
      <c r="R105" s="11" t="s">
        <v>35</v>
      </c>
      <c r="S105" s="11">
        <v>3300</v>
      </c>
      <c r="T105" s="11">
        <v>2000</v>
      </c>
    </row>
    <row r="106" spans="1:20" x14ac:dyDescent="0.3">
      <c r="A106" s="10" t="s">
        <v>20</v>
      </c>
      <c r="B106" s="10">
        <v>543</v>
      </c>
      <c r="C106" s="10">
        <v>1745</v>
      </c>
      <c r="D106" s="10">
        <f t="shared" si="3"/>
        <v>1</v>
      </c>
      <c r="E106" s="11" t="s">
        <v>50</v>
      </c>
      <c r="F106" s="11" t="s">
        <v>51</v>
      </c>
      <c r="G106" s="10" t="s">
        <v>22</v>
      </c>
      <c r="H106" s="10" t="s">
        <v>52</v>
      </c>
      <c r="I106" s="10">
        <v>1</v>
      </c>
      <c r="J106" s="10">
        <v>1</v>
      </c>
      <c r="K106" s="12">
        <f t="shared" ref="K106:K121" si="6">B106*C106*D106/91809</f>
        <v>10.320720190830965</v>
      </c>
      <c r="L106" s="12">
        <f t="shared" ref="L106:L121" si="7">((((B106+C106)*2)*D106)/1000)*2</f>
        <v>9.1519999999999992</v>
      </c>
      <c r="M106" s="12"/>
      <c r="N106" s="10" t="s">
        <v>24</v>
      </c>
      <c r="O106" s="10" t="s">
        <v>25</v>
      </c>
      <c r="P106" s="10" t="s">
        <v>26</v>
      </c>
      <c r="Q106" s="11"/>
      <c r="R106" s="13" t="s">
        <v>27</v>
      </c>
      <c r="S106" s="11">
        <v>1400</v>
      </c>
      <c r="T106" s="11">
        <v>2000</v>
      </c>
    </row>
    <row r="107" spans="1:20" x14ac:dyDescent="0.3">
      <c r="A107" s="10" t="s">
        <v>20</v>
      </c>
      <c r="B107" s="10">
        <v>591</v>
      </c>
      <c r="C107" s="10">
        <v>1748</v>
      </c>
      <c r="D107" s="10">
        <f t="shared" si="3"/>
        <v>1</v>
      </c>
      <c r="E107" s="11" t="s">
        <v>50</v>
      </c>
      <c r="F107" s="11" t="s">
        <v>51</v>
      </c>
      <c r="G107" s="10" t="s">
        <v>28</v>
      </c>
      <c r="H107" s="10" t="s">
        <v>52</v>
      </c>
      <c r="I107" s="10">
        <v>1</v>
      </c>
      <c r="J107" s="10">
        <v>1</v>
      </c>
      <c r="K107" s="12">
        <f t="shared" si="6"/>
        <v>11.252360879652322</v>
      </c>
      <c r="L107" s="12">
        <f t="shared" si="7"/>
        <v>9.3559999999999999</v>
      </c>
      <c r="M107" s="12"/>
      <c r="N107" s="10" t="s">
        <v>24</v>
      </c>
      <c r="O107" s="10" t="s">
        <v>25</v>
      </c>
      <c r="P107" s="10" t="s">
        <v>29</v>
      </c>
      <c r="Q107" s="11"/>
      <c r="R107" s="13" t="s">
        <v>30</v>
      </c>
      <c r="S107" s="11">
        <v>1500</v>
      </c>
      <c r="T107" s="11">
        <v>2000</v>
      </c>
    </row>
    <row r="108" spans="1:20" x14ac:dyDescent="0.3">
      <c r="A108" s="10" t="s">
        <v>20</v>
      </c>
      <c r="B108" s="10">
        <v>591</v>
      </c>
      <c r="C108" s="10">
        <v>1748</v>
      </c>
      <c r="D108" s="10">
        <f t="shared" si="3"/>
        <v>1</v>
      </c>
      <c r="E108" s="11" t="s">
        <v>50</v>
      </c>
      <c r="F108" s="11" t="s">
        <v>51</v>
      </c>
      <c r="G108" s="10" t="s">
        <v>31</v>
      </c>
      <c r="H108" s="10" t="s">
        <v>52</v>
      </c>
      <c r="I108" s="10">
        <v>1</v>
      </c>
      <c r="J108" s="10">
        <v>1</v>
      </c>
      <c r="K108" s="12">
        <f t="shared" si="6"/>
        <v>11.252360879652322</v>
      </c>
      <c r="L108" s="12">
        <f t="shared" si="7"/>
        <v>9.3559999999999999</v>
      </c>
      <c r="M108" s="12"/>
      <c r="N108" s="10" t="s">
        <v>24</v>
      </c>
      <c r="O108" s="10" t="s">
        <v>25</v>
      </c>
      <c r="P108" s="10" t="s">
        <v>29</v>
      </c>
      <c r="Q108" s="11"/>
      <c r="R108" s="13" t="s">
        <v>32</v>
      </c>
      <c r="S108" s="11">
        <v>1500</v>
      </c>
      <c r="T108" s="11">
        <v>2000</v>
      </c>
    </row>
    <row r="109" spans="1:20" x14ac:dyDescent="0.3">
      <c r="A109" s="10" t="s">
        <v>20</v>
      </c>
      <c r="B109" s="10">
        <v>1646</v>
      </c>
      <c r="C109" s="10">
        <v>1748</v>
      </c>
      <c r="D109" s="10">
        <f t="shared" si="3"/>
        <v>1</v>
      </c>
      <c r="E109" s="11" t="s">
        <v>50</v>
      </c>
      <c r="F109" s="11" t="s">
        <v>51</v>
      </c>
      <c r="G109" s="10" t="s">
        <v>33</v>
      </c>
      <c r="H109" s="10" t="s">
        <v>52</v>
      </c>
      <c r="I109" s="10">
        <v>1</v>
      </c>
      <c r="J109" s="10">
        <v>1</v>
      </c>
      <c r="K109" s="12">
        <f t="shared" si="6"/>
        <v>31.339062619133202</v>
      </c>
      <c r="L109" s="12">
        <f t="shared" si="7"/>
        <v>13.576000000000001</v>
      </c>
      <c r="M109" s="12"/>
      <c r="N109" s="10" t="s">
        <v>24</v>
      </c>
      <c r="O109" s="10" t="s">
        <v>34</v>
      </c>
      <c r="P109" s="10" t="s">
        <v>29</v>
      </c>
      <c r="Q109" s="11"/>
      <c r="R109" s="13" t="s">
        <v>35</v>
      </c>
      <c r="S109" s="11">
        <v>2700</v>
      </c>
      <c r="T109" s="11">
        <v>2000</v>
      </c>
    </row>
    <row r="110" spans="1:20" s="22" customFormat="1" x14ac:dyDescent="0.3">
      <c r="A110" s="19" t="s">
        <v>36</v>
      </c>
      <c r="B110" s="19">
        <v>285</v>
      </c>
      <c r="C110" s="19">
        <v>794</v>
      </c>
      <c r="D110" s="10">
        <f t="shared" si="3"/>
        <v>2</v>
      </c>
      <c r="E110" s="20" t="s">
        <v>50</v>
      </c>
      <c r="F110" s="20" t="s">
        <v>51</v>
      </c>
      <c r="G110" s="19" t="s">
        <v>37</v>
      </c>
      <c r="H110" s="19" t="s">
        <v>52</v>
      </c>
      <c r="I110" s="19">
        <v>1</v>
      </c>
      <c r="J110" s="19">
        <v>2</v>
      </c>
      <c r="K110" s="21">
        <f t="shared" si="6"/>
        <v>4.9295820671176029</v>
      </c>
      <c r="L110" s="21">
        <f t="shared" si="7"/>
        <v>8.6319999999999997</v>
      </c>
      <c r="M110" s="21"/>
      <c r="N110" s="19" t="s">
        <v>24</v>
      </c>
      <c r="O110" s="19" t="s">
        <v>25</v>
      </c>
      <c r="P110" s="19" t="s">
        <v>38</v>
      </c>
      <c r="Q110" s="20"/>
      <c r="R110" s="20" t="s">
        <v>39</v>
      </c>
      <c r="S110" s="20">
        <v>900</v>
      </c>
      <c r="T110" s="20">
        <v>1050</v>
      </c>
    </row>
    <row r="111" spans="1:20" s="22" customFormat="1" x14ac:dyDescent="0.3">
      <c r="A111" s="19" t="s">
        <v>36</v>
      </c>
      <c r="B111" s="19">
        <v>435</v>
      </c>
      <c r="C111" s="19">
        <v>794</v>
      </c>
      <c r="D111" s="10">
        <f t="shared" si="3"/>
        <v>2</v>
      </c>
      <c r="E111" s="20" t="s">
        <v>50</v>
      </c>
      <c r="F111" s="20" t="s">
        <v>51</v>
      </c>
      <c r="G111" s="19" t="s">
        <v>40</v>
      </c>
      <c r="H111" s="19" t="s">
        <v>52</v>
      </c>
      <c r="I111" s="19">
        <v>1</v>
      </c>
      <c r="J111" s="19">
        <v>2</v>
      </c>
      <c r="K111" s="21">
        <f t="shared" si="6"/>
        <v>7.5240989445479203</v>
      </c>
      <c r="L111" s="21">
        <f t="shared" si="7"/>
        <v>9.8320000000000007</v>
      </c>
      <c r="M111" s="21"/>
      <c r="N111" s="19" t="s">
        <v>24</v>
      </c>
      <c r="O111" s="19" t="s">
        <v>25</v>
      </c>
      <c r="P111" s="19" t="s">
        <v>38</v>
      </c>
      <c r="Q111" s="20"/>
      <c r="R111" s="20" t="s">
        <v>41</v>
      </c>
      <c r="S111" s="20">
        <v>1200</v>
      </c>
      <c r="T111" s="20">
        <v>1050</v>
      </c>
    </row>
    <row r="112" spans="1:20" x14ac:dyDescent="0.3">
      <c r="A112" s="10" t="s">
        <v>44</v>
      </c>
      <c r="B112" s="10">
        <v>291</v>
      </c>
      <c r="C112" s="10">
        <v>798</v>
      </c>
      <c r="D112" s="10">
        <f t="shared" si="3"/>
        <v>2</v>
      </c>
      <c r="E112" s="11" t="s">
        <v>50</v>
      </c>
      <c r="F112" s="11" t="s">
        <v>51</v>
      </c>
      <c r="G112" s="10" t="s">
        <v>37</v>
      </c>
      <c r="H112" s="10" t="s">
        <v>52</v>
      </c>
      <c r="I112" s="10">
        <v>1</v>
      </c>
      <c r="J112" s="10">
        <v>2</v>
      </c>
      <c r="K112" s="12">
        <f t="shared" si="6"/>
        <v>5.0587197333594744</v>
      </c>
      <c r="L112" s="12">
        <f t="shared" si="7"/>
        <v>8.7119999999999997</v>
      </c>
      <c r="M112" s="12"/>
      <c r="N112" s="10" t="s">
        <v>24</v>
      </c>
      <c r="O112" s="10" t="s">
        <v>25</v>
      </c>
      <c r="P112" s="10" t="s">
        <v>45</v>
      </c>
      <c r="Q112" s="11"/>
      <c r="R112" s="13" t="s">
        <v>39</v>
      </c>
      <c r="S112" s="11">
        <v>900</v>
      </c>
      <c r="T112" s="11">
        <v>1050</v>
      </c>
    </row>
    <row r="113" spans="1:20" x14ac:dyDescent="0.3">
      <c r="A113" s="10" t="s">
        <v>44</v>
      </c>
      <c r="B113" s="10">
        <v>441</v>
      </c>
      <c r="C113" s="10">
        <v>798</v>
      </c>
      <c r="D113" s="10">
        <f t="shared" si="3"/>
        <v>2</v>
      </c>
      <c r="E113" s="11" t="s">
        <v>50</v>
      </c>
      <c r="F113" s="11" t="s">
        <v>51</v>
      </c>
      <c r="G113" s="10" t="s">
        <v>40</v>
      </c>
      <c r="H113" s="10" t="s">
        <v>52</v>
      </c>
      <c r="I113" s="10">
        <v>1</v>
      </c>
      <c r="J113" s="10">
        <v>2</v>
      </c>
      <c r="K113" s="12">
        <f t="shared" si="6"/>
        <v>7.6663072247818844</v>
      </c>
      <c r="L113" s="12">
        <f t="shared" si="7"/>
        <v>9.9120000000000008</v>
      </c>
      <c r="M113" s="12"/>
      <c r="N113" s="10" t="s">
        <v>24</v>
      </c>
      <c r="O113" s="10" t="s">
        <v>25</v>
      </c>
      <c r="P113" s="10" t="s">
        <v>45</v>
      </c>
      <c r="Q113" s="11"/>
      <c r="R113" s="13" t="s">
        <v>41</v>
      </c>
      <c r="S113" s="11">
        <v>1200</v>
      </c>
      <c r="T113" s="11">
        <v>1050</v>
      </c>
    </row>
    <row r="114" spans="1:20" x14ac:dyDescent="0.3">
      <c r="A114" s="10" t="s">
        <v>44</v>
      </c>
      <c r="B114" s="10">
        <v>543</v>
      </c>
      <c r="C114" s="10">
        <v>1745</v>
      </c>
      <c r="D114" s="10">
        <f t="shared" si="3"/>
        <v>1</v>
      </c>
      <c r="E114" s="11" t="s">
        <v>50</v>
      </c>
      <c r="F114" s="11" t="s">
        <v>51</v>
      </c>
      <c r="G114" s="10" t="s">
        <v>22</v>
      </c>
      <c r="H114" s="10" t="s">
        <v>52</v>
      </c>
      <c r="I114" s="10">
        <v>1</v>
      </c>
      <c r="J114" s="10">
        <v>1</v>
      </c>
      <c r="K114" s="12">
        <f t="shared" si="6"/>
        <v>10.320720190830965</v>
      </c>
      <c r="L114" s="12">
        <f t="shared" si="7"/>
        <v>9.1519999999999992</v>
      </c>
      <c r="M114" s="12"/>
      <c r="N114" s="10" t="s">
        <v>24</v>
      </c>
      <c r="O114" s="10" t="s">
        <v>25</v>
      </c>
      <c r="P114" s="10" t="s">
        <v>46</v>
      </c>
      <c r="Q114" s="11"/>
      <c r="R114" s="13" t="s">
        <v>27</v>
      </c>
      <c r="S114" s="11">
        <v>1400</v>
      </c>
      <c r="T114" s="11">
        <v>2000</v>
      </c>
    </row>
    <row r="115" spans="1:20" x14ac:dyDescent="0.3">
      <c r="A115" s="10" t="s">
        <v>44</v>
      </c>
      <c r="B115" s="10">
        <v>591</v>
      </c>
      <c r="C115" s="10">
        <v>1748</v>
      </c>
      <c r="D115" s="10">
        <f t="shared" si="3"/>
        <v>1</v>
      </c>
      <c r="E115" s="11" t="s">
        <v>50</v>
      </c>
      <c r="F115" s="11" t="s">
        <v>51</v>
      </c>
      <c r="G115" s="10" t="s">
        <v>28</v>
      </c>
      <c r="H115" s="10" t="s">
        <v>52</v>
      </c>
      <c r="I115" s="10">
        <v>1</v>
      </c>
      <c r="J115" s="10">
        <v>1</v>
      </c>
      <c r="K115" s="12">
        <f t="shared" si="6"/>
        <v>11.252360879652322</v>
      </c>
      <c r="L115" s="12">
        <f t="shared" si="7"/>
        <v>9.3559999999999999</v>
      </c>
      <c r="M115" s="12"/>
      <c r="N115" s="10" t="s">
        <v>24</v>
      </c>
      <c r="O115" s="10" t="s">
        <v>25</v>
      </c>
      <c r="P115" s="10" t="s">
        <v>47</v>
      </c>
      <c r="Q115" s="11"/>
      <c r="R115" s="13" t="s">
        <v>30</v>
      </c>
      <c r="S115" s="11">
        <v>1500</v>
      </c>
      <c r="T115" s="11">
        <v>2000</v>
      </c>
    </row>
    <row r="116" spans="1:20" x14ac:dyDescent="0.3">
      <c r="A116" s="10" t="s">
        <v>44</v>
      </c>
      <c r="B116" s="10">
        <v>591</v>
      </c>
      <c r="C116" s="10">
        <v>1748</v>
      </c>
      <c r="D116" s="10">
        <f t="shared" si="3"/>
        <v>1</v>
      </c>
      <c r="E116" s="11" t="s">
        <v>50</v>
      </c>
      <c r="F116" s="11" t="s">
        <v>51</v>
      </c>
      <c r="G116" s="10" t="s">
        <v>31</v>
      </c>
      <c r="H116" s="10" t="s">
        <v>52</v>
      </c>
      <c r="I116" s="10">
        <v>1</v>
      </c>
      <c r="J116" s="10">
        <v>1</v>
      </c>
      <c r="K116" s="12">
        <f t="shared" si="6"/>
        <v>11.252360879652322</v>
      </c>
      <c r="L116" s="12">
        <f t="shared" si="7"/>
        <v>9.3559999999999999</v>
      </c>
      <c r="M116" s="12"/>
      <c r="N116" s="10" t="s">
        <v>24</v>
      </c>
      <c r="O116" s="10" t="s">
        <v>25</v>
      </c>
      <c r="P116" s="10" t="s">
        <v>47</v>
      </c>
      <c r="Q116" s="11"/>
      <c r="R116" s="13" t="s">
        <v>32</v>
      </c>
      <c r="S116" s="11">
        <v>1500</v>
      </c>
      <c r="T116" s="11">
        <v>2000</v>
      </c>
    </row>
    <row r="117" spans="1:20" x14ac:dyDescent="0.3">
      <c r="A117" s="10" t="s">
        <v>44</v>
      </c>
      <c r="B117" s="10">
        <v>742</v>
      </c>
      <c r="C117" s="10">
        <v>1748</v>
      </c>
      <c r="D117" s="10">
        <f t="shared" si="3"/>
        <v>1</v>
      </c>
      <c r="E117" s="11" t="s">
        <v>50</v>
      </c>
      <c r="F117" s="11" t="s">
        <v>51</v>
      </c>
      <c r="G117" s="10" t="s">
        <v>33</v>
      </c>
      <c r="H117" s="10" t="s">
        <v>52</v>
      </c>
      <c r="I117" s="10">
        <v>1</v>
      </c>
      <c r="J117" s="10">
        <v>1</v>
      </c>
      <c r="K117" s="12">
        <f t="shared" si="6"/>
        <v>14.127329564639632</v>
      </c>
      <c r="L117" s="12">
        <f t="shared" si="7"/>
        <v>9.9600000000000009</v>
      </c>
      <c r="M117" s="12"/>
      <c r="N117" s="10" t="s">
        <v>24</v>
      </c>
      <c r="O117" s="10" t="s">
        <v>34</v>
      </c>
      <c r="P117" s="10" t="s">
        <v>47</v>
      </c>
      <c r="Q117" s="11"/>
      <c r="R117" s="13" t="s">
        <v>35</v>
      </c>
      <c r="S117" s="11">
        <v>2700</v>
      </c>
      <c r="T117" s="11">
        <v>2000</v>
      </c>
    </row>
    <row r="118" spans="1:20" s="22" customFormat="1" x14ac:dyDescent="0.3">
      <c r="A118" s="19" t="s">
        <v>36</v>
      </c>
      <c r="B118" s="19">
        <v>587</v>
      </c>
      <c r="C118" s="19">
        <v>1746</v>
      </c>
      <c r="D118" s="10">
        <f t="shared" si="3"/>
        <v>2</v>
      </c>
      <c r="E118" s="20" t="s">
        <v>50</v>
      </c>
      <c r="F118" s="20" t="s">
        <v>51</v>
      </c>
      <c r="G118" s="19" t="s">
        <v>28</v>
      </c>
      <c r="H118" s="19" t="s">
        <v>52</v>
      </c>
      <c r="I118" s="19">
        <v>1</v>
      </c>
      <c r="J118" s="19">
        <v>2</v>
      </c>
      <c r="K118" s="21">
        <f t="shared" si="6"/>
        <v>22.326830702872268</v>
      </c>
      <c r="L118" s="21">
        <f t="shared" si="7"/>
        <v>18.664000000000001</v>
      </c>
      <c r="M118" s="21"/>
      <c r="N118" s="19" t="s">
        <v>42</v>
      </c>
      <c r="O118" s="19" t="s">
        <v>25</v>
      </c>
      <c r="P118" s="19" t="s">
        <v>43</v>
      </c>
      <c r="Q118" s="20"/>
      <c r="R118" s="20" t="s">
        <v>30</v>
      </c>
      <c r="S118" s="20">
        <v>1500</v>
      </c>
      <c r="T118" s="20">
        <v>2000</v>
      </c>
    </row>
    <row r="119" spans="1:20" s="22" customFormat="1" x14ac:dyDescent="0.3">
      <c r="A119" s="19" t="s">
        <v>36</v>
      </c>
      <c r="B119" s="19">
        <v>587</v>
      </c>
      <c r="C119" s="19">
        <v>1746</v>
      </c>
      <c r="D119" s="10">
        <f t="shared" si="3"/>
        <v>2</v>
      </c>
      <c r="E119" s="20" t="s">
        <v>50</v>
      </c>
      <c r="F119" s="20" t="s">
        <v>51</v>
      </c>
      <c r="G119" s="19" t="s">
        <v>31</v>
      </c>
      <c r="H119" s="19" t="s">
        <v>52</v>
      </c>
      <c r="I119" s="19">
        <v>1</v>
      </c>
      <c r="J119" s="19">
        <v>2</v>
      </c>
      <c r="K119" s="21">
        <f t="shared" si="6"/>
        <v>22.326830702872268</v>
      </c>
      <c r="L119" s="21">
        <f t="shared" si="7"/>
        <v>18.664000000000001</v>
      </c>
      <c r="M119" s="21"/>
      <c r="N119" s="19" t="s">
        <v>42</v>
      </c>
      <c r="O119" s="19" t="s">
        <v>25</v>
      </c>
      <c r="P119" s="19" t="s">
        <v>43</v>
      </c>
      <c r="Q119" s="20"/>
      <c r="R119" s="20" t="s">
        <v>32</v>
      </c>
      <c r="S119" s="20">
        <v>1500</v>
      </c>
      <c r="T119" s="20">
        <v>2000</v>
      </c>
    </row>
    <row r="120" spans="1:20" s="22" customFormat="1" x14ac:dyDescent="0.3">
      <c r="A120" s="19" t="s">
        <v>36</v>
      </c>
      <c r="B120" s="19">
        <v>742</v>
      </c>
      <c r="C120" s="19">
        <v>1746</v>
      </c>
      <c r="D120" s="10">
        <f t="shared" si="3"/>
        <v>1</v>
      </c>
      <c r="E120" s="20" t="s">
        <v>50</v>
      </c>
      <c r="F120" s="20" t="s">
        <v>51</v>
      </c>
      <c r="G120" s="19" t="s">
        <v>33</v>
      </c>
      <c r="H120" s="19" t="s">
        <v>52</v>
      </c>
      <c r="I120" s="19">
        <v>1</v>
      </c>
      <c r="J120" s="19">
        <v>1</v>
      </c>
      <c r="K120" s="21">
        <f t="shared" si="6"/>
        <v>14.111165572002745</v>
      </c>
      <c r="L120" s="21">
        <f t="shared" si="7"/>
        <v>9.952</v>
      </c>
      <c r="M120" s="21"/>
      <c r="N120" s="19" t="s">
        <v>42</v>
      </c>
      <c r="O120" s="19" t="s">
        <v>34</v>
      </c>
      <c r="P120" s="19" t="s">
        <v>43</v>
      </c>
      <c r="Q120" s="20"/>
      <c r="R120" s="20" t="s">
        <v>35</v>
      </c>
      <c r="S120" s="20">
        <v>2700</v>
      </c>
      <c r="T120" s="20">
        <v>2000</v>
      </c>
    </row>
    <row r="121" spans="1:20" s="22" customFormat="1" x14ac:dyDescent="0.3">
      <c r="A121" s="19" t="s">
        <v>36</v>
      </c>
      <c r="B121" s="19">
        <v>1631</v>
      </c>
      <c r="C121" s="19">
        <v>1746</v>
      </c>
      <c r="D121" s="10">
        <f t="shared" si="3"/>
        <v>1</v>
      </c>
      <c r="E121" s="20" t="s">
        <v>50</v>
      </c>
      <c r="F121" s="20" t="s">
        <v>51</v>
      </c>
      <c r="G121" s="19" t="s">
        <v>33</v>
      </c>
      <c r="H121" s="19" t="s">
        <v>52</v>
      </c>
      <c r="I121" s="19">
        <v>1</v>
      </c>
      <c r="J121" s="19">
        <v>1</v>
      </c>
      <c r="K121" s="21">
        <f t="shared" si="6"/>
        <v>31.017939417704145</v>
      </c>
      <c r="L121" s="21">
        <f t="shared" si="7"/>
        <v>13.507999999999999</v>
      </c>
      <c r="M121" s="21"/>
      <c r="N121" s="19" t="s">
        <v>42</v>
      </c>
      <c r="O121" s="19" t="s">
        <v>34</v>
      </c>
      <c r="P121" s="19" t="s">
        <v>43</v>
      </c>
      <c r="Q121" s="20"/>
      <c r="R121" s="20" t="s">
        <v>35</v>
      </c>
      <c r="S121" s="20">
        <v>2700</v>
      </c>
      <c r="T121" s="20">
        <v>2000</v>
      </c>
    </row>
  </sheetData>
  <autoFilter ref="A1:U12" xr:uid="{00000000-0001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골조도_발주</vt:lpstr>
      <vt:lpstr>발주요약</vt:lpstr>
      <vt:lpstr>대우산성역헤리스톤3BL 302동1~6층_글레이징</vt:lpstr>
      <vt:lpstr>대우산성역헤리스톤3BL 302동1~6층_알유리</vt:lpstr>
      <vt:lpstr>Sheet9</vt:lpstr>
      <vt:lpstr>토탈</vt:lpstr>
      <vt:lpstr>토탈!_FilterDatabase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2026-03-27T08:22:59Z</dcterms:created>
  <dcterms:modified xsi:type="dcterms:W3CDTF">2026-08-06T03:56:14Z</dcterms:modified>
</cp:coreProperties>
</file>