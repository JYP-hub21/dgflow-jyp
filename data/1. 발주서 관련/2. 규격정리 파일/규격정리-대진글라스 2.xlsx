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E\Desktop\"/>
    </mc:Choice>
  </mc:AlternateContent>
  <xr:revisionPtr revIDLastSave="0" documentId="13_ncr:1_{FA5CD0A8-ADA2-44DA-8F2B-3BF68B912DA0}" xr6:coauthVersionLast="36" xr6:coauthVersionMax="36" xr10:uidLastSave="{00000000-0000-0000-0000-000000000000}"/>
  <bookViews>
    <workbookView xWindow="-60" yWindow="120" windowWidth="20280" windowHeight="15270" xr2:uid="{71367356-069B-4EDB-B151-82BCF0BDE904}"/>
  </bookViews>
  <sheets>
    <sheet name="대우산성역헤리스톤3BL" sheetId="1" r:id="rId1"/>
  </sheets>
  <definedNames>
    <definedName name="_xlnm._FilterDatabase" localSheetId="0" hidden="1">대우산성역헤리스톤3BL!#REF!</definedName>
    <definedName name="_xlnm.Print_Area" localSheetId="0">대우산성역헤리스톤3BL!$A$63:$L$69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J43" i="1"/>
  <c r="D43" i="1"/>
  <c r="J14" i="1" l="1"/>
  <c r="D14" i="1"/>
  <c r="J58" i="1"/>
  <c r="D58" i="1"/>
  <c r="L57" i="1"/>
  <c r="K57" i="1"/>
  <c r="E57" i="1"/>
  <c r="L56" i="1"/>
  <c r="K56" i="1"/>
  <c r="E56" i="1"/>
  <c r="L55" i="1"/>
  <c r="K55" i="1"/>
  <c r="E55" i="1"/>
  <c r="L54" i="1"/>
  <c r="K54" i="1"/>
  <c r="E54" i="1"/>
  <c r="L53" i="1"/>
  <c r="K53" i="1"/>
  <c r="E53" i="1"/>
  <c r="L52" i="1"/>
  <c r="K52" i="1"/>
  <c r="E52" i="1"/>
  <c r="L51" i="1"/>
  <c r="K51" i="1"/>
  <c r="E51" i="1"/>
  <c r="L50" i="1"/>
  <c r="K50" i="1"/>
  <c r="E50" i="1"/>
  <c r="L49" i="1"/>
  <c r="K49" i="1"/>
  <c r="E49" i="1"/>
  <c r="L48" i="1"/>
  <c r="K48" i="1"/>
  <c r="E48" i="1"/>
  <c r="L47" i="1"/>
  <c r="K47" i="1"/>
  <c r="E47" i="1"/>
  <c r="L46" i="1"/>
  <c r="K46" i="1"/>
  <c r="E46" i="1"/>
  <c r="H44" i="1"/>
  <c r="L42" i="1"/>
  <c r="K42" i="1"/>
  <c r="E42" i="1"/>
  <c r="L41" i="1"/>
  <c r="K41" i="1"/>
  <c r="E41" i="1"/>
  <c r="L40" i="1"/>
  <c r="K40" i="1"/>
  <c r="E40" i="1"/>
  <c r="L39" i="1"/>
  <c r="K39" i="1"/>
  <c r="E39" i="1"/>
  <c r="L38" i="1"/>
  <c r="K38" i="1"/>
  <c r="E38" i="1"/>
  <c r="L37" i="1"/>
  <c r="K37" i="1"/>
  <c r="E37" i="1"/>
  <c r="L36" i="1"/>
  <c r="K36" i="1"/>
  <c r="E36" i="1"/>
  <c r="L35" i="1"/>
  <c r="K35" i="1"/>
  <c r="E35" i="1"/>
  <c r="L34" i="1"/>
  <c r="K34" i="1"/>
  <c r="E34" i="1"/>
  <c r="L33" i="1"/>
  <c r="K33" i="1"/>
  <c r="E33" i="1"/>
  <c r="L32" i="1"/>
  <c r="K32" i="1"/>
  <c r="E32" i="1"/>
  <c r="L31" i="1"/>
  <c r="K31" i="1"/>
  <c r="E31" i="1"/>
  <c r="L30" i="1"/>
  <c r="K30" i="1"/>
  <c r="E30" i="1"/>
  <c r="L29" i="1"/>
  <c r="K29" i="1"/>
  <c r="E29" i="1"/>
  <c r="L28" i="1"/>
  <c r="K28" i="1"/>
  <c r="E28" i="1"/>
  <c r="L27" i="1"/>
  <c r="K27" i="1"/>
  <c r="E27" i="1"/>
  <c r="L26" i="1"/>
  <c r="K26" i="1"/>
  <c r="E26" i="1"/>
  <c r="H24" i="1"/>
  <c r="D23" i="1"/>
  <c r="L22" i="1"/>
  <c r="K22" i="1"/>
  <c r="E22" i="1"/>
  <c r="L21" i="1"/>
  <c r="K21" i="1"/>
  <c r="E21" i="1"/>
  <c r="L20" i="1"/>
  <c r="K20" i="1"/>
  <c r="E20" i="1"/>
  <c r="L19" i="1"/>
  <c r="K19" i="1"/>
  <c r="E19" i="1"/>
  <c r="L18" i="1"/>
  <c r="K18" i="1"/>
  <c r="E18" i="1"/>
  <c r="L17" i="1"/>
  <c r="K17" i="1"/>
  <c r="E17" i="1"/>
  <c r="H15" i="1"/>
  <c r="L13" i="1"/>
  <c r="K13" i="1"/>
  <c r="E13" i="1"/>
  <c r="L12" i="1"/>
  <c r="K12" i="1"/>
  <c r="E12" i="1"/>
  <c r="L11" i="1"/>
  <c r="K11" i="1"/>
  <c r="E11" i="1"/>
  <c r="L10" i="1"/>
  <c r="K10" i="1"/>
  <c r="E10" i="1"/>
  <c r="L9" i="1"/>
  <c r="K9" i="1"/>
  <c r="E9" i="1"/>
  <c r="L8" i="1"/>
  <c r="K8" i="1"/>
  <c r="E8" i="1"/>
  <c r="L7" i="1"/>
  <c r="K7" i="1"/>
  <c r="E7" i="1"/>
  <c r="L6" i="1"/>
  <c r="K6" i="1"/>
  <c r="E6" i="1"/>
  <c r="L5" i="1"/>
  <c r="K5" i="1"/>
  <c r="E5" i="1"/>
  <c r="L4" i="1"/>
  <c r="K4" i="1"/>
  <c r="E4" i="1"/>
  <c r="L3" i="1"/>
  <c r="K3" i="1"/>
  <c r="E3" i="1"/>
  <c r="H1" i="1"/>
  <c r="E43" i="1" l="1"/>
  <c r="K14" i="1"/>
  <c r="L14" i="1"/>
  <c r="E23" i="1"/>
  <c r="K23" i="1"/>
  <c r="L23" i="1"/>
  <c r="K43" i="1"/>
  <c r="L43" i="1"/>
  <c r="E14" i="1"/>
  <c r="L58" i="1"/>
  <c r="E58" i="1"/>
  <c r="K58" i="1"/>
</calcChain>
</file>

<file path=xl/sharedStrings.xml><?xml version="1.0" encoding="utf-8"?>
<sst xmlns="http://schemas.openxmlformats.org/spreadsheetml/2006/main" count="144" uniqueCount="53">
  <si>
    <t>위치</t>
    <phoneticPr fontId="13" type="noConversion"/>
  </si>
  <si>
    <t>규</t>
    <phoneticPr fontId="13" type="noConversion"/>
  </si>
  <si>
    <t>격</t>
    <phoneticPr fontId="13" type="noConversion"/>
  </si>
  <si>
    <t>수량</t>
    <phoneticPr fontId="13" type="noConversion"/>
  </si>
  <si>
    <t>평</t>
    <phoneticPr fontId="13" type="noConversion"/>
  </si>
  <si>
    <t>M2</t>
    <phoneticPr fontId="13" type="noConversion"/>
  </si>
  <si>
    <t>26.76T 10.76투명접합+10A+6로이</t>
    <phoneticPr fontId="3" type="noConversion"/>
  </si>
  <si>
    <t>24T 6CL+12A+6CL</t>
    <phoneticPr fontId="3" type="noConversion"/>
  </si>
  <si>
    <t>24T 6CL+12A+6로이</t>
    <phoneticPr fontId="3" type="noConversion"/>
  </si>
  <si>
    <t>302동1라인(1~6층)발코니159A단창픽스</t>
  </si>
  <si>
    <t>302동2라인(1~6층)발코니159B단창픽스</t>
  </si>
  <si>
    <t>302동1라인(1~6층)침실259A외창픽스</t>
  </si>
  <si>
    <t>302동1라인(1~6층)침실359A외창픽스</t>
  </si>
  <si>
    <t>302동2라인(1~6층)침실259B외창픽스</t>
  </si>
  <si>
    <t>302동2라인(1~6층)침실359B외창픽스</t>
  </si>
  <si>
    <t>302동3라인(2~6층)침실259A외창픽스</t>
  </si>
  <si>
    <t>302동3라인(2~6층)침실359A외창픽스</t>
  </si>
  <si>
    <t>302동1라인(1~6층)거실59A외창픽스</t>
  </si>
  <si>
    <t>302동2라인(1~6층)거실59B외창픽스</t>
  </si>
  <si>
    <t>302동3라인(2~6층)거실59A외창픽스</t>
  </si>
  <si>
    <t>26.08.21</t>
    <phoneticPr fontId="3" type="noConversion"/>
  </si>
  <si>
    <t>302동1라인(1~6층)다용도59A내창</t>
  </si>
  <si>
    <t>302동2라인(1~6층)다용도59B내창</t>
  </si>
  <si>
    <t>302동3라인(2~6층)다용도59A내창</t>
  </si>
  <si>
    <t>302동1라인(1~6층)주방/식당59A내창</t>
  </si>
  <si>
    <t>302동2라인(1~6층)주방/식당59B내창</t>
  </si>
  <si>
    <t>302동3라인(2~6층)주방/식당59A내창</t>
  </si>
  <si>
    <t>302동1라인(1~6층)다용도59A외창</t>
  </si>
  <si>
    <t>302동2라인(1~6층)다용도59B외창</t>
  </si>
  <si>
    <t>302동3라인(2~6층)다용도59A외창</t>
  </si>
  <si>
    <t>302동1라인(1~6층)주방/식당59A외창</t>
  </si>
  <si>
    <t>302동2라인(1~6층)주방/식당59B외창</t>
  </si>
  <si>
    <t>302동3라인(2~6층)주방/식당59A외창</t>
  </si>
  <si>
    <t>302동1라인(1~6층)발코니159A단창밴트</t>
  </si>
  <si>
    <t>302동2라인(1~6층)발코니159B단창밴트</t>
  </si>
  <si>
    <t>302동1라인(1~6층)침실259A외창밴트</t>
  </si>
  <si>
    <t>302동1라인(1~6층)침실359A외창밴트</t>
  </si>
  <si>
    <t>302동2라인(1~6층)침실259B외창밴트</t>
  </si>
  <si>
    <t>302동2라인(1~6층)침실359B외창밴트</t>
  </si>
  <si>
    <t>302동3라인(2~6층)침실259A외창밴트</t>
  </si>
  <si>
    <t>302동3라인(2~6층)침실359A외창밴트</t>
  </si>
  <si>
    <t>302동1라인(1~6층)거실59A외창밴트</t>
  </si>
  <si>
    <t>302동2라인(1~6층)거실59B외창밴트</t>
  </si>
  <si>
    <t>302동3라인(2~6층)거실59A외창밴트</t>
  </si>
  <si>
    <t>302동1라인(1~6층)침실2 59A내창_LS</t>
  </si>
  <si>
    <t>302동1라인(1~6층)침실3 59A내창_LS</t>
  </si>
  <si>
    <t>302동2라인(1~6층)침실2 59B내창_LS</t>
  </si>
  <si>
    <t>302동2라인(1~6층)침실3 59B내창_LS</t>
  </si>
  <si>
    <t>302동3라인(2~6층)침실2 59A내창_LS</t>
  </si>
  <si>
    <t>302동3라인(2~6층)침실3 59A내창_LS</t>
  </si>
  <si>
    <t>302동1라인(1~6층)거실 59A내창_LS</t>
  </si>
  <si>
    <t>302동2라인(1~6층)거실 59B내창_LS</t>
  </si>
  <si>
    <t>302동3라인(2~6층)거실 59A내창_LS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</si>
</sst>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&quot;₩&quot;\!\-* #,##0_-;_-* &quot;-&quot;_-;_-@_-"/>
    <numFmt numFmtId="177" formatCode="_-* #,##0.00_-;&quot;₩&quot;\!\-* #,##0.00_-;_-* &quot;-&quot;_-;_-@_-"/>
  </numFmts>
  <fonts count="16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바탕"/>
      <family val="1"/>
      <charset val="129"/>
    </font>
    <font>
      <sz val="8"/>
      <name val="맑은 고딕"/>
      <family val="2"/>
      <charset val="129"/>
      <scheme val="minor"/>
    </font>
    <font>
      <b/>
      <sz val="10"/>
      <name val="바탕"/>
      <family val="1"/>
      <charset val="129"/>
    </font>
    <font>
      <sz val="8"/>
      <color theme="1"/>
      <name val="맑은 고딕"/>
      <family val="3"/>
      <charset val="129"/>
      <scheme val="minor"/>
    </font>
    <font>
      <sz val="8"/>
      <name val="바탕"/>
      <family val="1"/>
      <charset val="129"/>
    </font>
    <font>
      <sz val="8"/>
      <color indexed="10"/>
      <name val="바탕"/>
      <family val="1"/>
      <charset val="129"/>
    </font>
    <font>
      <sz val="10"/>
      <color indexed="10"/>
      <name val="바탕"/>
      <family val="1"/>
      <charset val="129"/>
    </font>
    <font>
      <b/>
      <sz val="9"/>
      <color indexed="10"/>
      <name val="바탕"/>
      <family val="1"/>
      <charset val="129"/>
    </font>
    <font>
      <b/>
      <sz val="9"/>
      <color rgb="FF0000FF"/>
      <name val="바탕"/>
      <family val="1"/>
      <charset val="129"/>
    </font>
    <font>
      <b/>
      <sz val="10"/>
      <color indexed="10"/>
      <name val="바탕"/>
      <family val="1"/>
      <charset val="129"/>
    </font>
    <font>
      <b/>
      <sz val="10"/>
      <color rgb="FFFF66FF"/>
      <name val="바탕"/>
      <family val="1"/>
      <charset val="129"/>
    </font>
    <font>
      <sz val="8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10"/>
      </top>
      <bottom style="double">
        <color indexed="64"/>
      </bottom>
      <diagonal/>
    </border>
    <border>
      <left style="hair">
        <color indexed="64"/>
      </left>
      <right/>
      <top style="double">
        <color indexed="10"/>
      </top>
      <bottom style="double">
        <color indexed="64"/>
      </bottom>
      <diagonal/>
    </border>
    <border>
      <left/>
      <right style="hair">
        <color indexed="64"/>
      </right>
      <top style="double">
        <color indexed="10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10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/>
    <xf numFmtId="0" fontId="14" fillId="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176" fontId="2" fillId="0" borderId="1" xfId="1" applyFont="1" applyFill="1" applyBorder="1" applyAlignment="1">
      <alignment horizontal="center" vertical="center"/>
    </xf>
    <xf numFmtId="176" fontId="2" fillId="0" borderId="5" xfId="1" applyFont="1" applyFill="1" applyBorder="1" applyAlignment="1">
      <alignment horizontal="center" vertical="center"/>
    </xf>
    <xf numFmtId="176" fontId="2" fillId="0" borderId="6" xfId="1" applyFont="1" applyFill="1" applyBorder="1" applyAlignment="1">
      <alignment vertical="center" wrapText="1"/>
    </xf>
    <xf numFmtId="0" fontId="5" fillId="0" borderId="0" xfId="0" applyFont="1">
      <alignment vertical="center"/>
    </xf>
    <xf numFmtId="176" fontId="2" fillId="0" borderId="7" xfId="1" applyFont="1" applyFill="1" applyBorder="1" applyAlignment="1">
      <alignment horizontal="center" vertical="center"/>
    </xf>
    <xf numFmtId="176" fontId="2" fillId="0" borderId="8" xfId="1" applyFont="1" applyFill="1" applyBorder="1" applyAlignment="1">
      <alignment horizontal="center" vertical="center"/>
    </xf>
    <xf numFmtId="177" fontId="2" fillId="0" borderId="9" xfId="1" applyNumberFormat="1" applyFont="1" applyFill="1" applyBorder="1" applyAlignment="1">
      <alignment horizontal="center" vertical="center"/>
    </xf>
    <xf numFmtId="176" fontId="2" fillId="0" borderId="10" xfId="1" applyFont="1" applyFill="1" applyBorder="1" applyAlignment="1">
      <alignment horizontal="center" vertical="center"/>
    </xf>
    <xf numFmtId="176" fontId="6" fillId="0" borderId="7" xfId="1" applyFont="1" applyFill="1" applyBorder="1" applyAlignment="1">
      <alignment horizontal="center" vertical="center"/>
    </xf>
    <xf numFmtId="177" fontId="2" fillId="0" borderId="10" xfId="1" applyNumberFormat="1" applyFont="1" applyFill="1" applyBorder="1" applyAlignment="1">
      <alignment vertical="center"/>
    </xf>
    <xf numFmtId="176" fontId="7" fillId="0" borderId="11" xfId="1" applyFont="1" applyFill="1" applyBorder="1" applyAlignment="1">
      <alignment horizontal="center" vertical="center"/>
    </xf>
    <xf numFmtId="176" fontId="2" fillId="0" borderId="11" xfId="1" applyFont="1" applyFill="1" applyBorder="1" applyAlignment="1">
      <alignment vertical="center"/>
    </xf>
    <xf numFmtId="176" fontId="8" fillId="0" borderId="11" xfId="1" applyFont="1" applyFill="1" applyBorder="1" applyAlignment="1">
      <alignment vertical="center"/>
    </xf>
    <xf numFmtId="177" fontId="8" fillId="0" borderId="12" xfId="1" applyNumberFormat="1" applyFont="1" applyFill="1" applyBorder="1" applyAlignment="1">
      <alignment horizontal="center" vertical="center"/>
    </xf>
    <xf numFmtId="176" fontId="7" fillId="0" borderId="5" xfId="1" applyFont="1" applyFill="1" applyBorder="1" applyAlignment="1">
      <alignment horizontal="center" vertical="center"/>
    </xf>
    <xf numFmtId="176" fontId="7" fillId="0" borderId="13" xfId="1" applyFont="1" applyFill="1" applyBorder="1" applyAlignment="1">
      <alignment horizontal="center" vertical="center"/>
    </xf>
    <xf numFmtId="176" fontId="10" fillId="2" borderId="4" xfId="1" applyFont="1" applyFill="1" applyBorder="1" applyAlignment="1">
      <alignment horizontal="center" vertical="center"/>
    </xf>
    <xf numFmtId="176" fontId="12" fillId="0" borderId="4" xfId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center" vertical="center"/>
    </xf>
    <xf numFmtId="177" fontId="4" fillId="0" borderId="15" xfId="1" applyNumberFormat="1" applyFont="1" applyFill="1" applyBorder="1" applyAlignment="1">
      <alignment horizontal="center" vertical="center"/>
    </xf>
    <xf numFmtId="0" fontId="14" fillId="4" borderId="0" xfId="2">
      <alignment vertical="center"/>
    </xf>
    <xf numFmtId="176" fontId="15" fillId="4" borderId="1" xfId="2" applyNumberFormat="1" applyFont="1" applyBorder="1" applyAlignment="1">
      <alignment horizontal="center" vertical="center"/>
    </xf>
    <xf numFmtId="177" fontId="15" fillId="4" borderId="15" xfId="2" applyNumberFormat="1" applyFont="1" applyBorder="1" applyAlignment="1">
      <alignment horizontal="center" vertical="center"/>
    </xf>
    <xf numFmtId="176" fontId="15" fillId="4" borderId="5" xfId="2" applyNumberFormat="1" applyFont="1" applyBorder="1" applyAlignment="1">
      <alignment horizontal="center" vertical="center"/>
    </xf>
    <xf numFmtId="176" fontId="15" fillId="4" borderId="4" xfId="2" applyNumberFormat="1" applyFont="1" applyBorder="1" applyAlignment="1">
      <alignment horizontal="center" vertical="center"/>
    </xf>
    <xf numFmtId="176" fontId="15" fillId="4" borderId="6" xfId="2" applyNumberFormat="1" applyFont="1" applyBorder="1" applyAlignment="1">
      <alignment vertical="center" wrapText="1"/>
    </xf>
    <xf numFmtId="176" fontId="15" fillId="4" borderId="11" xfId="2" applyNumberFormat="1" applyFont="1" applyBorder="1" applyAlignment="1">
      <alignment horizontal="center" vertical="center"/>
    </xf>
    <xf numFmtId="176" fontId="15" fillId="4" borderId="11" xfId="2" applyNumberFormat="1" applyFont="1" applyBorder="1" applyAlignment="1">
      <alignment vertical="center"/>
    </xf>
    <xf numFmtId="177" fontId="15" fillId="4" borderId="12" xfId="2" applyNumberFormat="1" applyFont="1" applyBorder="1" applyAlignment="1">
      <alignment horizontal="center" vertical="center"/>
    </xf>
    <xf numFmtId="176" fontId="15" fillId="4" borderId="13" xfId="2" applyNumberFormat="1" applyFont="1" applyBorder="1" applyAlignment="1">
      <alignment horizontal="center" vertical="center"/>
    </xf>
    <xf numFmtId="177" fontId="15" fillId="4" borderId="14" xfId="2" applyNumberFormat="1" applyFont="1" applyBorder="1" applyAlignment="1">
      <alignment vertical="center"/>
    </xf>
    <xf numFmtId="176" fontId="7" fillId="3" borderId="0" xfId="1" applyFont="1" applyFill="1" applyBorder="1" applyAlignment="1">
      <alignment horizontal="center" vertical="center"/>
    </xf>
    <xf numFmtId="176" fontId="15" fillId="4" borderId="2" xfId="2" applyNumberFormat="1" applyFont="1" applyBorder="1" applyAlignment="1">
      <alignment horizontal="center" vertical="center"/>
    </xf>
    <xf numFmtId="176" fontId="15" fillId="4" borderId="3" xfId="2" applyNumberFormat="1" applyFont="1" applyBorder="1" applyAlignment="1">
      <alignment horizontal="center" vertical="center"/>
    </xf>
    <xf numFmtId="176" fontId="15" fillId="4" borderId="4" xfId="2" applyNumberFormat="1" applyFont="1" applyBorder="1" applyAlignment="1">
      <alignment horizontal="center" vertical="center"/>
    </xf>
    <xf numFmtId="176" fontId="9" fillId="0" borderId="2" xfId="1" applyFont="1" applyFill="1" applyBorder="1" applyAlignment="1">
      <alignment horizontal="center" vertical="center"/>
    </xf>
    <xf numFmtId="176" fontId="9" fillId="0" borderId="3" xfId="1" applyFont="1" applyFill="1" applyBorder="1" applyAlignment="1">
      <alignment horizontal="center" vertical="center"/>
    </xf>
    <xf numFmtId="176" fontId="9" fillId="0" borderId="4" xfId="1" applyFont="1" applyFill="1" applyBorder="1" applyAlignment="1">
      <alignment horizontal="center" vertical="center"/>
    </xf>
    <xf numFmtId="176" fontId="11" fillId="0" borderId="2" xfId="1" applyFont="1" applyFill="1" applyBorder="1" applyAlignment="1">
      <alignment horizontal="center" vertical="center"/>
    </xf>
    <xf numFmtId="176" fontId="11" fillId="0" borderId="3" xfId="1" applyFont="1" applyFill="1" applyBorder="1" applyAlignment="1">
      <alignment horizontal="center" vertical="center"/>
    </xf>
  </cellXfs>
  <cellStyles count="3">
    <cellStyle name="강조색6" xfId="2" builtinId="49"/>
    <cellStyle name="쉼표 [0] 2" xfId="1" xr:uid="{042DC298-0D3A-4633-A91C-82142CE9BEC4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9D3F-FB0B-4E2C-B901-7A447758AF83}">
  <sheetPr>
    <pageSetUpPr fitToPage="1"/>
  </sheetPr>
  <dimension ref="A1:N59"/>
  <sheetViews>
    <sheetView tabSelected="1" topLeftCell="A40" zoomScaleNormal="100" zoomScaleSheetLayoutView="80" workbookViewId="0">
      <selection activeCell="P10" sqref="P10"/>
    </sheetView>
  </sheetViews>
  <sheetFormatPr defaultRowHeight="16.5" customHeight="1" x14ac:dyDescent="0.3"/>
  <cols>
    <col min="1" max="1" width="23.75" customWidth="1"/>
    <col min="2" max="2" width="15.125" customWidth="1"/>
    <col min="3" max="3" width="12.875" customWidth="1"/>
    <col min="4" max="4" width="9.125" bestFit="1" customWidth="1"/>
    <col min="5" max="5" width="10.375" bestFit="1" customWidth="1"/>
    <col min="6" max="6" width="0.875" customWidth="1"/>
    <col min="7" max="7" width="25.25" customWidth="1"/>
    <col min="8" max="9" width="14.125" customWidth="1"/>
    <col min="10" max="10" width="9.125" bestFit="1" customWidth="1"/>
    <col min="11" max="11" width="10.375" bestFit="1" customWidth="1"/>
    <col min="12" max="12" width="9.5" bestFit="1" customWidth="1"/>
    <col min="13" max="14" width="9" style="4"/>
  </cols>
  <sheetData>
    <row r="1" spans="1:12" s="21" customFormat="1" ht="16.5" customHeight="1" x14ac:dyDescent="0.3">
      <c r="A1" s="22"/>
      <c r="B1" s="33" t="s">
        <v>6</v>
      </c>
      <c r="C1" s="34"/>
      <c r="D1" s="35"/>
      <c r="E1" s="23" t="s">
        <v>20</v>
      </c>
      <c r="F1" s="24"/>
      <c r="G1" s="25"/>
      <c r="H1" s="33" t="str">
        <f>B1</f>
        <v>26.76T 10.76투명접합+10A+6로이</v>
      </c>
      <c r="I1" s="34"/>
      <c r="J1" s="34"/>
      <c r="K1" s="25"/>
      <c r="L1" s="26"/>
    </row>
    <row r="2" spans="1:12" ht="16.5" customHeight="1" x14ac:dyDescent="0.3">
      <c r="A2" s="5" t="s">
        <v>0</v>
      </c>
      <c r="B2" s="6" t="s">
        <v>1</v>
      </c>
      <c r="C2" s="6" t="s">
        <v>2</v>
      </c>
      <c r="D2" s="6" t="s">
        <v>3</v>
      </c>
      <c r="E2" s="7" t="s">
        <v>4</v>
      </c>
      <c r="F2" s="2"/>
      <c r="G2" s="5" t="s">
        <v>0</v>
      </c>
      <c r="H2" s="6" t="s">
        <v>1</v>
      </c>
      <c r="I2" s="6" t="s">
        <v>2</v>
      </c>
      <c r="J2" s="6" t="s">
        <v>3</v>
      </c>
      <c r="K2" s="19" t="s">
        <v>4</v>
      </c>
      <c r="L2" s="8" t="s">
        <v>5</v>
      </c>
    </row>
    <row r="3" spans="1:12" ht="16.5" customHeight="1" x14ac:dyDescent="0.3">
      <c r="A3" s="9" t="s">
        <v>9</v>
      </c>
      <c r="B3" s="6">
        <v>543</v>
      </c>
      <c r="C3" s="6">
        <v>1745</v>
      </c>
      <c r="D3" s="6">
        <v>6</v>
      </c>
      <c r="E3" s="7">
        <f t="shared" ref="E3:E13" si="0">SUM(B3*C3/91809*D3)</f>
        <v>61.92432114498579</v>
      </c>
      <c r="F3" s="2"/>
      <c r="G3" s="9" t="s">
        <v>17</v>
      </c>
      <c r="H3" s="6">
        <v>1646</v>
      </c>
      <c r="I3" s="6">
        <v>1748</v>
      </c>
      <c r="J3" s="6">
        <v>6</v>
      </c>
      <c r="K3" s="19">
        <f t="shared" ref="K3:K13" si="1">SUM(H3*I3/91809*J3)</f>
        <v>188.03437571479921</v>
      </c>
      <c r="L3" s="10">
        <f t="shared" ref="L3:L13" si="2">(H3/1000*I3/1000)*J3</f>
        <v>17.263247999999997</v>
      </c>
    </row>
    <row r="4" spans="1:12" ht="16.5" customHeight="1" x14ac:dyDescent="0.3">
      <c r="A4" s="9" t="s">
        <v>10</v>
      </c>
      <c r="B4" s="6">
        <v>543</v>
      </c>
      <c r="C4" s="6">
        <v>1745</v>
      </c>
      <c r="D4" s="6">
        <v>6</v>
      </c>
      <c r="E4" s="7">
        <f t="shared" si="0"/>
        <v>61.92432114498579</v>
      </c>
      <c r="F4" s="2"/>
      <c r="G4" s="9" t="s">
        <v>18</v>
      </c>
      <c r="H4" s="6">
        <v>1646</v>
      </c>
      <c r="I4" s="6">
        <v>1748</v>
      </c>
      <c r="J4" s="6">
        <v>6</v>
      </c>
      <c r="K4" s="19">
        <f t="shared" si="1"/>
        <v>188.03437571479921</v>
      </c>
      <c r="L4" s="10">
        <f t="shared" si="2"/>
        <v>17.263247999999997</v>
      </c>
    </row>
    <row r="5" spans="1:12" ht="16.5" customHeight="1" x14ac:dyDescent="0.3">
      <c r="A5" s="9" t="s">
        <v>11</v>
      </c>
      <c r="B5" s="6">
        <v>591</v>
      </c>
      <c r="C5" s="6">
        <v>1748</v>
      </c>
      <c r="D5" s="6">
        <v>6</v>
      </c>
      <c r="E5" s="7">
        <f t="shared" si="0"/>
        <v>67.514165277913932</v>
      </c>
      <c r="F5" s="2"/>
      <c r="G5" s="9" t="s">
        <v>19</v>
      </c>
      <c r="H5" s="6">
        <v>1646</v>
      </c>
      <c r="I5" s="6">
        <v>1748</v>
      </c>
      <c r="J5" s="6">
        <v>5</v>
      </c>
      <c r="K5" s="19">
        <f t="shared" si="1"/>
        <v>156.69531309566599</v>
      </c>
      <c r="L5" s="10">
        <f t="shared" si="2"/>
        <v>14.386039999999998</v>
      </c>
    </row>
    <row r="6" spans="1:12" ht="16.5" customHeight="1" x14ac:dyDescent="0.3">
      <c r="A6" s="9" t="s">
        <v>12</v>
      </c>
      <c r="B6" s="6">
        <v>591</v>
      </c>
      <c r="C6" s="6">
        <v>1748</v>
      </c>
      <c r="D6" s="6">
        <v>6</v>
      </c>
      <c r="E6" s="7">
        <f t="shared" si="0"/>
        <v>67.514165277913932</v>
      </c>
      <c r="F6" s="2"/>
      <c r="G6" s="9" t="s">
        <v>11</v>
      </c>
      <c r="H6" s="6">
        <v>591</v>
      </c>
      <c r="I6" s="6">
        <v>1748</v>
      </c>
      <c r="J6" s="6">
        <v>6</v>
      </c>
      <c r="K6" s="19">
        <f t="shared" si="1"/>
        <v>67.514165277913932</v>
      </c>
      <c r="L6" s="10">
        <f t="shared" si="2"/>
        <v>6.1984079999999988</v>
      </c>
    </row>
    <row r="7" spans="1:12" ht="16.5" customHeight="1" x14ac:dyDescent="0.3">
      <c r="A7" s="9" t="s">
        <v>13</v>
      </c>
      <c r="B7" s="6">
        <v>591</v>
      </c>
      <c r="C7" s="6">
        <v>1748</v>
      </c>
      <c r="D7" s="6">
        <v>6</v>
      </c>
      <c r="E7" s="7">
        <f t="shared" si="0"/>
        <v>67.514165277913932</v>
      </c>
      <c r="F7" s="2"/>
      <c r="G7" s="9" t="s">
        <v>12</v>
      </c>
      <c r="H7" s="6">
        <v>591</v>
      </c>
      <c r="I7" s="6">
        <v>1748</v>
      </c>
      <c r="J7" s="6">
        <v>6</v>
      </c>
      <c r="K7" s="19">
        <f t="shared" si="1"/>
        <v>67.514165277913932</v>
      </c>
      <c r="L7" s="10">
        <f t="shared" si="2"/>
        <v>6.1984079999999988</v>
      </c>
    </row>
    <row r="8" spans="1:12" ht="16.5" customHeight="1" x14ac:dyDescent="0.3">
      <c r="A8" s="9" t="s">
        <v>14</v>
      </c>
      <c r="B8" s="6">
        <v>591</v>
      </c>
      <c r="C8" s="6">
        <v>1748</v>
      </c>
      <c r="D8" s="6">
        <v>6</v>
      </c>
      <c r="E8" s="7">
        <f t="shared" si="0"/>
        <v>67.514165277913932</v>
      </c>
      <c r="F8" s="2"/>
      <c r="G8" s="9" t="s">
        <v>13</v>
      </c>
      <c r="H8" s="6">
        <v>591</v>
      </c>
      <c r="I8" s="6">
        <v>1748</v>
      </c>
      <c r="J8" s="6">
        <v>6</v>
      </c>
      <c r="K8" s="19">
        <f t="shared" si="1"/>
        <v>67.514165277913932</v>
      </c>
      <c r="L8" s="10">
        <f t="shared" si="2"/>
        <v>6.1984079999999988</v>
      </c>
    </row>
    <row r="9" spans="1:12" ht="16.5" customHeight="1" x14ac:dyDescent="0.3">
      <c r="A9" s="9" t="s">
        <v>15</v>
      </c>
      <c r="B9" s="6">
        <v>591</v>
      </c>
      <c r="C9" s="6">
        <v>1748</v>
      </c>
      <c r="D9" s="6">
        <v>5</v>
      </c>
      <c r="E9" s="7">
        <f t="shared" si="0"/>
        <v>56.26180439826161</v>
      </c>
      <c r="F9" s="2"/>
      <c r="G9" s="9" t="s">
        <v>14</v>
      </c>
      <c r="H9" s="6">
        <v>591</v>
      </c>
      <c r="I9" s="6">
        <v>1748</v>
      </c>
      <c r="J9" s="6">
        <v>6</v>
      </c>
      <c r="K9" s="19">
        <f t="shared" si="1"/>
        <v>67.514165277913932</v>
      </c>
      <c r="L9" s="10">
        <f t="shared" si="2"/>
        <v>6.1984079999999988</v>
      </c>
    </row>
    <row r="10" spans="1:12" ht="16.5" customHeight="1" x14ac:dyDescent="0.3">
      <c r="A10" s="9" t="s">
        <v>16</v>
      </c>
      <c r="B10" s="6">
        <v>591</v>
      </c>
      <c r="C10" s="6">
        <v>1748</v>
      </c>
      <c r="D10" s="6">
        <v>5</v>
      </c>
      <c r="E10" s="7">
        <f t="shared" si="0"/>
        <v>56.26180439826161</v>
      </c>
      <c r="F10" s="2"/>
      <c r="G10" s="9" t="s">
        <v>15</v>
      </c>
      <c r="H10" s="6">
        <v>591</v>
      </c>
      <c r="I10" s="6">
        <v>1748</v>
      </c>
      <c r="J10" s="6">
        <v>5</v>
      </c>
      <c r="K10" s="19">
        <f t="shared" si="1"/>
        <v>56.26180439826161</v>
      </c>
      <c r="L10" s="10">
        <f t="shared" si="2"/>
        <v>5.1653399999999996</v>
      </c>
    </row>
    <row r="11" spans="1:12" ht="16.5" customHeight="1" x14ac:dyDescent="0.3">
      <c r="A11" s="9" t="s">
        <v>17</v>
      </c>
      <c r="B11" s="6">
        <v>1646</v>
      </c>
      <c r="C11" s="6">
        <v>1748</v>
      </c>
      <c r="D11" s="6">
        <v>6</v>
      </c>
      <c r="E11" s="7">
        <f t="shared" si="0"/>
        <v>188.03437571479921</v>
      </c>
      <c r="F11" s="2"/>
      <c r="G11" s="9" t="s">
        <v>16</v>
      </c>
      <c r="H11" s="6">
        <v>591</v>
      </c>
      <c r="I11" s="6">
        <v>1748</v>
      </c>
      <c r="J11" s="6">
        <v>5</v>
      </c>
      <c r="K11" s="19">
        <f t="shared" si="1"/>
        <v>56.26180439826161</v>
      </c>
      <c r="L11" s="10">
        <f t="shared" si="2"/>
        <v>5.1653399999999996</v>
      </c>
    </row>
    <row r="12" spans="1:12" ht="16.5" customHeight="1" x14ac:dyDescent="0.3">
      <c r="A12" s="9" t="s">
        <v>18</v>
      </c>
      <c r="B12" s="6">
        <v>1646</v>
      </c>
      <c r="C12" s="6">
        <v>1748</v>
      </c>
      <c r="D12" s="6">
        <v>6</v>
      </c>
      <c r="E12" s="7">
        <f t="shared" si="0"/>
        <v>188.03437571479921</v>
      </c>
      <c r="F12" s="2"/>
      <c r="G12" s="9" t="s">
        <v>9</v>
      </c>
      <c r="H12" s="6">
        <v>543</v>
      </c>
      <c r="I12" s="6">
        <v>1745</v>
      </c>
      <c r="J12" s="6">
        <v>6</v>
      </c>
      <c r="K12" s="19">
        <f t="shared" si="1"/>
        <v>61.92432114498579</v>
      </c>
      <c r="L12" s="10">
        <f t="shared" si="2"/>
        <v>5.6852100000000005</v>
      </c>
    </row>
    <row r="13" spans="1:12" ht="16.5" customHeight="1" thickBot="1" x14ac:dyDescent="0.35">
      <c r="A13" s="9" t="s">
        <v>19</v>
      </c>
      <c r="B13" s="6">
        <v>1646</v>
      </c>
      <c r="C13" s="6">
        <v>1748</v>
      </c>
      <c r="D13" s="6">
        <v>5</v>
      </c>
      <c r="E13" s="7">
        <f t="shared" si="0"/>
        <v>156.69531309566599</v>
      </c>
      <c r="F13" s="2"/>
      <c r="G13" s="9" t="s">
        <v>10</v>
      </c>
      <c r="H13" s="6">
        <v>543</v>
      </c>
      <c r="I13" s="6">
        <v>1745</v>
      </c>
      <c r="J13" s="6">
        <v>6</v>
      </c>
      <c r="K13" s="19">
        <f t="shared" si="1"/>
        <v>61.92432114498579</v>
      </c>
      <c r="L13" s="10">
        <f t="shared" si="2"/>
        <v>5.6852100000000005</v>
      </c>
    </row>
    <row r="14" spans="1:12" ht="16.5" customHeight="1" thickTop="1" thickBot="1" x14ac:dyDescent="0.35">
      <c r="A14" s="11"/>
      <c r="B14" s="12"/>
      <c r="C14" s="12"/>
      <c r="D14" s="13">
        <f>SUM(D3:D13)</f>
        <v>63</v>
      </c>
      <c r="E14" s="14">
        <f>SUM(E3:E13)</f>
        <v>1039.1929767234151</v>
      </c>
      <c r="F14" s="15"/>
      <c r="G14" s="16"/>
      <c r="H14" s="13"/>
      <c r="I14" s="13"/>
      <c r="J14" s="13">
        <f>SUM(J3:J13)</f>
        <v>63</v>
      </c>
      <c r="K14" s="14">
        <f>SUM(K3:K13)</f>
        <v>1039.1929767234146</v>
      </c>
      <c r="L14" s="14">
        <f>SUM(L3:L13)</f>
        <v>95.407267999999988</v>
      </c>
    </row>
    <row r="15" spans="1:12" ht="16.5" customHeight="1" thickTop="1" x14ac:dyDescent="0.3">
      <c r="A15" s="1"/>
      <c r="B15" s="36" t="s">
        <v>7</v>
      </c>
      <c r="C15" s="37"/>
      <c r="D15" s="38"/>
      <c r="E15" s="20" t="s">
        <v>20</v>
      </c>
      <c r="F15" s="2"/>
      <c r="G15" s="17"/>
      <c r="H15" s="39" t="str">
        <f>B15</f>
        <v>24T 6CL+12A+6CL</v>
      </c>
      <c r="I15" s="40"/>
      <c r="J15" s="40"/>
      <c r="K15" s="18"/>
      <c r="L15" s="3"/>
    </row>
    <row r="16" spans="1:12" ht="16.5" customHeight="1" x14ac:dyDescent="0.3">
      <c r="A16" s="5" t="s">
        <v>0</v>
      </c>
      <c r="B16" s="6" t="s">
        <v>1</v>
      </c>
      <c r="C16" s="6" t="s">
        <v>2</v>
      </c>
      <c r="D16" s="6" t="s">
        <v>3</v>
      </c>
      <c r="E16" s="7" t="s">
        <v>4</v>
      </c>
      <c r="F16" s="2"/>
      <c r="G16" s="5" t="s">
        <v>0</v>
      </c>
      <c r="H16" s="6" t="s">
        <v>1</v>
      </c>
      <c r="I16" s="6" t="s">
        <v>2</v>
      </c>
      <c r="J16" s="6" t="s">
        <v>3</v>
      </c>
      <c r="K16" s="19" t="s">
        <v>4</v>
      </c>
      <c r="L16" s="8" t="s">
        <v>5</v>
      </c>
    </row>
    <row r="17" spans="1:12" ht="16.5" customHeight="1" x14ac:dyDescent="0.3">
      <c r="A17" s="9" t="s">
        <v>21</v>
      </c>
      <c r="B17" s="6">
        <v>285</v>
      </c>
      <c r="C17" s="6">
        <v>794</v>
      </c>
      <c r="D17" s="6">
        <v>12</v>
      </c>
      <c r="E17" s="7">
        <f t="shared" ref="E17:E22" si="3">SUM(B17*C17/91809*D17)</f>
        <v>29.577492402705616</v>
      </c>
      <c r="F17" s="2"/>
      <c r="G17" s="9" t="s">
        <v>24</v>
      </c>
      <c r="H17" s="6">
        <v>435</v>
      </c>
      <c r="I17" s="6">
        <v>794</v>
      </c>
      <c r="J17" s="6">
        <v>12</v>
      </c>
      <c r="K17" s="7">
        <f t="shared" ref="K17:K22" si="4">SUM(H17*I17/91809*J17)</f>
        <v>45.144593667287523</v>
      </c>
      <c r="L17" s="10">
        <f t="shared" ref="L17:L22" si="5">(H17/1000*I17/1000)*J17</f>
        <v>4.1446799999999993</v>
      </c>
    </row>
    <row r="18" spans="1:12" ht="16.5" customHeight="1" x14ac:dyDescent="0.3">
      <c r="A18" s="9" t="s">
        <v>22</v>
      </c>
      <c r="B18" s="6">
        <v>285</v>
      </c>
      <c r="C18" s="6">
        <v>794</v>
      </c>
      <c r="D18" s="6">
        <v>12</v>
      </c>
      <c r="E18" s="7">
        <f t="shared" si="3"/>
        <v>29.577492402705616</v>
      </c>
      <c r="F18" s="2"/>
      <c r="G18" s="9" t="s">
        <v>25</v>
      </c>
      <c r="H18" s="6">
        <v>435</v>
      </c>
      <c r="I18" s="6">
        <v>794</v>
      </c>
      <c r="J18" s="6">
        <v>12</v>
      </c>
      <c r="K18" s="7">
        <f t="shared" si="4"/>
        <v>45.144593667287523</v>
      </c>
      <c r="L18" s="10">
        <f t="shared" si="5"/>
        <v>4.1446799999999993</v>
      </c>
    </row>
    <row r="19" spans="1:12" ht="16.5" customHeight="1" x14ac:dyDescent="0.3">
      <c r="A19" s="9" t="s">
        <v>23</v>
      </c>
      <c r="B19" s="6">
        <v>285</v>
      </c>
      <c r="C19" s="6">
        <v>794</v>
      </c>
      <c r="D19" s="6">
        <v>10</v>
      </c>
      <c r="E19" s="7">
        <f t="shared" si="3"/>
        <v>24.647910335588016</v>
      </c>
      <c r="F19" s="2"/>
      <c r="G19" s="9" t="s">
        <v>26</v>
      </c>
      <c r="H19" s="6">
        <v>435</v>
      </c>
      <c r="I19" s="6">
        <v>794</v>
      </c>
      <c r="J19" s="6">
        <v>10</v>
      </c>
      <c r="K19" s="7">
        <f t="shared" si="4"/>
        <v>37.6204947227396</v>
      </c>
      <c r="L19" s="10">
        <f t="shared" si="5"/>
        <v>3.4539</v>
      </c>
    </row>
    <row r="20" spans="1:12" ht="16.5" customHeight="1" x14ac:dyDescent="0.3">
      <c r="A20" s="9" t="s">
        <v>24</v>
      </c>
      <c r="B20" s="6">
        <v>435</v>
      </c>
      <c r="C20" s="6">
        <v>794</v>
      </c>
      <c r="D20" s="6">
        <v>12</v>
      </c>
      <c r="E20" s="7">
        <f t="shared" si="3"/>
        <v>45.144593667287523</v>
      </c>
      <c r="F20" s="2"/>
      <c r="G20" s="9" t="s">
        <v>21</v>
      </c>
      <c r="H20" s="6">
        <v>285</v>
      </c>
      <c r="I20" s="6">
        <v>794</v>
      </c>
      <c r="J20" s="6">
        <v>12</v>
      </c>
      <c r="K20" s="7">
        <f t="shared" si="4"/>
        <v>29.577492402705616</v>
      </c>
      <c r="L20" s="10">
        <f t="shared" si="5"/>
        <v>2.7154799999999999</v>
      </c>
    </row>
    <row r="21" spans="1:12" ht="16.5" customHeight="1" x14ac:dyDescent="0.3">
      <c r="A21" s="9" t="s">
        <v>25</v>
      </c>
      <c r="B21" s="6">
        <v>435</v>
      </c>
      <c r="C21" s="6">
        <v>794</v>
      </c>
      <c r="D21" s="6">
        <v>12</v>
      </c>
      <c r="E21" s="7">
        <f t="shared" si="3"/>
        <v>45.144593667287523</v>
      </c>
      <c r="F21" s="2"/>
      <c r="G21" s="9" t="s">
        <v>22</v>
      </c>
      <c r="H21" s="6">
        <v>285</v>
      </c>
      <c r="I21" s="6">
        <v>794</v>
      </c>
      <c r="J21" s="6">
        <v>12</v>
      </c>
      <c r="K21" s="7">
        <f t="shared" si="4"/>
        <v>29.577492402705616</v>
      </c>
      <c r="L21" s="10">
        <f t="shared" si="5"/>
        <v>2.7154799999999999</v>
      </c>
    </row>
    <row r="22" spans="1:12" ht="16.5" customHeight="1" thickBot="1" x14ac:dyDescent="0.35">
      <c r="A22" s="9" t="s">
        <v>26</v>
      </c>
      <c r="B22" s="6">
        <v>435</v>
      </c>
      <c r="C22" s="6">
        <v>794</v>
      </c>
      <c r="D22" s="6">
        <v>10</v>
      </c>
      <c r="E22" s="7">
        <f t="shared" si="3"/>
        <v>37.6204947227396</v>
      </c>
      <c r="F22" s="2"/>
      <c r="G22" s="9" t="s">
        <v>23</v>
      </c>
      <c r="H22" s="6">
        <v>285</v>
      </c>
      <c r="I22" s="6">
        <v>794</v>
      </c>
      <c r="J22" s="6">
        <v>10</v>
      </c>
      <c r="K22" s="7">
        <f t="shared" si="4"/>
        <v>24.647910335588016</v>
      </c>
      <c r="L22" s="10">
        <f t="shared" si="5"/>
        <v>2.2629000000000001</v>
      </c>
    </row>
    <row r="23" spans="1:12" ht="16.5" customHeight="1" thickTop="1" thickBot="1" x14ac:dyDescent="0.35">
      <c r="A23" s="11"/>
      <c r="B23" s="12"/>
      <c r="C23" s="12"/>
      <c r="D23" s="13">
        <f>SUM(D17:D22)</f>
        <v>68</v>
      </c>
      <c r="E23" s="14">
        <f>SUM(E17:E22)</f>
        <v>211.71257719831391</v>
      </c>
      <c r="F23" s="15"/>
      <c r="G23" s="16"/>
      <c r="H23" s="13"/>
      <c r="I23" s="13"/>
      <c r="J23" s="13">
        <f>SUM(J17:J22)</f>
        <v>68</v>
      </c>
      <c r="K23" s="14">
        <f>SUM(K17:K22)</f>
        <v>211.71257719831391</v>
      </c>
      <c r="L23" s="14">
        <f>SUM(L17:L22)</f>
        <v>19.43712</v>
      </c>
    </row>
    <row r="24" spans="1:12" ht="16.5" customHeight="1" thickTop="1" x14ac:dyDescent="0.3">
      <c r="A24" s="1"/>
      <c r="B24" s="36" t="s">
        <v>8</v>
      </c>
      <c r="C24" s="37"/>
      <c r="D24" s="38"/>
      <c r="E24" s="20" t="s">
        <v>20</v>
      </c>
      <c r="F24" s="2"/>
      <c r="G24" s="17"/>
      <c r="H24" s="39" t="str">
        <f>B24</f>
        <v>24T 6CL+12A+6로이</v>
      </c>
      <c r="I24" s="40"/>
      <c r="J24" s="40"/>
      <c r="K24" s="18"/>
      <c r="L24" s="3"/>
    </row>
    <row r="25" spans="1:12" ht="16.5" customHeight="1" x14ac:dyDescent="0.3">
      <c r="A25" s="5" t="s">
        <v>0</v>
      </c>
      <c r="B25" s="6" t="s">
        <v>1</v>
      </c>
      <c r="C25" s="6" t="s">
        <v>2</v>
      </c>
      <c r="D25" s="6" t="s">
        <v>3</v>
      </c>
      <c r="E25" s="7" t="s">
        <v>4</v>
      </c>
      <c r="F25" s="2"/>
      <c r="G25" s="5" t="s">
        <v>0</v>
      </c>
      <c r="H25" s="6" t="s">
        <v>1</v>
      </c>
      <c r="I25" s="6" t="s">
        <v>2</v>
      </c>
      <c r="J25" s="6" t="s">
        <v>3</v>
      </c>
      <c r="K25" s="19" t="s">
        <v>4</v>
      </c>
      <c r="L25" s="8" t="s">
        <v>5</v>
      </c>
    </row>
    <row r="26" spans="1:12" ht="16.5" customHeight="1" x14ac:dyDescent="0.3">
      <c r="A26" s="9" t="s">
        <v>27</v>
      </c>
      <c r="B26" s="6">
        <v>291</v>
      </c>
      <c r="C26" s="6">
        <v>798</v>
      </c>
      <c r="D26" s="6">
        <v>12</v>
      </c>
      <c r="E26" s="7">
        <f t="shared" ref="E26:E42" si="6">SUM(B26*C26/91809*D26)</f>
        <v>30.352318400156847</v>
      </c>
      <c r="F26" s="2"/>
      <c r="G26" s="9" t="s">
        <v>41</v>
      </c>
      <c r="H26" s="6">
        <v>742</v>
      </c>
      <c r="I26" s="6">
        <v>1748</v>
      </c>
      <c r="J26" s="6">
        <v>6</v>
      </c>
      <c r="K26" s="7">
        <f t="shared" ref="K26:K42" si="7">SUM(H26*I26/91809*J26)</f>
        <v>84.763977387837798</v>
      </c>
      <c r="L26" s="10">
        <f t="shared" ref="L26:L42" si="8">(H26/1000*I26/1000)*J26</f>
        <v>7.782096000000001</v>
      </c>
    </row>
    <row r="27" spans="1:12" ht="16.5" customHeight="1" x14ac:dyDescent="0.3">
      <c r="A27" s="9" t="s">
        <v>28</v>
      </c>
      <c r="B27" s="6">
        <v>291</v>
      </c>
      <c r="C27" s="6">
        <v>798</v>
      </c>
      <c r="D27" s="6">
        <v>12</v>
      </c>
      <c r="E27" s="7">
        <f t="shared" si="6"/>
        <v>30.352318400156847</v>
      </c>
      <c r="F27" s="2"/>
      <c r="G27" s="9" t="s">
        <v>42</v>
      </c>
      <c r="H27" s="6">
        <v>742</v>
      </c>
      <c r="I27" s="6">
        <v>1748</v>
      </c>
      <c r="J27" s="6">
        <v>6</v>
      </c>
      <c r="K27" s="7">
        <f t="shared" si="7"/>
        <v>84.763977387837798</v>
      </c>
      <c r="L27" s="10">
        <f t="shared" si="8"/>
        <v>7.782096000000001</v>
      </c>
    </row>
    <row r="28" spans="1:12" ht="16.5" customHeight="1" x14ac:dyDescent="0.3">
      <c r="A28" s="9" t="s">
        <v>29</v>
      </c>
      <c r="B28" s="6">
        <v>291</v>
      </c>
      <c r="C28" s="6">
        <v>798</v>
      </c>
      <c r="D28" s="6">
        <v>10</v>
      </c>
      <c r="E28" s="7">
        <f t="shared" si="6"/>
        <v>25.293598666797372</v>
      </c>
      <c r="F28" s="2"/>
      <c r="G28" s="9" t="s">
        <v>43</v>
      </c>
      <c r="H28" s="6">
        <v>742</v>
      </c>
      <c r="I28" s="6">
        <v>1748</v>
      </c>
      <c r="J28" s="6">
        <v>5</v>
      </c>
      <c r="K28" s="7">
        <f t="shared" si="7"/>
        <v>70.63664782319816</v>
      </c>
      <c r="L28" s="10">
        <f t="shared" si="8"/>
        <v>6.4850800000000008</v>
      </c>
    </row>
    <row r="29" spans="1:12" ht="16.5" customHeight="1" x14ac:dyDescent="0.3">
      <c r="A29" s="9" t="s">
        <v>30</v>
      </c>
      <c r="B29" s="6">
        <v>441</v>
      </c>
      <c r="C29" s="6">
        <v>798</v>
      </c>
      <c r="D29" s="6">
        <v>12</v>
      </c>
      <c r="E29" s="7">
        <f t="shared" si="6"/>
        <v>45.997843348691305</v>
      </c>
      <c r="F29" s="2"/>
      <c r="G29" s="9" t="s">
        <v>35</v>
      </c>
      <c r="H29" s="6">
        <v>591</v>
      </c>
      <c r="I29" s="6">
        <v>1748</v>
      </c>
      <c r="J29" s="6">
        <v>6</v>
      </c>
      <c r="K29" s="7">
        <f t="shared" si="7"/>
        <v>67.514165277913932</v>
      </c>
      <c r="L29" s="10">
        <f t="shared" si="8"/>
        <v>6.1984079999999988</v>
      </c>
    </row>
    <row r="30" spans="1:12" ht="16.5" customHeight="1" x14ac:dyDescent="0.3">
      <c r="A30" s="9" t="s">
        <v>31</v>
      </c>
      <c r="B30" s="6">
        <v>441</v>
      </c>
      <c r="C30" s="6">
        <v>798</v>
      </c>
      <c r="D30" s="6">
        <v>12</v>
      </c>
      <c r="E30" s="7">
        <f t="shared" si="6"/>
        <v>45.997843348691305</v>
      </c>
      <c r="F30" s="2"/>
      <c r="G30" s="9" t="s">
        <v>36</v>
      </c>
      <c r="H30" s="6">
        <v>591</v>
      </c>
      <c r="I30" s="6">
        <v>1748</v>
      </c>
      <c r="J30" s="6">
        <v>6</v>
      </c>
      <c r="K30" s="7">
        <f t="shared" si="7"/>
        <v>67.514165277913932</v>
      </c>
      <c r="L30" s="10">
        <f t="shared" si="8"/>
        <v>6.1984079999999988</v>
      </c>
    </row>
    <row r="31" spans="1:12" ht="16.5" customHeight="1" x14ac:dyDescent="0.3">
      <c r="A31" s="9" t="s">
        <v>32</v>
      </c>
      <c r="B31" s="6">
        <v>441</v>
      </c>
      <c r="C31" s="6">
        <v>798</v>
      </c>
      <c r="D31" s="6">
        <v>10</v>
      </c>
      <c r="E31" s="7">
        <f t="shared" si="6"/>
        <v>38.331536123909423</v>
      </c>
      <c r="F31" s="2"/>
      <c r="G31" s="9" t="s">
        <v>37</v>
      </c>
      <c r="H31" s="6">
        <v>591</v>
      </c>
      <c r="I31" s="6">
        <v>1748</v>
      </c>
      <c r="J31" s="6">
        <v>6</v>
      </c>
      <c r="K31" s="7">
        <f t="shared" si="7"/>
        <v>67.514165277913932</v>
      </c>
      <c r="L31" s="10">
        <f t="shared" si="8"/>
        <v>6.1984079999999988</v>
      </c>
    </row>
    <row r="32" spans="1:12" ht="16.5" customHeight="1" x14ac:dyDescent="0.3">
      <c r="A32" s="9" t="s">
        <v>33</v>
      </c>
      <c r="B32" s="6">
        <v>543</v>
      </c>
      <c r="C32" s="6">
        <v>1745</v>
      </c>
      <c r="D32" s="6">
        <v>6</v>
      </c>
      <c r="E32" s="7">
        <f t="shared" si="6"/>
        <v>61.92432114498579</v>
      </c>
      <c r="F32" s="2"/>
      <c r="G32" s="9" t="s">
        <v>38</v>
      </c>
      <c r="H32" s="6">
        <v>591</v>
      </c>
      <c r="I32" s="6">
        <v>1748</v>
      </c>
      <c r="J32" s="6">
        <v>6</v>
      </c>
      <c r="K32" s="7">
        <f t="shared" si="7"/>
        <v>67.514165277913932</v>
      </c>
      <c r="L32" s="10">
        <f t="shared" si="8"/>
        <v>6.1984079999999988</v>
      </c>
    </row>
    <row r="33" spans="1:12" ht="16.5" customHeight="1" x14ac:dyDescent="0.3">
      <c r="A33" s="9" t="s">
        <v>34</v>
      </c>
      <c r="B33" s="6">
        <v>543</v>
      </c>
      <c r="C33" s="6">
        <v>1745</v>
      </c>
      <c r="D33" s="6">
        <v>6</v>
      </c>
      <c r="E33" s="7">
        <f t="shared" si="6"/>
        <v>61.92432114498579</v>
      </c>
      <c r="F33" s="2"/>
      <c r="G33" s="9" t="s">
        <v>39</v>
      </c>
      <c r="H33" s="6">
        <v>591</v>
      </c>
      <c r="I33" s="6">
        <v>1748</v>
      </c>
      <c r="J33" s="6">
        <v>5</v>
      </c>
      <c r="K33" s="7">
        <f t="shared" si="7"/>
        <v>56.26180439826161</v>
      </c>
      <c r="L33" s="10">
        <f t="shared" si="8"/>
        <v>5.1653399999999996</v>
      </c>
    </row>
    <row r="34" spans="1:12" ht="16.5" customHeight="1" x14ac:dyDescent="0.3">
      <c r="A34" s="9" t="s">
        <v>35</v>
      </c>
      <c r="B34" s="6">
        <v>591</v>
      </c>
      <c r="C34" s="6">
        <v>1748</v>
      </c>
      <c r="D34" s="6">
        <v>6</v>
      </c>
      <c r="E34" s="7">
        <f t="shared" si="6"/>
        <v>67.514165277913932</v>
      </c>
      <c r="F34" s="2"/>
      <c r="G34" s="9" t="s">
        <v>40</v>
      </c>
      <c r="H34" s="6">
        <v>591</v>
      </c>
      <c r="I34" s="6">
        <v>1748</v>
      </c>
      <c r="J34" s="6">
        <v>5</v>
      </c>
      <c r="K34" s="7">
        <f t="shared" si="7"/>
        <v>56.26180439826161</v>
      </c>
      <c r="L34" s="10">
        <f t="shared" si="8"/>
        <v>5.1653399999999996</v>
      </c>
    </row>
    <row r="35" spans="1:12" ht="16.5" customHeight="1" x14ac:dyDescent="0.3">
      <c r="A35" s="9" t="s">
        <v>36</v>
      </c>
      <c r="B35" s="6">
        <v>591</v>
      </c>
      <c r="C35" s="6">
        <v>1748</v>
      </c>
      <c r="D35" s="6">
        <v>6</v>
      </c>
      <c r="E35" s="7">
        <f t="shared" si="6"/>
        <v>67.514165277913932</v>
      </c>
      <c r="F35" s="2"/>
      <c r="G35" s="9" t="s">
        <v>33</v>
      </c>
      <c r="H35" s="6">
        <v>543</v>
      </c>
      <c r="I35" s="6">
        <v>1745</v>
      </c>
      <c r="J35" s="6">
        <v>6</v>
      </c>
      <c r="K35" s="7">
        <f t="shared" si="7"/>
        <v>61.92432114498579</v>
      </c>
      <c r="L35" s="10">
        <f t="shared" si="8"/>
        <v>5.6852100000000005</v>
      </c>
    </row>
    <row r="36" spans="1:12" ht="16.5" customHeight="1" x14ac:dyDescent="0.3">
      <c r="A36" s="9" t="s">
        <v>37</v>
      </c>
      <c r="B36" s="6">
        <v>591</v>
      </c>
      <c r="C36" s="6">
        <v>1748</v>
      </c>
      <c r="D36" s="6">
        <v>6</v>
      </c>
      <c r="E36" s="7">
        <f t="shared" si="6"/>
        <v>67.514165277913932</v>
      </c>
      <c r="F36" s="2"/>
      <c r="G36" s="9" t="s">
        <v>34</v>
      </c>
      <c r="H36" s="6">
        <v>543</v>
      </c>
      <c r="I36" s="6">
        <v>1745</v>
      </c>
      <c r="J36" s="6">
        <v>6</v>
      </c>
      <c r="K36" s="7">
        <f t="shared" si="7"/>
        <v>61.92432114498579</v>
      </c>
      <c r="L36" s="10">
        <f t="shared" si="8"/>
        <v>5.6852100000000005</v>
      </c>
    </row>
    <row r="37" spans="1:12" ht="16.5" customHeight="1" x14ac:dyDescent="0.3">
      <c r="A37" s="9" t="s">
        <v>38</v>
      </c>
      <c r="B37" s="6">
        <v>591</v>
      </c>
      <c r="C37" s="6">
        <v>1748</v>
      </c>
      <c r="D37" s="6">
        <v>6</v>
      </c>
      <c r="E37" s="7">
        <f t="shared" si="6"/>
        <v>67.514165277913932</v>
      </c>
      <c r="F37" s="2"/>
      <c r="G37" s="9" t="s">
        <v>30</v>
      </c>
      <c r="H37" s="6">
        <v>441</v>
      </c>
      <c r="I37" s="6">
        <v>798</v>
      </c>
      <c r="J37" s="6">
        <v>12</v>
      </c>
      <c r="K37" s="7">
        <f t="shared" si="7"/>
        <v>45.997843348691305</v>
      </c>
      <c r="L37" s="10">
        <f t="shared" si="8"/>
        <v>4.2230160000000003</v>
      </c>
    </row>
    <row r="38" spans="1:12" ht="16.5" customHeight="1" x14ac:dyDescent="0.3">
      <c r="A38" s="9" t="s">
        <v>39</v>
      </c>
      <c r="B38" s="6">
        <v>591</v>
      </c>
      <c r="C38" s="6">
        <v>1748</v>
      </c>
      <c r="D38" s="6">
        <v>5</v>
      </c>
      <c r="E38" s="7">
        <f t="shared" si="6"/>
        <v>56.26180439826161</v>
      </c>
      <c r="F38" s="2"/>
      <c r="G38" s="9" t="s">
        <v>31</v>
      </c>
      <c r="H38" s="6">
        <v>441</v>
      </c>
      <c r="I38" s="6">
        <v>798</v>
      </c>
      <c r="J38" s="6">
        <v>12</v>
      </c>
      <c r="K38" s="7">
        <f t="shared" si="7"/>
        <v>45.997843348691305</v>
      </c>
      <c r="L38" s="10">
        <f t="shared" si="8"/>
        <v>4.2230160000000003</v>
      </c>
    </row>
    <row r="39" spans="1:12" ht="16.5" customHeight="1" x14ac:dyDescent="0.3">
      <c r="A39" s="9" t="s">
        <v>40</v>
      </c>
      <c r="B39" s="6">
        <v>591</v>
      </c>
      <c r="C39" s="6">
        <v>1748</v>
      </c>
      <c r="D39" s="6">
        <v>5</v>
      </c>
      <c r="E39" s="7">
        <f t="shared" si="6"/>
        <v>56.26180439826161</v>
      </c>
      <c r="F39" s="2"/>
      <c r="G39" s="9" t="s">
        <v>32</v>
      </c>
      <c r="H39" s="6">
        <v>441</v>
      </c>
      <c r="I39" s="6">
        <v>798</v>
      </c>
      <c r="J39" s="6">
        <v>10</v>
      </c>
      <c r="K39" s="7">
        <f t="shared" si="7"/>
        <v>38.331536123909423</v>
      </c>
      <c r="L39" s="10">
        <f t="shared" si="8"/>
        <v>3.51918</v>
      </c>
    </row>
    <row r="40" spans="1:12" ht="16.5" customHeight="1" x14ac:dyDescent="0.3">
      <c r="A40" s="9" t="s">
        <v>41</v>
      </c>
      <c r="B40" s="6">
        <v>742</v>
      </c>
      <c r="C40" s="6">
        <v>1748</v>
      </c>
      <c r="D40" s="6">
        <v>6</v>
      </c>
      <c r="E40" s="7">
        <f t="shared" si="6"/>
        <v>84.763977387837798</v>
      </c>
      <c r="F40" s="2"/>
      <c r="G40" s="9" t="s">
        <v>27</v>
      </c>
      <c r="H40" s="6">
        <v>291</v>
      </c>
      <c r="I40" s="6">
        <v>798</v>
      </c>
      <c r="J40" s="6">
        <v>12</v>
      </c>
      <c r="K40" s="7">
        <f t="shared" si="7"/>
        <v>30.352318400156847</v>
      </c>
      <c r="L40" s="10">
        <f t="shared" si="8"/>
        <v>2.7866159999999995</v>
      </c>
    </row>
    <row r="41" spans="1:12" ht="16.5" customHeight="1" x14ac:dyDescent="0.3">
      <c r="A41" s="9" t="s">
        <v>42</v>
      </c>
      <c r="B41" s="6">
        <v>742</v>
      </c>
      <c r="C41" s="6">
        <v>1748</v>
      </c>
      <c r="D41" s="6">
        <v>6</v>
      </c>
      <c r="E41" s="7">
        <f t="shared" si="6"/>
        <v>84.763977387837798</v>
      </c>
      <c r="F41" s="2"/>
      <c r="G41" s="9" t="s">
        <v>28</v>
      </c>
      <c r="H41" s="6">
        <v>291</v>
      </c>
      <c r="I41" s="6">
        <v>798</v>
      </c>
      <c r="J41" s="6">
        <v>12</v>
      </c>
      <c r="K41" s="7">
        <f t="shared" si="7"/>
        <v>30.352318400156847</v>
      </c>
      <c r="L41" s="10">
        <f t="shared" si="8"/>
        <v>2.7866159999999995</v>
      </c>
    </row>
    <row r="42" spans="1:12" ht="16.5" customHeight="1" thickBot="1" x14ac:dyDescent="0.35">
      <c r="A42" s="9" t="s">
        <v>43</v>
      </c>
      <c r="B42" s="6">
        <v>742</v>
      </c>
      <c r="C42" s="6">
        <v>1748</v>
      </c>
      <c r="D42" s="6">
        <v>5</v>
      </c>
      <c r="E42" s="7">
        <f t="shared" si="6"/>
        <v>70.63664782319816</v>
      </c>
      <c r="F42" s="2"/>
      <c r="G42" s="9" t="s">
        <v>29</v>
      </c>
      <c r="H42" s="6">
        <v>291</v>
      </c>
      <c r="I42" s="6">
        <v>798</v>
      </c>
      <c r="J42" s="6">
        <v>10</v>
      </c>
      <c r="K42" s="7">
        <f t="shared" si="7"/>
        <v>25.293598666797372</v>
      </c>
      <c r="L42" s="10">
        <f t="shared" si="8"/>
        <v>2.3221799999999999</v>
      </c>
    </row>
    <row r="43" spans="1:12" ht="16.5" customHeight="1" thickTop="1" thickBot="1" x14ac:dyDescent="0.35">
      <c r="A43" s="11"/>
      <c r="B43" s="12"/>
      <c r="C43" s="12"/>
      <c r="D43" s="13">
        <f>SUM(D26:D42)</f>
        <v>131</v>
      </c>
      <c r="E43" s="14">
        <f>SUM(E26:E42)</f>
        <v>962.9189730854273</v>
      </c>
      <c r="F43" s="15"/>
      <c r="G43" s="16"/>
      <c r="H43" s="13"/>
      <c r="I43" s="13"/>
      <c r="J43" s="13">
        <f>SUM(J26:J42)</f>
        <v>131</v>
      </c>
      <c r="K43" s="14">
        <f>SUM(K26:K42)</f>
        <v>962.91897308542741</v>
      </c>
      <c r="L43" s="14">
        <f>SUM(L26:L42)</f>
        <v>88.404628000000002</v>
      </c>
    </row>
    <row r="44" spans="1:12" ht="16.5" customHeight="1" thickTop="1" x14ac:dyDescent="0.3">
      <c r="A44" s="1"/>
      <c r="B44" s="36" t="s">
        <v>7</v>
      </c>
      <c r="C44" s="37"/>
      <c r="D44" s="38"/>
      <c r="E44" s="20" t="s">
        <v>20</v>
      </c>
      <c r="F44" s="2"/>
      <c r="G44" s="17"/>
      <c r="H44" s="39" t="str">
        <f>B44</f>
        <v>24T 6CL+12A+6CL</v>
      </c>
      <c r="I44" s="40"/>
      <c r="J44" s="40"/>
      <c r="K44" s="18"/>
      <c r="L44" s="3"/>
    </row>
    <row r="45" spans="1:12" ht="16.5" customHeight="1" x14ac:dyDescent="0.3">
      <c r="A45" s="5" t="s">
        <v>0</v>
      </c>
      <c r="B45" s="6" t="s">
        <v>1</v>
      </c>
      <c r="C45" s="6" t="s">
        <v>2</v>
      </c>
      <c r="D45" s="6" t="s">
        <v>3</v>
      </c>
      <c r="E45" s="7" t="s">
        <v>4</v>
      </c>
      <c r="F45" s="2"/>
      <c r="G45" s="5" t="s">
        <v>0</v>
      </c>
      <c r="H45" s="6" t="s">
        <v>1</v>
      </c>
      <c r="I45" s="6" t="s">
        <v>2</v>
      </c>
      <c r="J45" s="6" t="s">
        <v>3</v>
      </c>
      <c r="K45" s="19" t="s">
        <v>4</v>
      </c>
      <c r="L45" s="8" t="s">
        <v>5</v>
      </c>
    </row>
    <row r="46" spans="1:12" ht="16.5" customHeight="1" x14ac:dyDescent="0.3">
      <c r="A46" s="9" t="s">
        <v>44</v>
      </c>
      <c r="B46" s="6">
        <v>587</v>
      </c>
      <c r="C46" s="6">
        <v>1746</v>
      </c>
      <c r="D46" s="6">
        <v>12</v>
      </c>
      <c r="E46" s="7">
        <f t="shared" ref="E46:E57" si="9">SUM(B46*C46/91809*D46)</f>
        <v>133.9609842172336</v>
      </c>
      <c r="F46" s="2"/>
      <c r="G46" s="9" t="s">
        <v>50</v>
      </c>
      <c r="H46" s="6">
        <v>1631</v>
      </c>
      <c r="I46" s="6">
        <v>1746</v>
      </c>
      <c r="J46" s="6">
        <v>6</v>
      </c>
      <c r="K46" s="7">
        <f t="shared" ref="K46:K57" si="10">SUM(H46*I46/91809*J46)</f>
        <v>186.10763650622488</v>
      </c>
      <c r="L46" s="10">
        <f t="shared" ref="L46:L57" si="11">(H46/1000*I46/1000)*J46</f>
        <v>17.086356000000002</v>
      </c>
    </row>
    <row r="47" spans="1:12" ht="16.5" customHeight="1" x14ac:dyDescent="0.3">
      <c r="A47" s="9" t="s">
        <v>45</v>
      </c>
      <c r="B47" s="6">
        <v>587</v>
      </c>
      <c r="C47" s="6">
        <v>1746</v>
      </c>
      <c r="D47" s="6">
        <v>12</v>
      </c>
      <c r="E47" s="7">
        <f t="shared" si="9"/>
        <v>133.9609842172336</v>
      </c>
      <c r="F47" s="2"/>
      <c r="G47" s="9" t="s">
        <v>51</v>
      </c>
      <c r="H47" s="6">
        <v>1631</v>
      </c>
      <c r="I47" s="6">
        <v>1746</v>
      </c>
      <c r="J47" s="6">
        <v>6</v>
      </c>
      <c r="K47" s="7">
        <f t="shared" si="10"/>
        <v>186.10763650622488</v>
      </c>
      <c r="L47" s="10">
        <f t="shared" si="11"/>
        <v>17.086356000000002</v>
      </c>
    </row>
    <row r="48" spans="1:12" ht="16.5" customHeight="1" x14ac:dyDescent="0.3">
      <c r="A48" s="9" t="s">
        <v>46</v>
      </c>
      <c r="B48" s="6">
        <v>587</v>
      </c>
      <c r="C48" s="6">
        <v>1746</v>
      </c>
      <c r="D48" s="6">
        <v>12</v>
      </c>
      <c r="E48" s="7">
        <f t="shared" si="9"/>
        <v>133.9609842172336</v>
      </c>
      <c r="F48" s="2"/>
      <c r="G48" s="9" t="s">
        <v>52</v>
      </c>
      <c r="H48" s="6">
        <v>1631</v>
      </c>
      <c r="I48" s="6">
        <v>1746</v>
      </c>
      <c r="J48" s="6">
        <v>5</v>
      </c>
      <c r="K48" s="7">
        <f t="shared" si="10"/>
        <v>155.08969708852072</v>
      </c>
      <c r="L48" s="10">
        <f t="shared" si="11"/>
        <v>14.238630000000001</v>
      </c>
    </row>
    <row r="49" spans="1:12" ht="16.5" customHeight="1" x14ac:dyDescent="0.3">
      <c r="A49" s="9" t="s">
        <v>47</v>
      </c>
      <c r="B49" s="6">
        <v>587</v>
      </c>
      <c r="C49" s="6">
        <v>1746</v>
      </c>
      <c r="D49" s="6">
        <v>12</v>
      </c>
      <c r="E49" s="7">
        <f t="shared" si="9"/>
        <v>133.9609842172336</v>
      </c>
      <c r="F49" s="2"/>
      <c r="G49" s="9" t="s">
        <v>50</v>
      </c>
      <c r="H49" s="6">
        <v>742</v>
      </c>
      <c r="I49" s="6">
        <v>1746</v>
      </c>
      <c r="J49" s="6">
        <v>6</v>
      </c>
      <c r="K49" s="7">
        <f t="shared" si="10"/>
        <v>84.666993432016469</v>
      </c>
      <c r="L49" s="10">
        <f t="shared" si="11"/>
        <v>7.7731919999999999</v>
      </c>
    </row>
    <row r="50" spans="1:12" ht="16.5" customHeight="1" x14ac:dyDescent="0.3">
      <c r="A50" s="9" t="s">
        <v>48</v>
      </c>
      <c r="B50" s="6">
        <v>587</v>
      </c>
      <c r="C50" s="6">
        <v>1746</v>
      </c>
      <c r="D50" s="6">
        <v>10</v>
      </c>
      <c r="E50" s="7">
        <f t="shared" si="9"/>
        <v>111.63415351436134</v>
      </c>
      <c r="F50" s="2"/>
      <c r="G50" s="9" t="s">
        <v>51</v>
      </c>
      <c r="H50" s="6">
        <v>742</v>
      </c>
      <c r="I50" s="6">
        <v>1746</v>
      </c>
      <c r="J50" s="6">
        <v>6</v>
      </c>
      <c r="K50" s="7">
        <f t="shared" si="10"/>
        <v>84.666993432016469</v>
      </c>
      <c r="L50" s="10">
        <f t="shared" si="11"/>
        <v>7.7731919999999999</v>
      </c>
    </row>
    <row r="51" spans="1:12" ht="16.5" customHeight="1" x14ac:dyDescent="0.3">
      <c r="A51" s="9" t="s">
        <v>49</v>
      </c>
      <c r="B51" s="6">
        <v>587</v>
      </c>
      <c r="C51" s="6">
        <v>1746</v>
      </c>
      <c r="D51" s="6">
        <v>10</v>
      </c>
      <c r="E51" s="7">
        <f t="shared" si="9"/>
        <v>111.63415351436134</v>
      </c>
      <c r="F51" s="2"/>
      <c r="G51" s="9" t="s">
        <v>52</v>
      </c>
      <c r="H51" s="6">
        <v>742</v>
      </c>
      <c r="I51" s="6">
        <v>1746</v>
      </c>
      <c r="J51" s="6">
        <v>5</v>
      </c>
      <c r="K51" s="7">
        <f t="shared" si="10"/>
        <v>70.555827860013721</v>
      </c>
      <c r="L51" s="10">
        <f t="shared" si="11"/>
        <v>6.4776599999999993</v>
      </c>
    </row>
    <row r="52" spans="1:12" ht="16.5" customHeight="1" x14ac:dyDescent="0.3">
      <c r="A52" s="9" t="s">
        <v>50</v>
      </c>
      <c r="B52" s="6">
        <v>742</v>
      </c>
      <c r="C52" s="6">
        <v>1746</v>
      </c>
      <c r="D52" s="6">
        <v>6</v>
      </c>
      <c r="E52" s="7">
        <f t="shared" si="9"/>
        <v>84.666993432016469</v>
      </c>
      <c r="F52" s="2"/>
      <c r="G52" s="9" t="s">
        <v>44</v>
      </c>
      <c r="H52" s="6">
        <v>587</v>
      </c>
      <c r="I52" s="6">
        <v>1746</v>
      </c>
      <c r="J52" s="6">
        <v>12</v>
      </c>
      <c r="K52" s="7">
        <f t="shared" si="10"/>
        <v>133.9609842172336</v>
      </c>
      <c r="L52" s="10">
        <f t="shared" si="11"/>
        <v>12.298824</v>
      </c>
    </row>
    <row r="53" spans="1:12" ht="16.5" customHeight="1" x14ac:dyDescent="0.3">
      <c r="A53" s="9" t="s">
        <v>51</v>
      </c>
      <c r="B53" s="6">
        <v>742</v>
      </c>
      <c r="C53" s="6">
        <v>1746</v>
      </c>
      <c r="D53" s="6">
        <v>6</v>
      </c>
      <c r="E53" s="7">
        <f t="shared" si="9"/>
        <v>84.666993432016469</v>
      </c>
      <c r="F53" s="2"/>
      <c r="G53" s="9" t="s">
        <v>45</v>
      </c>
      <c r="H53" s="6">
        <v>587</v>
      </c>
      <c r="I53" s="6">
        <v>1746</v>
      </c>
      <c r="J53" s="6">
        <v>12</v>
      </c>
      <c r="K53" s="7">
        <f t="shared" si="10"/>
        <v>133.9609842172336</v>
      </c>
      <c r="L53" s="10">
        <f t="shared" si="11"/>
        <v>12.298824</v>
      </c>
    </row>
    <row r="54" spans="1:12" ht="16.5" customHeight="1" x14ac:dyDescent="0.3">
      <c r="A54" s="9" t="s">
        <v>52</v>
      </c>
      <c r="B54" s="6">
        <v>742</v>
      </c>
      <c r="C54" s="6">
        <v>1746</v>
      </c>
      <c r="D54" s="6">
        <v>5</v>
      </c>
      <c r="E54" s="7">
        <f t="shared" si="9"/>
        <v>70.555827860013721</v>
      </c>
      <c r="F54" s="2"/>
      <c r="G54" s="9" t="s">
        <v>46</v>
      </c>
      <c r="H54" s="6">
        <v>587</v>
      </c>
      <c r="I54" s="6">
        <v>1746</v>
      </c>
      <c r="J54" s="6">
        <v>12</v>
      </c>
      <c r="K54" s="7">
        <f t="shared" si="10"/>
        <v>133.9609842172336</v>
      </c>
      <c r="L54" s="10">
        <f t="shared" si="11"/>
        <v>12.298824</v>
      </c>
    </row>
    <row r="55" spans="1:12" ht="16.5" customHeight="1" x14ac:dyDescent="0.3">
      <c r="A55" s="9" t="s">
        <v>50</v>
      </c>
      <c r="B55" s="6">
        <v>1631</v>
      </c>
      <c r="C55" s="6">
        <v>1746</v>
      </c>
      <c r="D55" s="6">
        <v>6</v>
      </c>
      <c r="E55" s="7">
        <f t="shared" si="9"/>
        <v>186.10763650622488</v>
      </c>
      <c r="F55" s="2"/>
      <c r="G55" s="9" t="s">
        <v>47</v>
      </c>
      <c r="H55" s="6">
        <v>587</v>
      </c>
      <c r="I55" s="6">
        <v>1746</v>
      </c>
      <c r="J55" s="6">
        <v>12</v>
      </c>
      <c r="K55" s="7">
        <f t="shared" si="10"/>
        <v>133.9609842172336</v>
      </c>
      <c r="L55" s="10">
        <f t="shared" si="11"/>
        <v>12.298824</v>
      </c>
    </row>
    <row r="56" spans="1:12" ht="16.5" customHeight="1" x14ac:dyDescent="0.3">
      <c r="A56" s="9" t="s">
        <v>51</v>
      </c>
      <c r="B56" s="6">
        <v>1631</v>
      </c>
      <c r="C56" s="6">
        <v>1746</v>
      </c>
      <c r="D56" s="6">
        <v>6</v>
      </c>
      <c r="E56" s="7">
        <f t="shared" si="9"/>
        <v>186.10763650622488</v>
      </c>
      <c r="F56" s="2"/>
      <c r="G56" s="9" t="s">
        <v>48</v>
      </c>
      <c r="H56" s="6">
        <v>587</v>
      </c>
      <c r="I56" s="6">
        <v>1746</v>
      </c>
      <c r="J56" s="6">
        <v>10</v>
      </c>
      <c r="K56" s="7">
        <f t="shared" si="10"/>
        <v>111.63415351436134</v>
      </c>
      <c r="L56" s="10">
        <f t="shared" si="11"/>
        <v>10.24902</v>
      </c>
    </row>
    <row r="57" spans="1:12" ht="16.5" customHeight="1" thickBot="1" x14ac:dyDescent="0.35">
      <c r="A57" s="9" t="s">
        <v>52</v>
      </c>
      <c r="B57" s="6">
        <v>1631</v>
      </c>
      <c r="C57" s="6">
        <v>1746</v>
      </c>
      <c r="D57" s="6">
        <v>5</v>
      </c>
      <c r="E57" s="7">
        <f t="shared" si="9"/>
        <v>155.08969708852072</v>
      </c>
      <c r="F57" s="2"/>
      <c r="G57" s="9" t="s">
        <v>49</v>
      </c>
      <c r="H57" s="6">
        <v>587</v>
      </c>
      <c r="I57" s="6">
        <v>1746</v>
      </c>
      <c r="J57" s="6">
        <v>10</v>
      </c>
      <c r="K57" s="7">
        <f t="shared" si="10"/>
        <v>111.63415351436134</v>
      </c>
      <c r="L57" s="10">
        <f t="shared" si="11"/>
        <v>10.24902</v>
      </c>
    </row>
    <row r="58" spans="1:12" s="21" customFormat="1" ht="16.5" customHeight="1" thickTop="1" thickBot="1" x14ac:dyDescent="0.35">
      <c r="A58" s="27"/>
      <c r="B58" s="28"/>
      <c r="C58" s="28"/>
      <c r="D58" s="28">
        <f>SUM(D46:D57)</f>
        <v>102</v>
      </c>
      <c r="E58" s="29">
        <f>SUM(E46:E57)</f>
        <v>1526.3070287226744</v>
      </c>
      <c r="F58" s="24"/>
      <c r="G58" s="30"/>
      <c r="H58" s="28"/>
      <c r="I58" s="28"/>
      <c r="J58" s="28">
        <f>SUM(J46:J57)</f>
        <v>102</v>
      </c>
      <c r="K58" s="29">
        <f>SUM(K46:K57)</f>
        <v>1526.307028722674</v>
      </c>
      <c r="L58" s="31">
        <f>SUM(L46:L57)</f>
        <v>140.12872199999998</v>
      </c>
    </row>
    <row r="59" spans="1:12" ht="16.5" customHeight="1" thickTop="1" x14ac:dyDescent="0.3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</sheetData>
  <sortState ref="G46:J57">
    <sortCondition descending="1" ref="I46:I57"/>
    <sortCondition descending="1" ref="H46:H57"/>
  </sortState>
  <mergeCells count="9">
    <mergeCell ref="B44:D44"/>
    <mergeCell ref="H44:J44"/>
    <mergeCell ref="B1:D1"/>
    <mergeCell ref="H1:J1"/>
    <mergeCell ref="B15:D15"/>
    <mergeCell ref="H15:J15"/>
    <mergeCell ref="B24:D24"/>
    <mergeCell ref="H24:J24"/>
    <mergeCell ref="A59:L59"/>
  </mergeCells>
  <phoneticPr fontId="3" type="noConversion"/>
  <printOptions horizontalCentered="1"/>
  <pageMargins left="0.19685039370078741" right="0.15748031496062992" top="0.31496062992125984" bottom="0.35433070866141736" header="0.15748031496062992" footer="0.15748031496062992"/>
  <pageSetup paperSize="9" scale="60" fitToHeight="0" orientation="portrait" r:id="rId1"/>
  <headerFooter>
    <oddHeader>&amp;L거래처&amp;C현장&amp;R시공 :  소장</oddHeader>
    <oddFooter>&amp;N페이지 중 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대우산성역헤리스톤3BL</vt:lpstr>
      <vt:lpstr>대우산성역헤리스톤3BL!Print_Area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dong8</dc:creator>
  <cp:lastModifiedBy>ONE</cp:lastModifiedBy>
  <cp:lastPrinted>2026-08-21T05:22:58Z</cp:lastPrinted>
  <dcterms:created xsi:type="dcterms:W3CDTF">2023-04-10T05:26:40Z</dcterms:created>
  <dcterms:modified xsi:type="dcterms:W3CDTF">2026-08-26T01:06:27Z</dcterms:modified>
</cp:coreProperties>
</file>