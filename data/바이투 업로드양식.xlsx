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ykim\OneDrive\문서\카카오톡 받은 파일\"/>
    </mc:Choice>
  </mc:AlternateContent>
  <xr:revisionPtr revIDLastSave="0" documentId="13_ncr:1_{926977CD-D80A-404F-923E-9971D9A2E1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바이투" sheetId="2" r:id="rId1"/>
    <sheet name="필드설명" sheetId="3" r:id="rId2"/>
    <sheet name="원본" sheetId="1" state="hidden" r:id="rId3"/>
  </sheets>
  <definedNames>
    <definedName name="_xlnm._FilterDatabase" localSheetId="0" hidden="1">바이투!$A$1:$AA$1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12" i="2" l="1"/>
  <c r="N212" i="2"/>
  <c r="M212" i="2"/>
  <c r="L212" i="2"/>
  <c r="K212" i="2"/>
  <c r="J212" i="2"/>
  <c r="H212" i="2"/>
  <c r="G212" i="2"/>
  <c r="F212" i="2"/>
  <c r="D212" i="2"/>
  <c r="C212" i="2"/>
  <c r="B212" i="2"/>
  <c r="A212" i="2"/>
  <c r="Z211" i="2"/>
  <c r="N211" i="2"/>
  <c r="M211" i="2"/>
  <c r="L211" i="2"/>
  <c r="K211" i="2"/>
  <c r="H211" i="2"/>
  <c r="J211" i="2" s="1"/>
  <c r="G211" i="2"/>
  <c r="F211" i="2"/>
  <c r="D211" i="2"/>
  <c r="C211" i="2"/>
  <c r="B211" i="2"/>
  <c r="A211" i="2"/>
  <c r="Z210" i="2"/>
  <c r="N210" i="2"/>
  <c r="M210" i="2"/>
  <c r="L210" i="2"/>
  <c r="K210" i="2"/>
  <c r="H210" i="2"/>
  <c r="J210" i="2" s="1"/>
  <c r="G210" i="2"/>
  <c r="F210" i="2"/>
  <c r="D210" i="2"/>
  <c r="C210" i="2"/>
  <c r="B210" i="2"/>
  <c r="A210" i="2"/>
  <c r="Z209" i="2"/>
  <c r="N209" i="2"/>
  <c r="M209" i="2"/>
  <c r="L209" i="2"/>
  <c r="K209" i="2"/>
  <c r="H209" i="2"/>
  <c r="J209" i="2" s="1"/>
  <c r="G209" i="2"/>
  <c r="F209" i="2"/>
  <c r="D209" i="2"/>
  <c r="C209" i="2"/>
  <c r="B209" i="2"/>
  <c r="A209" i="2"/>
  <c r="Z208" i="2"/>
  <c r="N208" i="2"/>
  <c r="M208" i="2"/>
  <c r="L208" i="2"/>
  <c r="K208" i="2"/>
  <c r="J208" i="2"/>
  <c r="H208" i="2"/>
  <c r="G208" i="2"/>
  <c r="F208" i="2"/>
  <c r="D208" i="2"/>
  <c r="C208" i="2"/>
  <c r="B208" i="2"/>
  <c r="A208" i="2"/>
  <c r="Z207" i="2"/>
  <c r="N207" i="2"/>
  <c r="M207" i="2"/>
  <c r="L207" i="2"/>
  <c r="K207" i="2"/>
  <c r="H207" i="2"/>
  <c r="J207" i="2" s="1"/>
  <c r="G207" i="2"/>
  <c r="F207" i="2"/>
  <c r="D207" i="2"/>
  <c r="C207" i="2"/>
  <c r="B207" i="2"/>
  <c r="A207" i="2"/>
  <c r="Z206" i="2"/>
  <c r="N206" i="2"/>
  <c r="M206" i="2"/>
  <c r="L206" i="2"/>
  <c r="K206" i="2"/>
  <c r="H206" i="2"/>
  <c r="J206" i="2" s="1"/>
  <c r="G206" i="2"/>
  <c r="F206" i="2"/>
  <c r="D206" i="2"/>
  <c r="C206" i="2"/>
  <c r="B206" i="2"/>
  <c r="A206" i="2"/>
  <c r="Z205" i="2"/>
  <c r="N205" i="2"/>
  <c r="M205" i="2"/>
  <c r="L205" i="2"/>
  <c r="K205" i="2"/>
  <c r="H205" i="2"/>
  <c r="J205" i="2" s="1"/>
  <c r="G205" i="2"/>
  <c r="F205" i="2"/>
  <c r="D205" i="2"/>
  <c r="C205" i="2"/>
  <c r="B205" i="2"/>
  <c r="A205" i="2"/>
  <c r="Z204" i="2"/>
  <c r="N204" i="2"/>
  <c r="M204" i="2"/>
  <c r="L204" i="2"/>
  <c r="K204" i="2"/>
  <c r="H204" i="2"/>
  <c r="J204" i="2" s="1"/>
  <c r="G204" i="2"/>
  <c r="F204" i="2"/>
  <c r="D204" i="2"/>
  <c r="C204" i="2"/>
  <c r="B204" i="2"/>
  <c r="A204" i="2"/>
  <c r="Z203" i="2"/>
  <c r="N203" i="2"/>
  <c r="M203" i="2"/>
  <c r="L203" i="2"/>
  <c r="K203" i="2"/>
  <c r="J203" i="2"/>
  <c r="H203" i="2"/>
  <c r="G203" i="2"/>
  <c r="F203" i="2"/>
  <c r="D203" i="2"/>
  <c r="C203" i="2"/>
  <c r="B203" i="2"/>
  <c r="A203" i="2"/>
  <c r="Z202" i="2"/>
  <c r="N202" i="2"/>
  <c r="M202" i="2"/>
  <c r="L202" i="2"/>
  <c r="K202" i="2"/>
  <c r="H202" i="2"/>
  <c r="J202" i="2" s="1"/>
  <c r="G202" i="2"/>
  <c r="F202" i="2"/>
  <c r="D202" i="2"/>
  <c r="C202" i="2"/>
  <c r="B202" i="2"/>
  <c r="A202" i="2"/>
  <c r="Z201" i="2"/>
  <c r="N201" i="2"/>
  <c r="M201" i="2"/>
  <c r="L201" i="2"/>
  <c r="K201" i="2"/>
  <c r="H201" i="2"/>
  <c r="J201" i="2" s="1"/>
  <c r="G201" i="2"/>
  <c r="F201" i="2"/>
  <c r="D201" i="2"/>
  <c r="C201" i="2"/>
  <c r="B201" i="2"/>
  <c r="A201" i="2"/>
  <c r="Z200" i="2"/>
  <c r="N200" i="2"/>
  <c r="M200" i="2"/>
  <c r="L200" i="2"/>
  <c r="K200" i="2"/>
  <c r="H200" i="2"/>
  <c r="J200" i="2" s="1"/>
  <c r="G200" i="2"/>
  <c r="F200" i="2"/>
  <c r="D200" i="2"/>
  <c r="C200" i="2"/>
  <c r="B200" i="2"/>
  <c r="A200" i="2"/>
  <c r="Z199" i="2"/>
  <c r="N199" i="2"/>
  <c r="M199" i="2"/>
  <c r="L199" i="2"/>
  <c r="K199" i="2"/>
  <c r="J199" i="2"/>
  <c r="H199" i="2"/>
  <c r="G199" i="2"/>
  <c r="F199" i="2"/>
  <c r="D199" i="2"/>
  <c r="C199" i="2"/>
  <c r="B199" i="2"/>
  <c r="A199" i="2"/>
  <c r="Z198" i="2"/>
  <c r="N198" i="2"/>
  <c r="M198" i="2"/>
  <c r="L198" i="2"/>
  <c r="K198" i="2"/>
  <c r="J198" i="2"/>
  <c r="H198" i="2"/>
  <c r="G198" i="2"/>
  <c r="F198" i="2"/>
  <c r="D198" i="2"/>
  <c r="C198" i="2"/>
  <c r="B198" i="2"/>
  <c r="A198" i="2"/>
  <c r="Z197" i="2"/>
  <c r="N197" i="2"/>
  <c r="M197" i="2"/>
  <c r="L197" i="2"/>
  <c r="K197" i="2"/>
  <c r="J197" i="2"/>
  <c r="H197" i="2"/>
  <c r="G197" i="2"/>
  <c r="F197" i="2"/>
  <c r="D197" i="2"/>
  <c r="C197" i="2"/>
  <c r="B197" i="2"/>
  <c r="A197" i="2"/>
  <c r="Z196" i="2"/>
  <c r="N196" i="2"/>
  <c r="M196" i="2"/>
  <c r="L196" i="2"/>
  <c r="K196" i="2"/>
  <c r="H196" i="2"/>
  <c r="J196" i="2" s="1"/>
  <c r="G196" i="2"/>
  <c r="F196" i="2"/>
  <c r="D196" i="2"/>
  <c r="C196" i="2"/>
  <c r="B196" i="2"/>
  <c r="A196" i="2"/>
  <c r="Z195" i="2"/>
  <c r="N195" i="2"/>
  <c r="M195" i="2"/>
  <c r="L195" i="2"/>
  <c r="K195" i="2"/>
  <c r="H195" i="2"/>
  <c r="J195" i="2" s="1"/>
  <c r="G195" i="2"/>
  <c r="F195" i="2"/>
  <c r="D195" i="2"/>
  <c r="C195" i="2"/>
  <c r="B195" i="2"/>
  <c r="A195" i="2"/>
  <c r="Z194" i="2"/>
  <c r="N194" i="2"/>
  <c r="M194" i="2"/>
  <c r="L194" i="2"/>
  <c r="K194" i="2"/>
  <c r="J194" i="2"/>
  <c r="H194" i="2"/>
  <c r="G194" i="2"/>
  <c r="F194" i="2"/>
  <c r="D194" i="2"/>
  <c r="C194" i="2"/>
  <c r="B194" i="2"/>
  <c r="A194" i="2"/>
  <c r="Z193" i="2"/>
  <c r="N193" i="2"/>
  <c r="M193" i="2"/>
  <c r="L193" i="2"/>
  <c r="K193" i="2"/>
  <c r="J193" i="2"/>
  <c r="H193" i="2"/>
  <c r="G193" i="2"/>
  <c r="F193" i="2"/>
  <c r="D193" i="2"/>
  <c r="C193" i="2"/>
  <c r="B193" i="2"/>
  <c r="A193" i="2"/>
  <c r="Z192" i="2"/>
  <c r="N192" i="2"/>
  <c r="M192" i="2"/>
  <c r="L192" i="2"/>
  <c r="K192" i="2"/>
  <c r="J192" i="2"/>
  <c r="H192" i="2"/>
  <c r="G192" i="2"/>
  <c r="F192" i="2"/>
  <c r="D192" i="2"/>
  <c r="C192" i="2"/>
  <c r="B192" i="2"/>
  <c r="A192" i="2"/>
  <c r="Z191" i="2"/>
  <c r="N191" i="2"/>
  <c r="M191" i="2"/>
  <c r="L191" i="2"/>
  <c r="K191" i="2"/>
  <c r="H191" i="2"/>
  <c r="J191" i="2" s="1"/>
  <c r="G191" i="2"/>
  <c r="F191" i="2"/>
  <c r="D191" i="2"/>
  <c r="C191" i="2"/>
  <c r="B191" i="2"/>
  <c r="A191" i="2"/>
  <c r="Z190" i="2"/>
  <c r="N190" i="2"/>
  <c r="M190" i="2"/>
  <c r="L190" i="2"/>
  <c r="K190" i="2"/>
  <c r="H190" i="2"/>
  <c r="J190" i="2" s="1"/>
  <c r="G190" i="2"/>
  <c r="F190" i="2"/>
  <c r="D190" i="2"/>
  <c r="C190" i="2"/>
  <c r="B190" i="2"/>
  <c r="A190" i="2"/>
  <c r="Z189" i="2"/>
  <c r="N189" i="2"/>
  <c r="M189" i="2"/>
  <c r="L189" i="2"/>
  <c r="K189" i="2"/>
  <c r="H189" i="2"/>
  <c r="J189" i="2" s="1"/>
  <c r="G189" i="2"/>
  <c r="F189" i="2"/>
  <c r="D189" i="2"/>
  <c r="C189" i="2"/>
  <c r="B189" i="2"/>
  <c r="A189" i="2"/>
  <c r="Z188" i="2"/>
  <c r="N188" i="2"/>
  <c r="M188" i="2"/>
  <c r="L188" i="2"/>
  <c r="K188" i="2"/>
  <c r="J188" i="2"/>
  <c r="H188" i="2"/>
  <c r="G188" i="2"/>
  <c r="F188" i="2"/>
  <c r="D188" i="2"/>
  <c r="C188" i="2"/>
  <c r="B188" i="2"/>
  <c r="A188" i="2"/>
  <c r="Z187" i="2"/>
  <c r="N187" i="2"/>
  <c r="M187" i="2"/>
  <c r="L187" i="2"/>
  <c r="K187" i="2"/>
  <c r="J187" i="2"/>
  <c r="H187" i="2"/>
  <c r="G187" i="2"/>
  <c r="F187" i="2"/>
  <c r="D187" i="2"/>
  <c r="C187" i="2"/>
  <c r="B187" i="2"/>
  <c r="A187" i="2"/>
  <c r="Z186" i="2"/>
  <c r="N186" i="2"/>
  <c r="M186" i="2"/>
  <c r="L186" i="2"/>
  <c r="K186" i="2"/>
  <c r="H186" i="2"/>
  <c r="J186" i="2" s="1"/>
  <c r="G186" i="2"/>
  <c r="F186" i="2"/>
  <c r="D186" i="2"/>
  <c r="C186" i="2"/>
  <c r="B186" i="2"/>
  <c r="A186" i="2"/>
  <c r="Z185" i="2"/>
  <c r="N185" i="2"/>
  <c r="M185" i="2"/>
  <c r="L185" i="2"/>
  <c r="K185" i="2"/>
  <c r="H185" i="2"/>
  <c r="J185" i="2" s="1"/>
  <c r="G185" i="2"/>
  <c r="F185" i="2"/>
  <c r="D185" i="2"/>
  <c r="C185" i="2"/>
  <c r="B185" i="2"/>
  <c r="A185" i="2"/>
  <c r="Z184" i="2"/>
  <c r="N184" i="2"/>
  <c r="M184" i="2"/>
  <c r="L184" i="2"/>
  <c r="K184" i="2"/>
  <c r="H184" i="2"/>
  <c r="J184" i="2" s="1"/>
  <c r="G184" i="2"/>
  <c r="F184" i="2"/>
  <c r="D184" i="2"/>
  <c r="C184" i="2"/>
  <c r="B184" i="2"/>
  <c r="A184" i="2"/>
  <c r="Z183" i="2"/>
  <c r="N183" i="2"/>
  <c r="M183" i="2"/>
  <c r="L183" i="2"/>
  <c r="K183" i="2"/>
  <c r="J183" i="2"/>
  <c r="H183" i="2"/>
  <c r="G183" i="2"/>
  <c r="F183" i="2"/>
  <c r="D183" i="2"/>
  <c r="C183" i="2"/>
  <c r="B183" i="2"/>
  <c r="A183" i="2"/>
  <c r="Z182" i="2"/>
  <c r="N182" i="2"/>
  <c r="M182" i="2"/>
  <c r="L182" i="2"/>
  <c r="K182" i="2"/>
  <c r="H182" i="2"/>
  <c r="J182" i="2" s="1"/>
  <c r="G182" i="2"/>
  <c r="F182" i="2"/>
  <c r="D182" i="2"/>
  <c r="C182" i="2"/>
  <c r="B182" i="2"/>
  <c r="A182" i="2"/>
  <c r="Z181" i="2"/>
  <c r="N181" i="2"/>
  <c r="M181" i="2"/>
  <c r="L181" i="2"/>
  <c r="K181" i="2"/>
  <c r="J181" i="2"/>
  <c r="H181" i="2"/>
  <c r="G181" i="2"/>
  <c r="F181" i="2"/>
  <c r="D181" i="2"/>
  <c r="C181" i="2"/>
  <c r="B181" i="2"/>
  <c r="A181" i="2"/>
  <c r="Z180" i="2"/>
  <c r="N180" i="2"/>
  <c r="M180" i="2"/>
  <c r="L180" i="2"/>
  <c r="K180" i="2"/>
  <c r="H180" i="2"/>
  <c r="J180" i="2" s="1"/>
  <c r="G180" i="2"/>
  <c r="F180" i="2"/>
  <c r="D180" i="2"/>
  <c r="C180" i="2"/>
  <c r="B180" i="2"/>
  <c r="A180" i="2"/>
  <c r="Z179" i="2"/>
  <c r="N179" i="2"/>
  <c r="M179" i="2"/>
  <c r="L179" i="2"/>
  <c r="K179" i="2"/>
  <c r="J179" i="2"/>
  <c r="H179" i="2"/>
  <c r="G179" i="2"/>
  <c r="F179" i="2"/>
  <c r="D179" i="2"/>
  <c r="C179" i="2"/>
  <c r="B179" i="2"/>
  <c r="A179" i="2"/>
  <c r="Z178" i="2"/>
  <c r="N178" i="2"/>
  <c r="M178" i="2"/>
  <c r="L178" i="2"/>
  <c r="K178" i="2"/>
  <c r="H178" i="2"/>
  <c r="J178" i="2" s="1"/>
  <c r="G178" i="2"/>
  <c r="F178" i="2"/>
  <c r="D178" i="2"/>
  <c r="C178" i="2"/>
  <c r="B178" i="2"/>
  <c r="A178" i="2"/>
  <c r="Z177" i="2"/>
  <c r="N177" i="2"/>
  <c r="M177" i="2"/>
  <c r="L177" i="2"/>
  <c r="K177" i="2"/>
  <c r="J177" i="2"/>
  <c r="H177" i="2"/>
  <c r="G177" i="2"/>
  <c r="F177" i="2"/>
  <c r="D177" i="2"/>
  <c r="C177" i="2"/>
  <c r="B177" i="2"/>
  <c r="A177" i="2"/>
  <c r="Z176" i="2"/>
  <c r="N176" i="2"/>
  <c r="M176" i="2"/>
  <c r="L176" i="2"/>
  <c r="K176" i="2"/>
  <c r="H176" i="2"/>
  <c r="J176" i="2" s="1"/>
  <c r="G176" i="2"/>
  <c r="F176" i="2"/>
  <c r="D176" i="2"/>
  <c r="C176" i="2"/>
  <c r="B176" i="2"/>
  <c r="A176" i="2"/>
  <c r="Z175" i="2"/>
  <c r="N175" i="2"/>
  <c r="M175" i="2"/>
  <c r="L175" i="2"/>
  <c r="K175" i="2"/>
  <c r="H175" i="2"/>
  <c r="J175" i="2" s="1"/>
  <c r="G175" i="2"/>
  <c r="F175" i="2"/>
  <c r="D175" i="2"/>
  <c r="C175" i="2"/>
  <c r="B175" i="2"/>
  <c r="A175" i="2"/>
  <c r="Z174" i="2"/>
  <c r="N174" i="2"/>
  <c r="M174" i="2"/>
  <c r="L174" i="2"/>
  <c r="K174" i="2"/>
  <c r="J174" i="2"/>
  <c r="H174" i="2"/>
  <c r="G174" i="2"/>
  <c r="F174" i="2"/>
  <c r="D174" i="2"/>
  <c r="C174" i="2"/>
  <c r="B174" i="2"/>
  <c r="A174" i="2"/>
  <c r="Z173" i="2"/>
  <c r="N173" i="2"/>
  <c r="M173" i="2"/>
  <c r="L173" i="2"/>
  <c r="K173" i="2"/>
  <c r="J173" i="2"/>
  <c r="H173" i="2"/>
  <c r="G173" i="2"/>
  <c r="F173" i="2"/>
  <c r="D173" i="2"/>
  <c r="C173" i="2"/>
  <c r="B173" i="2"/>
  <c r="A173" i="2"/>
  <c r="Z172" i="2"/>
  <c r="N172" i="2"/>
  <c r="M172" i="2"/>
  <c r="L172" i="2"/>
  <c r="K172" i="2"/>
  <c r="H172" i="2"/>
  <c r="J172" i="2" s="1"/>
  <c r="G172" i="2"/>
  <c r="F172" i="2"/>
  <c r="D172" i="2"/>
  <c r="C172" i="2"/>
  <c r="B172" i="2"/>
  <c r="A172" i="2"/>
  <c r="Z171" i="2"/>
  <c r="N171" i="2"/>
  <c r="M171" i="2"/>
  <c r="L171" i="2"/>
  <c r="K171" i="2"/>
  <c r="H171" i="2"/>
  <c r="J171" i="2" s="1"/>
  <c r="G171" i="2"/>
  <c r="F171" i="2"/>
  <c r="D171" i="2"/>
  <c r="C171" i="2"/>
  <c r="B171" i="2"/>
  <c r="A171" i="2"/>
  <c r="Z170" i="2"/>
  <c r="N170" i="2"/>
  <c r="M170" i="2"/>
  <c r="L170" i="2"/>
  <c r="K170" i="2"/>
  <c r="J170" i="2"/>
  <c r="H170" i="2"/>
  <c r="G170" i="2"/>
  <c r="F170" i="2"/>
  <c r="D170" i="2"/>
  <c r="C170" i="2"/>
  <c r="B170" i="2"/>
  <c r="A170" i="2"/>
  <c r="Z169" i="2"/>
  <c r="N169" i="2"/>
  <c r="M169" i="2"/>
  <c r="L169" i="2"/>
  <c r="K169" i="2"/>
  <c r="H169" i="2"/>
  <c r="J169" i="2" s="1"/>
  <c r="G169" i="2"/>
  <c r="F169" i="2"/>
  <c r="D169" i="2"/>
  <c r="C169" i="2"/>
  <c r="B169" i="2"/>
  <c r="A169" i="2"/>
  <c r="Z168" i="2"/>
  <c r="N168" i="2"/>
  <c r="M168" i="2"/>
  <c r="L168" i="2"/>
  <c r="K168" i="2"/>
  <c r="J168" i="2"/>
  <c r="H168" i="2"/>
  <c r="G168" i="2"/>
  <c r="F168" i="2"/>
  <c r="D168" i="2"/>
  <c r="C168" i="2"/>
  <c r="B168" i="2"/>
  <c r="A168" i="2"/>
  <c r="Z167" i="2"/>
  <c r="N167" i="2"/>
  <c r="M167" i="2"/>
  <c r="L167" i="2"/>
  <c r="K167" i="2"/>
  <c r="H167" i="2"/>
  <c r="J167" i="2" s="1"/>
  <c r="G167" i="2"/>
  <c r="F167" i="2"/>
  <c r="D167" i="2"/>
  <c r="C167" i="2"/>
  <c r="B167" i="2"/>
  <c r="A167" i="2"/>
  <c r="Z166" i="2"/>
  <c r="N166" i="2"/>
  <c r="M166" i="2"/>
  <c r="L166" i="2"/>
  <c r="K166" i="2"/>
  <c r="H166" i="2"/>
  <c r="J166" i="2" s="1"/>
  <c r="G166" i="2"/>
  <c r="F166" i="2"/>
  <c r="D166" i="2"/>
  <c r="C166" i="2"/>
  <c r="B166" i="2"/>
  <c r="A166" i="2"/>
  <c r="Z165" i="2"/>
  <c r="N165" i="2"/>
  <c r="M165" i="2"/>
  <c r="L165" i="2"/>
  <c r="K165" i="2"/>
  <c r="H165" i="2"/>
  <c r="J165" i="2" s="1"/>
  <c r="G165" i="2"/>
  <c r="F165" i="2"/>
  <c r="D165" i="2"/>
  <c r="C165" i="2"/>
  <c r="B165" i="2"/>
  <c r="A165" i="2"/>
  <c r="Z164" i="2"/>
  <c r="N164" i="2"/>
  <c r="M164" i="2"/>
  <c r="L164" i="2"/>
  <c r="K164" i="2"/>
  <c r="J164" i="2"/>
  <c r="H164" i="2"/>
  <c r="G164" i="2"/>
  <c r="F164" i="2"/>
  <c r="D164" i="2"/>
  <c r="C164" i="2"/>
  <c r="B164" i="2"/>
  <c r="A164" i="2"/>
  <c r="Z163" i="2"/>
  <c r="N163" i="2"/>
  <c r="M163" i="2"/>
  <c r="L163" i="2"/>
  <c r="K163" i="2"/>
  <c r="J163" i="2"/>
  <c r="H163" i="2"/>
  <c r="G163" i="2"/>
  <c r="F163" i="2"/>
  <c r="D163" i="2"/>
  <c r="C163" i="2"/>
  <c r="B163" i="2"/>
  <c r="A163" i="2"/>
  <c r="Z162" i="2"/>
  <c r="N162" i="2"/>
  <c r="M162" i="2"/>
  <c r="L162" i="2"/>
  <c r="K162" i="2"/>
  <c r="H162" i="2"/>
  <c r="J162" i="2" s="1"/>
  <c r="G162" i="2"/>
  <c r="F162" i="2"/>
  <c r="D162" i="2"/>
  <c r="C162" i="2"/>
  <c r="B162" i="2"/>
  <c r="A162" i="2"/>
  <c r="Z161" i="2"/>
  <c r="N161" i="2"/>
  <c r="M161" i="2"/>
  <c r="L161" i="2"/>
  <c r="K161" i="2"/>
  <c r="H161" i="2"/>
  <c r="J161" i="2" s="1"/>
  <c r="G161" i="2"/>
  <c r="F161" i="2"/>
  <c r="D161" i="2"/>
  <c r="C161" i="2"/>
  <c r="B161" i="2"/>
  <c r="A161" i="2"/>
  <c r="Z160" i="2"/>
  <c r="N160" i="2"/>
  <c r="M160" i="2"/>
  <c r="L160" i="2"/>
  <c r="K160" i="2"/>
  <c r="H160" i="2"/>
  <c r="J160" i="2" s="1"/>
  <c r="G160" i="2"/>
  <c r="F160" i="2"/>
  <c r="D160" i="2"/>
  <c r="C160" i="2"/>
  <c r="B160" i="2"/>
  <c r="A160" i="2"/>
  <c r="Z159" i="2"/>
  <c r="N159" i="2"/>
  <c r="M159" i="2"/>
  <c r="L159" i="2"/>
  <c r="K159" i="2"/>
  <c r="J159" i="2"/>
  <c r="H159" i="2"/>
  <c r="G159" i="2"/>
  <c r="F159" i="2"/>
  <c r="D159" i="2"/>
  <c r="C159" i="2"/>
  <c r="B159" i="2"/>
  <c r="A159" i="2"/>
  <c r="Z158" i="2"/>
  <c r="N158" i="2"/>
  <c r="M158" i="2"/>
  <c r="L158" i="2"/>
  <c r="K158" i="2"/>
  <c r="J158" i="2"/>
  <c r="H158" i="2"/>
  <c r="G158" i="2"/>
  <c r="F158" i="2"/>
  <c r="D158" i="2"/>
  <c r="C158" i="2"/>
  <c r="B158" i="2"/>
  <c r="A158" i="2"/>
  <c r="Z157" i="2"/>
  <c r="N157" i="2"/>
  <c r="M157" i="2"/>
  <c r="L157" i="2"/>
  <c r="K157" i="2"/>
  <c r="J157" i="2"/>
  <c r="H157" i="2"/>
  <c r="G157" i="2"/>
  <c r="F157" i="2"/>
  <c r="D157" i="2"/>
  <c r="C157" i="2"/>
  <c r="B157" i="2"/>
  <c r="A157" i="2"/>
  <c r="Z156" i="2"/>
  <c r="N156" i="2"/>
  <c r="M156" i="2"/>
  <c r="L156" i="2"/>
  <c r="K156" i="2"/>
  <c r="H156" i="2"/>
  <c r="J156" i="2" s="1"/>
  <c r="G156" i="2"/>
  <c r="F156" i="2"/>
  <c r="D156" i="2"/>
  <c r="C156" i="2"/>
  <c r="B156" i="2"/>
  <c r="A156" i="2"/>
  <c r="Z155" i="2"/>
  <c r="N155" i="2"/>
  <c r="M155" i="2"/>
  <c r="L155" i="2"/>
  <c r="K155" i="2"/>
  <c r="H155" i="2"/>
  <c r="J155" i="2" s="1"/>
  <c r="G155" i="2"/>
  <c r="F155" i="2"/>
  <c r="D155" i="2"/>
  <c r="C155" i="2"/>
  <c r="B155" i="2"/>
  <c r="A155" i="2"/>
  <c r="Z154" i="2"/>
  <c r="N154" i="2"/>
  <c r="M154" i="2"/>
  <c r="L154" i="2"/>
  <c r="K154" i="2"/>
  <c r="H154" i="2"/>
  <c r="J154" i="2" s="1"/>
  <c r="G154" i="2"/>
  <c r="F154" i="2"/>
  <c r="D154" i="2"/>
  <c r="C154" i="2"/>
  <c r="B154" i="2"/>
  <c r="A154" i="2"/>
  <c r="Z153" i="2"/>
  <c r="N153" i="2"/>
  <c r="M153" i="2"/>
  <c r="L153" i="2"/>
  <c r="K153" i="2"/>
  <c r="J153" i="2"/>
  <c r="H153" i="2"/>
  <c r="G153" i="2"/>
  <c r="F153" i="2"/>
  <c r="D153" i="2"/>
  <c r="C153" i="2"/>
  <c r="B153" i="2"/>
  <c r="A153" i="2"/>
  <c r="Z152" i="2"/>
  <c r="N152" i="2"/>
  <c r="M152" i="2"/>
  <c r="L152" i="2"/>
  <c r="K152" i="2"/>
  <c r="J152" i="2"/>
  <c r="H152" i="2"/>
  <c r="G152" i="2"/>
  <c r="F152" i="2"/>
  <c r="D152" i="2"/>
  <c r="C152" i="2"/>
  <c r="B152" i="2"/>
  <c r="A152" i="2"/>
  <c r="Z151" i="2"/>
  <c r="N151" i="2"/>
  <c r="M151" i="2"/>
  <c r="L151" i="2"/>
  <c r="K151" i="2"/>
  <c r="J151" i="2"/>
  <c r="H151" i="2"/>
  <c r="G151" i="2"/>
  <c r="F151" i="2"/>
  <c r="D151" i="2"/>
  <c r="C151" i="2"/>
  <c r="B151" i="2"/>
  <c r="A151" i="2"/>
  <c r="Z150" i="2"/>
  <c r="N150" i="2"/>
  <c r="M150" i="2"/>
  <c r="L150" i="2"/>
  <c r="K150" i="2"/>
  <c r="H150" i="2"/>
  <c r="J150" i="2" s="1"/>
  <c r="G150" i="2"/>
  <c r="F150" i="2"/>
  <c r="D150" i="2"/>
  <c r="C150" i="2"/>
  <c r="B150" i="2"/>
  <c r="A150" i="2"/>
  <c r="Z149" i="2"/>
  <c r="N149" i="2"/>
  <c r="M149" i="2"/>
  <c r="L149" i="2"/>
  <c r="K149" i="2"/>
  <c r="H149" i="2"/>
  <c r="J149" i="2" s="1"/>
  <c r="G149" i="2"/>
  <c r="F149" i="2"/>
  <c r="D149" i="2"/>
  <c r="C149" i="2"/>
  <c r="B149" i="2"/>
  <c r="A149" i="2"/>
  <c r="Z148" i="2"/>
  <c r="N148" i="2"/>
  <c r="M148" i="2"/>
  <c r="L148" i="2"/>
  <c r="K148" i="2"/>
  <c r="H148" i="2"/>
  <c r="J148" i="2" s="1"/>
  <c r="G148" i="2"/>
  <c r="F148" i="2"/>
  <c r="D148" i="2"/>
  <c r="C148" i="2"/>
  <c r="B148" i="2"/>
  <c r="A148" i="2"/>
  <c r="Z147" i="2"/>
  <c r="N147" i="2"/>
  <c r="M147" i="2"/>
  <c r="L147" i="2"/>
  <c r="K147" i="2"/>
  <c r="H147" i="2"/>
  <c r="J147" i="2" s="1"/>
  <c r="G147" i="2"/>
  <c r="F147" i="2"/>
  <c r="D147" i="2"/>
  <c r="C147" i="2"/>
  <c r="B147" i="2"/>
  <c r="A147" i="2"/>
  <c r="Z146" i="2"/>
  <c r="N146" i="2"/>
  <c r="M146" i="2"/>
  <c r="L146" i="2"/>
  <c r="K146" i="2"/>
  <c r="J146" i="2"/>
  <c r="H146" i="2"/>
  <c r="G146" i="2"/>
  <c r="F146" i="2"/>
  <c r="D146" i="2"/>
  <c r="C146" i="2"/>
  <c r="B146" i="2"/>
  <c r="A146" i="2"/>
  <c r="Z145" i="2"/>
  <c r="N145" i="2"/>
  <c r="M145" i="2"/>
  <c r="L145" i="2"/>
  <c r="K145" i="2"/>
  <c r="H145" i="2"/>
  <c r="J145" i="2" s="1"/>
  <c r="G145" i="2"/>
  <c r="F145" i="2"/>
  <c r="D145" i="2"/>
  <c r="C145" i="2"/>
  <c r="B145" i="2"/>
  <c r="A145" i="2"/>
  <c r="Z144" i="2"/>
  <c r="N144" i="2"/>
  <c r="M144" i="2"/>
  <c r="L144" i="2"/>
  <c r="K144" i="2"/>
  <c r="J144" i="2"/>
  <c r="H144" i="2"/>
  <c r="G144" i="2"/>
  <c r="F144" i="2"/>
  <c r="D144" i="2"/>
  <c r="C144" i="2"/>
  <c r="B144" i="2"/>
  <c r="A144" i="2"/>
  <c r="Z143" i="2"/>
  <c r="N143" i="2"/>
  <c r="M143" i="2"/>
  <c r="L143" i="2"/>
  <c r="K143" i="2"/>
  <c r="J143" i="2"/>
  <c r="H143" i="2"/>
  <c r="G143" i="2"/>
  <c r="F143" i="2"/>
  <c r="D143" i="2"/>
  <c r="C143" i="2"/>
  <c r="B143" i="2"/>
  <c r="A143" i="2"/>
  <c r="Z142" i="2"/>
  <c r="N142" i="2"/>
  <c r="M142" i="2"/>
  <c r="L142" i="2"/>
  <c r="K142" i="2"/>
  <c r="H142" i="2"/>
  <c r="J142" i="2" s="1"/>
  <c r="G142" i="2"/>
  <c r="F142" i="2"/>
  <c r="D142" i="2"/>
  <c r="C142" i="2"/>
  <c r="B142" i="2"/>
  <c r="A142" i="2"/>
  <c r="Z141" i="2"/>
  <c r="N141" i="2"/>
  <c r="M141" i="2"/>
  <c r="L141" i="2"/>
  <c r="K141" i="2"/>
  <c r="H141" i="2"/>
  <c r="J141" i="2" s="1"/>
  <c r="G141" i="2"/>
  <c r="F141" i="2"/>
  <c r="D141" i="2"/>
  <c r="C141" i="2"/>
  <c r="B141" i="2"/>
  <c r="A141" i="2"/>
  <c r="Z140" i="2"/>
  <c r="N140" i="2"/>
  <c r="M140" i="2"/>
  <c r="L140" i="2"/>
  <c r="K140" i="2"/>
  <c r="J140" i="2"/>
  <c r="H140" i="2"/>
  <c r="G140" i="2"/>
  <c r="F140" i="2"/>
  <c r="D140" i="2"/>
  <c r="C140" i="2"/>
  <c r="B140" i="2"/>
  <c r="A140" i="2"/>
  <c r="Z139" i="2"/>
  <c r="N139" i="2"/>
  <c r="M139" i="2"/>
  <c r="L139" i="2"/>
  <c r="K139" i="2"/>
  <c r="J139" i="2"/>
  <c r="H139" i="2"/>
  <c r="G139" i="2"/>
  <c r="F139" i="2"/>
  <c r="D139" i="2"/>
  <c r="C139" i="2"/>
  <c r="B139" i="2"/>
  <c r="A139" i="2"/>
  <c r="Z138" i="2"/>
  <c r="N138" i="2"/>
  <c r="M138" i="2"/>
  <c r="L138" i="2"/>
  <c r="K138" i="2"/>
  <c r="H138" i="2"/>
  <c r="J138" i="2" s="1"/>
  <c r="G138" i="2"/>
  <c r="F138" i="2"/>
  <c r="D138" i="2"/>
  <c r="C138" i="2"/>
  <c r="B138" i="2"/>
  <c r="A138" i="2"/>
  <c r="Z137" i="2"/>
  <c r="N137" i="2"/>
  <c r="M137" i="2"/>
  <c r="L137" i="2"/>
  <c r="K137" i="2"/>
  <c r="H137" i="2"/>
  <c r="J137" i="2" s="1"/>
  <c r="G137" i="2"/>
  <c r="F137" i="2"/>
  <c r="D137" i="2"/>
  <c r="C137" i="2"/>
  <c r="B137" i="2"/>
  <c r="A137" i="2"/>
  <c r="Z136" i="2"/>
  <c r="N136" i="2"/>
  <c r="M136" i="2"/>
  <c r="L136" i="2"/>
  <c r="K136" i="2"/>
  <c r="J136" i="2"/>
  <c r="H136" i="2"/>
  <c r="G136" i="2"/>
  <c r="F136" i="2"/>
  <c r="D136" i="2"/>
  <c r="C136" i="2"/>
  <c r="B136" i="2"/>
  <c r="A136" i="2"/>
  <c r="Z135" i="2"/>
  <c r="N135" i="2"/>
  <c r="M135" i="2"/>
  <c r="L135" i="2"/>
  <c r="K135" i="2"/>
  <c r="H135" i="2"/>
  <c r="J135" i="2" s="1"/>
  <c r="G135" i="2"/>
  <c r="F135" i="2"/>
  <c r="D135" i="2"/>
  <c r="C135" i="2"/>
  <c r="B135" i="2"/>
  <c r="A135" i="2"/>
  <c r="Z134" i="2"/>
  <c r="N134" i="2"/>
  <c r="M134" i="2"/>
  <c r="L134" i="2"/>
  <c r="K134" i="2"/>
  <c r="H134" i="2"/>
  <c r="J134" i="2" s="1"/>
  <c r="G134" i="2"/>
  <c r="F134" i="2"/>
  <c r="D134" i="2"/>
  <c r="C134" i="2"/>
  <c r="B134" i="2"/>
  <c r="A134" i="2"/>
  <c r="Z133" i="2"/>
  <c r="N133" i="2"/>
  <c r="M133" i="2"/>
  <c r="L133" i="2"/>
  <c r="K133" i="2"/>
  <c r="J133" i="2"/>
  <c r="H133" i="2"/>
  <c r="G133" i="2"/>
  <c r="F133" i="2"/>
  <c r="D133" i="2"/>
  <c r="C133" i="2"/>
  <c r="B133" i="2"/>
  <c r="A133" i="2"/>
  <c r="Z132" i="2"/>
  <c r="N132" i="2"/>
  <c r="M132" i="2"/>
  <c r="L132" i="2"/>
  <c r="K132" i="2"/>
  <c r="J132" i="2"/>
  <c r="H132" i="2"/>
  <c r="G132" i="2"/>
  <c r="F132" i="2"/>
  <c r="D132" i="2"/>
  <c r="C132" i="2"/>
  <c r="B132" i="2"/>
  <c r="A132" i="2"/>
  <c r="Z131" i="2"/>
  <c r="N131" i="2"/>
  <c r="M131" i="2"/>
  <c r="L131" i="2"/>
  <c r="K131" i="2"/>
  <c r="H131" i="2"/>
  <c r="J131" i="2" s="1"/>
  <c r="G131" i="2"/>
  <c r="F131" i="2"/>
  <c r="D131" i="2"/>
  <c r="C131" i="2"/>
  <c r="B131" i="2"/>
  <c r="A131" i="2"/>
  <c r="Z130" i="2"/>
  <c r="N130" i="2"/>
  <c r="M130" i="2"/>
  <c r="L130" i="2"/>
  <c r="K130" i="2"/>
  <c r="H130" i="2"/>
  <c r="J130" i="2" s="1"/>
  <c r="G130" i="2"/>
  <c r="F130" i="2"/>
  <c r="D130" i="2"/>
  <c r="C130" i="2"/>
  <c r="B130" i="2"/>
  <c r="A130" i="2"/>
  <c r="Z129" i="2"/>
  <c r="N129" i="2"/>
  <c r="M129" i="2"/>
  <c r="L129" i="2"/>
  <c r="K129" i="2"/>
  <c r="H129" i="2"/>
  <c r="J129" i="2" s="1"/>
  <c r="G129" i="2"/>
  <c r="F129" i="2"/>
  <c r="D129" i="2"/>
  <c r="C129" i="2"/>
  <c r="B129" i="2"/>
  <c r="A129" i="2"/>
  <c r="Z128" i="2"/>
  <c r="N128" i="2"/>
  <c r="M128" i="2"/>
  <c r="L128" i="2"/>
  <c r="K128" i="2"/>
  <c r="H128" i="2"/>
  <c r="J128" i="2" s="1"/>
  <c r="G128" i="2"/>
  <c r="F128" i="2"/>
  <c r="D128" i="2"/>
  <c r="C128" i="2"/>
  <c r="B128" i="2"/>
  <c r="A128" i="2"/>
  <c r="Z127" i="2"/>
  <c r="N127" i="2"/>
  <c r="M127" i="2"/>
  <c r="L127" i="2"/>
  <c r="K127" i="2"/>
  <c r="H127" i="2"/>
  <c r="J127" i="2" s="1"/>
  <c r="G127" i="2"/>
  <c r="F127" i="2"/>
  <c r="D127" i="2"/>
  <c r="C127" i="2"/>
  <c r="B127" i="2"/>
  <c r="A127" i="2"/>
  <c r="Z126" i="2"/>
  <c r="N126" i="2"/>
  <c r="M126" i="2"/>
  <c r="L126" i="2"/>
  <c r="K126" i="2"/>
  <c r="J126" i="2"/>
  <c r="H126" i="2"/>
  <c r="G126" i="2"/>
  <c r="F126" i="2"/>
  <c r="D126" i="2"/>
  <c r="C126" i="2"/>
  <c r="B126" i="2"/>
  <c r="A126" i="2"/>
  <c r="Z125" i="2"/>
  <c r="N125" i="2"/>
  <c r="M125" i="2"/>
  <c r="L125" i="2"/>
  <c r="K125" i="2"/>
  <c r="H125" i="2"/>
  <c r="J125" i="2" s="1"/>
  <c r="G125" i="2"/>
  <c r="F125" i="2"/>
  <c r="D125" i="2"/>
  <c r="C125" i="2"/>
  <c r="B125" i="2"/>
  <c r="A125" i="2"/>
  <c r="Z124" i="2"/>
  <c r="N124" i="2"/>
  <c r="M124" i="2"/>
  <c r="L124" i="2"/>
  <c r="K124" i="2"/>
  <c r="J124" i="2"/>
  <c r="H124" i="2"/>
  <c r="G124" i="2"/>
  <c r="F124" i="2"/>
  <c r="D124" i="2"/>
  <c r="C124" i="2"/>
  <c r="B124" i="2"/>
  <c r="A124" i="2"/>
  <c r="Z123" i="2"/>
  <c r="N123" i="2"/>
  <c r="M123" i="2"/>
  <c r="L123" i="2"/>
  <c r="K123" i="2"/>
  <c r="J123" i="2"/>
  <c r="H123" i="2"/>
  <c r="G123" i="2"/>
  <c r="F123" i="2"/>
  <c r="D123" i="2"/>
  <c r="C123" i="2"/>
  <c r="B123" i="2"/>
  <c r="A123" i="2"/>
  <c r="Z122" i="2"/>
  <c r="N122" i="2"/>
  <c r="M122" i="2"/>
  <c r="L122" i="2"/>
  <c r="K122" i="2"/>
  <c r="J122" i="2"/>
  <c r="H122" i="2"/>
  <c r="G122" i="2"/>
  <c r="F122" i="2"/>
  <c r="D122" i="2"/>
  <c r="C122" i="2"/>
  <c r="B122" i="2"/>
  <c r="A122" i="2"/>
  <c r="Z121" i="2"/>
  <c r="N121" i="2"/>
  <c r="M121" i="2"/>
  <c r="L121" i="2"/>
  <c r="K121" i="2"/>
  <c r="J121" i="2"/>
  <c r="H121" i="2"/>
  <c r="G121" i="2"/>
  <c r="F121" i="2"/>
  <c r="D121" i="2"/>
  <c r="C121" i="2"/>
  <c r="B121" i="2"/>
  <c r="A121" i="2"/>
  <c r="Z120" i="2"/>
  <c r="N120" i="2"/>
  <c r="M120" i="2"/>
  <c r="L120" i="2"/>
  <c r="K120" i="2"/>
  <c r="H120" i="2"/>
  <c r="J120" i="2" s="1"/>
  <c r="G120" i="2"/>
  <c r="F120" i="2"/>
  <c r="D120" i="2"/>
  <c r="C120" i="2"/>
  <c r="B120" i="2"/>
  <c r="A120" i="2"/>
  <c r="Z119" i="2"/>
  <c r="N119" i="2"/>
  <c r="M119" i="2"/>
  <c r="L119" i="2"/>
  <c r="K119" i="2"/>
  <c r="H119" i="2"/>
  <c r="J119" i="2" s="1"/>
  <c r="G119" i="2"/>
  <c r="F119" i="2"/>
  <c r="D119" i="2"/>
  <c r="C119" i="2"/>
  <c r="B119" i="2"/>
  <c r="A119" i="2"/>
  <c r="Z118" i="2"/>
  <c r="N118" i="2"/>
  <c r="M118" i="2"/>
  <c r="L118" i="2"/>
  <c r="K118" i="2"/>
  <c r="J118" i="2"/>
  <c r="H118" i="2"/>
  <c r="G118" i="2"/>
  <c r="F118" i="2"/>
  <c r="D118" i="2"/>
  <c r="C118" i="2"/>
  <c r="B118" i="2"/>
  <c r="A118" i="2"/>
  <c r="Z117" i="2"/>
  <c r="N117" i="2"/>
  <c r="M117" i="2"/>
  <c r="L117" i="2"/>
  <c r="K117" i="2"/>
  <c r="H117" i="2"/>
  <c r="J117" i="2" s="1"/>
  <c r="G117" i="2"/>
  <c r="F117" i="2"/>
  <c r="D117" i="2"/>
  <c r="C117" i="2"/>
  <c r="B117" i="2"/>
  <c r="A117" i="2"/>
  <c r="Z116" i="2"/>
  <c r="N116" i="2"/>
  <c r="M116" i="2"/>
  <c r="L116" i="2"/>
  <c r="K116" i="2"/>
  <c r="J116" i="2"/>
  <c r="H116" i="2"/>
  <c r="G116" i="2"/>
  <c r="F116" i="2"/>
  <c r="D116" i="2"/>
  <c r="C116" i="2"/>
  <c r="B116" i="2"/>
  <c r="A116" i="2"/>
  <c r="Z115" i="2"/>
  <c r="N115" i="2"/>
  <c r="M115" i="2"/>
  <c r="L115" i="2"/>
  <c r="K115" i="2"/>
  <c r="J115" i="2"/>
  <c r="H115" i="2"/>
  <c r="G115" i="2"/>
  <c r="F115" i="2"/>
  <c r="D115" i="2"/>
  <c r="C115" i="2"/>
  <c r="B115" i="2"/>
  <c r="A115" i="2"/>
  <c r="Z114" i="2"/>
  <c r="N114" i="2"/>
  <c r="M114" i="2"/>
  <c r="L114" i="2"/>
  <c r="K114" i="2"/>
  <c r="J114" i="2"/>
  <c r="H114" i="2"/>
  <c r="G114" i="2"/>
  <c r="F114" i="2"/>
  <c r="D114" i="2"/>
  <c r="C114" i="2"/>
  <c r="B114" i="2"/>
  <c r="A114" i="2"/>
  <c r="Z113" i="2"/>
  <c r="N113" i="2"/>
  <c r="M113" i="2"/>
  <c r="L113" i="2"/>
  <c r="K113" i="2"/>
  <c r="J113" i="2"/>
  <c r="H113" i="2"/>
  <c r="G113" i="2"/>
  <c r="F113" i="2"/>
  <c r="D113" i="2"/>
  <c r="C113" i="2"/>
  <c r="B113" i="2"/>
  <c r="A113" i="2"/>
  <c r="Z112" i="2"/>
  <c r="N112" i="2"/>
  <c r="M112" i="2"/>
  <c r="L112" i="2"/>
  <c r="K112" i="2"/>
  <c r="H112" i="2"/>
  <c r="J112" i="2" s="1"/>
  <c r="G112" i="2"/>
  <c r="F112" i="2"/>
  <c r="D112" i="2"/>
  <c r="C112" i="2"/>
  <c r="B112" i="2"/>
  <c r="A112" i="2"/>
  <c r="Z111" i="2"/>
  <c r="N111" i="2"/>
  <c r="M111" i="2"/>
  <c r="L111" i="2"/>
  <c r="K111" i="2"/>
  <c r="J111" i="2"/>
  <c r="H111" i="2"/>
  <c r="G111" i="2"/>
  <c r="F111" i="2"/>
  <c r="D111" i="2"/>
  <c r="C111" i="2"/>
  <c r="B111" i="2"/>
  <c r="A111" i="2"/>
  <c r="Z110" i="2"/>
  <c r="N110" i="2"/>
  <c r="M110" i="2"/>
  <c r="L110" i="2"/>
  <c r="K110" i="2"/>
  <c r="J110" i="2"/>
  <c r="H110" i="2"/>
  <c r="G110" i="2"/>
  <c r="F110" i="2"/>
  <c r="D110" i="2"/>
  <c r="C110" i="2"/>
  <c r="B110" i="2"/>
  <c r="A110" i="2"/>
  <c r="Z109" i="2"/>
  <c r="N109" i="2"/>
  <c r="M109" i="2"/>
  <c r="L109" i="2"/>
  <c r="K109" i="2"/>
  <c r="H109" i="2"/>
  <c r="J109" i="2" s="1"/>
  <c r="G109" i="2"/>
  <c r="F109" i="2"/>
  <c r="D109" i="2"/>
  <c r="C109" i="2"/>
  <c r="B109" i="2"/>
  <c r="A109" i="2"/>
  <c r="Z108" i="2"/>
  <c r="N108" i="2"/>
  <c r="M108" i="2"/>
  <c r="L108" i="2"/>
  <c r="K108" i="2"/>
  <c r="J108" i="2"/>
  <c r="H108" i="2"/>
  <c r="G108" i="2"/>
  <c r="F108" i="2"/>
  <c r="D108" i="2"/>
  <c r="C108" i="2"/>
  <c r="B108" i="2"/>
  <c r="A108" i="2"/>
  <c r="Z107" i="2"/>
  <c r="N107" i="2"/>
  <c r="M107" i="2"/>
  <c r="L107" i="2"/>
  <c r="K107" i="2"/>
  <c r="J107" i="2"/>
  <c r="H107" i="2"/>
  <c r="G107" i="2"/>
  <c r="F107" i="2"/>
  <c r="D107" i="2"/>
  <c r="C107" i="2"/>
  <c r="B107" i="2"/>
  <c r="A107" i="2"/>
  <c r="Z106" i="2"/>
  <c r="N106" i="2"/>
  <c r="M106" i="2"/>
  <c r="L106" i="2"/>
  <c r="K106" i="2"/>
  <c r="J106" i="2"/>
  <c r="H106" i="2"/>
  <c r="G106" i="2"/>
  <c r="F106" i="2"/>
  <c r="D106" i="2"/>
  <c r="C106" i="2"/>
  <c r="B106" i="2"/>
  <c r="A106" i="2"/>
  <c r="Z105" i="2"/>
  <c r="N105" i="2"/>
  <c r="M105" i="2"/>
  <c r="L105" i="2"/>
  <c r="K105" i="2"/>
  <c r="J105" i="2"/>
  <c r="H105" i="2"/>
  <c r="G105" i="2"/>
  <c r="F105" i="2"/>
  <c r="D105" i="2"/>
  <c r="C105" i="2"/>
  <c r="B105" i="2"/>
  <c r="A105" i="2"/>
  <c r="Z104" i="2"/>
  <c r="N104" i="2"/>
  <c r="M104" i="2"/>
  <c r="L104" i="2"/>
  <c r="K104" i="2"/>
  <c r="H104" i="2"/>
  <c r="J104" i="2" s="1"/>
  <c r="G104" i="2"/>
  <c r="F104" i="2"/>
  <c r="D104" i="2"/>
  <c r="C104" i="2"/>
  <c r="B104" i="2"/>
  <c r="A104" i="2"/>
  <c r="Z103" i="2"/>
  <c r="N103" i="2"/>
  <c r="M103" i="2"/>
  <c r="L103" i="2"/>
  <c r="K103" i="2"/>
  <c r="J103" i="2"/>
  <c r="H103" i="2"/>
  <c r="G103" i="2"/>
  <c r="F103" i="2"/>
  <c r="D103" i="2"/>
  <c r="C103" i="2"/>
  <c r="B103" i="2"/>
  <c r="A103" i="2"/>
  <c r="Z102" i="2"/>
  <c r="N102" i="2"/>
  <c r="M102" i="2"/>
  <c r="L102" i="2"/>
  <c r="K102" i="2"/>
  <c r="J102" i="2"/>
  <c r="H102" i="2"/>
  <c r="G102" i="2"/>
  <c r="F102" i="2"/>
  <c r="D102" i="2"/>
  <c r="C102" i="2"/>
  <c r="B102" i="2"/>
  <c r="A102" i="2"/>
  <c r="Z101" i="2"/>
  <c r="N101" i="2"/>
  <c r="M101" i="2"/>
  <c r="L101" i="2"/>
  <c r="K101" i="2"/>
  <c r="H101" i="2"/>
  <c r="J101" i="2" s="1"/>
  <c r="G101" i="2"/>
  <c r="F101" i="2"/>
  <c r="D101" i="2"/>
  <c r="C101" i="2"/>
  <c r="B101" i="2"/>
  <c r="A101" i="2"/>
  <c r="Z100" i="2"/>
  <c r="N100" i="2"/>
  <c r="M100" i="2"/>
  <c r="L100" i="2"/>
  <c r="K100" i="2"/>
  <c r="J100" i="2"/>
  <c r="H100" i="2"/>
  <c r="G100" i="2"/>
  <c r="F100" i="2"/>
  <c r="D100" i="2"/>
  <c r="C100" i="2"/>
  <c r="B100" i="2"/>
  <c r="A100" i="2"/>
  <c r="Z99" i="2"/>
  <c r="N99" i="2"/>
  <c r="M99" i="2"/>
  <c r="L99" i="2"/>
  <c r="K99" i="2"/>
  <c r="J99" i="2"/>
  <c r="H99" i="2"/>
  <c r="G99" i="2"/>
  <c r="F99" i="2"/>
  <c r="D99" i="2"/>
  <c r="C99" i="2"/>
  <c r="B99" i="2"/>
  <c r="A99" i="2"/>
  <c r="Z98" i="2"/>
  <c r="N98" i="2"/>
  <c r="M98" i="2"/>
  <c r="L98" i="2"/>
  <c r="K98" i="2"/>
  <c r="J98" i="2"/>
  <c r="H98" i="2"/>
  <c r="G98" i="2"/>
  <c r="F98" i="2"/>
  <c r="D98" i="2"/>
  <c r="C98" i="2"/>
  <c r="B98" i="2"/>
  <c r="A98" i="2"/>
  <c r="Z97" i="2"/>
  <c r="N97" i="2"/>
  <c r="M97" i="2"/>
  <c r="L97" i="2"/>
  <c r="K97" i="2"/>
  <c r="J97" i="2"/>
  <c r="H97" i="2"/>
  <c r="G97" i="2"/>
  <c r="F97" i="2"/>
  <c r="D97" i="2"/>
  <c r="C97" i="2"/>
  <c r="B97" i="2"/>
  <c r="A97" i="2"/>
  <c r="Z96" i="2"/>
  <c r="N96" i="2"/>
  <c r="M96" i="2"/>
  <c r="L96" i="2"/>
  <c r="K96" i="2"/>
  <c r="H96" i="2"/>
  <c r="J96" i="2" s="1"/>
  <c r="G96" i="2"/>
  <c r="F96" i="2"/>
  <c r="D96" i="2"/>
  <c r="C96" i="2"/>
  <c r="B96" i="2"/>
  <c r="A96" i="2"/>
  <c r="Z95" i="2"/>
  <c r="N95" i="2"/>
  <c r="M95" i="2"/>
  <c r="L95" i="2"/>
  <c r="K95" i="2"/>
  <c r="J95" i="2"/>
  <c r="H95" i="2"/>
  <c r="G95" i="2"/>
  <c r="F95" i="2"/>
  <c r="D95" i="2"/>
  <c r="C95" i="2"/>
  <c r="B95" i="2"/>
  <c r="A95" i="2"/>
  <c r="Z94" i="2"/>
  <c r="N94" i="2"/>
  <c r="M94" i="2"/>
  <c r="L94" i="2"/>
  <c r="K94" i="2"/>
  <c r="J94" i="2"/>
  <c r="H94" i="2"/>
  <c r="G94" i="2"/>
  <c r="F94" i="2"/>
  <c r="D94" i="2"/>
  <c r="C94" i="2"/>
  <c r="B94" i="2"/>
  <c r="A94" i="2"/>
  <c r="Z93" i="2"/>
  <c r="N93" i="2"/>
  <c r="M93" i="2"/>
  <c r="L93" i="2"/>
  <c r="K93" i="2"/>
  <c r="H93" i="2"/>
  <c r="J93" i="2" s="1"/>
  <c r="G93" i="2"/>
  <c r="F93" i="2"/>
  <c r="D93" i="2"/>
  <c r="C93" i="2"/>
  <c r="B93" i="2"/>
  <c r="A93" i="2"/>
  <c r="Z92" i="2"/>
  <c r="N92" i="2"/>
  <c r="M92" i="2"/>
  <c r="L92" i="2"/>
  <c r="K92" i="2"/>
  <c r="J92" i="2"/>
  <c r="H92" i="2"/>
  <c r="G92" i="2"/>
  <c r="F92" i="2"/>
  <c r="D92" i="2"/>
  <c r="C92" i="2"/>
  <c r="B92" i="2"/>
  <c r="A92" i="2"/>
  <c r="Z91" i="2"/>
  <c r="N91" i="2"/>
  <c r="M91" i="2"/>
  <c r="L91" i="2"/>
  <c r="K91" i="2"/>
  <c r="J91" i="2"/>
  <c r="H91" i="2"/>
  <c r="G91" i="2"/>
  <c r="F91" i="2"/>
  <c r="D91" i="2"/>
  <c r="C91" i="2"/>
  <c r="B91" i="2"/>
  <c r="A91" i="2"/>
  <c r="Z90" i="2"/>
  <c r="N90" i="2"/>
  <c r="M90" i="2"/>
  <c r="L90" i="2"/>
  <c r="K90" i="2"/>
  <c r="J90" i="2"/>
  <c r="H90" i="2"/>
  <c r="G90" i="2"/>
  <c r="F90" i="2"/>
  <c r="D90" i="2"/>
  <c r="C90" i="2"/>
  <c r="B90" i="2"/>
  <c r="A90" i="2"/>
  <c r="Z89" i="2"/>
  <c r="N89" i="2"/>
  <c r="M89" i="2"/>
  <c r="L89" i="2"/>
  <c r="K89" i="2"/>
  <c r="J89" i="2"/>
  <c r="H89" i="2"/>
  <c r="G89" i="2"/>
  <c r="F89" i="2"/>
  <c r="D89" i="2"/>
  <c r="C89" i="2"/>
  <c r="B89" i="2"/>
  <c r="A89" i="2"/>
  <c r="Z88" i="2"/>
  <c r="N88" i="2"/>
  <c r="M88" i="2"/>
  <c r="L88" i="2"/>
  <c r="K88" i="2"/>
  <c r="H88" i="2"/>
  <c r="J88" i="2" s="1"/>
  <c r="G88" i="2"/>
  <c r="F88" i="2"/>
  <c r="D88" i="2"/>
  <c r="C88" i="2"/>
  <c r="B88" i="2"/>
  <c r="A88" i="2"/>
  <c r="Z87" i="2"/>
  <c r="N87" i="2"/>
  <c r="M87" i="2"/>
  <c r="L87" i="2"/>
  <c r="K87" i="2"/>
  <c r="J87" i="2"/>
  <c r="H87" i="2"/>
  <c r="G87" i="2"/>
  <c r="F87" i="2"/>
  <c r="D87" i="2"/>
  <c r="C87" i="2"/>
  <c r="B87" i="2"/>
  <c r="A87" i="2"/>
  <c r="Z86" i="2"/>
  <c r="N86" i="2"/>
  <c r="M86" i="2"/>
  <c r="L86" i="2"/>
  <c r="K86" i="2"/>
  <c r="J86" i="2"/>
  <c r="H86" i="2"/>
  <c r="G86" i="2"/>
  <c r="F86" i="2"/>
  <c r="D86" i="2"/>
  <c r="C86" i="2"/>
  <c r="B86" i="2"/>
  <c r="A86" i="2"/>
  <c r="Z85" i="2"/>
  <c r="N85" i="2"/>
  <c r="M85" i="2"/>
  <c r="L85" i="2"/>
  <c r="K85" i="2"/>
  <c r="H85" i="2"/>
  <c r="J85" i="2" s="1"/>
  <c r="G85" i="2"/>
  <c r="F85" i="2"/>
  <c r="D85" i="2"/>
  <c r="C85" i="2"/>
  <c r="B85" i="2"/>
  <c r="A85" i="2"/>
  <c r="Z84" i="2"/>
  <c r="N84" i="2"/>
  <c r="M84" i="2"/>
  <c r="L84" i="2"/>
  <c r="K84" i="2"/>
  <c r="J84" i="2"/>
  <c r="H84" i="2"/>
  <c r="G84" i="2"/>
  <c r="F84" i="2"/>
  <c r="D84" i="2"/>
  <c r="C84" i="2"/>
  <c r="B84" i="2"/>
  <c r="A84" i="2"/>
  <c r="Z83" i="2"/>
  <c r="N83" i="2"/>
  <c r="M83" i="2"/>
  <c r="L83" i="2"/>
  <c r="K83" i="2"/>
  <c r="J83" i="2"/>
  <c r="H83" i="2"/>
  <c r="G83" i="2"/>
  <c r="F83" i="2"/>
  <c r="D83" i="2"/>
  <c r="C83" i="2"/>
  <c r="B83" i="2"/>
  <c r="A83" i="2"/>
  <c r="Z82" i="2"/>
  <c r="N82" i="2"/>
  <c r="M82" i="2"/>
  <c r="L82" i="2"/>
  <c r="K82" i="2"/>
  <c r="J82" i="2"/>
  <c r="H82" i="2"/>
  <c r="G82" i="2"/>
  <c r="F82" i="2"/>
  <c r="D82" i="2"/>
  <c r="C82" i="2"/>
  <c r="B82" i="2"/>
  <c r="A82" i="2"/>
  <c r="Z81" i="2"/>
  <c r="N81" i="2"/>
  <c r="M81" i="2"/>
  <c r="L81" i="2"/>
  <c r="K81" i="2"/>
  <c r="J81" i="2"/>
  <c r="H81" i="2"/>
  <c r="G81" i="2"/>
  <c r="F81" i="2"/>
  <c r="D81" i="2"/>
  <c r="C81" i="2"/>
  <c r="B81" i="2"/>
  <c r="A81" i="2"/>
  <c r="Z80" i="2"/>
  <c r="N80" i="2"/>
  <c r="M80" i="2"/>
  <c r="L80" i="2"/>
  <c r="K80" i="2"/>
  <c r="H80" i="2"/>
  <c r="J80" i="2" s="1"/>
  <c r="G80" i="2"/>
  <c r="F80" i="2"/>
  <c r="D80" i="2"/>
  <c r="C80" i="2"/>
  <c r="B80" i="2"/>
  <c r="A80" i="2"/>
  <c r="Z79" i="2"/>
  <c r="N79" i="2"/>
  <c r="M79" i="2"/>
  <c r="L79" i="2"/>
  <c r="K79" i="2"/>
  <c r="J79" i="2"/>
  <c r="H79" i="2"/>
  <c r="G79" i="2"/>
  <c r="F79" i="2"/>
  <c r="D79" i="2"/>
  <c r="C79" i="2"/>
  <c r="B79" i="2"/>
  <c r="A79" i="2"/>
  <c r="Z78" i="2"/>
  <c r="N78" i="2"/>
  <c r="M78" i="2"/>
  <c r="L78" i="2"/>
  <c r="K78" i="2"/>
  <c r="J78" i="2"/>
  <c r="H78" i="2"/>
  <c r="G78" i="2"/>
  <c r="F78" i="2"/>
  <c r="D78" i="2"/>
  <c r="C78" i="2"/>
  <c r="B78" i="2"/>
  <c r="A78" i="2"/>
  <c r="Z77" i="2"/>
  <c r="N77" i="2"/>
  <c r="M77" i="2"/>
  <c r="L77" i="2"/>
  <c r="K77" i="2"/>
  <c r="H77" i="2"/>
  <c r="J77" i="2" s="1"/>
  <c r="G77" i="2"/>
  <c r="F77" i="2"/>
  <c r="D77" i="2"/>
  <c r="C77" i="2"/>
  <c r="B77" i="2"/>
  <c r="A77" i="2"/>
  <c r="Z76" i="2"/>
  <c r="N76" i="2"/>
  <c r="M76" i="2"/>
  <c r="L76" i="2"/>
  <c r="K76" i="2"/>
  <c r="J76" i="2"/>
  <c r="H76" i="2"/>
  <c r="G76" i="2"/>
  <c r="F76" i="2"/>
  <c r="D76" i="2"/>
  <c r="C76" i="2"/>
  <c r="B76" i="2"/>
  <c r="A76" i="2"/>
  <c r="Z75" i="2"/>
  <c r="N75" i="2"/>
  <c r="M75" i="2"/>
  <c r="L75" i="2"/>
  <c r="K75" i="2"/>
  <c r="J75" i="2"/>
  <c r="H75" i="2"/>
  <c r="G75" i="2"/>
  <c r="F75" i="2"/>
  <c r="D75" i="2"/>
  <c r="C75" i="2"/>
  <c r="B75" i="2"/>
  <c r="A75" i="2"/>
  <c r="Z74" i="2"/>
  <c r="N74" i="2"/>
  <c r="M74" i="2"/>
  <c r="L74" i="2"/>
  <c r="K74" i="2"/>
  <c r="J74" i="2"/>
  <c r="H74" i="2"/>
  <c r="G74" i="2"/>
  <c r="F74" i="2"/>
  <c r="D74" i="2"/>
  <c r="C74" i="2"/>
  <c r="B74" i="2"/>
  <c r="A74" i="2"/>
  <c r="Z73" i="2"/>
  <c r="N73" i="2"/>
  <c r="M73" i="2"/>
  <c r="L73" i="2"/>
  <c r="K73" i="2"/>
  <c r="J73" i="2"/>
  <c r="H73" i="2"/>
  <c r="G73" i="2"/>
  <c r="F73" i="2"/>
  <c r="D73" i="2"/>
  <c r="C73" i="2"/>
  <c r="B73" i="2"/>
  <c r="A73" i="2"/>
  <c r="Z72" i="2"/>
  <c r="N72" i="2"/>
  <c r="M72" i="2"/>
  <c r="L72" i="2"/>
  <c r="K72" i="2"/>
  <c r="H72" i="2"/>
  <c r="J72" i="2" s="1"/>
  <c r="G72" i="2"/>
  <c r="F72" i="2"/>
  <c r="D72" i="2"/>
  <c r="C72" i="2"/>
  <c r="B72" i="2"/>
  <c r="A72" i="2"/>
  <c r="Z71" i="2"/>
  <c r="N71" i="2"/>
  <c r="M71" i="2"/>
  <c r="L71" i="2"/>
  <c r="K71" i="2"/>
  <c r="J71" i="2"/>
  <c r="H71" i="2"/>
  <c r="G71" i="2"/>
  <c r="F71" i="2"/>
  <c r="D71" i="2"/>
  <c r="C71" i="2"/>
  <c r="B71" i="2"/>
  <c r="A71" i="2"/>
  <c r="Z70" i="2"/>
  <c r="N70" i="2"/>
  <c r="M70" i="2"/>
  <c r="L70" i="2"/>
  <c r="K70" i="2"/>
  <c r="J70" i="2"/>
  <c r="H70" i="2"/>
  <c r="G70" i="2"/>
  <c r="F70" i="2"/>
  <c r="D70" i="2"/>
  <c r="C70" i="2"/>
  <c r="B70" i="2"/>
  <c r="A70" i="2"/>
  <c r="Z69" i="2"/>
  <c r="N69" i="2"/>
  <c r="M69" i="2"/>
  <c r="L69" i="2"/>
  <c r="K69" i="2"/>
  <c r="H69" i="2"/>
  <c r="J69" i="2" s="1"/>
  <c r="G69" i="2"/>
  <c r="F69" i="2"/>
  <c r="D69" i="2"/>
  <c r="C69" i="2"/>
  <c r="B69" i="2"/>
  <c r="A69" i="2"/>
  <c r="Z68" i="2"/>
  <c r="N68" i="2"/>
  <c r="M68" i="2"/>
  <c r="L68" i="2"/>
  <c r="K68" i="2"/>
  <c r="J68" i="2"/>
  <c r="H68" i="2"/>
  <c r="G68" i="2"/>
  <c r="F68" i="2"/>
  <c r="D68" i="2"/>
  <c r="C68" i="2"/>
  <c r="B68" i="2"/>
  <c r="A68" i="2"/>
  <c r="Z67" i="2"/>
  <c r="N67" i="2"/>
  <c r="M67" i="2"/>
  <c r="L67" i="2"/>
  <c r="K67" i="2"/>
  <c r="J67" i="2"/>
  <c r="H67" i="2"/>
  <c r="G67" i="2"/>
  <c r="F67" i="2"/>
  <c r="D67" i="2"/>
  <c r="C67" i="2"/>
  <c r="B67" i="2"/>
  <c r="A67" i="2"/>
  <c r="Z66" i="2"/>
  <c r="N66" i="2"/>
  <c r="M66" i="2"/>
  <c r="L66" i="2"/>
  <c r="K66" i="2"/>
  <c r="J66" i="2"/>
  <c r="H66" i="2"/>
  <c r="G66" i="2"/>
  <c r="F66" i="2"/>
  <c r="D66" i="2"/>
  <c r="C66" i="2"/>
  <c r="B66" i="2"/>
  <c r="A66" i="2"/>
  <c r="Z65" i="2"/>
  <c r="N65" i="2"/>
  <c r="M65" i="2"/>
  <c r="L65" i="2"/>
  <c r="K65" i="2"/>
  <c r="J65" i="2"/>
  <c r="H65" i="2"/>
  <c r="G65" i="2"/>
  <c r="F65" i="2"/>
  <c r="D65" i="2"/>
  <c r="C65" i="2"/>
  <c r="B65" i="2"/>
  <c r="A65" i="2"/>
  <c r="Z64" i="2"/>
  <c r="N64" i="2"/>
  <c r="M64" i="2"/>
  <c r="L64" i="2"/>
  <c r="K64" i="2"/>
  <c r="H64" i="2"/>
  <c r="J64" i="2" s="1"/>
  <c r="G64" i="2"/>
  <c r="F64" i="2"/>
  <c r="D64" i="2"/>
  <c r="C64" i="2"/>
  <c r="B64" i="2"/>
  <c r="A64" i="2"/>
  <c r="Z63" i="2"/>
  <c r="N63" i="2"/>
  <c r="M63" i="2"/>
  <c r="L63" i="2"/>
  <c r="K63" i="2"/>
  <c r="J63" i="2"/>
  <c r="H63" i="2"/>
  <c r="G63" i="2"/>
  <c r="F63" i="2"/>
  <c r="D63" i="2"/>
  <c r="C63" i="2"/>
  <c r="B63" i="2"/>
  <c r="A63" i="2"/>
  <c r="Z62" i="2"/>
  <c r="N62" i="2"/>
  <c r="M62" i="2"/>
  <c r="L62" i="2"/>
  <c r="K62" i="2"/>
  <c r="J62" i="2"/>
  <c r="H62" i="2"/>
  <c r="G62" i="2"/>
  <c r="F62" i="2"/>
  <c r="D62" i="2"/>
  <c r="C62" i="2"/>
  <c r="B62" i="2"/>
  <c r="A62" i="2"/>
  <c r="Z61" i="2"/>
  <c r="N61" i="2"/>
  <c r="M61" i="2"/>
  <c r="L61" i="2"/>
  <c r="K61" i="2"/>
  <c r="H61" i="2"/>
  <c r="J61" i="2" s="1"/>
  <c r="G61" i="2"/>
  <c r="F61" i="2"/>
  <c r="D61" i="2"/>
  <c r="C61" i="2"/>
  <c r="B61" i="2"/>
  <c r="A61" i="2"/>
  <c r="Z60" i="2"/>
  <c r="N60" i="2"/>
  <c r="M60" i="2"/>
  <c r="L60" i="2"/>
  <c r="K60" i="2"/>
  <c r="J60" i="2"/>
  <c r="H60" i="2"/>
  <c r="G60" i="2"/>
  <c r="F60" i="2"/>
  <c r="D60" i="2"/>
  <c r="C60" i="2"/>
  <c r="B60" i="2"/>
  <c r="A60" i="2"/>
  <c r="Z59" i="2"/>
  <c r="N59" i="2"/>
  <c r="M59" i="2"/>
  <c r="L59" i="2"/>
  <c r="K59" i="2"/>
  <c r="J59" i="2"/>
  <c r="H59" i="2"/>
  <c r="G59" i="2"/>
  <c r="F59" i="2"/>
  <c r="D59" i="2"/>
  <c r="C59" i="2"/>
  <c r="B59" i="2"/>
  <c r="A59" i="2"/>
  <c r="Z58" i="2"/>
  <c r="N58" i="2"/>
  <c r="M58" i="2"/>
  <c r="L58" i="2"/>
  <c r="K58" i="2"/>
  <c r="J58" i="2"/>
  <c r="H58" i="2"/>
  <c r="G58" i="2"/>
  <c r="F58" i="2"/>
  <c r="D58" i="2"/>
  <c r="C58" i="2"/>
  <c r="B58" i="2"/>
  <c r="A58" i="2"/>
  <c r="Z57" i="2"/>
  <c r="N57" i="2"/>
  <c r="M57" i="2"/>
  <c r="L57" i="2"/>
  <c r="K57" i="2"/>
  <c r="J57" i="2"/>
  <c r="H57" i="2"/>
  <c r="G57" i="2"/>
  <c r="F57" i="2"/>
  <c r="D57" i="2"/>
  <c r="C57" i="2"/>
  <c r="B57" i="2"/>
  <c r="A57" i="2"/>
  <c r="Z56" i="2"/>
  <c r="N56" i="2"/>
  <c r="M56" i="2"/>
  <c r="L56" i="2"/>
  <c r="K56" i="2"/>
  <c r="H56" i="2"/>
  <c r="J56" i="2" s="1"/>
  <c r="G56" i="2"/>
  <c r="F56" i="2"/>
  <c r="D56" i="2"/>
  <c r="C56" i="2"/>
  <c r="B56" i="2"/>
  <c r="A56" i="2"/>
  <c r="Z55" i="2"/>
  <c r="N55" i="2"/>
  <c r="M55" i="2"/>
  <c r="L55" i="2"/>
  <c r="K55" i="2"/>
  <c r="J55" i="2"/>
  <c r="H55" i="2"/>
  <c r="G55" i="2"/>
  <c r="F55" i="2"/>
  <c r="D55" i="2"/>
  <c r="C55" i="2"/>
  <c r="B55" i="2"/>
  <c r="A55" i="2"/>
  <c r="Z54" i="2"/>
  <c r="N54" i="2"/>
  <c r="M54" i="2"/>
  <c r="L54" i="2"/>
  <c r="K54" i="2"/>
  <c r="J54" i="2"/>
  <c r="H54" i="2"/>
  <c r="G54" i="2"/>
  <c r="F54" i="2"/>
  <c r="D54" i="2"/>
  <c r="C54" i="2"/>
  <c r="B54" i="2"/>
  <c r="A54" i="2"/>
  <c r="Z53" i="2"/>
  <c r="N53" i="2"/>
  <c r="M53" i="2"/>
  <c r="L53" i="2"/>
  <c r="K53" i="2"/>
  <c r="J53" i="2"/>
  <c r="H53" i="2"/>
  <c r="G53" i="2"/>
  <c r="F53" i="2"/>
  <c r="D53" i="2"/>
  <c r="C53" i="2"/>
  <c r="B53" i="2"/>
  <c r="A53" i="2"/>
  <c r="Z52" i="2"/>
  <c r="N52" i="2"/>
  <c r="M52" i="2"/>
  <c r="L52" i="2"/>
  <c r="K52" i="2"/>
  <c r="J52" i="2"/>
  <c r="H52" i="2"/>
  <c r="G52" i="2"/>
  <c r="F52" i="2"/>
  <c r="D52" i="2"/>
  <c r="C52" i="2"/>
  <c r="B52" i="2"/>
  <c r="A52" i="2"/>
  <c r="Z51" i="2"/>
  <c r="N51" i="2"/>
  <c r="M51" i="2"/>
  <c r="L51" i="2"/>
  <c r="K51" i="2"/>
  <c r="J51" i="2"/>
  <c r="H51" i="2"/>
  <c r="G51" i="2"/>
  <c r="F51" i="2"/>
  <c r="D51" i="2"/>
  <c r="C51" i="2"/>
  <c r="B51" i="2"/>
  <c r="A51" i="2"/>
  <c r="Z50" i="2"/>
  <c r="N50" i="2"/>
  <c r="M50" i="2"/>
  <c r="L50" i="2"/>
  <c r="K50" i="2"/>
  <c r="J50" i="2"/>
  <c r="H50" i="2"/>
  <c r="G50" i="2"/>
  <c r="F50" i="2"/>
  <c r="D50" i="2"/>
  <c r="C50" i="2"/>
  <c r="B50" i="2"/>
  <c r="A50" i="2"/>
  <c r="Z49" i="2"/>
  <c r="N49" i="2"/>
  <c r="M49" i="2"/>
  <c r="L49" i="2"/>
  <c r="K49" i="2"/>
  <c r="J49" i="2"/>
  <c r="H49" i="2"/>
  <c r="G49" i="2"/>
  <c r="F49" i="2"/>
  <c r="D49" i="2"/>
  <c r="C49" i="2"/>
  <c r="B49" i="2"/>
  <c r="A49" i="2"/>
  <c r="Z48" i="2"/>
  <c r="N48" i="2"/>
  <c r="M48" i="2"/>
  <c r="L48" i="2"/>
  <c r="K48" i="2"/>
  <c r="H48" i="2"/>
  <c r="J48" i="2" s="1"/>
  <c r="G48" i="2"/>
  <c r="F48" i="2"/>
  <c r="D48" i="2"/>
  <c r="C48" i="2"/>
  <c r="B48" i="2"/>
  <c r="A48" i="2"/>
  <c r="Z47" i="2"/>
  <c r="N47" i="2"/>
  <c r="M47" i="2"/>
  <c r="L47" i="2"/>
  <c r="K47" i="2"/>
  <c r="J47" i="2"/>
  <c r="H47" i="2"/>
  <c r="G47" i="2"/>
  <c r="F47" i="2"/>
  <c r="D47" i="2"/>
  <c r="C47" i="2"/>
  <c r="B47" i="2"/>
  <c r="A47" i="2"/>
  <c r="Z46" i="2"/>
  <c r="N46" i="2"/>
  <c r="M46" i="2"/>
  <c r="L46" i="2"/>
  <c r="K46" i="2"/>
  <c r="J46" i="2"/>
  <c r="H46" i="2"/>
  <c r="G46" i="2"/>
  <c r="F46" i="2"/>
  <c r="D46" i="2"/>
  <c r="C46" i="2"/>
  <c r="B46" i="2"/>
  <c r="A46" i="2"/>
  <c r="Z45" i="2"/>
  <c r="N45" i="2"/>
  <c r="M45" i="2"/>
  <c r="L45" i="2"/>
  <c r="K45" i="2"/>
  <c r="J45" i="2"/>
  <c r="H45" i="2"/>
  <c r="G45" i="2"/>
  <c r="F45" i="2"/>
  <c r="D45" i="2"/>
  <c r="C45" i="2"/>
  <c r="B45" i="2"/>
  <c r="A45" i="2"/>
  <c r="Z44" i="2"/>
  <c r="N44" i="2"/>
  <c r="M44" i="2"/>
  <c r="L44" i="2"/>
  <c r="K44" i="2"/>
  <c r="J44" i="2"/>
  <c r="H44" i="2"/>
  <c r="G44" i="2"/>
  <c r="F44" i="2"/>
  <c r="D44" i="2"/>
  <c r="C44" i="2"/>
  <c r="B44" i="2"/>
  <c r="A44" i="2"/>
  <c r="Z43" i="2"/>
  <c r="N43" i="2"/>
  <c r="M43" i="2"/>
  <c r="L43" i="2"/>
  <c r="K43" i="2"/>
  <c r="J43" i="2"/>
  <c r="H43" i="2"/>
  <c r="G43" i="2"/>
  <c r="F43" i="2"/>
  <c r="D43" i="2"/>
  <c r="C43" i="2"/>
  <c r="B43" i="2"/>
  <c r="A43" i="2"/>
  <c r="Z42" i="2"/>
  <c r="N42" i="2"/>
  <c r="M42" i="2"/>
  <c r="L42" i="2"/>
  <c r="K42" i="2"/>
  <c r="J42" i="2"/>
  <c r="H42" i="2"/>
  <c r="G42" i="2"/>
  <c r="F42" i="2"/>
  <c r="D42" i="2"/>
  <c r="C42" i="2"/>
  <c r="B42" i="2"/>
  <c r="A42" i="2"/>
  <c r="Z41" i="2"/>
  <c r="N41" i="2"/>
  <c r="M41" i="2"/>
  <c r="L41" i="2"/>
  <c r="K41" i="2"/>
  <c r="J41" i="2"/>
  <c r="H41" i="2"/>
  <c r="G41" i="2"/>
  <c r="F41" i="2"/>
  <c r="D41" i="2"/>
  <c r="C41" i="2"/>
  <c r="B41" i="2"/>
  <c r="A41" i="2"/>
  <c r="Z40" i="2"/>
  <c r="N40" i="2"/>
  <c r="M40" i="2"/>
  <c r="L40" i="2"/>
  <c r="K40" i="2"/>
  <c r="H40" i="2"/>
  <c r="J40" i="2" s="1"/>
  <c r="G40" i="2"/>
  <c r="F40" i="2"/>
  <c r="D40" i="2"/>
  <c r="C40" i="2"/>
  <c r="B40" i="2"/>
  <c r="A40" i="2"/>
  <c r="Z39" i="2"/>
  <c r="N39" i="2"/>
  <c r="M39" i="2"/>
  <c r="L39" i="2"/>
  <c r="K39" i="2"/>
  <c r="J39" i="2"/>
  <c r="H39" i="2"/>
  <c r="G39" i="2"/>
  <c r="F39" i="2"/>
  <c r="D39" i="2"/>
  <c r="C39" i="2"/>
  <c r="B39" i="2"/>
  <c r="A39" i="2"/>
  <c r="Z38" i="2"/>
  <c r="N38" i="2"/>
  <c r="M38" i="2"/>
  <c r="L38" i="2"/>
  <c r="K38" i="2"/>
  <c r="J38" i="2"/>
  <c r="H38" i="2"/>
  <c r="G38" i="2"/>
  <c r="F38" i="2"/>
  <c r="D38" i="2"/>
  <c r="C38" i="2"/>
  <c r="B38" i="2"/>
  <c r="A38" i="2"/>
  <c r="Z37" i="2"/>
  <c r="N37" i="2"/>
  <c r="M37" i="2"/>
  <c r="L37" i="2"/>
  <c r="K37" i="2"/>
  <c r="J37" i="2"/>
  <c r="H37" i="2"/>
  <c r="G37" i="2"/>
  <c r="F37" i="2"/>
  <c r="D37" i="2"/>
  <c r="C37" i="2"/>
  <c r="B37" i="2"/>
  <c r="A37" i="2"/>
  <c r="Z36" i="2"/>
  <c r="N36" i="2"/>
  <c r="M36" i="2"/>
  <c r="L36" i="2"/>
  <c r="K36" i="2"/>
  <c r="J36" i="2"/>
  <c r="H36" i="2"/>
  <c r="G36" i="2"/>
  <c r="F36" i="2"/>
  <c r="D36" i="2"/>
  <c r="C36" i="2"/>
  <c r="B36" i="2"/>
  <c r="A36" i="2"/>
  <c r="Z35" i="2"/>
  <c r="N35" i="2"/>
  <c r="M35" i="2"/>
  <c r="L35" i="2"/>
  <c r="K35" i="2"/>
  <c r="J35" i="2"/>
  <c r="H35" i="2"/>
  <c r="G35" i="2"/>
  <c r="F35" i="2"/>
  <c r="D35" i="2"/>
  <c r="C35" i="2"/>
  <c r="B35" i="2"/>
  <c r="A35" i="2"/>
  <c r="Z34" i="2"/>
  <c r="N34" i="2"/>
  <c r="M34" i="2"/>
  <c r="L34" i="2"/>
  <c r="K34" i="2"/>
  <c r="J34" i="2"/>
  <c r="H34" i="2"/>
  <c r="G34" i="2"/>
  <c r="F34" i="2"/>
  <c r="D34" i="2"/>
  <c r="C34" i="2"/>
  <c r="B34" i="2"/>
  <c r="A34" i="2"/>
  <c r="Z33" i="2"/>
  <c r="N33" i="2"/>
  <c r="M33" i="2"/>
  <c r="L33" i="2"/>
  <c r="K33" i="2"/>
  <c r="J33" i="2"/>
  <c r="H33" i="2"/>
  <c r="G33" i="2"/>
  <c r="F33" i="2"/>
  <c r="D33" i="2"/>
  <c r="C33" i="2"/>
  <c r="B33" i="2"/>
  <c r="A33" i="2"/>
  <c r="Z32" i="2"/>
  <c r="N32" i="2"/>
  <c r="M32" i="2"/>
  <c r="L32" i="2"/>
  <c r="K32" i="2"/>
  <c r="H32" i="2"/>
  <c r="J32" i="2" s="1"/>
  <c r="G32" i="2"/>
  <c r="F32" i="2"/>
  <c r="D32" i="2"/>
  <c r="C32" i="2"/>
  <c r="B32" i="2"/>
  <c r="A32" i="2"/>
  <c r="Z31" i="2"/>
  <c r="N31" i="2"/>
  <c r="M31" i="2"/>
  <c r="L31" i="2"/>
  <c r="K31" i="2"/>
  <c r="J31" i="2"/>
  <c r="H31" i="2"/>
  <c r="G31" i="2"/>
  <c r="F31" i="2"/>
  <c r="D31" i="2"/>
  <c r="C31" i="2"/>
  <c r="B31" i="2"/>
  <c r="A31" i="2"/>
  <c r="Z30" i="2"/>
  <c r="N30" i="2"/>
  <c r="M30" i="2"/>
  <c r="L30" i="2"/>
  <c r="K30" i="2"/>
  <c r="J30" i="2"/>
  <c r="H30" i="2"/>
  <c r="G30" i="2"/>
  <c r="F30" i="2"/>
  <c r="D30" i="2"/>
  <c r="C30" i="2"/>
  <c r="B30" i="2"/>
  <c r="A30" i="2"/>
  <c r="Z29" i="2"/>
  <c r="N29" i="2"/>
  <c r="M29" i="2"/>
  <c r="L29" i="2"/>
  <c r="K29" i="2"/>
  <c r="J29" i="2"/>
  <c r="H29" i="2"/>
  <c r="G29" i="2"/>
  <c r="F29" i="2"/>
  <c r="D29" i="2"/>
  <c r="C29" i="2"/>
  <c r="B29" i="2"/>
  <c r="A29" i="2"/>
  <c r="Z28" i="2"/>
  <c r="N28" i="2"/>
  <c r="M28" i="2"/>
  <c r="L28" i="2"/>
  <c r="K28" i="2"/>
  <c r="J28" i="2"/>
  <c r="H28" i="2"/>
  <c r="G28" i="2"/>
  <c r="F28" i="2"/>
  <c r="D28" i="2"/>
  <c r="C28" i="2"/>
  <c r="B28" i="2"/>
  <c r="A28" i="2"/>
  <c r="Z27" i="2"/>
  <c r="N27" i="2"/>
  <c r="M27" i="2"/>
  <c r="L27" i="2"/>
  <c r="K27" i="2"/>
  <c r="J27" i="2"/>
  <c r="H27" i="2"/>
  <c r="G27" i="2"/>
  <c r="F27" i="2"/>
  <c r="D27" i="2"/>
  <c r="C27" i="2"/>
  <c r="B27" i="2"/>
  <c r="A27" i="2"/>
  <c r="Z26" i="2"/>
  <c r="N26" i="2"/>
  <c r="M26" i="2"/>
  <c r="L26" i="2"/>
  <c r="K26" i="2"/>
  <c r="J26" i="2"/>
  <c r="H26" i="2"/>
  <c r="G26" i="2"/>
  <c r="F26" i="2"/>
  <c r="D26" i="2"/>
  <c r="C26" i="2"/>
  <c r="B26" i="2"/>
  <c r="A26" i="2"/>
  <c r="Z25" i="2"/>
  <c r="N25" i="2"/>
  <c r="M25" i="2"/>
  <c r="L25" i="2"/>
  <c r="K25" i="2"/>
  <c r="J25" i="2"/>
  <c r="H25" i="2"/>
  <c r="G25" i="2"/>
  <c r="F25" i="2"/>
  <c r="D25" i="2"/>
  <c r="C25" i="2"/>
  <c r="B25" i="2"/>
  <c r="A25" i="2"/>
  <c r="Z24" i="2"/>
  <c r="N24" i="2"/>
  <c r="M24" i="2"/>
  <c r="L24" i="2"/>
  <c r="K24" i="2"/>
  <c r="H24" i="2"/>
  <c r="J24" i="2" s="1"/>
  <c r="G24" i="2"/>
  <c r="F24" i="2"/>
  <c r="D24" i="2"/>
  <c r="C24" i="2"/>
  <c r="B24" i="2"/>
  <c r="A24" i="2"/>
  <c r="Z23" i="2"/>
  <c r="N23" i="2"/>
  <c r="M23" i="2"/>
  <c r="L23" i="2"/>
  <c r="K23" i="2"/>
  <c r="J23" i="2"/>
  <c r="H23" i="2"/>
  <c r="G23" i="2"/>
  <c r="F23" i="2"/>
  <c r="D23" i="2"/>
  <c r="C23" i="2"/>
  <c r="B23" i="2"/>
  <c r="A23" i="2"/>
  <c r="Z22" i="2"/>
  <c r="N22" i="2"/>
  <c r="M22" i="2"/>
  <c r="L22" i="2"/>
  <c r="K22" i="2"/>
  <c r="J22" i="2"/>
  <c r="H22" i="2"/>
  <c r="G22" i="2"/>
  <c r="F22" i="2"/>
  <c r="D22" i="2"/>
  <c r="C22" i="2"/>
  <c r="B22" i="2"/>
  <c r="A22" i="2"/>
  <c r="Z21" i="2"/>
  <c r="N21" i="2"/>
  <c r="M21" i="2"/>
  <c r="L21" i="2"/>
  <c r="K21" i="2"/>
  <c r="J21" i="2"/>
  <c r="H21" i="2"/>
  <c r="G21" i="2"/>
  <c r="F21" i="2"/>
  <c r="D21" i="2"/>
  <c r="C21" i="2"/>
  <c r="B21" i="2"/>
  <c r="A21" i="2"/>
  <c r="Z20" i="2"/>
  <c r="N20" i="2"/>
  <c r="M20" i="2"/>
  <c r="L20" i="2"/>
  <c r="K20" i="2"/>
  <c r="J20" i="2"/>
  <c r="H20" i="2"/>
  <c r="G20" i="2"/>
  <c r="F20" i="2"/>
  <c r="D20" i="2"/>
  <c r="C20" i="2"/>
  <c r="B20" i="2"/>
  <c r="A20" i="2"/>
  <c r="Z19" i="2"/>
  <c r="N19" i="2"/>
  <c r="M19" i="2"/>
  <c r="L19" i="2"/>
  <c r="K19" i="2"/>
  <c r="J19" i="2"/>
  <c r="H19" i="2"/>
  <c r="G19" i="2"/>
  <c r="F19" i="2"/>
  <c r="D19" i="2"/>
  <c r="C19" i="2"/>
  <c r="B19" i="2"/>
  <c r="A19" i="2"/>
  <c r="Z18" i="2"/>
  <c r="N18" i="2"/>
  <c r="M18" i="2"/>
  <c r="L18" i="2"/>
  <c r="K18" i="2"/>
  <c r="J18" i="2"/>
  <c r="H18" i="2"/>
  <c r="G18" i="2"/>
  <c r="F18" i="2"/>
  <c r="D18" i="2"/>
  <c r="C18" i="2"/>
  <c r="B18" i="2"/>
  <c r="A18" i="2"/>
  <c r="Z17" i="2"/>
  <c r="N17" i="2"/>
  <c r="M17" i="2"/>
  <c r="L17" i="2"/>
  <c r="K17" i="2"/>
  <c r="J17" i="2"/>
  <c r="H17" i="2"/>
  <c r="G17" i="2"/>
  <c r="F17" i="2"/>
  <c r="D17" i="2"/>
  <c r="C17" i="2"/>
  <c r="B17" i="2"/>
  <c r="A17" i="2"/>
  <c r="Z16" i="2"/>
  <c r="N16" i="2"/>
  <c r="M16" i="2"/>
  <c r="L16" i="2"/>
  <c r="K16" i="2"/>
  <c r="H16" i="2"/>
  <c r="J16" i="2" s="1"/>
  <c r="G16" i="2"/>
  <c r="F16" i="2"/>
  <c r="D16" i="2"/>
  <c r="C16" i="2"/>
  <c r="B16" i="2"/>
  <c r="A16" i="2"/>
  <c r="Z15" i="2"/>
  <c r="N15" i="2"/>
  <c r="M15" i="2"/>
  <c r="L15" i="2"/>
  <c r="K15" i="2"/>
  <c r="J15" i="2"/>
  <c r="H15" i="2"/>
  <c r="G15" i="2"/>
  <c r="F15" i="2"/>
  <c r="D15" i="2"/>
  <c r="C15" i="2"/>
  <c r="B15" i="2"/>
  <c r="A15" i="2"/>
  <c r="Z14" i="2"/>
  <c r="N14" i="2"/>
  <c r="M14" i="2"/>
  <c r="L14" i="2"/>
  <c r="K14" i="2"/>
  <c r="J14" i="2"/>
  <c r="H14" i="2"/>
  <c r="G14" i="2"/>
  <c r="F14" i="2"/>
  <c r="D14" i="2"/>
  <c r="C14" i="2"/>
  <c r="B14" i="2"/>
  <c r="A14" i="2"/>
  <c r="Z13" i="2"/>
  <c r="N13" i="2"/>
  <c r="M13" i="2"/>
  <c r="L13" i="2"/>
  <c r="K13" i="2"/>
  <c r="J13" i="2"/>
  <c r="H13" i="2"/>
  <c r="G13" i="2"/>
  <c r="F13" i="2"/>
  <c r="D13" i="2"/>
  <c r="C13" i="2"/>
  <c r="B13" i="2"/>
  <c r="A13" i="2"/>
  <c r="Z12" i="2"/>
  <c r="N12" i="2"/>
  <c r="M12" i="2"/>
  <c r="L12" i="2"/>
  <c r="K12" i="2"/>
  <c r="J12" i="2"/>
  <c r="H12" i="2"/>
  <c r="G12" i="2"/>
  <c r="F12" i="2"/>
  <c r="D12" i="2"/>
  <c r="C12" i="2"/>
  <c r="B12" i="2"/>
  <c r="A12" i="2"/>
  <c r="Z11" i="2"/>
  <c r="N11" i="2"/>
  <c r="M11" i="2"/>
  <c r="L11" i="2"/>
  <c r="K11" i="2"/>
  <c r="J11" i="2"/>
  <c r="H11" i="2"/>
  <c r="G11" i="2"/>
  <c r="F11" i="2"/>
  <c r="D11" i="2"/>
  <c r="C11" i="2"/>
  <c r="B11" i="2"/>
  <c r="A11" i="2"/>
  <c r="Z10" i="2"/>
  <c r="N10" i="2"/>
  <c r="M10" i="2"/>
  <c r="L10" i="2"/>
  <c r="K10" i="2"/>
  <c r="J10" i="2"/>
  <c r="H10" i="2"/>
  <c r="G10" i="2"/>
  <c r="F10" i="2"/>
  <c r="D10" i="2"/>
  <c r="C10" i="2"/>
  <c r="B10" i="2"/>
  <c r="A10" i="2"/>
  <c r="Z9" i="2"/>
  <c r="N9" i="2"/>
  <c r="M9" i="2"/>
  <c r="L9" i="2"/>
  <c r="K9" i="2"/>
  <c r="J9" i="2"/>
  <c r="H9" i="2"/>
  <c r="G9" i="2"/>
  <c r="F9" i="2"/>
  <c r="D9" i="2"/>
  <c r="C9" i="2"/>
  <c r="B9" i="2"/>
  <c r="A9" i="2"/>
  <c r="Z8" i="2"/>
  <c r="N8" i="2"/>
  <c r="M8" i="2"/>
  <c r="L8" i="2"/>
  <c r="K8" i="2"/>
  <c r="H8" i="2"/>
  <c r="J8" i="2" s="1"/>
  <c r="G8" i="2"/>
  <c r="F8" i="2"/>
  <c r="D8" i="2"/>
  <c r="C8" i="2"/>
  <c r="B8" i="2"/>
  <c r="A8" i="2"/>
  <c r="Z7" i="2"/>
  <c r="N7" i="2"/>
  <c r="M7" i="2"/>
  <c r="L7" i="2"/>
  <c r="K7" i="2"/>
  <c r="J7" i="2"/>
  <c r="H7" i="2"/>
  <c r="G7" i="2"/>
  <c r="F7" i="2"/>
  <c r="D7" i="2"/>
  <c r="C7" i="2"/>
  <c r="B7" i="2"/>
  <c r="A7" i="2"/>
  <c r="Z6" i="2"/>
  <c r="N6" i="2"/>
  <c r="M6" i="2"/>
  <c r="L6" i="2"/>
  <c r="K6" i="2"/>
  <c r="J6" i="2"/>
  <c r="H6" i="2"/>
  <c r="G6" i="2"/>
  <c r="F6" i="2"/>
  <c r="D6" i="2"/>
  <c r="C6" i="2"/>
  <c r="B6" i="2"/>
  <c r="A6" i="2"/>
  <c r="Z5" i="2"/>
  <c r="N5" i="2"/>
  <c r="M5" i="2"/>
  <c r="L5" i="2"/>
  <c r="K5" i="2"/>
  <c r="J5" i="2"/>
  <c r="H5" i="2"/>
  <c r="G5" i="2"/>
  <c r="F5" i="2"/>
  <c r="D5" i="2"/>
  <c r="C5" i="2"/>
  <c r="B5" i="2"/>
  <c r="A5" i="2"/>
  <c r="Z4" i="2"/>
  <c r="N4" i="2"/>
  <c r="M4" i="2"/>
  <c r="L4" i="2"/>
  <c r="K4" i="2"/>
  <c r="J4" i="2"/>
  <c r="H4" i="2"/>
  <c r="G4" i="2"/>
  <c r="F4" i="2"/>
  <c r="D4" i="2"/>
  <c r="C4" i="2"/>
  <c r="B4" i="2"/>
  <c r="A4" i="2"/>
  <c r="Z3" i="2" l="1"/>
  <c r="N3" i="2"/>
  <c r="M3" i="2"/>
  <c r="L3" i="2"/>
  <c r="K3" i="2"/>
  <c r="H3" i="2"/>
  <c r="J3" i="2" s="1"/>
  <c r="G3" i="2"/>
  <c r="F3" i="2"/>
  <c r="D3" i="2"/>
  <c r="C3" i="2"/>
  <c r="B3" i="2"/>
  <c r="A3" i="2"/>
  <c r="A2" i="2" l="1"/>
  <c r="L2" i="2" l="1"/>
  <c r="M2" i="2"/>
  <c r="B2" i="2" l="1"/>
  <c r="C2" i="2"/>
  <c r="D2" i="2"/>
  <c r="F2" i="2"/>
  <c r="G2" i="2"/>
  <c r="H2" i="2"/>
  <c r="J2" i="2" s="1"/>
  <c r="K2" i="2"/>
  <c r="N2" i="2"/>
  <c r="Z2" i="2" l="1"/>
  <c r="AA3" i="2" l="1"/>
  <c r="AA189" i="2"/>
  <c r="AA39" i="2"/>
  <c r="AA201" i="2"/>
  <c r="AA100" i="2"/>
  <c r="AA95" i="2"/>
  <c r="AA48" i="2"/>
  <c r="AA40" i="2"/>
  <c r="AA32" i="2"/>
  <c r="AA24" i="2"/>
  <c r="AA16" i="2"/>
  <c r="AA8" i="2"/>
  <c r="AA124" i="2"/>
  <c r="AA68" i="2"/>
  <c r="AA52" i="2"/>
  <c r="AA4" i="2"/>
  <c r="AA71" i="2"/>
  <c r="AA149" i="2"/>
  <c r="AA41" i="2"/>
  <c r="AA33" i="2"/>
  <c r="AA17" i="2"/>
  <c r="AA9" i="2"/>
  <c r="AA92" i="2"/>
  <c r="AA36" i="2"/>
  <c r="AA63" i="2"/>
  <c r="AA121" i="2"/>
  <c r="AA113" i="2"/>
  <c r="AA105" i="2"/>
  <c r="AA97" i="2"/>
  <c r="AA89" i="2"/>
  <c r="AA81" i="2"/>
  <c r="AA73" i="2"/>
  <c r="AA65" i="2"/>
  <c r="AA57" i="2"/>
  <c r="AA49" i="2"/>
  <c r="AA25" i="2"/>
  <c r="AA34" i="2"/>
  <c r="AA10" i="2"/>
  <c r="AA60" i="2"/>
  <c r="AA20" i="2"/>
  <c r="AA7" i="2"/>
  <c r="AA58" i="2"/>
  <c r="AA42" i="2"/>
  <c r="AA26" i="2"/>
  <c r="AA108" i="2"/>
  <c r="AA84" i="2"/>
  <c r="AA28" i="2"/>
  <c r="AA106" i="2"/>
  <c r="AA98" i="2"/>
  <c r="AA90" i="2"/>
  <c r="AA82" i="2"/>
  <c r="AA74" i="2"/>
  <c r="AA66" i="2"/>
  <c r="AA50" i="2"/>
  <c r="AA18" i="2"/>
  <c r="AA76" i="2"/>
  <c r="AA116" i="2"/>
  <c r="AA23" i="2"/>
  <c r="AA181" i="2"/>
  <c r="AA12" i="2"/>
  <c r="AA44" i="2"/>
  <c r="AA55" i="2"/>
  <c r="AA15" i="2"/>
  <c r="AA117" i="2"/>
  <c r="AA101" i="2"/>
  <c r="AA85" i="2"/>
  <c r="AA69" i="2"/>
  <c r="AA61" i="2"/>
  <c r="AA53" i="2"/>
  <c r="AA37" i="2"/>
  <c r="AA29" i="2"/>
  <c r="AA21" i="2"/>
  <c r="AA5" i="2"/>
  <c r="AA30" i="2"/>
  <c r="AA14" i="2"/>
  <c r="AA119" i="2"/>
  <c r="AA47" i="2"/>
  <c r="AA205" i="2"/>
  <c r="AA125" i="2"/>
  <c r="AA109" i="2"/>
  <c r="AA93" i="2"/>
  <c r="AA77" i="2"/>
  <c r="AA45" i="2"/>
  <c r="AA13" i="2"/>
  <c r="AA147" i="2"/>
  <c r="AA126" i="2"/>
  <c r="AA118" i="2"/>
  <c r="AA102" i="2"/>
  <c r="AA94" i="2"/>
  <c r="AA70" i="2"/>
  <c r="AA62" i="2"/>
  <c r="AA38" i="2"/>
  <c r="AA6" i="2"/>
  <c r="AA111" i="2"/>
  <c r="AA87" i="2"/>
  <c r="AA31" i="2"/>
  <c r="AA165" i="2"/>
  <c r="AA133" i="2"/>
  <c r="AA110" i="2"/>
  <c r="AA86" i="2"/>
  <c r="AA78" i="2"/>
  <c r="AA54" i="2"/>
  <c r="AA46" i="2"/>
  <c r="AA22" i="2"/>
  <c r="AA127" i="2"/>
  <c r="AA79" i="2"/>
  <c r="AA141" i="2"/>
  <c r="AA134" i="2"/>
  <c r="AA103" i="2"/>
  <c r="AA131" i="2"/>
  <c r="AA143" i="2"/>
  <c r="AA75" i="2"/>
  <c r="AA208" i="2"/>
  <c r="AA211" i="2"/>
  <c r="AA206" i="2"/>
  <c r="AA188" i="2"/>
  <c r="AA156" i="2"/>
  <c r="AA187" i="2"/>
  <c r="AA194" i="2"/>
  <c r="AA184" i="2"/>
  <c r="AA43" i="2"/>
  <c r="AA161" i="2"/>
  <c r="AA137" i="2"/>
  <c r="AA212" i="2"/>
  <c r="AA146" i="2"/>
  <c r="AA210" i="2"/>
  <c r="AA192" i="2"/>
  <c r="AA150" i="2"/>
  <c r="AA196" i="2"/>
  <c r="AA159" i="2"/>
  <c r="AA200" i="2"/>
  <c r="AA162" i="2"/>
  <c r="AA152" i="2"/>
  <c r="AA115" i="2"/>
  <c r="AA186" i="2"/>
  <c r="AA172" i="2"/>
  <c r="AA180" i="2"/>
  <c r="AA83" i="2"/>
  <c r="AA197" i="2"/>
  <c r="AA173" i="2"/>
  <c r="AA155" i="2"/>
  <c r="AA132" i="2"/>
  <c r="AA157" i="2"/>
  <c r="AA136" i="2"/>
  <c r="AA140" i="2"/>
  <c r="AA148" i="2"/>
  <c r="AA130" i="2"/>
  <c r="AA169" i="2"/>
  <c r="AA176" i="2"/>
  <c r="AA209" i="2"/>
  <c r="AA122" i="2"/>
  <c r="AA91" i="2"/>
  <c r="AA154" i="2"/>
  <c r="AA204" i="2"/>
  <c r="AA179" i="2"/>
  <c r="AA182" i="2"/>
  <c r="AA203" i="2"/>
  <c r="AA185" i="2"/>
  <c r="AA120" i="2"/>
  <c r="AA19" i="2"/>
  <c r="AA163" i="2"/>
  <c r="AA158" i="2"/>
  <c r="AA144" i="2"/>
  <c r="AA160" i="2"/>
  <c r="AA59" i="2"/>
  <c r="AA112" i="2"/>
  <c r="AA138" i="2"/>
  <c r="AA114" i="2"/>
  <c r="AA167" i="2"/>
  <c r="AA153" i="2"/>
  <c r="AA168" i="2"/>
  <c r="AA199" i="2"/>
  <c r="AA96" i="2"/>
  <c r="AA135" i="2"/>
  <c r="AA51" i="2"/>
  <c r="AA99" i="2"/>
  <c r="AA171" i="2"/>
  <c r="AA166" i="2"/>
  <c r="AA88" i="2"/>
  <c r="AA183" i="2"/>
  <c r="AA64" i="2"/>
  <c r="AA123" i="2"/>
  <c r="AA145" i="2"/>
  <c r="AA202" i="2"/>
  <c r="AA27" i="2"/>
  <c r="AA56" i="2"/>
  <c r="AA177" i="2"/>
  <c r="AA175" i="2"/>
  <c r="AA170" i="2"/>
  <c r="AA174" i="2"/>
  <c r="AA178" i="2"/>
  <c r="AA191" i="2"/>
  <c r="AA190" i="2"/>
  <c r="AA198" i="2"/>
  <c r="AA107" i="2"/>
  <c r="AA129" i="2"/>
  <c r="AA151" i="2"/>
  <c r="AA139" i="2"/>
  <c r="AA193" i="2"/>
  <c r="AA142" i="2"/>
  <c r="AA104" i="2"/>
  <c r="AA164" i="2"/>
  <c r="AA80" i="2"/>
  <c r="AA72" i="2"/>
  <c r="AA195" i="2"/>
  <c r="AA207" i="2"/>
  <c r="AA11" i="2"/>
  <c r="AA128" i="2"/>
  <c r="AA67" i="2"/>
  <c r="AA35" i="2"/>
  <c r="AA2" i="2"/>
</calcChain>
</file>

<file path=xl/sharedStrings.xml><?xml version="1.0" encoding="utf-8"?>
<sst xmlns="http://schemas.openxmlformats.org/spreadsheetml/2006/main" count="2044" uniqueCount="533">
  <si>
    <t>주문번호</t>
  </si>
  <si>
    <t>주문일자</t>
  </si>
  <si>
    <t>납품일자</t>
  </si>
  <si>
    <t>거래처</t>
  </si>
  <si>
    <t>현장명</t>
  </si>
  <si>
    <t>구분</t>
  </si>
  <si>
    <t>품명</t>
  </si>
  <si>
    <t>두께</t>
  </si>
  <si>
    <t>가로규격</t>
  </si>
  <si>
    <t>세로규격</t>
  </si>
  <si>
    <t>주문수량</t>
  </si>
  <si>
    <t>출고수량</t>
  </si>
  <si>
    <t>잔여수량</t>
  </si>
  <si>
    <t>면적</t>
  </si>
  <si>
    <t>미출고액</t>
  </si>
  <si>
    <t>비고</t>
  </si>
  <si>
    <t>ID</t>
  </si>
  <si>
    <t>작업의뢰서 번호</t>
    <phoneticPr fontId="2" type="noConversion"/>
  </si>
  <si>
    <t>mm</t>
  </si>
  <si>
    <t>NO</t>
    <phoneticPr fontId="2" type="noConversion"/>
  </si>
  <si>
    <t>의뢰번호</t>
  </si>
  <si>
    <t>공정7</t>
  </si>
  <si>
    <t>공정6</t>
  </si>
  <si>
    <t>공정5</t>
  </si>
  <si>
    <t>공정4</t>
  </si>
  <si>
    <t>공정3</t>
  </si>
  <si>
    <t>공정2</t>
  </si>
  <si>
    <t>공정1</t>
  </si>
  <si>
    <t>원산지2</t>
  </si>
  <si>
    <t>원산지1</t>
  </si>
  <si>
    <t>기타규격</t>
  </si>
  <si>
    <t>주문비고</t>
  </si>
  <si>
    <t>의뢰수량</t>
  </si>
  <si>
    <t>미의뢰</t>
  </si>
  <si>
    <t>수량</t>
  </si>
  <si>
    <t>규격단위</t>
  </si>
  <si>
    <t>해당 작업의뢰서 내에 지정해놓은 생산순서</t>
    <phoneticPr fontId="2" type="noConversion"/>
  </si>
  <si>
    <t>NO</t>
  </si>
  <si>
    <t>AA</t>
    <phoneticPr fontId="2" type="noConversion"/>
  </si>
  <si>
    <t>바이투에서 부여된 작업의뢰 번호</t>
    <phoneticPr fontId="2" type="noConversion"/>
  </si>
  <si>
    <t>Z</t>
    <phoneticPr fontId="2" type="noConversion"/>
  </si>
  <si>
    <t>현재 숨김처리</t>
    <phoneticPr fontId="2" type="noConversion"/>
  </si>
  <si>
    <t>불필요</t>
    <phoneticPr fontId="2" type="noConversion"/>
  </si>
  <si>
    <t>Y</t>
    <phoneticPr fontId="2" type="noConversion"/>
  </si>
  <si>
    <t>X</t>
    <phoneticPr fontId="2" type="noConversion"/>
  </si>
  <si>
    <t>W</t>
    <phoneticPr fontId="2" type="noConversion"/>
  </si>
  <si>
    <t>V</t>
    <phoneticPr fontId="2" type="noConversion"/>
  </si>
  <si>
    <t>U</t>
    <phoneticPr fontId="2" type="noConversion"/>
  </si>
  <si>
    <t>T</t>
    <phoneticPr fontId="2" type="noConversion"/>
  </si>
  <si>
    <t>S</t>
    <phoneticPr fontId="2" type="noConversion"/>
  </si>
  <si>
    <t>R</t>
    <phoneticPr fontId="2" type="noConversion"/>
  </si>
  <si>
    <t>현재 숨김처리</t>
    <phoneticPr fontId="2" type="noConversion"/>
  </si>
  <si>
    <t>불필요</t>
    <phoneticPr fontId="2" type="noConversion"/>
  </si>
  <si>
    <t>Q</t>
    <phoneticPr fontId="2" type="noConversion"/>
  </si>
  <si>
    <t>P</t>
    <phoneticPr fontId="2" type="noConversion"/>
  </si>
  <si>
    <t>O</t>
    <phoneticPr fontId="2" type="noConversion"/>
  </si>
  <si>
    <t>비고</t>
    <phoneticPr fontId="2" type="noConversion"/>
  </si>
  <si>
    <t>N</t>
    <phoneticPr fontId="2" type="noConversion"/>
  </si>
  <si>
    <t>현장명</t>
    <phoneticPr fontId="2" type="noConversion"/>
  </si>
  <si>
    <t>M</t>
    <phoneticPr fontId="2" type="noConversion"/>
  </si>
  <si>
    <t>거래처</t>
    <phoneticPr fontId="2" type="noConversion"/>
  </si>
  <si>
    <t>L</t>
    <phoneticPr fontId="2" type="noConversion"/>
  </si>
  <si>
    <t>자동계산</t>
    <phoneticPr fontId="2" type="noConversion"/>
  </si>
  <si>
    <t>K</t>
    <phoneticPr fontId="2" type="noConversion"/>
  </si>
  <si>
    <t>금번 작업의뢰서에서 의뢰한 수량</t>
    <phoneticPr fontId="2" type="noConversion"/>
  </si>
  <si>
    <t>J</t>
    <phoneticPr fontId="2" type="noConversion"/>
  </si>
  <si>
    <t>I</t>
    <phoneticPr fontId="2" type="noConversion"/>
  </si>
  <si>
    <t>H</t>
    <phoneticPr fontId="2" type="noConversion"/>
  </si>
  <si>
    <t>세로 사이즈</t>
    <phoneticPr fontId="2" type="noConversion"/>
  </si>
  <si>
    <t>G</t>
    <phoneticPr fontId="2" type="noConversion"/>
  </si>
  <si>
    <t>가로 사이즈</t>
    <phoneticPr fontId="2" type="noConversion"/>
  </si>
  <si>
    <t>F</t>
    <phoneticPr fontId="2" type="noConversion"/>
  </si>
  <si>
    <t>제둠 사이즈 규격 단위</t>
    <phoneticPr fontId="2" type="noConversion"/>
  </si>
  <si>
    <t>E</t>
    <phoneticPr fontId="2" type="noConversion"/>
  </si>
  <si>
    <t>제품 두께</t>
    <phoneticPr fontId="2" type="noConversion"/>
  </si>
  <si>
    <t>D</t>
    <phoneticPr fontId="2" type="noConversion"/>
  </si>
  <si>
    <t>복층유리 품명 (= 스펙)</t>
    <phoneticPr fontId="2" type="noConversion"/>
  </si>
  <si>
    <t>C</t>
    <phoneticPr fontId="2" type="noConversion"/>
  </si>
  <si>
    <t>불필요: 바이투 시스템 상 제품분류 기준</t>
    <phoneticPr fontId="2" type="noConversion"/>
  </si>
  <si>
    <t>B</t>
    <phoneticPr fontId="2" type="noConversion"/>
  </si>
  <si>
    <t>불필요: 바이투 시스템에 등록시 부여받은 주문번호</t>
    <phoneticPr fontId="2" type="noConversion"/>
  </si>
  <si>
    <t>A</t>
    <phoneticPr fontId="2" type="noConversion"/>
  </si>
  <si>
    <t>설명</t>
    <phoneticPr fontId="2" type="noConversion"/>
  </si>
  <si>
    <t>이름</t>
    <phoneticPr fontId="2" type="noConversion"/>
  </si>
  <si>
    <t>컬럼</t>
    <phoneticPr fontId="2" type="noConversion"/>
  </si>
  <si>
    <t>업로드 대상 필드: 파란색 표시된 9개</t>
    <phoneticPr fontId="2" type="noConversion"/>
  </si>
  <si>
    <t>각 필드에 대한 설명</t>
    <phoneticPr fontId="2" type="noConversion"/>
  </si>
  <si>
    <t>TP</t>
  </si>
  <si>
    <t>260904-20</t>
  </si>
  <si>
    <t>계룡건설산업(주)oo</t>
  </si>
  <si>
    <t>충남국제전시컨벤션센터현장</t>
  </si>
  <si>
    <t>6로이h/s+16단열(Ar.)+6DI</t>
  </si>
  <si>
    <t>샘플</t>
  </si>
  <si>
    <t>720872/1</t>
  </si>
  <si>
    <t>26-2405</t>
  </si>
  <si>
    <t>6DI+16단열(Ar.)+6로이h/s</t>
  </si>
  <si>
    <t>720872/2</t>
  </si>
  <si>
    <t>6로이h/s+16단열(Ar.)+6CL</t>
  </si>
  <si>
    <t>720872/3</t>
  </si>
  <si>
    <t>6CL+16단열(Ar.)+6로이h/s</t>
  </si>
  <si>
    <t>720872/4</t>
  </si>
  <si>
    <t>6투명</t>
  </si>
  <si>
    <t>720872/5</t>
  </si>
  <si>
    <t>6DI</t>
  </si>
  <si>
    <t>720872/6</t>
  </si>
  <si>
    <t>260907-02</t>
  </si>
  <si>
    <t>에스케이에코플랜트(주)c</t>
  </si>
  <si>
    <t>용인 FAB 1기 지원시설 건설공사 (1BL)현장</t>
  </si>
  <si>
    <t>6ECT173h/s+12단열(Ar.)+6CLh/s</t>
  </si>
  <si>
    <t>단열테스트용</t>
  </si>
  <si>
    <t>720874/1</t>
  </si>
  <si>
    <t>26-2407</t>
  </si>
  <si>
    <t>260907-01</t>
  </si>
  <si>
    <t>동성건설(주)r</t>
  </si>
  <si>
    <t>한국로지스풀 시화물류센터 건설공사 현장</t>
  </si>
  <si>
    <t>5SKN154II+14단열(Ar.)+5CL</t>
  </si>
  <si>
    <t>AW/7</t>
  </si>
  <si>
    <t>720873/1</t>
  </si>
  <si>
    <t>26-2406</t>
  </si>
  <si>
    <t>AW/5 SL</t>
  </si>
  <si>
    <t>720873/2</t>
  </si>
  <si>
    <t>AW/3</t>
  </si>
  <si>
    <t>720873/3</t>
  </si>
  <si>
    <t>720873/4</t>
  </si>
  <si>
    <t>720873/5</t>
  </si>
  <si>
    <t>AW/1</t>
  </si>
  <si>
    <t>720873/6</t>
  </si>
  <si>
    <t>720873/7</t>
  </si>
  <si>
    <t>260903-09</t>
  </si>
  <si>
    <t>우미건설(주)e</t>
  </si>
  <si>
    <t xml:space="preserve"> 남원주 역세권 복합용지 AC-4BL 우미린 공동주택현장</t>
  </si>
  <si>
    <t>5CL+12A+5로이</t>
  </si>
  <si>
    <t>4동5호 안방분합(내)</t>
  </si>
  <si>
    <t>720800/1</t>
  </si>
  <si>
    <t>26-2379</t>
  </si>
  <si>
    <t>4동2호 안방분합(내)</t>
  </si>
  <si>
    <t>720800/2</t>
  </si>
  <si>
    <t>4동3호 안방분합(내)</t>
  </si>
  <si>
    <t>720800/3</t>
  </si>
  <si>
    <t>4동2호 실외기실(내)</t>
  </si>
  <si>
    <t>720800/4</t>
  </si>
  <si>
    <t>4동3호 실외기실(내)</t>
  </si>
  <si>
    <t>720800/5</t>
  </si>
  <si>
    <t>4동5호 실외기실(내)</t>
  </si>
  <si>
    <t>720800/6</t>
  </si>
  <si>
    <t>5CL+12A+5CL</t>
  </si>
  <si>
    <t>4동5호 안방분합(외)</t>
  </si>
  <si>
    <t>720800/7</t>
  </si>
  <si>
    <t>4동2호 안방분합(외)</t>
  </si>
  <si>
    <t>720800/8</t>
  </si>
  <si>
    <t>4동3호 안방분합(외)</t>
  </si>
  <si>
    <t>720800/9</t>
  </si>
  <si>
    <t>4동2호 실외기실(외)</t>
  </si>
  <si>
    <t>720800/10</t>
  </si>
  <si>
    <t>4동3호 실외기실(외)</t>
  </si>
  <si>
    <t>720800/11</t>
  </si>
  <si>
    <t>4동5호 실외기실(외)</t>
  </si>
  <si>
    <t>720800/12</t>
  </si>
  <si>
    <t>260904-18</t>
  </si>
  <si>
    <t>(주)신라종합건설t</t>
  </si>
  <si>
    <t>충청북도 보건환경연구원 청사 증축공사 현장</t>
  </si>
  <si>
    <t>5투명강화</t>
  </si>
  <si>
    <t>1층 견시창</t>
  </si>
  <si>
    <t>720869/1</t>
  </si>
  <si>
    <t>26-2404</t>
  </si>
  <si>
    <t>720869/2</t>
  </si>
  <si>
    <t>720869/3</t>
  </si>
  <si>
    <t>720869/4</t>
  </si>
  <si>
    <t>720869/5</t>
  </si>
  <si>
    <t>2층 견시창</t>
  </si>
  <si>
    <t>720869/6</t>
  </si>
  <si>
    <t>720869/7</t>
  </si>
  <si>
    <t>720869/8</t>
  </si>
  <si>
    <t>720869/9</t>
  </si>
  <si>
    <t>720869/10</t>
  </si>
  <si>
    <t>720869/11</t>
  </si>
  <si>
    <t>3층 견시창</t>
  </si>
  <si>
    <t>720869/12</t>
  </si>
  <si>
    <t>720869/13</t>
  </si>
  <si>
    <t>720869/14</t>
  </si>
  <si>
    <t>720869/15</t>
  </si>
  <si>
    <t>260904-17</t>
  </si>
  <si>
    <t>에스지신성건설(주)b</t>
  </si>
  <si>
    <t>삼평동세계물산현장</t>
  </si>
  <si>
    <t>5SKN154IIh/s+14단열(Ar.)+5CL</t>
  </si>
  <si>
    <t>구조마감 ACW/4 2F</t>
  </si>
  <si>
    <t>720865/1</t>
  </si>
  <si>
    <t>26-2403</t>
  </si>
  <si>
    <t>720865/2</t>
  </si>
  <si>
    <t>구조마감 ACW1A 코너</t>
  </si>
  <si>
    <t>720865/3</t>
  </si>
  <si>
    <t>구조마감 AW/5</t>
  </si>
  <si>
    <t>720865/4</t>
  </si>
  <si>
    <t>720865/5</t>
  </si>
  <si>
    <t>구조마감 ACW1A 코너 옥상</t>
  </si>
  <si>
    <t>720865/6</t>
  </si>
  <si>
    <t>구조마감 AW/4A 3F 배연창</t>
  </si>
  <si>
    <t>720865/7</t>
  </si>
  <si>
    <t>구조마감 AW/4A 2,4,6,8,10F 배연창</t>
  </si>
  <si>
    <t>720865/8</t>
  </si>
  <si>
    <t>구조마감 AW/4A 5,7,9F 배연창</t>
  </si>
  <si>
    <t>720865/9</t>
  </si>
  <si>
    <t>720865/10</t>
  </si>
  <si>
    <t>720865/11</t>
  </si>
  <si>
    <t>720865/12</t>
  </si>
  <si>
    <t>720865/13</t>
  </si>
  <si>
    <t>구조마감 ACW/4 2F PJ</t>
  </si>
  <si>
    <t>720865/14</t>
  </si>
  <si>
    <t>720865/15</t>
  </si>
  <si>
    <t>구조마감 AW/5 PJ</t>
  </si>
  <si>
    <t>720865/16</t>
  </si>
  <si>
    <t>구조마감 AW/4 2~11F PJ</t>
  </si>
  <si>
    <t>720865/17</t>
  </si>
  <si>
    <t>720865/18</t>
  </si>
  <si>
    <t>5SKN154IIh/s+14단열(Ar.)+5CLh/s</t>
  </si>
  <si>
    <t>720865/19</t>
  </si>
  <si>
    <t>720865/20</t>
  </si>
  <si>
    <t>구조마감 시후파</t>
  </si>
  <si>
    <t>720865/21</t>
  </si>
  <si>
    <t>720865/22</t>
  </si>
  <si>
    <t>구조마감 ACW1A 코너 2F</t>
  </si>
  <si>
    <t>720865/23</t>
  </si>
  <si>
    <t>구조마감 ACW1A 코너 10F</t>
  </si>
  <si>
    <t>720865/24</t>
  </si>
  <si>
    <t>구조마감 ACW1A 코너 3,6F</t>
  </si>
  <si>
    <t>720865/25</t>
  </si>
  <si>
    <t>구조마감 ACW1A 코너 9F</t>
  </si>
  <si>
    <t>720865/26</t>
  </si>
  <si>
    <t>720865/27</t>
  </si>
  <si>
    <t>구조마감 AW/6</t>
  </si>
  <si>
    <t>720865/28</t>
  </si>
  <si>
    <t>구조마감 ACW1A 코너 7F</t>
  </si>
  <si>
    <t>720865/29</t>
  </si>
  <si>
    <t>720865/30</t>
  </si>
  <si>
    <t>구조마감 ACW1A 코너 11F</t>
  </si>
  <si>
    <t>720865/31</t>
  </si>
  <si>
    <t>구조마감 ACW1A 코너 4,5,8F</t>
  </si>
  <si>
    <t>720865/32</t>
  </si>
  <si>
    <t>720865/33</t>
  </si>
  <si>
    <t>720865/34</t>
  </si>
  <si>
    <t>260828-09</t>
  </si>
  <si>
    <t>5newGN+12AR.+5로이</t>
  </si>
  <si>
    <t>5동 1~3호84A,B 26~30F거실F(外)</t>
  </si>
  <si>
    <t>720673/1</t>
  </si>
  <si>
    <t>26-2333</t>
  </si>
  <si>
    <t>5동 1~3호84A,B 26~30F거실S(外)</t>
  </si>
  <si>
    <t>720673/2</t>
  </si>
  <si>
    <t>5동 1~3호84A,B 26~30F침실1,2(外)</t>
  </si>
  <si>
    <t>720673/3</t>
  </si>
  <si>
    <t>5동 1~3호84A,B 26~30F주방/식당,드레스룸(外)</t>
  </si>
  <si>
    <t>720673/4</t>
  </si>
  <si>
    <t>5동 1,3호84A 26~30F드레스룸,팬트리(外)</t>
  </si>
  <si>
    <t>720673/5</t>
  </si>
  <si>
    <t>5동 1~3호84A,B 26~30F발코니2(外)</t>
  </si>
  <si>
    <t>720673/6</t>
  </si>
  <si>
    <t>5CL+12Ar.+5로이</t>
  </si>
  <si>
    <t>5동 1~3호84A,B 26~30F거실F(內)</t>
  </si>
  <si>
    <t>720673/7</t>
  </si>
  <si>
    <t>5동 1~3호84A,B 26~30F거실S(內)</t>
  </si>
  <si>
    <t>720673/8</t>
  </si>
  <si>
    <t>5동 1~3호84A,B 26~30F침실1,2(內)</t>
  </si>
  <si>
    <t>720673/9</t>
  </si>
  <si>
    <t>5동 1~3호84A,B 26~30F주방/식당,드레스룸(內)</t>
  </si>
  <si>
    <t>720673/10</t>
  </si>
  <si>
    <t>5동 1,3호84A 26~30F드레스룸,팬트리(內)</t>
  </si>
  <si>
    <t>720673/11</t>
  </si>
  <si>
    <t>5동 1~3호84A,B 26~30F발코니2(內)</t>
  </si>
  <si>
    <t>720673/12</t>
  </si>
  <si>
    <t>5newGN+12A+5로이</t>
  </si>
  <si>
    <t>5동 1,3호84A 26~30F발코니1</t>
  </si>
  <si>
    <t>720673/13</t>
  </si>
  <si>
    <t>5동 1~3호84A,B 26~30F하향식피난구</t>
  </si>
  <si>
    <t>720673/14</t>
  </si>
  <si>
    <t>260828-08</t>
  </si>
  <si>
    <t>1동 4,5호84A,C 26~30F거실F(外)</t>
  </si>
  <si>
    <t>720672/1</t>
  </si>
  <si>
    <t>26-2332</t>
  </si>
  <si>
    <t>1동 4,5호84A,C 26~30F거실S(外)</t>
  </si>
  <si>
    <t>720672/2</t>
  </si>
  <si>
    <t>1동 5호84C 26~30F복도(外)</t>
  </si>
  <si>
    <t>720672/3</t>
  </si>
  <si>
    <t>1동 4,5호84A,C 26~30F침실1,2(外)</t>
  </si>
  <si>
    <t>720672/4</t>
  </si>
  <si>
    <t>1동 4,5호84A,C 26~30F주방/식당(外)</t>
  </si>
  <si>
    <t>720672/5</t>
  </si>
  <si>
    <t>1동 4,5호84A,C 26~30F드레스룸,팬트리(外)</t>
  </si>
  <si>
    <t>720672/6</t>
  </si>
  <si>
    <t>1동 4,5호84A,C 26~30F발코니2(外)</t>
  </si>
  <si>
    <t>720672/7</t>
  </si>
  <si>
    <t>1동 4,5호84A,C 26~30F거실F(內)</t>
  </si>
  <si>
    <t>720672/8</t>
  </si>
  <si>
    <t>1동 4,5호84A,C 26~30F거실S(內)</t>
  </si>
  <si>
    <t>720672/9</t>
  </si>
  <si>
    <t>1동 5호84C 26~30F복도(內)</t>
  </si>
  <si>
    <t>720672/10</t>
  </si>
  <si>
    <t>1동 4,5호84A,C 26~30F침실1,2(內)</t>
  </si>
  <si>
    <t>720672/11</t>
  </si>
  <si>
    <t>1동 4,5호84A,C 26~30F주방/식당(內)</t>
  </si>
  <si>
    <t>720672/12</t>
  </si>
  <si>
    <t>1동 4,5호84A,C 26~30F드레스룸,팬트리(內)</t>
  </si>
  <si>
    <t>720672/13</t>
  </si>
  <si>
    <t>1동 4,5호84A,C 26~30F발코니2(內)</t>
  </si>
  <si>
    <t>720672/14</t>
  </si>
  <si>
    <t>1동 4호84A 26~30F발코니1</t>
  </si>
  <si>
    <t>720672/15</t>
  </si>
  <si>
    <t>1동 4,5호84A,C 26~30F하향식피난구</t>
  </si>
  <si>
    <t>720672/16</t>
  </si>
  <si>
    <t>260828-07</t>
  </si>
  <si>
    <t>1동 1~3호84A,B 26~30F거실F(外)</t>
  </si>
  <si>
    <t>720671/1</t>
  </si>
  <si>
    <t>26-2331</t>
  </si>
  <si>
    <t>1동 1~3호84A,B 26~30F거실S(外)</t>
  </si>
  <si>
    <t>720671/2</t>
  </si>
  <si>
    <t>1동 1~3호84A,B 26~30F침실1,2(外)</t>
  </si>
  <si>
    <t>720671/3</t>
  </si>
  <si>
    <t>1동 1~3호84A,B 26~30F주방/식당,드레스(外)</t>
  </si>
  <si>
    <t>720671/4</t>
  </si>
  <si>
    <t>1동 1,3호84A 26~30F드레스룸,팬트리(外)</t>
  </si>
  <si>
    <t>720671/5</t>
  </si>
  <si>
    <t>1동 1~3호84A,B 26~30F발코니2(外)</t>
  </si>
  <si>
    <t>720671/6</t>
  </si>
  <si>
    <t>1동 1~3호84A,B 26~30F거실F(內)</t>
  </si>
  <si>
    <t>720671/7</t>
  </si>
  <si>
    <t>1동 1~3호84A,B 26~30F거실S(內)</t>
  </si>
  <si>
    <t>720671/8</t>
  </si>
  <si>
    <t>1동 1~3호84A,B 26~30F침실1,2(內)</t>
  </si>
  <si>
    <t>720671/9</t>
  </si>
  <si>
    <t>1동 1~3호84A,B 26~30F주방/식당,드레스(內)</t>
  </si>
  <si>
    <t>720671/10</t>
  </si>
  <si>
    <t>1동 1,3호84A 26~30F드레스룸,팬트리(內)</t>
  </si>
  <si>
    <t>720671/11</t>
  </si>
  <si>
    <t>1동 1~3호84A,B 26~30F발코니2(內)</t>
  </si>
  <si>
    <t>720671/12</t>
  </si>
  <si>
    <t>1동 1,2호84A,B 26~30F발코니1</t>
  </si>
  <si>
    <t>720671/13</t>
  </si>
  <si>
    <t>1동 1~3호84A,B 26~30F하향식피난구</t>
  </si>
  <si>
    <t>720671/14</t>
  </si>
  <si>
    <t>260828-06</t>
  </si>
  <si>
    <t>2동 3~5호84A,B 26~30F거실F(外)</t>
  </si>
  <si>
    <t>720670/1</t>
  </si>
  <si>
    <t>26-2330</t>
  </si>
  <si>
    <t>2동 3~5호84A,B 26~30F거실S(外)</t>
  </si>
  <si>
    <t>720670/2</t>
  </si>
  <si>
    <t>2동 3~5호84A,B 26~30F침실1,2(外)</t>
  </si>
  <si>
    <t>720670/3</t>
  </si>
  <si>
    <t>2동 3~5호84A,B 26~30F주방/식당,드레스룸(外)</t>
  </si>
  <si>
    <t>720670/4</t>
  </si>
  <si>
    <t>2동 3~5호84A,B 26~30F드레스룸,팬트리(外)</t>
  </si>
  <si>
    <t>720670/5</t>
  </si>
  <si>
    <t>2동 3~5호84A,B 26~30F발코니2(外)</t>
  </si>
  <si>
    <t>720670/6</t>
  </si>
  <si>
    <t>2동 3~5호84A,B 26~30F거실F(內)</t>
  </si>
  <si>
    <t>720670/7</t>
  </si>
  <si>
    <t>2동 3~5호84A,B 26~30F거실S(內)</t>
  </si>
  <si>
    <t>720670/8</t>
  </si>
  <si>
    <t>2동 3~5호84A,B 26~30F침실1,2(內)</t>
  </si>
  <si>
    <t>720670/9</t>
  </si>
  <si>
    <t>2동 3~5호84A,B 26~30F주방/식당,드레스룸(內)</t>
  </si>
  <si>
    <t>720670/10</t>
  </si>
  <si>
    <t>2동 3,5호84A,B 26~30F드레스룸,팬트리(內)</t>
  </si>
  <si>
    <t>720670/11</t>
  </si>
  <si>
    <t>2동 3~5호84A,B 26~30F발코니2(內)</t>
  </si>
  <si>
    <t>720670/12</t>
  </si>
  <si>
    <t>2동 4,5호84A,B 26~30F발코니1</t>
  </si>
  <si>
    <t>720670/13</t>
  </si>
  <si>
    <t>2동 3~5호84A,B 26~30F하향식피난구</t>
  </si>
  <si>
    <t>720670/14</t>
  </si>
  <si>
    <t>260828-05</t>
  </si>
  <si>
    <t>2동 1,2호84A,C 26~30F거실F(外)</t>
  </si>
  <si>
    <t>720669/1</t>
  </si>
  <si>
    <t>26-2329</t>
  </si>
  <si>
    <t>2동 1,2호84A,C 26~30F거실S(外)</t>
  </si>
  <si>
    <t>720669/2</t>
  </si>
  <si>
    <t>2동 1호84C 26~30F복도(外)</t>
  </si>
  <si>
    <t>720669/3</t>
  </si>
  <si>
    <t>2동 1,2호84A,C 26~30F침실1,2(外)</t>
  </si>
  <si>
    <t>720669/4</t>
  </si>
  <si>
    <t>2동 1,2호84A,C 26~30F주방/식당(外)</t>
  </si>
  <si>
    <t>720669/5</t>
  </si>
  <si>
    <t>2동 1,2호84A,C 26~30F드레스룸,팬트리(外)</t>
  </si>
  <si>
    <t>720669/6</t>
  </si>
  <si>
    <t>2동 1,2호84A,C 26~30F발코니2(外)</t>
  </si>
  <si>
    <t>720669/7</t>
  </si>
  <si>
    <t>2동 1,2호84A,C 26~30F거실F(內)</t>
  </si>
  <si>
    <t>720669/8</t>
  </si>
  <si>
    <t>2동 1,2호84A,C 26~30F거실S(內)</t>
  </si>
  <si>
    <t>720669/9</t>
  </si>
  <si>
    <t>2동 1호84C 26~30F복도(內)</t>
  </si>
  <si>
    <t>720669/10</t>
  </si>
  <si>
    <t>2동 1,2호84A,C 26~30F침실1,2(內)</t>
  </si>
  <si>
    <t>720669/11</t>
  </si>
  <si>
    <t>2동 1,2호84A,C 26~30F주방/식당(內)</t>
  </si>
  <si>
    <t>720669/12</t>
  </si>
  <si>
    <t>2동 1,2호84A,C 26~30F드레스룸,팬트리(內)</t>
  </si>
  <si>
    <t>720669/13</t>
  </si>
  <si>
    <t>2동 1,2호84A,C 26~30F발코니2(內)</t>
  </si>
  <si>
    <t>720669/14</t>
  </si>
  <si>
    <t>2동 1호84C 26~30F발코니1</t>
  </si>
  <si>
    <t>720669/15</t>
  </si>
  <si>
    <t>2동 2호84A 26~30F발코니1</t>
  </si>
  <si>
    <t>720669/16</t>
  </si>
  <si>
    <t>2동 1,2호84A,C 26~30F하향식피난구</t>
  </si>
  <si>
    <t>720669/17</t>
  </si>
  <si>
    <t>260828-04</t>
  </si>
  <si>
    <t>4동 4,5호84A,C 26~30F거실F(外)</t>
  </si>
  <si>
    <t>720667/1</t>
  </si>
  <si>
    <t>26-2328</t>
  </si>
  <si>
    <t>4동 4,5호84A,C 26~30F거실S(外)</t>
  </si>
  <si>
    <t>720667/2</t>
  </si>
  <si>
    <t>4동 5호84C 26~30F복도(外)</t>
  </si>
  <si>
    <t>720667/3</t>
  </si>
  <si>
    <t>4동 4,5호84A,C 26~30F침실1,2(外)</t>
  </si>
  <si>
    <t>720667/4</t>
  </si>
  <si>
    <t>4동 4,5호84A,C 26~30F주방/식당(外)</t>
  </si>
  <si>
    <t>720667/5</t>
  </si>
  <si>
    <t>4동 4,5호84A,C 26~30F드레스룸,팬트리(外)</t>
  </si>
  <si>
    <t>720667/6</t>
  </si>
  <si>
    <t>4동 4,5호84A,C 26~30F발코니2(外)</t>
  </si>
  <si>
    <t>720667/7</t>
  </si>
  <si>
    <t>4동 4,5호84A,C 26~30F거실F(內)</t>
  </si>
  <si>
    <t>720667/8</t>
  </si>
  <si>
    <t>4동 4,5호84A,C 26~30F거실S(內)</t>
  </si>
  <si>
    <t>720667/9</t>
  </si>
  <si>
    <t>4동 5호84C 26~30F복도(內)</t>
  </si>
  <si>
    <t>720667/10</t>
  </si>
  <si>
    <t>4동 4,5호84A,C 26~30F침실1,2(內)</t>
  </si>
  <si>
    <t>720667/11</t>
  </si>
  <si>
    <t>4동 4,5호84A,C26~30F주방/식당(內)</t>
  </si>
  <si>
    <t>720667/12</t>
  </si>
  <si>
    <t>4동 4,5호84A,C 26~30F드레스룸,팬트리(內)</t>
  </si>
  <si>
    <t>720667/13</t>
  </si>
  <si>
    <t>4동 4,5호84A,C 26~30F발코니2(內)</t>
  </si>
  <si>
    <t>720667/14</t>
  </si>
  <si>
    <t>4동 5호84C 26~30F발코니1</t>
  </si>
  <si>
    <t>720667/15</t>
  </si>
  <si>
    <t>4동 4호84A 26~30F발코니1</t>
  </si>
  <si>
    <t>720667/16</t>
  </si>
  <si>
    <t>4동 4,5호84A,C26~30F하향식피난구</t>
  </si>
  <si>
    <t>720667/17</t>
  </si>
  <si>
    <t>260828-03</t>
  </si>
  <si>
    <t>4동 1~3호84A,B 26~30F거실F(外)</t>
  </si>
  <si>
    <t>720666/1</t>
  </si>
  <si>
    <t>26-2327</t>
  </si>
  <si>
    <t>4동 1~3호84A,B 26~30F거실S(外)</t>
  </si>
  <si>
    <t>720666/2</t>
  </si>
  <si>
    <t>4동 1~3호84A,B 26~30F침실1,2(外)</t>
  </si>
  <si>
    <t>720666/3</t>
  </si>
  <si>
    <t>4동 1~3호84A,B 26~30F주방/식당,드레스룸(外)</t>
  </si>
  <si>
    <t>720666/4</t>
  </si>
  <si>
    <t>4동 1,3호84A 26~30F드레스룸,팬트리(外)</t>
  </si>
  <si>
    <t>720666/5</t>
  </si>
  <si>
    <t>4동 1~3호84A,B 26~30F발코니2(外)</t>
  </si>
  <si>
    <t>720666/6</t>
  </si>
  <si>
    <t>4동 1~3호84A,B 26~30F거실F(內)</t>
  </si>
  <si>
    <t>720666/7</t>
  </si>
  <si>
    <t>4동 1~3호84A,B 26~30F거실S(內)</t>
  </si>
  <si>
    <t>720666/8</t>
  </si>
  <si>
    <t>4동 1~3호84A,B 26~30F침실1,2(內)</t>
  </si>
  <si>
    <t>720666/9</t>
  </si>
  <si>
    <t>4동 1~3호84A,B 26~30F주방/식당,드레스룸(內)</t>
  </si>
  <si>
    <t>720666/10</t>
  </si>
  <si>
    <t>4동 1,3호84A 26~30F드레스룸,팬트리(內)</t>
  </si>
  <si>
    <t>720666/11</t>
  </si>
  <si>
    <t>4동 1~3호84A,B 26~30F발코니2(內)</t>
  </si>
  <si>
    <t>720666/12</t>
  </si>
  <si>
    <t>4동 2,3호84A,B 26~30F발코니1</t>
  </si>
  <si>
    <t>720666/13</t>
  </si>
  <si>
    <t>4동 1~3호84A,B 26~30F하향식피난구</t>
  </si>
  <si>
    <t>720666/14</t>
  </si>
  <si>
    <t>260828-02</t>
  </si>
  <si>
    <t>3동 4,5호84A,C 26~30F거실F(外)</t>
  </si>
  <si>
    <t>720664/1</t>
  </si>
  <si>
    <t>26-2326</t>
  </si>
  <si>
    <t>3동 4,5호84A,C 26~30F거실S(外)</t>
  </si>
  <si>
    <t>720664/2</t>
  </si>
  <si>
    <t>3동 5호84C 26~30F복도(外)</t>
  </si>
  <si>
    <t>720664/3</t>
  </si>
  <si>
    <t>3동 4,5호84A,C 26~30F침실1,2(外)</t>
  </si>
  <si>
    <t>720664/4</t>
  </si>
  <si>
    <t>3동 4,5호84A,C 26~30F주방/식당(外)</t>
  </si>
  <si>
    <t>720664/5</t>
  </si>
  <si>
    <t>3동 4,5호84A,C 26~30F드레스룸,팬트리(外)</t>
  </si>
  <si>
    <t>720664/6</t>
  </si>
  <si>
    <t>3동 4,5호84A,C 26~30F발코니2(外)</t>
  </si>
  <si>
    <t>720664/7</t>
  </si>
  <si>
    <t>3동 4,5호84A,C 26~30F거실F(內)</t>
  </si>
  <si>
    <t>720664/8</t>
  </si>
  <si>
    <t>3동 4,5호84A,C 26~30F거실S(內)</t>
  </si>
  <si>
    <t>720664/9</t>
  </si>
  <si>
    <t>3동 5호84C 26~30F복도(內)</t>
  </si>
  <si>
    <t>720664/10</t>
  </si>
  <si>
    <t>3동 4,5호84A,C 26~30F침실1,2(內)</t>
  </si>
  <si>
    <t>720664/11</t>
  </si>
  <si>
    <t>3동 4,5호84A,C 26~30F주방/식당(內)</t>
  </si>
  <si>
    <t>720664/12</t>
  </si>
  <si>
    <t>3동 4,5호84A,C 26~30F드레스룸,팬트리(內)</t>
  </si>
  <si>
    <t>720664/13</t>
  </si>
  <si>
    <t>3동 4,5호84A,C 26~30F발코니2(內)</t>
  </si>
  <si>
    <t>720664/14</t>
  </si>
  <si>
    <t>3동 4호84A 26~30F발코니1</t>
  </si>
  <si>
    <t>720664/15</t>
  </si>
  <si>
    <t>3동 4,5호84A,C 26~30F하향식피난구</t>
  </si>
  <si>
    <t>720664/16</t>
  </si>
  <si>
    <t>260828-01</t>
  </si>
  <si>
    <t>3동 1~3호84A,B 26~30F거실F(外)</t>
  </si>
  <si>
    <t>720662/1</t>
  </si>
  <si>
    <t>26-2325</t>
  </si>
  <si>
    <t>3동 1~3호84A,B 26~30F거실S(外)</t>
  </si>
  <si>
    <t>720662/2</t>
  </si>
  <si>
    <t>3동 1~3호84A,B 26~30F침실1,2(外)</t>
  </si>
  <si>
    <t>720662/3</t>
  </si>
  <si>
    <t>3동 1~3호84A,B 26~30F주방/식당,드레스룸(外)</t>
  </si>
  <si>
    <t>720662/4</t>
  </si>
  <si>
    <t>3동 1,3호84A 26~30F드레스룸,팬트리(外)</t>
  </si>
  <si>
    <t>720662/5</t>
  </si>
  <si>
    <t>3동 1~3호84A,B 26~30F발코니2(外)</t>
  </si>
  <si>
    <t>720662/6</t>
  </si>
  <si>
    <t>3동 1~3호84A,B 26~30F거실F(內)</t>
  </si>
  <si>
    <t>720662/7</t>
  </si>
  <si>
    <t>3동 1~3호84A,B 26~30F거실S(內)</t>
  </si>
  <si>
    <t>720662/8</t>
  </si>
  <si>
    <t>3동 1~3호84A,B 26~30F침실1,2(內)</t>
  </si>
  <si>
    <t>720662/9</t>
  </si>
  <si>
    <t>3동 1~3호84A,B 26~30F주방/식당,드레스룸(內)</t>
  </si>
  <si>
    <t>720662/10</t>
  </si>
  <si>
    <t>3동 1,3호84A 26~30F드레스룸,팬트리(內)</t>
  </si>
  <si>
    <t>720662/11</t>
  </si>
  <si>
    <t>3동 1~3호84A,B 26~30F발코니2(內)</t>
  </si>
  <si>
    <t>720662/12</t>
  </si>
  <si>
    <t>3동 1,2호84A,B 26~30F발코니1</t>
  </si>
  <si>
    <t>720662/13</t>
  </si>
  <si>
    <t>3동 1~3호84A,B 26~30F하향식피난구</t>
  </si>
  <si>
    <t>720662/14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</si>
</sst>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6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176" fontId="1" fillId="0" borderId="1" xfId="0" applyNumberFormat="1" applyFont="1" applyBorder="1">
      <alignment vertical="center"/>
    </xf>
    <xf numFmtId="176" fontId="1" fillId="0" borderId="2" xfId="0" applyNumberFormat="1" applyFont="1" applyBorder="1">
      <alignment vertical="center"/>
    </xf>
    <xf numFmtId="0" fontId="0" fillId="3" borderId="0" xfId="0" applyFill="1">
      <alignment vertical="center"/>
    </xf>
    <xf numFmtId="0" fontId="0" fillId="6" borderId="0" xfId="0" applyFill="1">
      <alignment vertical="center"/>
    </xf>
    <xf numFmtId="176" fontId="1" fillId="5" borderId="3" xfId="0" applyNumberFormat="1" applyFont="1" applyFill="1" applyBorder="1" applyAlignment="1">
      <alignment horizontal="center" vertical="center"/>
    </xf>
    <xf numFmtId="176" fontId="3" fillId="0" borderId="0" xfId="0" applyNumberFormat="1" applyFont="1">
      <alignment vertical="center"/>
    </xf>
    <xf numFmtId="14" fontId="1" fillId="0" borderId="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AA773"/>
  <sheetViews>
    <sheetView tabSelected="1" workbookViewId="0">
      <pane ySplit="1" topLeftCell="A2" activePane="bottomLeft" state="frozen"/>
      <selection activeCell="G1" sqref="G1:L1048576"/>
      <selection pane="bottomLeft" activeCell="P1" sqref="P1:P1048576"/>
    </sheetView>
  </sheetViews>
  <sheetFormatPr defaultRowHeight="16.5" customHeight="1" x14ac:dyDescent="0.3"/>
  <cols>
    <col min="1" max="1" width="10.875" style="5" customWidth="1"/>
    <col min="2" max="2" width="7" style="5" customWidth="1"/>
    <col min="3" max="3" width="44.375" style="1" customWidth="1"/>
    <col min="4" max="4" width="6.625" style="5" customWidth="1"/>
    <col min="5" max="5" width="7.25" style="1" customWidth="1"/>
    <col min="6" max="11" width="8" style="1" customWidth="1"/>
    <col min="12" max="12" width="28.5" style="4" customWidth="1"/>
    <col min="13" max="13" width="34.75" style="1" customWidth="1"/>
    <col min="14" max="14" width="20.5" style="1" customWidth="1"/>
    <col min="15" max="15" width="28.25" style="1" hidden="1" customWidth="1"/>
    <col min="16" max="16" width="10.125" style="1" hidden="1" customWidth="1"/>
    <col min="17" max="25" width="9" style="1" hidden="1" customWidth="1"/>
    <col min="26" max="26" width="10.125" style="3" customWidth="1"/>
    <col min="27" max="27" width="6.25" style="2" customWidth="1"/>
    <col min="28" max="16384" width="9" style="1"/>
  </cols>
  <sheetData>
    <row r="1" spans="1:27" s="5" customFormat="1" ht="16.5" customHeight="1" x14ac:dyDescent="0.3">
      <c r="A1" s="6" t="s">
        <v>0</v>
      </c>
      <c r="B1" s="6" t="s">
        <v>5</v>
      </c>
      <c r="C1" s="6" t="s">
        <v>6</v>
      </c>
      <c r="D1" s="6" t="s">
        <v>7</v>
      </c>
      <c r="E1" s="6" t="s">
        <v>35</v>
      </c>
      <c r="F1" s="6" t="s">
        <v>8</v>
      </c>
      <c r="G1" s="6" t="s">
        <v>9</v>
      </c>
      <c r="H1" s="6" t="s">
        <v>34</v>
      </c>
      <c r="I1" s="6" t="s">
        <v>33</v>
      </c>
      <c r="J1" s="6" t="s">
        <v>32</v>
      </c>
      <c r="K1" s="6" t="s">
        <v>13</v>
      </c>
      <c r="L1" s="13" t="s">
        <v>3</v>
      </c>
      <c r="M1" s="6" t="s">
        <v>4</v>
      </c>
      <c r="N1" s="6" t="s">
        <v>31</v>
      </c>
      <c r="O1" s="19" t="s">
        <v>30</v>
      </c>
      <c r="P1" s="19" t="s">
        <v>15</v>
      </c>
      <c r="Q1" s="6" t="s">
        <v>29</v>
      </c>
      <c r="R1" s="6" t="s">
        <v>28</v>
      </c>
      <c r="S1" s="6" t="s">
        <v>27</v>
      </c>
      <c r="T1" s="6" t="s">
        <v>26</v>
      </c>
      <c r="U1" s="6" t="s">
        <v>25</v>
      </c>
      <c r="V1" s="6" t="s">
        <v>24</v>
      </c>
      <c r="W1" s="6" t="s">
        <v>23</v>
      </c>
      <c r="X1" s="6" t="s">
        <v>22</v>
      </c>
      <c r="Y1" s="6" t="s">
        <v>21</v>
      </c>
      <c r="Z1" s="3" t="s">
        <v>20</v>
      </c>
      <c r="AA1" s="2" t="s">
        <v>19</v>
      </c>
    </row>
    <row r="2" spans="1:27" ht="16.5" customHeight="1" x14ac:dyDescent="0.3">
      <c r="A2" s="5" t="str">
        <f>원본!A2</f>
        <v>260904-20</v>
      </c>
      <c r="B2" s="5" t="str">
        <f>원본!F2</f>
        <v>TP</v>
      </c>
      <c r="C2" s="1" t="str">
        <f>원본!G2</f>
        <v>6로이h/s+16단열(Ar.)+6DI</v>
      </c>
      <c r="D2" s="5">
        <f>원본!H2</f>
        <v>28</v>
      </c>
      <c r="E2" s="1" t="s">
        <v>18</v>
      </c>
      <c r="F2" s="1">
        <f>원본!I2</f>
        <v>300</v>
      </c>
      <c r="G2" s="1">
        <f>원본!J2</f>
        <v>300</v>
      </c>
      <c r="H2" s="1">
        <f>원본!K2</f>
        <v>1</v>
      </c>
      <c r="J2" s="1">
        <f>H2</f>
        <v>1</v>
      </c>
      <c r="K2" s="1">
        <f>원본!N2</f>
        <v>0.98</v>
      </c>
      <c r="L2" s="4" t="str">
        <f>원본!D2</f>
        <v>계룡건설산업(주)oo</v>
      </c>
      <c r="M2" s="1" t="str">
        <f>+원본!E2</f>
        <v>충남국제전시컨벤션센터현장</v>
      </c>
      <c r="N2" s="1" t="str">
        <f>+원본!P2</f>
        <v>샘플</v>
      </c>
      <c r="O2" s="20"/>
      <c r="P2" s="20"/>
      <c r="Z2" s="3" t="str">
        <f>원본!R2</f>
        <v>26-2405</v>
      </c>
      <c r="AA2" s="2">
        <f>COUNTIF(Z$2:Z2,Z2)</f>
        <v>1</v>
      </c>
    </row>
    <row r="3" spans="1:27" ht="16.5" customHeight="1" x14ac:dyDescent="0.3">
      <c r="A3" s="5" t="str">
        <f>원본!A3</f>
        <v>260904-20</v>
      </c>
      <c r="B3" s="5" t="str">
        <f>원본!F3</f>
        <v>TP</v>
      </c>
      <c r="C3" s="1" t="str">
        <f>원본!G3</f>
        <v>6DI+16단열(Ar.)+6로이h/s</v>
      </c>
      <c r="D3" s="5">
        <f>원본!H3</f>
        <v>28</v>
      </c>
      <c r="E3" s="1" t="s">
        <v>18</v>
      </c>
      <c r="F3" s="1">
        <f>원본!I3</f>
        <v>300</v>
      </c>
      <c r="G3" s="1">
        <f>원본!J3</f>
        <v>300</v>
      </c>
      <c r="H3" s="1">
        <f>원본!K3</f>
        <v>1</v>
      </c>
      <c r="J3" s="1">
        <f t="shared" ref="J3" si="0">H3</f>
        <v>1</v>
      </c>
      <c r="K3" s="1">
        <f>원본!N3</f>
        <v>0.98</v>
      </c>
      <c r="L3" s="4" t="str">
        <f>원본!D3</f>
        <v>계룡건설산업(주)oo</v>
      </c>
      <c r="M3" s="1" t="str">
        <f>+원본!E3</f>
        <v>충남국제전시컨벤션센터현장</v>
      </c>
      <c r="N3" s="1" t="str">
        <f>+원본!P3</f>
        <v>샘플</v>
      </c>
      <c r="O3" s="20"/>
      <c r="P3" s="20"/>
      <c r="Z3" s="3" t="str">
        <f>원본!R3</f>
        <v>26-2405</v>
      </c>
      <c r="AA3" s="2">
        <f>COUNTIF(Z$2:Z3,Z3)</f>
        <v>2</v>
      </c>
    </row>
    <row r="4" spans="1:27" ht="16.5" customHeight="1" x14ac:dyDescent="0.3">
      <c r="A4" s="5" t="str">
        <f>원본!A4</f>
        <v>260904-20</v>
      </c>
      <c r="B4" s="5" t="str">
        <f>원본!F4</f>
        <v>TP</v>
      </c>
      <c r="C4" s="1" t="str">
        <f>원본!G4</f>
        <v>6로이h/s+16단열(Ar.)+6CL</v>
      </c>
      <c r="D4" s="5">
        <f>원본!H4</f>
        <v>28</v>
      </c>
      <c r="E4" s="1" t="s">
        <v>18</v>
      </c>
      <c r="F4" s="1">
        <f>원본!I4</f>
        <v>300</v>
      </c>
      <c r="G4" s="1">
        <f>원본!J4</f>
        <v>300</v>
      </c>
      <c r="H4" s="1">
        <f>원본!K4</f>
        <v>1</v>
      </c>
      <c r="J4" s="1">
        <f t="shared" ref="J4:J67" si="1">H4</f>
        <v>1</v>
      </c>
      <c r="K4" s="1">
        <f>원본!N4</f>
        <v>0.98</v>
      </c>
      <c r="L4" s="4" t="str">
        <f>원본!D4</f>
        <v>계룡건설산업(주)oo</v>
      </c>
      <c r="M4" s="1" t="str">
        <f>+원본!E4</f>
        <v>충남국제전시컨벤션센터현장</v>
      </c>
      <c r="N4" s="1" t="str">
        <f>+원본!P4</f>
        <v>샘플</v>
      </c>
      <c r="O4" s="20"/>
      <c r="P4" s="20"/>
      <c r="Z4" s="3" t="str">
        <f>원본!R4</f>
        <v>26-2405</v>
      </c>
      <c r="AA4" s="2">
        <f>COUNTIF(Z$2:Z4,Z4)</f>
        <v>3</v>
      </c>
    </row>
    <row r="5" spans="1:27" ht="16.5" customHeight="1" x14ac:dyDescent="0.3">
      <c r="A5" s="5" t="str">
        <f>원본!A5</f>
        <v>260904-20</v>
      </c>
      <c r="B5" s="5" t="str">
        <f>원본!F5</f>
        <v>TP</v>
      </c>
      <c r="C5" s="1" t="str">
        <f>원본!G5</f>
        <v>6CL+16단열(Ar.)+6로이h/s</v>
      </c>
      <c r="D5" s="5">
        <f>원본!H5</f>
        <v>28</v>
      </c>
      <c r="E5" s="1" t="s">
        <v>18</v>
      </c>
      <c r="F5" s="1">
        <f>원본!I5</f>
        <v>300</v>
      </c>
      <c r="G5" s="1">
        <f>원본!J5</f>
        <v>300</v>
      </c>
      <c r="H5" s="1">
        <f>원본!K5</f>
        <v>1</v>
      </c>
      <c r="J5" s="1">
        <f t="shared" si="1"/>
        <v>1</v>
      </c>
      <c r="K5" s="1">
        <f>원본!N5</f>
        <v>0.98</v>
      </c>
      <c r="L5" s="4" t="str">
        <f>원본!D5</f>
        <v>계룡건설산업(주)oo</v>
      </c>
      <c r="M5" s="1" t="str">
        <f>+원본!E5</f>
        <v>충남국제전시컨벤션센터현장</v>
      </c>
      <c r="N5" s="1" t="str">
        <f>+원본!P5</f>
        <v>샘플</v>
      </c>
      <c r="O5" s="20"/>
      <c r="P5" s="20"/>
      <c r="Z5" s="3" t="str">
        <f>원본!R5</f>
        <v>26-2405</v>
      </c>
      <c r="AA5" s="2">
        <f>COUNTIF(Z$2:Z5,Z5)</f>
        <v>4</v>
      </c>
    </row>
    <row r="6" spans="1:27" ht="16.5" customHeight="1" x14ac:dyDescent="0.3">
      <c r="A6" s="5" t="str">
        <f>원본!A6</f>
        <v>260904-20</v>
      </c>
      <c r="B6" s="5" t="str">
        <f>원본!F6</f>
        <v>TP</v>
      </c>
      <c r="C6" s="1" t="str">
        <f>원본!G6</f>
        <v>6투명</v>
      </c>
      <c r="D6" s="5">
        <f>원본!H6</f>
        <v>6</v>
      </c>
      <c r="E6" s="1" t="s">
        <v>18</v>
      </c>
      <c r="F6" s="1">
        <f>원본!I6</f>
        <v>300</v>
      </c>
      <c r="G6" s="1">
        <f>원본!J6</f>
        <v>300</v>
      </c>
      <c r="H6" s="1">
        <f>원본!K6</f>
        <v>1</v>
      </c>
      <c r="J6" s="1">
        <f t="shared" si="1"/>
        <v>1</v>
      </c>
      <c r="K6" s="1">
        <f>원본!N6</f>
        <v>0.98</v>
      </c>
      <c r="L6" s="4" t="str">
        <f>원본!D6</f>
        <v>계룡건설산업(주)oo</v>
      </c>
      <c r="M6" s="1" t="str">
        <f>+원본!E6</f>
        <v>충남국제전시컨벤션센터현장</v>
      </c>
      <c r="N6" s="1" t="str">
        <f>+원본!P6</f>
        <v>샘플</v>
      </c>
      <c r="O6" s="20"/>
      <c r="P6" s="20"/>
      <c r="Z6" s="3" t="str">
        <f>원본!R6</f>
        <v>26-2405</v>
      </c>
      <c r="AA6" s="2">
        <f>COUNTIF(Z$2:Z6,Z6)</f>
        <v>5</v>
      </c>
    </row>
    <row r="7" spans="1:27" ht="16.5" customHeight="1" x14ac:dyDescent="0.3">
      <c r="A7" s="5" t="str">
        <f>원본!A7</f>
        <v>260904-20</v>
      </c>
      <c r="B7" s="5" t="str">
        <f>원본!F7</f>
        <v>TP</v>
      </c>
      <c r="C7" s="1" t="str">
        <f>원본!G7</f>
        <v>6DI</v>
      </c>
      <c r="D7" s="5">
        <f>원본!H7</f>
        <v>6</v>
      </c>
      <c r="E7" s="1" t="s">
        <v>18</v>
      </c>
      <c r="F7" s="1">
        <f>원본!I7</f>
        <v>300</v>
      </c>
      <c r="G7" s="1">
        <f>원본!J7</f>
        <v>300</v>
      </c>
      <c r="H7" s="1">
        <f>원본!K7</f>
        <v>1</v>
      </c>
      <c r="J7" s="1">
        <f t="shared" si="1"/>
        <v>1</v>
      </c>
      <c r="K7" s="1">
        <f>원본!N7</f>
        <v>0.98</v>
      </c>
      <c r="L7" s="4" t="str">
        <f>원본!D7</f>
        <v>계룡건설산업(주)oo</v>
      </c>
      <c r="M7" s="1" t="str">
        <f>+원본!E7</f>
        <v>충남국제전시컨벤션센터현장</v>
      </c>
      <c r="N7" s="1" t="str">
        <f>+원본!P7</f>
        <v>샘플</v>
      </c>
      <c r="O7" s="20"/>
      <c r="P7" s="20"/>
      <c r="Z7" s="3" t="str">
        <f>원본!R7</f>
        <v>26-2405</v>
      </c>
      <c r="AA7" s="2">
        <f>COUNTIF(Z$2:Z7,Z7)</f>
        <v>6</v>
      </c>
    </row>
    <row r="8" spans="1:27" ht="16.5" customHeight="1" x14ac:dyDescent="0.3">
      <c r="A8" s="5" t="str">
        <f>원본!A8</f>
        <v>260907-02</v>
      </c>
      <c r="B8" s="5" t="str">
        <f>원본!F8</f>
        <v>TP</v>
      </c>
      <c r="C8" s="1" t="str">
        <f>원본!G8</f>
        <v>6ECT173h/s+12단열(Ar.)+6CLh/s</v>
      </c>
      <c r="D8" s="5">
        <f>원본!H8</f>
        <v>24</v>
      </c>
      <c r="E8" s="1" t="s">
        <v>18</v>
      </c>
      <c r="F8" s="1">
        <f>원본!I8</f>
        <v>1959</v>
      </c>
      <c r="G8" s="1">
        <f>원본!J8</f>
        <v>1970</v>
      </c>
      <c r="H8" s="1">
        <f>원본!K8</f>
        <v>1</v>
      </c>
      <c r="J8" s="1">
        <f t="shared" si="1"/>
        <v>1</v>
      </c>
      <c r="K8" s="1">
        <f>원본!N8</f>
        <v>42.04</v>
      </c>
      <c r="L8" s="4" t="str">
        <f>원본!D8</f>
        <v>에스케이에코플랜트(주)c</v>
      </c>
      <c r="M8" s="1" t="str">
        <f>+원본!E8</f>
        <v>용인 FAB 1기 지원시설 건설공사 (1BL)현장</v>
      </c>
      <c r="N8" s="1" t="str">
        <f>+원본!P8</f>
        <v>단열테스트용</v>
      </c>
      <c r="O8" s="20"/>
      <c r="P8" s="20"/>
      <c r="Z8" s="3" t="str">
        <f>원본!R8</f>
        <v>26-2407</v>
      </c>
      <c r="AA8" s="2">
        <f>COUNTIF(Z$2:Z8,Z8)</f>
        <v>1</v>
      </c>
    </row>
    <row r="9" spans="1:27" ht="16.5" customHeight="1" x14ac:dyDescent="0.3">
      <c r="A9" s="5" t="str">
        <f>원본!A9</f>
        <v>260907-01</v>
      </c>
      <c r="B9" s="5" t="str">
        <f>원본!F9</f>
        <v>TP</v>
      </c>
      <c r="C9" s="1" t="str">
        <f>원본!G9</f>
        <v>5SKN154II+14단열(Ar.)+5CL</v>
      </c>
      <c r="D9" s="5">
        <f>원본!H9</f>
        <v>24</v>
      </c>
      <c r="E9" s="1" t="s">
        <v>18</v>
      </c>
      <c r="F9" s="1">
        <f>원본!I9</f>
        <v>1000</v>
      </c>
      <c r="G9" s="1">
        <f>원본!J9</f>
        <v>1740</v>
      </c>
      <c r="H9" s="1">
        <f>원본!K9</f>
        <v>1</v>
      </c>
      <c r="J9" s="1">
        <f t="shared" si="1"/>
        <v>1</v>
      </c>
      <c r="K9" s="1">
        <f>원본!N9</f>
        <v>18.95</v>
      </c>
      <c r="L9" s="4" t="str">
        <f>원본!D9</f>
        <v>동성건설(주)r</v>
      </c>
      <c r="M9" s="1" t="str">
        <f>+원본!E9</f>
        <v>한국로지스풀 시화물류센터 건설공사 현장</v>
      </c>
      <c r="N9" s="1" t="str">
        <f>+원본!P9</f>
        <v>AW/7</v>
      </c>
      <c r="O9" s="20"/>
      <c r="P9" s="20"/>
      <c r="Z9" s="3" t="str">
        <f>원본!R9</f>
        <v>26-2406</v>
      </c>
      <c r="AA9" s="2">
        <f>COUNTIF(Z$2:Z9,Z9)</f>
        <v>1</v>
      </c>
    </row>
    <row r="10" spans="1:27" ht="16.5" customHeight="1" x14ac:dyDescent="0.3">
      <c r="A10" s="5" t="str">
        <f>원본!A10</f>
        <v>260907-01</v>
      </c>
      <c r="B10" s="5" t="str">
        <f>원본!F10</f>
        <v>TP</v>
      </c>
      <c r="C10" s="1" t="str">
        <f>원본!G10</f>
        <v>5SKN154II+14단열(Ar.)+5CL</v>
      </c>
      <c r="D10" s="5">
        <f>원본!H10</f>
        <v>24</v>
      </c>
      <c r="E10" s="1" t="s">
        <v>18</v>
      </c>
      <c r="F10" s="1">
        <f>원본!I10</f>
        <v>800</v>
      </c>
      <c r="G10" s="1">
        <f>원본!J10</f>
        <v>910</v>
      </c>
      <c r="H10" s="1">
        <f>원본!K10</f>
        <v>2</v>
      </c>
      <c r="J10" s="1">
        <f t="shared" si="1"/>
        <v>2</v>
      </c>
      <c r="K10" s="1">
        <f>원본!N10</f>
        <v>15.86</v>
      </c>
      <c r="L10" s="4" t="str">
        <f>원본!D10</f>
        <v>동성건설(주)r</v>
      </c>
      <c r="M10" s="1" t="str">
        <f>+원본!E10</f>
        <v>한국로지스풀 시화물류센터 건설공사 현장</v>
      </c>
      <c r="N10" s="1" t="str">
        <f>+원본!P10</f>
        <v>AW/5 SL</v>
      </c>
      <c r="O10" s="20"/>
      <c r="P10" s="20"/>
      <c r="Z10" s="3" t="str">
        <f>원본!R10</f>
        <v>26-2406</v>
      </c>
      <c r="AA10" s="2">
        <f>COUNTIF(Z$2:Z10,Z10)</f>
        <v>2</v>
      </c>
    </row>
    <row r="11" spans="1:27" ht="16.5" customHeight="1" x14ac:dyDescent="0.3">
      <c r="A11" s="5" t="str">
        <f>원본!A11</f>
        <v>260907-01</v>
      </c>
      <c r="B11" s="5" t="str">
        <f>원본!F11</f>
        <v>TP</v>
      </c>
      <c r="C11" s="1" t="str">
        <f>원본!G11</f>
        <v>5SKN154II+14단열(Ar.)+5CL</v>
      </c>
      <c r="D11" s="5">
        <f>원본!H11</f>
        <v>24</v>
      </c>
      <c r="E11" s="1" t="s">
        <v>18</v>
      </c>
      <c r="F11" s="1">
        <f>원본!I11</f>
        <v>903</v>
      </c>
      <c r="G11" s="1">
        <f>원본!J11</f>
        <v>833</v>
      </c>
      <c r="H11" s="1">
        <f>원본!K11</f>
        <v>126</v>
      </c>
      <c r="J11" s="1">
        <f t="shared" si="1"/>
        <v>126</v>
      </c>
      <c r="K11" s="1">
        <f>원본!N11</f>
        <v>1032.33</v>
      </c>
      <c r="L11" s="4" t="str">
        <f>원본!D11</f>
        <v>동성건설(주)r</v>
      </c>
      <c r="M11" s="1" t="str">
        <f>+원본!E11</f>
        <v>한국로지스풀 시화물류센터 건설공사 현장</v>
      </c>
      <c r="N11" s="1" t="str">
        <f>+원본!P11</f>
        <v>AW/3</v>
      </c>
      <c r="O11" s="20"/>
      <c r="P11" s="20"/>
      <c r="Z11" s="3" t="str">
        <f>원본!R11</f>
        <v>26-2406</v>
      </c>
      <c r="AA11" s="2">
        <f>COUNTIF(Z$2:Z11,Z11)</f>
        <v>3</v>
      </c>
    </row>
    <row r="12" spans="1:27" ht="16.5" customHeight="1" x14ac:dyDescent="0.3">
      <c r="A12" s="5" t="str">
        <f>원본!A12</f>
        <v>260907-01</v>
      </c>
      <c r="B12" s="5" t="str">
        <f>원본!F12</f>
        <v>TP</v>
      </c>
      <c r="C12" s="1" t="str">
        <f>원본!G12</f>
        <v>5SKN154II+14단열(Ar.)+5CL</v>
      </c>
      <c r="D12" s="5">
        <f>원본!H12</f>
        <v>24</v>
      </c>
      <c r="E12" s="1" t="s">
        <v>18</v>
      </c>
      <c r="F12" s="1">
        <f>원본!I12</f>
        <v>605</v>
      </c>
      <c r="G12" s="1">
        <f>원본!J12</f>
        <v>755</v>
      </c>
      <c r="H12" s="1">
        <f>원본!K12</f>
        <v>1</v>
      </c>
      <c r="J12" s="1">
        <f t="shared" si="1"/>
        <v>1</v>
      </c>
      <c r="K12" s="1">
        <f>원본!N12</f>
        <v>4.9800000000000004</v>
      </c>
      <c r="L12" s="4" t="str">
        <f>원본!D12</f>
        <v>동성건설(주)r</v>
      </c>
      <c r="M12" s="1" t="str">
        <f>+원본!E12</f>
        <v>한국로지스풀 시화물류센터 건설공사 현장</v>
      </c>
      <c r="N12" s="1" t="str">
        <f>+원본!P12</f>
        <v>AW/7</v>
      </c>
      <c r="O12" s="20"/>
      <c r="P12" s="20"/>
      <c r="Z12" s="3" t="str">
        <f>원본!R12</f>
        <v>26-2406</v>
      </c>
      <c r="AA12" s="2">
        <f>COUNTIF(Z$2:Z12,Z12)</f>
        <v>4</v>
      </c>
    </row>
    <row r="13" spans="1:27" ht="16.5" customHeight="1" x14ac:dyDescent="0.3">
      <c r="A13" s="5" t="str">
        <f>원본!A13</f>
        <v>260907-01</v>
      </c>
      <c r="B13" s="5" t="str">
        <f>원본!F13</f>
        <v>TP</v>
      </c>
      <c r="C13" s="1" t="str">
        <f>원본!G13</f>
        <v>5SKN154II+14단열(Ar.)+5CL</v>
      </c>
      <c r="D13" s="5">
        <f>원본!H13</f>
        <v>24</v>
      </c>
      <c r="E13" s="1" t="s">
        <v>18</v>
      </c>
      <c r="F13" s="1">
        <f>원본!I13</f>
        <v>435</v>
      </c>
      <c r="G13" s="1">
        <f>원본!J13</f>
        <v>735</v>
      </c>
      <c r="H13" s="1">
        <f>원본!K13</f>
        <v>1</v>
      </c>
      <c r="J13" s="1">
        <f t="shared" si="1"/>
        <v>1</v>
      </c>
      <c r="K13" s="1">
        <f>원본!N13</f>
        <v>3.48</v>
      </c>
      <c r="L13" s="4" t="str">
        <f>원본!D13</f>
        <v>동성건설(주)r</v>
      </c>
      <c r="M13" s="1" t="str">
        <f>+원본!E13</f>
        <v>한국로지스풀 시화물류센터 건설공사 현장</v>
      </c>
      <c r="N13" s="1" t="str">
        <f>+원본!P13</f>
        <v>AW/7</v>
      </c>
      <c r="O13" s="20"/>
      <c r="P13" s="20"/>
      <c r="Z13" s="3" t="str">
        <f>원본!R13</f>
        <v>26-2406</v>
      </c>
      <c r="AA13" s="2">
        <f>COUNTIF(Z$2:Z13,Z13)</f>
        <v>5</v>
      </c>
    </row>
    <row r="14" spans="1:27" ht="16.5" customHeight="1" x14ac:dyDescent="0.3">
      <c r="A14" s="5" t="str">
        <f>원본!A14</f>
        <v>260907-01</v>
      </c>
      <c r="B14" s="5" t="str">
        <f>원본!F14</f>
        <v>TP</v>
      </c>
      <c r="C14" s="1" t="str">
        <f>원본!G14</f>
        <v>5SKN154II+14단열(Ar.)+5CL</v>
      </c>
      <c r="D14" s="5">
        <f>원본!H14</f>
        <v>24</v>
      </c>
      <c r="E14" s="1" t="s">
        <v>18</v>
      </c>
      <c r="F14" s="1">
        <f>원본!I14</f>
        <v>730</v>
      </c>
      <c r="G14" s="1">
        <f>원본!J14</f>
        <v>665</v>
      </c>
      <c r="H14" s="1">
        <f>원본!K14</f>
        <v>122</v>
      </c>
      <c r="J14" s="1">
        <f t="shared" si="1"/>
        <v>122</v>
      </c>
      <c r="K14" s="1">
        <f>원본!N14</f>
        <v>645.09</v>
      </c>
      <c r="L14" s="4" t="str">
        <f>원본!D14</f>
        <v>동성건설(주)r</v>
      </c>
      <c r="M14" s="1" t="str">
        <f>+원본!E14</f>
        <v>한국로지스풀 시화물류센터 건설공사 현장</v>
      </c>
      <c r="N14" s="1" t="str">
        <f>+원본!P14</f>
        <v>AW/1</v>
      </c>
      <c r="O14" s="20"/>
      <c r="P14" s="20"/>
      <c r="Z14" s="3" t="str">
        <f>원본!R14</f>
        <v>26-2406</v>
      </c>
      <c r="AA14" s="2">
        <f>COUNTIF(Z$2:Z14,Z14)</f>
        <v>6</v>
      </c>
    </row>
    <row r="15" spans="1:27" ht="16.5" customHeight="1" x14ac:dyDescent="0.3">
      <c r="A15" s="5" t="str">
        <f>원본!A15</f>
        <v>260907-01</v>
      </c>
      <c r="B15" s="5" t="str">
        <f>원본!F15</f>
        <v>TP</v>
      </c>
      <c r="C15" s="1" t="str">
        <f>원본!G15</f>
        <v>5SKN154II+14단열(Ar.)+5CL</v>
      </c>
      <c r="D15" s="5">
        <f>원본!H15</f>
        <v>24</v>
      </c>
      <c r="E15" s="1" t="s">
        <v>18</v>
      </c>
      <c r="F15" s="1">
        <f>원본!I15</f>
        <v>715</v>
      </c>
      <c r="G15" s="1">
        <f>원본!J15</f>
        <v>665</v>
      </c>
      <c r="H15" s="1">
        <f>원본!K15</f>
        <v>7</v>
      </c>
      <c r="J15" s="1">
        <f t="shared" si="1"/>
        <v>7</v>
      </c>
      <c r="K15" s="1">
        <f>원본!N15</f>
        <v>36.25</v>
      </c>
      <c r="L15" s="4" t="str">
        <f>원본!D15</f>
        <v>동성건설(주)r</v>
      </c>
      <c r="M15" s="1" t="str">
        <f>+원본!E15</f>
        <v>한국로지스풀 시화물류센터 건설공사 현장</v>
      </c>
      <c r="N15" s="1" t="str">
        <f>+원본!P15</f>
        <v>AW/7</v>
      </c>
      <c r="O15" s="20"/>
      <c r="P15" s="20"/>
      <c r="Z15" s="3" t="str">
        <f>원본!R15</f>
        <v>26-2406</v>
      </c>
      <c r="AA15" s="2">
        <f>COUNTIF(Z$2:Z15,Z15)</f>
        <v>7</v>
      </c>
    </row>
    <row r="16" spans="1:27" ht="16.5" customHeight="1" x14ac:dyDescent="0.3">
      <c r="A16" s="5" t="str">
        <f>원본!A16</f>
        <v>260903-09</v>
      </c>
      <c r="B16" s="5" t="str">
        <f>원본!F16</f>
        <v>TP</v>
      </c>
      <c r="C16" s="1" t="str">
        <f>원본!G16</f>
        <v>5CL+12A+5로이</v>
      </c>
      <c r="D16" s="5">
        <f>원본!H16</f>
        <v>22</v>
      </c>
      <c r="E16" s="1" t="s">
        <v>18</v>
      </c>
      <c r="F16" s="1">
        <f>원본!I16</f>
        <v>874</v>
      </c>
      <c r="G16" s="1">
        <f>원본!J16</f>
        <v>2316</v>
      </c>
      <c r="H16" s="1">
        <f>원본!K16</f>
        <v>2</v>
      </c>
      <c r="J16" s="1">
        <f t="shared" si="1"/>
        <v>2</v>
      </c>
      <c r="K16" s="1">
        <f>원본!N16</f>
        <v>44.1</v>
      </c>
      <c r="L16" s="4" t="str">
        <f>원본!D16</f>
        <v>우미건설(주)e</v>
      </c>
      <c r="M16" s="1" t="str">
        <f>+원본!E16</f>
        <v xml:space="preserve"> 남원주 역세권 복합용지 AC-4BL 우미린 공동주택현장</v>
      </c>
      <c r="N16" s="1" t="str">
        <f>+원본!P16</f>
        <v>4동5호 안방분합(내)</v>
      </c>
      <c r="O16" s="20"/>
      <c r="P16" s="20"/>
      <c r="Z16" s="3" t="str">
        <f>원본!R16</f>
        <v>26-2379</v>
      </c>
      <c r="AA16" s="2">
        <f>COUNTIF(Z$2:Z16,Z16)</f>
        <v>1</v>
      </c>
    </row>
    <row r="17" spans="1:27" ht="16.5" customHeight="1" x14ac:dyDescent="0.3">
      <c r="A17" s="5" t="str">
        <f>원본!A17</f>
        <v>260903-09</v>
      </c>
      <c r="B17" s="5" t="str">
        <f>원본!F17</f>
        <v>TP</v>
      </c>
      <c r="C17" s="1" t="str">
        <f>원본!G17</f>
        <v>5CL+12A+5로이</v>
      </c>
      <c r="D17" s="5">
        <f>원본!H17</f>
        <v>22</v>
      </c>
      <c r="E17" s="1" t="s">
        <v>18</v>
      </c>
      <c r="F17" s="1">
        <f>원본!I17</f>
        <v>724</v>
      </c>
      <c r="G17" s="1">
        <f>원본!J17</f>
        <v>2316</v>
      </c>
      <c r="H17" s="1">
        <f>원본!K17</f>
        <v>2</v>
      </c>
      <c r="J17" s="1">
        <f t="shared" si="1"/>
        <v>2</v>
      </c>
      <c r="K17" s="1">
        <f>원본!N17</f>
        <v>36.53</v>
      </c>
      <c r="L17" s="4" t="str">
        <f>원본!D17</f>
        <v>우미건설(주)e</v>
      </c>
      <c r="M17" s="1" t="str">
        <f>+원본!E17</f>
        <v xml:space="preserve"> 남원주 역세권 복합용지 AC-4BL 우미린 공동주택현장</v>
      </c>
      <c r="N17" s="1" t="str">
        <f>+원본!P17</f>
        <v>4동2호 안방분합(내)</v>
      </c>
      <c r="O17" s="20"/>
      <c r="P17" s="20"/>
      <c r="Z17" s="3" t="str">
        <f>원본!R17</f>
        <v>26-2379</v>
      </c>
      <c r="AA17" s="2">
        <f>COUNTIF(Z$2:Z17,Z17)</f>
        <v>2</v>
      </c>
    </row>
    <row r="18" spans="1:27" ht="16.5" customHeight="1" x14ac:dyDescent="0.3">
      <c r="A18" s="5" t="str">
        <f>원본!A18</f>
        <v>260903-09</v>
      </c>
      <c r="B18" s="5" t="str">
        <f>원본!F18</f>
        <v>TP</v>
      </c>
      <c r="C18" s="1" t="str">
        <f>원본!G18</f>
        <v>5CL+12A+5로이</v>
      </c>
      <c r="D18" s="5">
        <f>원본!H18</f>
        <v>22</v>
      </c>
      <c r="E18" s="1" t="s">
        <v>18</v>
      </c>
      <c r="F18" s="1">
        <f>원본!I18</f>
        <v>724</v>
      </c>
      <c r="G18" s="1">
        <f>원본!J18</f>
        <v>2316</v>
      </c>
      <c r="H18" s="1">
        <f>원본!K18</f>
        <v>2</v>
      </c>
      <c r="J18" s="1">
        <f t="shared" si="1"/>
        <v>2</v>
      </c>
      <c r="K18" s="1">
        <f>원본!N18</f>
        <v>36.53</v>
      </c>
      <c r="L18" s="4" t="str">
        <f>원본!D18</f>
        <v>우미건설(주)e</v>
      </c>
      <c r="M18" s="1" t="str">
        <f>+원본!E18</f>
        <v xml:space="preserve"> 남원주 역세권 복합용지 AC-4BL 우미린 공동주택현장</v>
      </c>
      <c r="N18" s="1" t="str">
        <f>+원본!P18</f>
        <v>4동3호 안방분합(내)</v>
      </c>
      <c r="O18" s="20"/>
      <c r="P18" s="20"/>
      <c r="Z18" s="3" t="str">
        <f>원본!R18</f>
        <v>26-2379</v>
      </c>
      <c r="AA18" s="2">
        <f>COUNTIF(Z$2:Z18,Z18)</f>
        <v>3</v>
      </c>
    </row>
    <row r="19" spans="1:27" ht="16.5" customHeight="1" x14ac:dyDescent="0.3">
      <c r="A19" s="5" t="str">
        <f>원본!A19</f>
        <v>260903-09</v>
      </c>
      <c r="B19" s="5" t="str">
        <f>원본!F19</f>
        <v>TP</v>
      </c>
      <c r="C19" s="1" t="str">
        <f>원본!G19</f>
        <v>5CL+12A+5로이</v>
      </c>
      <c r="D19" s="5">
        <f>원본!H19</f>
        <v>22</v>
      </c>
      <c r="E19" s="1" t="s">
        <v>18</v>
      </c>
      <c r="F19" s="1">
        <f>원본!I19</f>
        <v>414</v>
      </c>
      <c r="G19" s="1">
        <f>원본!J19</f>
        <v>1636</v>
      </c>
      <c r="H19" s="1">
        <f>원본!K19</f>
        <v>2</v>
      </c>
      <c r="J19" s="1">
        <f t="shared" si="1"/>
        <v>2</v>
      </c>
      <c r="K19" s="1">
        <f>원본!N19</f>
        <v>14.75</v>
      </c>
      <c r="L19" s="4" t="str">
        <f>원본!D19</f>
        <v>우미건설(주)e</v>
      </c>
      <c r="M19" s="1" t="str">
        <f>+원본!E19</f>
        <v xml:space="preserve"> 남원주 역세권 복합용지 AC-4BL 우미린 공동주택현장</v>
      </c>
      <c r="N19" s="1" t="str">
        <f>+원본!P19</f>
        <v>4동2호 실외기실(내)</v>
      </c>
      <c r="O19" s="20"/>
      <c r="P19" s="20"/>
      <c r="Z19" s="3" t="str">
        <f>원본!R19</f>
        <v>26-2379</v>
      </c>
      <c r="AA19" s="2">
        <f>COUNTIF(Z$2:Z19,Z19)</f>
        <v>4</v>
      </c>
    </row>
    <row r="20" spans="1:27" ht="16.5" customHeight="1" x14ac:dyDescent="0.3">
      <c r="A20" s="5" t="str">
        <f>원본!A20</f>
        <v>260903-09</v>
      </c>
      <c r="B20" s="5" t="str">
        <f>원본!F20</f>
        <v>TP</v>
      </c>
      <c r="C20" s="1" t="str">
        <f>원본!G20</f>
        <v>5CL+12A+5로이</v>
      </c>
      <c r="D20" s="5">
        <f>원본!H20</f>
        <v>22</v>
      </c>
      <c r="E20" s="1" t="s">
        <v>18</v>
      </c>
      <c r="F20" s="1">
        <f>원본!I20</f>
        <v>414</v>
      </c>
      <c r="G20" s="1">
        <f>원본!J20</f>
        <v>1636</v>
      </c>
      <c r="H20" s="1">
        <f>원본!K20</f>
        <v>2</v>
      </c>
      <c r="J20" s="1">
        <f t="shared" si="1"/>
        <v>2</v>
      </c>
      <c r="K20" s="1">
        <f>원본!N20</f>
        <v>14.75</v>
      </c>
      <c r="L20" s="4" t="str">
        <f>원본!D20</f>
        <v>우미건설(주)e</v>
      </c>
      <c r="M20" s="1" t="str">
        <f>+원본!E20</f>
        <v xml:space="preserve"> 남원주 역세권 복합용지 AC-4BL 우미린 공동주택현장</v>
      </c>
      <c r="N20" s="1" t="str">
        <f>+원본!P20</f>
        <v>4동3호 실외기실(내)</v>
      </c>
      <c r="O20" s="20"/>
      <c r="P20" s="20"/>
      <c r="Z20" s="3" t="str">
        <f>원본!R20</f>
        <v>26-2379</v>
      </c>
      <c r="AA20" s="2">
        <f>COUNTIF(Z$2:Z20,Z20)</f>
        <v>5</v>
      </c>
    </row>
    <row r="21" spans="1:27" ht="16.5" customHeight="1" x14ac:dyDescent="0.3">
      <c r="A21" s="5" t="str">
        <f>원본!A21</f>
        <v>260903-09</v>
      </c>
      <c r="B21" s="5" t="str">
        <f>원본!F21</f>
        <v>TP</v>
      </c>
      <c r="C21" s="1" t="str">
        <f>원본!G21</f>
        <v>5CL+12A+5로이</v>
      </c>
      <c r="D21" s="5">
        <f>원본!H21</f>
        <v>22</v>
      </c>
      <c r="E21" s="1" t="s">
        <v>18</v>
      </c>
      <c r="F21" s="1">
        <f>원본!I21</f>
        <v>414</v>
      </c>
      <c r="G21" s="1">
        <f>원본!J21</f>
        <v>1636</v>
      </c>
      <c r="H21" s="1">
        <f>원본!K21</f>
        <v>2</v>
      </c>
      <c r="J21" s="1">
        <f t="shared" si="1"/>
        <v>2</v>
      </c>
      <c r="K21" s="1">
        <f>원본!N21</f>
        <v>14.75</v>
      </c>
      <c r="L21" s="4" t="str">
        <f>원본!D21</f>
        <v>우미건설(주)e</v>
      </c>
      <c r="M21" s="1" t="str">
        <f>+원본!E21</f>
        <v xml:space="preserve"> 남원주 역세권 복합용지 AC-4BL 우미린 공동주택현장</v>
      </c>
      <c r="N21" s="1" t="str">
        <f>+원본!P21</f>
        <v>4동5호 실외기실(내)</v>
      </c>
      <c r="O21" s="20"/>
      <c r="P21" s="20"/>
      <c r="Z21" s="3" t="str">
        <f>원본!R21</f>
        <v>26-2379</v>
      </c>
      <c r="AA21" s="2">
        <f>COUNTIF(Z$2:Z21,Z21)</f>
        <v>6</v>
      </c>
    </row>
    <row r="22" spans="1:27" ht="16.5" customHeight="1" x14ac:dyDescent="0.3">
      <c r="A22" s="5" t="str">
        <f>원본!A22</f>
        <v>260903-09</v>
      </c>
      <c r="B22" s="5" t="str">
        <f>원본!F22</f>
        <v>TP</v>
      </c>
      <c r="C22" s="1" t="str">
        <f>원본!G22</f>
        <v>5CL+12A+5CL</v>
      </c>
      <c r="D22" s="5">
        <f>원본!H22</f>
        <v>22</v>
      </c>
      <c r="E22" s="1" t="s">
        <v>18</v>
      </c>
      <c r="F22" s="1">
        <f>원본!I22</f>
        <v>874</v>
      </c>
      <c r="G22" s="1">
        <f>원본!J22</f>
        <v>2316</v>
      </c>
      <c r="H22" s="1">
        <f>원본!K22</f>
        <v>2</v>
      </c>
      <c r="J22" s="1">
        <f t="shared" si="1"/>
        <v>2</v>
      </c>
      <c r="K22" s="1">
        <f>원본!N22</f>
        <v>44.1</v>
      </c>
      <c r="L22" s="4" t="str">
        <f>원본!D22</f>
        <v>우미건설(주)e</v>
      </c>
      <c r="M22" s="1" t="str">
        <f>+원본!E22</f>
        <v xml:space="preserve"> 남원주 역세권 복합용지 AC-4BL 우미린 공동주택현장</v>
      </c>
      <c r="N22" s="1" t="str">
        <f>+원본!P22</f>
        <v>4동5호 안방분합(외)</v>
      </c>
      <c r="O22" s="20"/>
      <c r="P22" s="20"/>
      <c r="Z22" s="3" t="str">
        <f>원본!R22</f>
        <v>26-2379</v>
      </c>
      <c r="AA22" s="2">
        <f>COUNTIF(Z$2:Z22,Z22)</f>
        <v>7</v>
      </c>
    </row>
    <row r="23" spans="1:27" ht="16.5" customHeight="1" x14ac:dyDescent="0.3">
      <c r="A23" s="5" t="str">
        <f>원본!A23</f>
        <v>260903-09</v>
      </c>
      <c r="B23" s="5" t="str">
        <f>원본!F23</f>
        <v>TP</v>
      </c>
      <c r="C23" s="1" t="str">
        <f>원본!G23</f>
        <v>5CL+12A+5CL</v>
      </c>
      <c r="D23" s="5">
        <f>원본!H23</f>
        <v>22</v>
      </c>
      <c r="E23" s="1" t="s">
        <v>18</v>
      </c>
      <c r="F23" s="1">
        <f>원본!I23</f>
        <v>724</v>
      </c>
      <c r="G23" s="1">
        <f>원본!J23</f>
        <v>2316</v>
      </c>
      <c r="H23" s="1">
        <f>원본!K23</f>
        <v>2</v>
      </c>
      <c r="J23" s="1">
        <f t="shared" si="1"/>
        <v>2</v>
      </c>
      <c r="K23" s="1">
        <f>원본!N23</f>
        <v>36.53</v>
      </c>
      <c r="L23" s="4" t="str">
        <f>원본!D23</f>
        <v>우미건설(주)e</v>
      </c>
      <c r="M23" s="1" t="str">
        <f>+원본!E23</f>
        <v xml:space="preserve"> 남원주 역세권 복합용지 AC-4BL 우미린 공동주택현장</v>
      </c>
      <c r="N23" s="1" t="str">
        <f>+원본!P23</f>
        <v>4동2호 안방분합(외)</v>
      </c>
      <c r="O23" s="20"/>
      <c r="P23" s="20"/>
      <c r="Z23" s="3" t="str">
        <f>원본!R23</f>
        <v>26-2379</v>
      </c>
      <c r="AA23" s="2">
        <f>COUNTIF(Z$2:Z23,Z23)</f>
        <v>8</v>
      </c>
    </row>
    <row r="24" spans="1:27" ht="16.5" customHeight="1" x14ac:dyDescent="0.3">
      <c r="A24" s="5" t="str">
        <f>원본!A24</f>
        <v>260903-09</v>
      </c>
      <c r="B24" s="5" t="str">
        <f>원본!F24</f>
        <v>TP</v>
      </c>
      <c r="C24" s="1" t="str">
        <f>원본!G24</f>
        <v>5CL+12A+5CL</v>
      </c>
      <c r="D24" s="5">
        <f>원본!H24</f>
        <v>22</v>
      </c>
      <c r="E24" s="1" t="s">
        <v>18</v>
      </c>
      <c r="F24" s="1">
        <f>원본!I24</f>
        <v>724</v>
      </c>
      <c r="G24" s="1">
        <f>원본!J24</f>
        <v>2316</v>
      </c>
      <c r="H24" s="1">
        <f>원본!K24</f>
        <v>2</v>
      </c>
      <c r="J24" s="1">
        <f t="shared" si="1"/>
        <v>2</v>
      </c>
      <c r="K24" s="1">
        <f>원본!N24</f>
        <v>36.53</v>
      </c>
      <c r="L24" s="4" t="str">
        <f>원본!D24</f>
        <v>우미건설(주)e</v>
      </c>
      <c r="M24" s="1" t="str">
        <f>+원본!E24</f>
        <v xml:space="preserve"> 남원주 역세권 복합용지 AC-4BL 우미린 공동주택현장</v>
      </c>
      <c r="N24" s="1" t="str">
        <f>+원본!P24</f>
        <v>4동3호 안방분합(외)</v>
      </c>
      <c r="O24" s="20"/>
      <c r="P24" s="20"/>
      <c r="Z24" s="3" t="str">
        <f>원본!R24</f>
        <v>26-2379</v>
      </c>
      <c r="AA24" s="2">
        <f>COUNTIF(Z$2:Z24,Z24)</f>
        <v>9</v>
      </c>
    </row>
    <row r="25" spans="1:27" ht="16.5" customHeight="1" x14ac:dyDescent="0.3">
      <c r="A25" s="5" t="str">
        <f>원본!A25</f>
        <v>260903-09</v>
      </c>
      <c r="B25" s="5" t="str">
        <f>원본!F25</f>
        <v>TP</v>
      </c>
      <c r="C25" s="1" t="str">
        <f>원본!G25</f>
        <v>5CL+12A+5CL</v>
      </c>
      <c r="D25" s="5">
        <f>원본!H25</f>
        <v>22</v>
      </c>
      <c r="E25" s="1" t="s">
        <v>18</v>
      </c>
      <c r="F25" s="1">
        <f>원본!I25</f>
        <v>414</v>
      </c>
      <c r="G25" s="1">
        <f>원본!J25</f>
        <v>1636</v>
      </c>
      <c r="H25" s="1">
        <f>원본!K25</f>
        <v>2</v>
      </c>
      <c r="J25" s="1">
        <f t="shared" si="1"/>
        <v>2</v>
      </c>
      <c r="K25" s="1">
        <f>원본!N25</f>
        <v>14.75</v>
      </c>
      <c r="L25" s="4" t="str">
        <f>원본!D25</f>
        <v>우미건설(주)e</v>
      </c>
      <c r="M25" s="1" t="str">
        <f>+원본!E25</f>
        <v xml:space="preserve"> 남원주 역세권 복합용지 AC-4BL 우미린 공동주택현장</v>
      </c>
      <c r="N25" s="1" t="str">
        <f>+원본!P25</f>
        <v>4동2호 실외기실(외)</v>
      </c>
      <c r="O25" s="20"/>
      <c r="P25" s="20"/>
      <c r="Z25" s="3" t="str">
        <f>원본!R25</f>
        <v>26-2379</v>
      </c>
      <c r="AA25" s="2">
        <f>COUNTIF(Z$2:Z25,Z25)</f>
        <v>10</v>
      </c>
    </row>
    <row r="26" spans="1:27" ht="16.5" customHeight="1" x14ac:dyDescent="0.3">
      <c r="A26" s="5" t="str">
        <f>원본!A26</f>
        <v>260903-09</v>
      </c>
      <c r="B26" s="5" t="str">
        <f>원본!F26</f>
        <v>TP</v>
      </c>
      <c r="C26" s="1" t="str">
        <f>원본!G26</f>
        <v>5CL+12A+5CL</v>
      </c>
      <c r="D26" s="5">
        <f>원본!H26</f>
        <v>22</v>
      </c>
      <c r="E26" s="1" t="s">
        <v>18</v>
      </c>
      <c r="F26" s="1">
        <f>원본!I26</f>
        <v>414</v>
      </c>
      <c r="G26" s="1">
        <f>원본!J26</f>
        <v>1636</v>
      </c>
      <c r="H26" s="1">
        <f>원본!K26</f>
        <v>2</v>
      </c>
      <c r="J26" s="1">
        <f t="shared" si="1"/>
        <v>2</v>
      </c>
      <c r="K26" s="1">
        <f>원본!N26</f>
        <v>14.75</v>
      </c>
      <c r="L26" s="4" t="str">
        <f>원본!D26</f>
        <v>우미건설(주)e</v>
      </c>
      <c r="M26" s="1" t="str">
        <f>+원본!E26</f>
        <v xml:space="preserve"> 남원주 역세권 복합용지 AC-4BL 우미린 공동주택현장</v>
      </c>
      <c r="N26" s="1" t="str">
        <f>+원본!P26</f>
        <v>4동3호 실외기실(외)</v>
      </c>
      <c r="O26" s="20"/>
      <c r="P26" s="20"/>
      <c r="Z26" s="3" t="str">
        <f>원본!R26</f>
        <v>26-2379</v>
      </c>
      <c r="AA26" s="2">
        <f>COUNTIF(Z$2:Z26,Z26)</f>
        <v>11</v>
      </c>
    </row>
    <row r="27" spans="1:27" ht="16.5" customHeight="1" x14ac:dyDescent="0.3">
      <c r="A27" s="5" t="str">
        <f>원본!A27</f>
        <v>260903-09</v>
      </c>
      <c r="B27" s="5" t="str">
        <f>원본!F27</f>
        <v>TP</v>
      </c>
      <c r="C27" s="1" t="str">
        <f>원본!G27</f>
        <v>5CL+12A+5CL</v>
      </c>
      <c r="D27" s="5">
        <f>원본!H27</f>
        <v>22</v>
      </c>
      <c r="E27" s="1" t="s">
        <v>18</v>
      </c>
      <c r="F27" s="1">
        <f>원본!I27</f>
        <v>414</v>
      </c>
      <c r="G27" s="1">
        <f>원본!J27</f>
        <v>1636</v>
      </c>
      <c r="H27" s="1">
        <f>원본!K27</f>
        <v>2</v>
      </c>
      <c r="J27" s="1">
        <f t="shared" si="1"/>
        <v>2</v>
      </c>
      <c r="K27" s="1">
        <f>원본!N27</f>
        <v>14.75</v>
      </c>
      <c r="L27" s="4" t="str">
        <f>원본!D27</f>
        <v>우미건설(주)e</v>
      </c>
      <c r="M27" s="1" t="str">
        <f>+원본!E27</f>
        <v xml:space="preserve"> 남원주 역세권 복합용지 AC-4BL 우미린 공동주택현장</v>
      </c>
      <c r="N27" s="1" t="str">
        <f>+원본!P27</f>
        <v>4동5호 실외기실(외)</v>
      </c>
      <c r="O27" s="20"/>
      <c r="P27" s="20"/>
      <c r="Z27" s="3" t="str">
        <f>원본!R27</f>
        <v>26-2379</v>
      </c>
      <c r="AA27" s="2">
        <f>COUNTIF(Z$2:Z27,Z27)</f>
        <v>12</v>
      </c>
    </row>
    <row r="28" spans="1:27" ht="16.5" customHeight="1" x14ac:dyDescent="0.3">
      <c r="A28" s="5" t="str">
        <f>원본!A28</f>
        <v>260904-18</v>
      </c>
      <c r="B28" s="5" t="str">
        <f>원본!F28</f>
        <v>TP</v>
      </c>
      <c r="C28" s="1" t="str">
        <f>원본!G28</f>
        <v>5투명강화</v>
      </c>
      <c r="D28" s="5">
        <f>원본!H28</f>
        <v>5</v>
      </c>
      <c r="E28" s="1" t="s">
        <v>18</v>
      </c>
      <c r="F28" s="1">
        <f>원본!I28</f>
        <v>645</v>
      </c>
      <c r="G28" s="1">
        <f>원본!J28</f>
        <v>1657</v>
      </c>
      <c r="H28" s="1">
        <f>원본!K28</f>
        <v>2</v>
      </c>
      <c r="J28" s="1">
        <f t="shared" si="1"/>
        <v>2</v>
      </c>
      <c r="K28" s="1">
        <f>원본!N28</f>
        <v>23.28</v>
      </c>
      <c r="L28" s="4" t="str">
        <f>원본!D28</f>
        <v>(주)신라종합건설t</v>
      </c>
      <c r="M28" s="1" t="str">
        <f>+원본!E28</f>
        <v>충청북도 보건환경연구원 청사 증축공사 현장</v>
      </c>
      <c r="N28" s="1" t="str">
        <f>+원본!P28</f>
        <v>1층 견시창</v>
      </c>
      <c r="O28" s="20"/>
      <c r="P28" s="20"/>
      <c r="Z28" s="3" t="str">
        <f>원본!R28</f>
        <v>26-2404</v>
      </c>
      <c r="AA28" s="2">
        <f>COUNTIF(Z$2:Z28,Z28)</f>
        <v>1</v>
      </c>
    </row>
    <row r="29" spans="1:27" ht="16.5" customHeight="1" x14ac:dyDescent="0.3">
      <c r="A29" s="5" t="str">
        <f>원본!A29</f>
        <v>260904-18</v>
      </c>
      <c r="B29" s="5" t="str">
        <f>원본!F29</f>
        <v>TP</v>
      </c>
      <c r="C29" s="1" t="str">
        <f>원본!G29</f>
        <v>5투명강화</v>
      </c>
      <c r="D29" s="5">
        <f>원본!H29</f>
        <v>5</v>
      </c>
      <c r="E29" s="1" t="s">
        <v>18</v>
      </c>
      <c r="F29" s="1">
        <f>원본!I29</f>
        <v>445</v>
      </c>
      <c r="G29" s="1">
        <f>원본!J29</f>
        <v>1657</v>
      </c>
      <c r="H29" s="1">
        <f>원본!K29</f>
        <v>1</v>
      </c>
      <c r="J29" s="1">
        <f t="shared" si="1"/>
        <v>1</v>
      </c>
      <c r="K29" s="1">
        <f>원본!N29</f>
        <v>8.0299999999999994</v>
      </c>
      <c r="L29" s="4" t="str">
        <f>원본!D29</f>
        <v>(주)신라종합건설t</v>
      </c>
      <c r="M29" s="1" t="str">
        <f>+원본!E29</f>
        <v>충청북도 보건환경연구원 청사 증축공사 현장</v>
      </c>
      <c r="N29" s="1" t="str">
        <f>+원본!P29</f>
        <v>1층 견시창</v>
      </c>
      <c r="O29" s="20"/>
      <c r="P29" s="20"/>
      <c r="Z29" s="3" t="str">
        <f>원본!R29</f>
        <v>26-2404</v>
      </c>
      <c r="AA29" s="2">
        <f>COUNTIF(Z$2:Z29,Z29)</f>
        <v>2</v>
      </c>
    </row>
    <row r="30" spans="1:27" ht="16.5" customHeight="1" x14ac:dyDescent="0.3">
      <c r="A30" s="5" t="str">
        <f>원본!A30</f>
        <v>260904-18</v>
      </c>
      <c r="B30" s="5" t="str">
        <f>원본!F30</f>
        <v>TP</v>
      </c>
      <c r="C30" s="1" t="str">
        <f>원본!G30</f>
        <v>5투명강화</v>
      </c>
      <c r="D30" s="5">
        <f>원본!H30</f>
        <v>5</v>
      </c>
      <c r="E30" s="1" t="s">
        <v>18</v>
      </c>
      <c r="F30" s="1">
        <f>원본!I30</f>
        <v>195</v>
      </c>
      <c r="G30" s="1">
        <f>원본!J30</f>
        <v>1657</v>
      </c>
      <c r="H30" s="1">
        <f>원본!K30</f>
        <v>7</v>
      </c>
      <c r="J30" s="1">
        <f t="shared" si="1"/>
        <v>7</v>
      </c>
      <c r="K30" s="1">
        <f>원본!N30</f>
        <v>24.64</v>
      </c>
      <c r="L30" s="4" t="str">
        <f>원본!D30</f>
        <v>(주)신라종합건설t</v>
      </c>
      <c r="M30" s="1" t="str">
        <f>+원본!E30</f>
        <v>충청북도 보건환경연구원 청사 증축공사 현장</v>
      </c>
      <c r="N30" s="1" t="str">
        <f>+원본!P30</f>
        <v>1층 견시창</v>
      </c>
      <c r="O30" s="20"/>
      <c r="P30" s="20"/>
      <c r="Z30" s="3" t="str">
        <f>원본!R30</f>
        <v>26-2404</v>
      </c>
      <c r="AA30" s="2">
        <f>COUNTIF(Z$2:Z30,Z30)</f>
        <v>3</v>
      </c>
    </row>
    <row r="31" spans="1:27" ht="16.5" customHeight="1" x14ac:dyDescent="0.3">
      <c r="A31" s="5" t="str">
        <f>원본!A31</f>
        <v>260904-18</v>
      </c>
      <c r="B31" s="5" t="str">
        <f>원본!F31</f>
        <v>TP</v>
      </c>
      <c r="C31" s="1" t="str">
        <f>원본!G31</f>
        <v>5투명강화</v>
      </c>
      <c r="D31" s="5">
        <f>원본!H31</f>
        <v>5</v>
      </c>
      <c r="E31" s="1" t="s">
        <v>18</v>
      </c>
      <c r="F31" s="1">
        <f>원본!I31</f>
        <v>822</v>
      </c>
      <c r="G31" s="1">
        <f>원본!J31</f>
        <v>1417</v>
      </c>
      <c r="H31" s="1">
        <f>원본!K31</f>
        <v>15</v>
      </c>
      <c r="J31" s="1">
        <f t="shared" si="1"/>
        <v>15</v>
      </c>
      <c r="K31" s="1">
        <f>원본!N31</f>
        <v>190.3</v>
      </c>
      <c r="L31" s="4" t="str">
        <f>원본!D31</f>
        <v>(주)신라종합건설t</v>
      </c>
      <c r="M31" s="1" t="str">
        <f>+원본!E31</f>
        <v>충청북도 보건환경연구원 청사 증축공사 현장</v>
      </c>
      <c r="N31" s="1" t="str">
        <f>+원본!P31</f>
        <v>1층 견시창</v>
      </c>
      <c r="O31" s="20"/>
      <c r="P31" s="20"/>
      <c r="Z31" s="3" t="str">
        <f>원본!R31</f>
        <v>26-2404</v>
      </c>
      <c r="AA31" s="2">
        <f>COUNTIF(Z$2:Z31,Z31)</f>
        <v>4</v>
      </c>
    </row>
    <row r="32" spans="1:27" ht="16.5" customHeight="1" x14ac:dyDescent="0.3">
      <c r="A32" s="5" t="str">
        <f>원본!A32</f>
        <v>260904-18</v>
      </c>
      <c r="B32" s="5" t="str">
        <f>원본!F32</f>
        <v>TP</v>
      </c>
      <c r="C32" s="1" t="str">
        <f>원본!G32</f>
        <v>5투명강화</v>
      </c>
      <c r="D32" s="5">
        <f>원본!H32</f>
        <v>5</v>
      </c>
      <c r="E32" s="1" t="s">
        <v>18</v>
      </c>
      <c r="F32" s="1">
        <f>원본!I32</f>
        <v>822</v>
      </c>
      <c r="G32" s="1">
        <f>원본!J32</f>
        <v>517</v>
      </c>
      <c r="H32" s="1">
        <f>원본!K32</f>
        <v>6</v>
      </c>
      <c r="J32" s="1">
        <f t="shared" si="1"/>
        <v>6</v>
      </c>
      <c r="K32" s="1">
        <f>원본!N32</f>
        <v>27.77</v>
      </c>
      <c r="L32" s="4" t="str">
        <f>원본!D32</f>
        <v>(주)신라종합건설t</v>
      </c>
      <c r="M32" s="1" t="str">
        <f>+원본!E32</f>
        <v>충청북도 보건환경연구원 청사 증축공사 현장</v>
      </c>
      <c r="N32" s="1" t="str">
        <f>+원본!P32</f>
        <v>1층 견시창</v>
      </c>
      <c r="O32" s="20"/>
      <c r="P32" s="20"/>
      <c r="Z32" s="3" t="str">
        <f>원본!R32</f>
        <v>26-2404</v>
      </c>
      <c r="AA32" s="2">
        <f>COUNTIF(Z$2:Z32,Z32)</f>
        <v>5</v>
      </c>
    </row>
    <row r="33" spans="1:27" ht="16.5" customHeight="1" x14ac:dyDescent="0.3">
      <c r="A33" s="5" t="str">
        <f>원본!A33</f>
        <v>260904-18</v>
      </c>
      <c r="B33" s="5" t="str">
        <f>원본!F33</f>
        <v>TP</v>
      </c>
      <c r="C33" s="1" t="str">
        <f>원본!G33</f>
        <v>5투명강화</v>
      </c>
      <c r="D33" s="5">
        <f>원본!H33</f>
        <v>5</v>
      </c>
      <c r="E33" s="1" t="s">
        <v>18</v>
      </c>
      <c r="F33" s="1">
        <f>원본!I33</f>
        <v>645</v>
      </c>
      <c r="G33" s="1">
        <f>원본!J33</f>
        <v>1657</v>
      </c>
      <c r="H33" s="1">
        <f>원본!K33</f>
        <v>12</v>
      </c>
      <c r="J33" s="1">
        <f t="shared" si="1"/>
        <v>12</v>
      </c>
      <c r="K33" s="1">
        <f>원본!N33</f>
        <v>139.69</v>
      </c>
      <c r="L33" s="4" t="str">
        <f>원본!D33</f>
        <v>(주)신라종합건설t</v>
      </c>
      <c r="M33" s="1" t="str">
        <f>+원본!E33</f>
        <v>충청북도 보건환경연구원 청사 증축공사 현장</v>
      </c>
      <c r="N33" s="1" t="str">
        <f>+원본!P33</f>
        <v>2층 견시창</v>
      </c>
      <c r="O33" s="20"/>
      <c r="P33" s="20"/>
      <c r="Z33" s="3" t="str">
        <f>원본!R33</f>
        <v>26-2404</v>
      </c>
      <c r="AA33" s="2">
        <f>COUNTIF(Z$2:Z33,Z33)</f>
        <v>6</v>
      </c>
    </row>
    <row r="34" spans="1:27" ht="16.5" customHeight="1" x14ac:dyDescent="0.3">
      <c r="A34" s="5" t="str">
        <f>원본!A34</f>
        <v>260904-18</v>
      </c>
      <c r="B34" s="5" t="str">
        <f>원본!F34</f>
        <v>TP</v>
      </c>
      <c r="C34" s="1" t="str">
        <f>원본!G34</f>
        <v>5투명강화</v>
      </c>
      <c r="D34" s="5">
        <f>원본!H34</f>
        <v>5</v>
      </c>
      <c r="E34" s="1" t="s">
        <v>18</v>
      </c>
      <c r="F34" s="1">
        <f>원본!I34</f>
        <v>445</v>
      </c>
      <c r="G34" s="1">
        <f>원본!J34</f>
        <v>1657</v>
      </c>
      <c r="H34" s="1">
        <f>원본!K34</f>
        <v>1</v>
      </c>
      <c r="J34" s="1">
        <f t="shared" si="1"/>
        <v>1</v>
      </c>
      <c r="K34" s="1">
        <f>원본!N34</f>
        <v>8.0299999999999994</v>
      </c>
      <c r="L34" s="4" t="str">
        <f>원본!D34</f>
        <v>(주)신라종합건설t</v>
      </c>
      <c r="M34" s="1" t="str">
        <f>+원본!E34</f>
        <v>충청북도 보건환경연구원 청사 증축공사 현장</v>
      </c>
      <c r="N34" s="1" t="str">
        <f>+원본!P34</f>
        <v>2층 견시창</v>
      </c>
      <c r="O34" s="20"/>
      <c r="P34" s="20"/>
      <c r="Z34" s="3" t="str">
        <f>원본!R34</f>
        <v>26-2404</v>
      </c>
      <c r="AA34" s="2">
        <f>COUNTIF(Z$2:Z34,Z34)</f>
        <v>7</v>
      </c>
    </row>
    <row r="35" spans="1:27" ht="16.5" customHeight="1" x14ac:dyDescent="0.3">
      <c r="A35" s="5" t="str">
        <f>원본!A35</f>
        <v>260904-18</v>
      </c>
      <c r="B35" s="5" t="str">
        <f>원본!F35</f>
        <v>TP</v>
      </c>
      <c r="C35" s="1" t="str">
        <f>원본!G35</f>
        <v>5투명강화</v>
      </c>
      <c r="D35" s="5">
        <f>원본!H35</f>
        <v>5</v>
      </c>
      <c r="E35" s="1" t="s">
        <v>18</v>
      </c>
      <c r="F35" s="1">
        <f>원본!I35</f>
        <v>195</v>
      </c>
      <c r="G35" s="1">
        <f>원본!J35</f>
        <v>1657</v>
      </c>
      <c r="H35" s="1">
        <f>원본!K35</f>
        <v>5</v>
      </c>
      <c r="J35" s="1">
        <f t="shared" si="1"/>
        <v>5</v>
      </c>
      <c r="K35" s="1">
        <f>원본!N35</f>
        <v>17.600000000000001</v>
      </c>
      <c r="L35" s="4" t="str">
        <f>원본!D35</f>
        <v>(주)신라종합건설t</v>
      </c>
      <c r="M35" s="1" t="str">
        <f>+원본!E35</f>
        <v>충청북도 보건환경연구원 청사 증축공사 현장</v>
      </c>
      <c r="N35" s="1" t="str">
        <f>+원본!P35</f>
        <v>2층 견시창</v>
      </c>
      <c r="O35" s="20"/>
      <c r="P35" s="20"/>
      <c r="Z35" s="3" t="str">
        <f>원본!R35</f>
        <v>26-2404</v>
      </c>
      <c r="AA35" s="2">
        <f>COUNTIF(Z$2:Z35,Z35)</f>
        <v>8</v>
      </c>
    </row>
    <row r="36" spans="1:27" ht="16.5" customHeight="1" x14ac:dyDescent="0.3">
      <c r="A36" s="5" t="str">
        <f>원본!A36</f>
        <v>260904-18</v>
      </c>
      <c r="B36" s="5" t="str">
        <f>원본!F36</f>
        <v>TP</v>
      </c>
      <c r="C36" s="1" t="str">
        <f>원본!G36</f>
        <v>5투명강화</v>
      </c>
      <c r="D36" s="5">
        <f>원본!H36</f>
        <v>5</v>
      </c>
      <c r="E36" s="1" t="s">
        <v>18</v>
      </c>
      <c r="F36" s="1">
        <f>원본!I36</f>
        <v>822</v>
      </c>
      <c r="G36" s="1">
        <f>원본!J36</f>
        <v>1407</v>
      </c>
      <c r="H36" s="1">
        <f>원본!K36</f>
        <v>42</v>
      </c>
      <c r="J36" s="1">
        <f t="shared" si="1"/>
        <v>42</v>
      </c>
      <c r="K36" s="1">
        <f>원본!N36</f>
        <v>529.09</v>
      </c>
      <c r="L36" s="4" t="str">
        <f>원본!D36</f>
        <v>(주)신라종합건설t</v>
      </c>
      <c r="M36" s="1" t="str">
        <f>+원본!E36</f>
        <v>충청북도 보건환경연구원 청사 증축공사 현장</v>
      </c>
      <c r="N36" s="1" t="str">
        <f>+원본!P36</f>
        <v>2층 견시창</v>
      </c>
      <c r="O36" s="20"/>
      <c r="P36" s="20"/>
      <c r="Z36" s="3" t="str">
        <f>원본!R36</f>
        <v>26-2404</v>
      </c>
      <c r="AA36" s="2">
        <f>COUNTIF(Z$2:Z36,Z36)</f>
        <v>9</v>
      </c>
    </row>
    <row r="37" spans="1:27" ht="16.5" customHeight="1" x14ac:dyDescent="0.3">
      <c r="A37" s="5" t="str">
        <f>원본!A37</f>
        <v>260904-18</v>
      </c>
      <c r="B37" s="5" t="str">
        <f>원본!F37</f>
        <v>TP</v>
      </c>
      <c r="C37" s="1" t="str">
        <f>원본!G37</f>
        <v>5투명강화</v>
      </c>
      <c r="D37" s="5">
        <f>원본!H37</f>
        <v>5</v>
      </c>
      <c r="E37" s="1" t="s">
        <v>18</v>
      </c>
      <c r="F37" s="1">
        <f>원본!I37</f>
        <v>645</v>
      </c>
      <c r="G37" s="1">
        <f>원본!J37</f>
        <v>757</v>
      </c>
      <c r="H37" s="1">
        <f>원본!K37</f>
        <v>2</v>
      </c>
      <c r="J37" s="1">
        <f t="shared" si="1"/>
        <v>2</v>
      </c>
      <c r="K37" s="1">
        <f>원본!N37</f>
        <v>10.64</v>
      </c>
      <c r="L37" s="4" t="str">
        <f>원본!D37</f>
        <v>(주)신라종합건설t</v>
      </c>
      <c r="M37" s="1" t="str">
        <f>+원본!E37</f>
        <v>충청북도 보건환경연구원 청사 증축공사 현장</v>
      </c>
      <c r="N37" s="1" t="str">
        <f>+원본!P37</f>
        <v>2층 견시창</v>
      </c>
      <c r="O37" s="20"/>
      <c r="P37" s="20"/>
      <c r="Z37" s="3" t="str">
        <f>원본!R37</f>
        <v>26-2404</v>
      </c>
      <c r="AA37" s="2">
        <f>COUNTIF(Z$2:Z37,Z37)</f>
        <v>10</v>
      </c>
    </row>
    <row r="38" spans="1:27" ht="16.5" customHeight="1" x14ac:dyDescent="0.3">
      <c r="A38" s="5" t="str">
        <f>원본!A38</f>
        <v>260904-18</v>
      </c>
      <c r="B38" s="5" t="str">
        <f>원본!F38</f>
        <v>TP</v>
      </c>
      <c r="C38" s="1" t="str">
        <f>원본!G38</f>
        <v>5투명강화</v>
      </c>
      <c r="D38" s="5">
        <f>원본!H38</f>
        <v>5</v>
      </c>
      <c r="E38" s="1" t="s">
        <v>18</v>
      </c>
      <c r="F38" s="1">
        <f>원본!I38</f>
        <v>822</v>
      </c>
      <c r="G38" s="1">
        <f>원본!J38</f>
        <v>527</v>
      </c>
      <c r="H38" s="1">
        <f>원본!K38</f>
        <v>6</v>
      </c>
      <c r="J38" s="1">
        <f t="shared" si="1"/>
        <v>6</v>
      </c>
      <c r="K38" s="1">
        <f>원본!N38</f>
        <v>28.31</v>
      </c>
      <c r="L38" s="4" t="str">
        <f>원본!D38</f>
        <v>(주)신라종합건설t</v>
      </c>
      <c r="M38" s="1" t="str">
        <f>+원본!E38</f>
        <v>충청북도 보건환경연구원 청사 증축공사 현장</v>
      </c>
      <c r="N38" s="1" t="str">
        <f>+원본!P38</f>
        <v>2층 견시창</v>
      </c>
      <c r="O38" s="20"/>
      <c r="P38" s="20"/>
      <c r="Z38" s="3" t="str">
        <f>원본!R38</f>
        <v>26-2404</v>
      </c>
      <c r="AA38" s="2">
        <f>COUNTIF(Z$2:Z38,Z38)</f>
        <v>11</v>
      </c>
    </row>
    <row r="39" spans="1:27" ht="16.5" customHeight="1" x14ac:dyDescent="0.3">
      <c r="A39" s="5" t="str">
        <f>원본!A39</f>
        <v>260904-18</v>
      </c>
      <c r="B39" s="5" t="str">
        <f>원본!F39</f>
        <v>TP</v>
      </c>
      <c r="C39" s="1" t="str">
        <f>원본!G39</f>
        <v>5투명강화</v>
      </c>
      <c r="D39" s="5">
        <f>원본!H39</f>
        <v>5</v>
      </c>
      <c r="E39" s="1" t="s">
        <v>18</v>
      </c>
      <c r="F39" s="1">
        <f>원본!I39</f>
        <v>822</v>
      </c>
      <c r="G39" s="1">
        <f>원본!J39</f>
        <v>2397</v>
      </c>
      <c r="H39" s="1">
        <f>원본!K39</f>
        <v>14</v>
      </c>
      <c r="J39" s="1">
        <f t="shared" si="1"/>
        <v>14</v>
      </c>
      <c r="K39" s="1">
        <f>원본!N39</f>
        <v>300.45999999999998</v>
      </c>
      <c r="L39" s="4" t="str">
        <f>원본!D39</f>
        <v>(주)신라종합건설t</v>
      </c>
      <c r="M39" s="1" t="str">
        <f>+원본!E39</f>
        <v>충청북도 보건환경연구원 청사 증축공사 현장</v>
      </c>
      <c r="N39" s="1" t="str">
        <f>+원본!P39</f>
        <v>3층 견시창</v>
      </c>
      <c r="O39" s="20"/>
      <c r="P39" s="20"/>
      <c r="Z39" s="3" t="str">
        <f>원본!R39</f>
        <v>26-2404</v>
      </c>
      <c r="AA39" s="2">
        <f>COUNTIF(Z$2:Z39,Z39)</f>
        <v>12</v>
      </c>
    </row>
    <row r="40" spans="1:27" ht="16.5" customHeight="1" x14ac:dyDescent="0.3">
      <c r="A40" s="5" t="str">
        <f>원본!A40</f>
        <v>260904-18</v>
      </c>
      <c r="B40" s="5" t="str">
        <f>원본!F40</f>
        <v>TP</v>
      </c>
      <c r="C40" s="1" t="str">
        <f>원본!G40</f>
        <v>5투명강화</v>
      </c>
      <c r="D40" s="5">
        <f>원본!H40</f>
        <v>5</v>
      </c>
      <c r="E40" s="1" t="s">
        <v>18</v>
      </c>
      <c r="F40" s="1">
        <f>원본!I40</f>
        <v>645</v>
      </c>
      <c r="G40" s="1">
        <f>원본!J40</f>
        <v>1657</v>
      </c>
      <c r="H40" s="1">
        <f>원본!K40</f>
        <v>9</v>
      </c>
      <c r="J40" s="1">
        <f t="shared" si="1"/>
        <v>9</v>
      </c>
      <c r="K40" s="1">
        <f>원본!N40</f>
        <v>104.77</v>
      </c>
      <c r="L40" s="4" t="str">
        <f>원본!D40</f>
        <v>(주)신라종합건설t</v>
      </c>
      <c r="M40" s="1" t="str">
        <f>+원본!E40</f>
        <v>충청북도 보건환경연구원 청사 증축공사 현장</v>
      </c>
      <c r="N40" s="1" t="str">
        <f>+원본!P40</f>
        <v>3층 견시창</v>
      </c>
      <c r="O40" s="20"/>
      <c r="P40" s="20"/>
      <c r="Z40" s="3" t="str">
        <f>원본!R40</f>
        <v>26-2404</v>
      </c>
      <c r="AA40" s="2">
        <f>COUNTIF(Z$2:Z40,Z40)</f>
        <v>13</v>
      </c>
    </row>
    <row r="41" spans="1:27" ht="16.5" customHeight="1" x14ac:dyDescent="0.3">
      <c r="A41" s="5" t="str">
        <f>원본!A41</f>
        <v>260904-18</v>
      </c>
      <c r="B41" s="5" t="str">
        <f>원본!F41</f>
        <v>TP</v>
      </c>
      <c r="C41" s="1" t="str">
        <f>원본!G41</f>
        <v>5투명강화</v>
      </c>
      <c r="D41" s="5">
        <f>원본!H41</f>
        <v>5</v>
      </c>
      <c r="E41" s="1" t="s">
        <v>18</v>
      </c>
      <c r="F41" s="1">
        <f>원본!I41</f>
        <v>195</v>
      </c>
      <c r="G41" s="1">
        <f>원본!J41</f>
        <v>1657</v>
      </c>
      <c r="H41" s="1">
        <f>원본!K41</f>
        <v>2</v>
      </c>
      <c r="J41" s="1">
        <f t="shared" si="1"/>
        <v>2</v>
      </c>
      <c r="K41" s="1">
        <f>원본!N41</f>
        <v>7.04</v>
      </c>
      <c r="L41" s="4" t="str">
        <f>원본!D41</f>
        <v>(주)신라종합건설t</v>
      </c>
      <c r="M41" s="1" t="str">
        <f>+원본!E41</f>
        <v>충청북도 보건환경연구원 청사 증축공사 현장</v>
      </c>
      <c r="N41" s="1" t="str">
        <f>+원본!P41</f>
        <v>3층 견시창</v>
      </c>
      <c r="O41" s="20"/>
      <c r="P41" s="20"/>
      <c r="Z41" s="3" t="str">
        <f>원본!R41</f>
        <v>26-2404</v>
      </c>
      <c r="AA41" s="2">
        <f>COUNTIF(Z$2:Z41,Z41)</f>
        <v>14</v>
      </c>
    </row>
    <row r="42" spans="1:27" ht="16.5" customHeight="1" x14ac:dyDescent="0.3">
      <c r="A42" s="5" t="str">
        <f>원본!A42</f>
        <v>260904-18</v>
      </c>
      <c r="B42" s="5" t="str">
        <f>원본!F42</f>
        <v>TP</v>
      </c>
      <c r="C42" s="1" t="str">
        <f>원본!G42</f>
        <v>5투명강화</v>
      </c>
      <c r="D42" s="5">
        <f>원본!H42</f>
        <v>5</v>
      </c>
      <c r="E42" s="1" t="s">
        <v>18</v>
      </c>
      <c r="F42" s="1">
        <f>원본!I42</f>
        <v>822</v>
      </c>
      <c r="G42" s="1">
        <f>원본!J42</f>
        <v>1417</v>
      </c>
      <c r="H42" s="1">
        <f>원본!K42</f>
        <v>15</v>
      </c>
      <c r="J42" s="1">
        <f t="shared" si="1"/>
        <v>15</v>
      </c>
      <c r="K42" s="1">
        <f>원본!N42</f>
        <v>190.3</v>
      </c>
      <c r="L42" s="4" t="str">
        <f>원본!D42</f>
        <v>(주)신라종합건설t</v>
      </c>
      <c r="M42" s="1" t="str">
        <f>+원본!E42</f>
        <v>충청북도 보건환경연구원 청사 증축공사 현장</v>
      </c>
      <c r="N42" s="1" t="str">
        <f>+원본!P42</f>
        <v>3층 견시창</v>
      </c>
      <c r="O42" s="20"/>
      <c r="P42" s="20"/>
      <c r="Z42" s="3" t="str">
        <f>원본!R42</f>
        <v>26-2404</v>
      </c>
      <c r="AA42" s="2">
        <f>COUNTIF(Z$2:Z42,Z42)</f>
        <v>15</v>
      </c>
    </row>
    <row r="43" spans="1:27" ht="16.5" customHeight="1" x14ac:dyDescent="0.3">
      <c r="A43" s="5" t="str">
        <f>원본!A43</f>
        <v>260904-17</v>
      </c>
      <c r="B43" s="5" t="str">
        <f>원본!F43</f>
        <v>TP</v>
      </c>
      <c r="C43" s="1" t="str">
        <f>원본!G43</f>
        <v>5SKN154IIh/s+14단열(Ar.)+5CL</v>
      </c>
      <c r="D43" s="5">
        <f>원본!H43</f>
        <v>24</v>
      </c>
      <c r="E43" s="1" t="s">
        <v>18</v>
      </c>
      <c r="F43" s="1">
        <f>원본!I43</f>
        <v>1015</v>
      </c>
      <c r="G43" s="1">
        <f>원본!J43</f>
        <v>1785</v>
      </c>
      <c r="H43" s="1">
        <f>원본!K43</f>
        <v>2</v>
      </c>
      <c r="J43" s="1">
        <f t="shared" si="1"/>
        <v>2</v>
      </c>
      <c r="K43" s="1">
        <f>원본!N43</f>
        <v>39.47</v>
      </c>
      <c r="L43" s="4" t="str">
        <f>원본!D43</f>
        <v>에스지신성건설(주)b</v>
      </c>
      <c r="M43" s="1" t="str">
        <f>+원본!E43</f>
        <v>삼평동세계물산현장</v>
      </c>
      <c r="N43" s="1" t="str">
        <f>+원본!P43</f>
        <v>구조마감 ACW/4 2F</v>
      </c>
      <c r="O43" s="20"/>
      <c r="P43" s="20"/>
      <c r="Z43" s="3" t="str">
        <f>원본!R43</f>
        <v>26-2403</v>
      </c>
      <c r="AA43" s="2">
        <f>COUNTIF(Z$2:Z43,Z43)</f>
        <v>1</v>
      </c>
    </row>
    <row r="44" spans="1:27" ht="16.5" customHeight="1" x14ac:dyDescent="0.3">
      <c r="A44" s="5" t="str">
        <f>원본!A44</f>
        <v>260904-17</v>
      </c>
      <c r="B44" s="5" t="str">
        <f>원본!F44</f>
        <v>TP</v>
      </c>
      <c r="C44" s="1" t="str">
        <f>원본!G44</f>
        <v>5SKN154IIh/s+14단열(Ar.)+5CL</v>
      </c>
      <c r="D44" s="5">
        <f>원본!H44</f>
        <v>24</v>
      </c>
      <c r="E44" s="1" t="s">
        <v>18</v>
      </c>
      <c r="F44" s="1">
        <f>원본!I44</f>
        <v>965</v>
      </c>
      <c r="G44" s="1">
        <f>원본!J44</f>
        <v>1785</v>
      </c>
      <c r="H44" s="1">
        <f>원본!K44</f>
        <v>2</v>
      </c>
      <c r="J44" s="1">
        <f t="shared" si="1"/>
        <v>2</v>
      </c>
      <c r="K44" s="1">
        <f>원본!N44</f>
        <v>37.520000000000003</v>
      </c>
      <c r="L44" s="4" t="str">
        <f>원본!D44</f>
        <v>에스지신성건설(주)b</v>
      </c>
      <c r="M44" s="1" t="str">
        <f>+원본!E44</f>
        <v>삼평동세계물산현장</v>
      </c>
      <c r="N44" s="1" t="str">
        <f>+원본!P44</f>
        <v>구조마감 ACW/4 2F</v>
      </c>
      <c r="O44" s="20"/>
      <c r="P44" s="20"/>
      <c r="Z44" s="3" t="str">
        <f>원본!R44</f>
        <v>26-2403</v>
      </c>
      <c r="AA44" s="2">
        <f>COUNTIF(Z$2:Z44,Z44)</f>
        <v>2</v>
      </c>
    </row>
    <row r="45" spans="1:27" ht="16.5" customHeight="1" x14ac:dyDescent="0.3">
      <c r="A45" s="5" t="str">
        <f>원본!A45</f>
        <v>260904-17</v>
      </c>
      <c r="B45" s="5" t="str">
        <f>원본!F45</f>
        <v>TP</v>
      </c>
      <c r="C45" s="1" t="str">
        <f>원본!G45</f>
        <v>5SKN154IIh/s+14단열(Ar.)+5CL</v>
      </c>
      <c r="D45" s="5">
        <f>원본!H45</f>
        <v>24</v>
      </c>
      <c r="E45" s="1" t="s">
        <v>18</v>
      </c>
      <c r="F45" s="1">
        <f>원본!I45</f>
        <v>982</v>
      </c>
      <c r="G45" s="1">
        <f>원본!J45</f>
        <v>1782</v>
      </c>
      <c r="H45" s="1">
        <f>원본!K45</f>
        <v>9</v>
      </c>
      <c r="J45" s="1">
        <f t="shared" si="1"/>
        <v>9</v>
      </c>
      <c r="K45" s="1">
        <f>원본!N45</f>
        <v>171.54</v>
      </c>
      <c r="L45" s="4" t="str">
        <f>원본!D45</f>
        <v>에스지신성건설(주)b</v>
      </c>
      <c r="M45" s="1" t="str">
        <f>+원본!E45</f>
        <v>삼평동세계물산현장</v>
      </c>
      <c r="N45" s="1" t="str">
        <f>+원본!P45</f>
        <v>구조마감 ACW1A 코너</v>
      </c>
      <c r="O45" s="20"/>
      <c r="P45" s="20"/>
      <c r="Z45" s="3" t="str">
        <f>원본!R45</f>
        <v>26-2403</v>
      </c>
      <c r="AA45" s="2">
        <f>COUNTIF(Z$2:Z45,Z45)</f>
        <v>3</v>
      </c>
    </row>
    <row r="46" spans="1:27" ht="16.5" customHeight="1" x14ac:dyDescent="0.3">
      <c r="A46" s="5" t="str">
        <f>원본!A46</f>
        <v>260904-17</v>
      </c>
      <c r="B46" s="5" t="str">
        <f>원본!F46</f>
        <v>TP</v>
      </c>
      <c r="C46" s="1" t="str">
        <f>원본!G46</f>
        <v>5SKN154IIh/s+14단열(Ar.)+5CL</v>
      </c>
      <c r="D46" s="5">
        <f>원본!H46</f>
        <v>24</v>
      </c>
      <c r="E46" s="1" t="s">
        <v>18</v>
      </c>
      <c r="F46" s="1">
        <f>원본!I46</f>
        <v>685</v>
      </c>
      <c r="G46" s="1">
        <f>원본!J46</f>
        <v>1755</v>
      </c>
      <c r="H46" s="1">
        <f>원본!K46</f>
        <v>4</v>
      </c>
      <c r="J46" s="1">
        <f t="shared" si="1"/>
        <v>4</v>
      </c>
      <c r="K46" s="1">
        <f>원본!N46</f>
        <v>52.38</v>
      </c>
      <c r="L46" s="4" t="str">
        <f>원본!D46</f>
        <v>에스지신성건설(주)b</v>
      </c>
      <c r="M46" s="1" t="str">
        <f>+원본!E46</f>
        <v>삼평동세계물산현장</v>
      </c>
      <c r="N46" s="1" t="str">
        <f>+원본!P46</f>
        <v>구조마감 AW/5</v>
      </c>
      <c r="O46" s="20"/>
      <c r="P46" s="20"/>
      <c r="Z46" s="3" t="str">
        <f>원본!R46</f>
        <v>26-2403</v>
      </c>
      <c r="AA46" s="2">
        <f>COUNTIF(Z$2:Z46,Z46)</f>
        <v>4</v>
      </c>
    </row>
    <row r="47" spans="1:27" ht="16.5" customHeight="1" x14ac:dyDescent="0.3">
      <c r="A47" s="5" t="str">
        <f>원본!A47</f>
        <v>260904-17</v>
      </c>
      <c r="B47" s="5" t="str">
        <f>원본!F47</f>
        <v>TP</v>
      </c>
      <c r="C47" s="1" t="str">
        <f>원본!G47</f>
        <v>5SKN154IIh/s+14단열(Ar.)+5CL</v>
      </c>
      <c r="D47" s="5">
        <f>원본!H47</f>
        <v>24</v>
      </c>
      <c r="E47" s="1" t="s">
        <v>18</v>
      </c>
      <c r="F47" s="1">
        <f>원본!I47</f>
        <v>535</v>
      </c>
      <c r="G47" s="1">
        <f>원본!J47</f>
        <v>1755</v>
      </c>
      <c r="H47" s="1">
        <f>원본!K47</f>
        <v>2</v>
      </c>
      <c r="J47" s="1">
        <f t="shared" si="1"/>
        <v>2</v>
      </c>
      <c r="K47" s="1">
        <f>원본!N47</f>
        <v>20.45</v>
      </c>
      <c r="L47" s="4" t="str">
        <f>원본!D47</f>
        <v>에스지신성건설(주)b</v>
      </c>
      <c r="M47" s="1" t="str">
        <f>+원본!E47</f>
        <v>삼평동세계물산현장</v>
      </c>
      <c r="N47" s="1" t="str">
        <f>+원본!P47</f>
        <v>구조마감 AW/5</v>
      </c>
      <c r="O47" s="20"/>
      <c r="P47" s="20"/>
      <c r="Z47" s="3" t="str">
        <f>원본!R47</f>
        <v>26-2403</v>
      </c>
      <c r="AA47" s="2">
        <f>COUNTIF(Z$2:Z47,Z47)</f>
        <v>5</v>
      </c>
    </row>
    <row r="48" spans="1:27" ht="16.5" customHeight="1" x14ac:dyDescent="0.3">
      <c r="A48" s="5" t="str">
        <f>원본!A48</f>
        <v>260904-17</v>
      </c>
      <c r="B48" s="5" t="str">
        <f>원본!F48</f>
        <v>TP</v>
      </c>
      <c r="C48" s="1" t="str">
        <f>원본!G48</f>
        <v>5SKN154IIh/s+14단열(Ar.)+5CL</v>
      </c>
      <c r="D48" s="5">
        <f>원본!H48</f>
        <v>24</v>
      </c>
      <c r="E48" s="1" t="s">
        <v>18</v>
      </c>
      <c r="F48" s="1">
        <f>원본!I48</f>
        <v>982</v>
      </c>
      <c r="G48" s="1">
        <f>원본!J48</f>
        <v>1602</v>
      </c>
      <c r="H48" s="1">
        <f>원본!K48</f>
        <v>1</v>
      </c>
      <c r="J48" s="1">
        <f t="shared" si="1"/>
        <v>1</v>
      </c>
      <c r="K48" s="1">
        <f>원본!N48</f>
        <v>17.14</v>
      </c>
      <c r="L48" s="4" t="str">
        <f>원본!D48</f>
        <v>에스지신성건설(주)b</v>
      </c>
      <c r="M48" s="1" t="str">
        <f>+원본!E48</f>
        <v>삼평동세계물산현장</v>
      </c>
      <c r="N48" s="1" t="str">
        <f>+원본!P48</f>
        <v>구조마감 ACW1A 코너 옥상</v>
      </c>
      <c r="O48" s="20"/>
      <c r="P48" s="20"/>
      <c r="Z48" s="3" t="str">
        <f>원본!R48</f>
        <v>26-2403</v>
      </c>
      <c r="AA48" s="2">
        <f>COUNTIF(Z$2:Z48,Z48)</f>
        <v>6</v>
      </c>
    </row>
    <row r="49" spans="1:27" ht="16.5" customHeight="1" x14ac:dyDescent="0.3">
      <c r="A49" s="5" t="str">
        <f>원본!A49</f>
        <v>260904-17</v>
      </c>
      <c r="B49" s="5" t="str">
        <f>원본!F49</f>
        <v>TP</v>
      </c>
      <c r="C49" s="1" t="str">
        <f>원본!G49</f>
        <v>5SKN154IIh/s+14단열(Ar.)+5CL</v>
      </c>
      <c r="D49" s="5">
        <f>원본!H49</f>
        <v>24</v>
      </c>
      <c r="E49" s="1" t="s">
        <v>18</v>
      </c>
      <c r="F49" s="1">
        <f>원본!I49</f>
        <v>860</v>
      </c>
      <c r="G49" s="1">
        <f>원본!J49</f>
        <v>1345</v>
      </c>
      <c r="H49" s="1">
        <f>원본!K49</f>
        <v>2</v>
      </c>
      <c r="J49" s="1">
        <f t="shared" si="1"/>
        <v>2</v>
      </c>
      <c r="K49" s="1">
        <f>원본!N49</f>
        <v>25.2</v>
      </c>
      <c r="L49" s="4" t="str">
        <f>원본!D49</f>
        <v>에스지신성건설(주)b</v>
      </c>
      <c r="M49" s="1" t="str">
        <f>+원본!E49</f>
        <v>삼평동세계물산현장</v>
      </c>
      <c r="N49" s="1" t="str">
        <f>+원본!P49</f>
        <v>구조마감 AW/4A 3F 배연창</v>
      </c>
      <c r="O49" s="20"/>
      <c r="P49" s="20"/>
      <c r="Z49" s="3" t="str">
        <f>원본!R49</f>
        <v>26-2403</v>
      </c>
      <c r="AA49" s="2">
        <f>COUNTIF(Z$2:Z49,Z49)</f>
        <v>7</v>
      </c>
    </row>
    <row r="50" spans="1:27" ht="16.5" customHeight="1" x14ac:dyDescent="0.3">
      <c r="A50" s="5" t="str">
        <f>원본!A50</f>
        <v>260904-17</v>
      </c>
      <c r="B50" s="5" t="str">
        <f>원본!F50</f>
        <v>TP</v>
      </c>
      <c r="C50" s="1" t="str">
        <f>원본!G50</f>
        <v>5SKN154IIh/s+14단열(Ar.)+5CL</v>
      </c>
      <c r="D50" s="5">
        <f>원본!H50</f>
        <v>24</v>
      </c>
      <c r="E50" s="1" t="s">
        <v>18</v>
      </c>
      <c r="F50" s="1">
        <f>원본!I50</f>
        <v>860</v>
      </c>
      <c r="G50" s="1">
        <f>원본!J50</f>
        <v>1325</v>
      </c>
      <c r="H50" s="1">
        <f>원본!K50</f>
        <v>10</v>
      </c>
      <c r="J50" s="1">
        <f t="shared" si="1"/>
        <v>10</v>
      </c>
      <c r="K50" s="1">
        <f>원본!N50</f>
        <v>124.12</v>
      </c>
      <c r="L50" s="4" t="str">
        <f>원본!D50</f>
        <v>에스지신성건설(주)b</v>
      </c>
      <c r="M50" s="1" t="str">
        <f>+원본!E50</f>
        <v>삼평동세계물산현장</v>
      </c>
      <c r="N50" s="1" t="str">
        <f>+원본!P50</f>
        <v>구조마감 AW/4A 2,4,6,8,10F 배연창</v>
      </c>
      <c r="O50" s="20"/>
      <c r="P50" s="20"/>
      <c r="Z50" s="3" t="str">
        <f>원본!R50</f>
        <v>26-2403</v>
      </c>
      <c r="AA50" s="2">
        <f>COUNTIF(Z$2:Z50,Z50)</f>
        <v>8</v>
      </c>
    </row>
    <row r="51" spans="1:27" ht="16.5" customHeight="1" x14ac:dyDescent="0.3">
      <c r="A51" s="5" t="str">
        <f>원본!A51</f>
        <v>260904-17</v>
      </c>
      <c r="B51" s="5" t="str">
        <f>원본!F51</f>
        <v>TP</v>
      </c>
      <c r="C51" s="1" t="str">
        <f>원본!G51</f>
        <v>5SKN154IIh/s+14단열(Ar.)+5CL</v>
      </c>
      <c r="D51" s="5">
        <f>원본!H51</f>
        <v>24</v>
      </c>
      <c r="E51" s="1" t="s">
        <v>18</v>
      </c>
      <c r="F51" s="1">
        <f>원본!I51</f>
        <v>860</v>
      </c>
      <c r="G51" s="1">
        <f>원본!J51</f>
        <v>1295</v>
      </c>
      <c r="H51" s="1">
        <f>원본!K51</f>
        <v>8</v>
      </c>
      <c r="J51" s="1">
        <f t="shared" si="1"/>
        <v>8</v>
      </c>
      <c r="K51" s="1">
        <f>원본!N51</f>
        <v>97.04</v>
      </c>
      <c r="L51" s="4" t="str">
        <f>원본!D51</f>
        <v>에스지신성건설(주)b</v>
      </c>
      <c r="M51" s="1" t="str">
        <f>+원본!E51</f>
        <v>삼평동세계물산현장</v>
      </c>
      <c r="N51" s="1" t="str">
        <f>+원본!P51</f>
        <v>구조마감 AW/4A 5,7,9F 배연창</v>
      </c>
      <c r="O51" s="20"/>
      <c r="P51" s="20"/>
      <c r="Z51" s="3" t="str">
        <f>원본!R51</f>
        <v>26-2403</v>
      </c>
      <c r="AA51" s="2">
        <f>COUNTIF(Z$2:Z51,Z51)</f>
        <v>9</v>
      </c>
    </row>
    <row r="52" spans="1:27" ht="16.5" customHeight="1" x14ac:dyDescent="0.3">
      <c r="A52" s="5" t="str">
        <f>원본!A52</f>
        <v>260904-17</v>
      </c>
      <c r="B52" s="5" t="str">
        <f>원본!F52</f>
        <v>TP</v>
      </c>
      <c r="C52" s="1" t="str">
        <f>원본!G52</f>
        <v>5SKN154IIh/s+14단열(Ar.)+5CL</v>
      </c>
      <c r="D52" s="5">
        <f>원본!H52</f>
        <v>24</v>
      </c>
      <c r="E52" s="1" t="s">
        <v>18</v>
      </c>
      <c r="F52" s="1">
        <f>원본!I52</f>
        <v>1015</v>
      </c>
      <c r="G52" s="1">
        <f>원본!J52</f>
        <v>1185</v>
      </c>
      <c r="H52" s="1">
        <f>원본!K52</f>
        <v>4</v>
      </c>
      <c r="J52" s="1">
        <f t="shared" si="1"/>
        <v>4</v>
      </c>
      <c r="K52" s="1">
        <f>원본!N52</f>
        <v>52.4</v>
      </c>
      <c r="L52" s="4" t="str">
        <f>원본!D52</f>
        <v>에스지신성건설(주)b</v>
      </c>
      <c r="M52" s="1" t="str">
        <f>+원본!E52</f>
        <v>삼평동세계물산현장</v>
      </c>
      <c r="N52" s="1" t="str">
        <f>+원본!P52</f>
        <v>구조마감 ACW/4 2F</v>
      </c>
      <c r="O52" s="20"/>
      <c r="P52" s="20"/>
      <c r="Z52" s="3" t="str">
        <f>원본!R52</f>
        <v>26-2403</v>
      </c>
      <c r="AA52" s="2">
        <f>COUNTIF(Z$2:Z52,Z52)</f>
        <v>10</v>
      </c>
    </row>
    <row r="53" spans="1:27" ht="16.5" customHeight="1" x14ac:dyDescent="0.3">
      <c r="A53" s="5" t="str">
        <f>원본!A53</f>
        <v>260904-17</v>
      </c>
      <c r="B53" s="5" t="str">
        <f>원본!F53</f>
        <v>TP</v>
      </c>
      <c r="C53" s="1" t="str">
        <f>원본!G53</f>
        <v>5SKN154IIh/s+14단열(Ar.)+5CL</v>
      </c>
      <c r="D53" s="5">
        <f>원본!H53</f>
        <v>24</v>
      </c>
      <c r="E53" s="1" t="s">
        <v>18</v>
      </c>
      <c r="F53" s="1">
        <f>원본!I53</f>
        <v>685</v>
      </c>
      <c r="G53" s="1">
        <f>원본!J53</f>
        <v>885</v>
      </c>
      <c r="H53" s="1">
        <f>원본!K53</f>
        <v>4</v>
      </c>
      <c r="J53" s="1">
        <f t="shared" si="1"/>
        <v>4</v>
      </c>
      <c r="K53" s="1">
        <f>원본!N53</f>
        <v>26.41</v>
      </c>
      <c r="L53" s="4" t="str">
        <f>원본!D53</f>
        <v>에스지신성건설(주)b</v>
      </c>
      <c r="M53" s="1" t="str">
        <f>+원본!E53</f>
        <v>삼평동세계물산현장</v>
      </c>
      <c r="N53" s="1" t="str">
        <f>+원본!P53</f>
        <v>구조마감 AW/5</v>
      </c>
      <c r="O53" s="20"/>
      <c r="P53" s="20"/>
      <c r="Z53" s="3" t="str">
        <f>원본!R53</f>
        <v>26-2403</v>
      </c>
      <c r="AA53" s="2">
        <f>COUNTIF(Z$2:Z53,Z53)</f>
        <v>11</v>
      </c>
    </row>
    <row r="54" spans="1:27" ht="16.5" customHeight="1" x14ac:dyDescent="0.3">
      <c r="A54" s="5" t="str">
        <f>원본!A54</f>
        <v>260904-17</v>
      </c>
      <c r="B54" s="5" t="str">
        <f>원본!F54</f>
        <v>TP</v>
      </c>
      <c r="C54" s="1" t="str">
        <f>원본!G54</f>
        <v>5SKN154IIh/s+14단열(Ar.)+5CL</v>
      </c>
      <c r="D54" s="5">
        <f>원본!H54</f>
        <v>24</v>
      </c>
      <c r="E54" s="1" t="s">
        <v>18</v>
      </c>
      <c r="F54" s="1">
        <f>원본!I54</f>
        <v>535</v>
      </c>
      <c r="G54" s="1">
        <f>원본!J54</f>
        <v>885</v>
      </c>
      <c r="H54" s="1">
        <f>원본!K54</f>
        <v>2</v>
      </c>
      <c r="J54" s="1">
        <f t="shared" si="1"/>
        <v>2</v>
      </c>
      <c r="K54" s="1">
        <f>원본!N54</f>
        <v>10.31</v>
      </c>
      <c r="L54" s="4" t="str">
        <f>원본!D54</f>
        <v>에스지신성건설(주)b</v>
      </c>
      <c r="M54" s="1" t="str">
        <f>+원본!E54</f>
        <v>삼평동세계물산현장</v>
      </c>
      <c r="N54" s="1" t="str">
        <f>+원본!P54</f>
        <v>구조마감 AW/5</v>
      </c>
      <c r="O54" s="20"/>
      <c r="P54" s="20"/>
      <c r="Z54" s="3" t="str">
        <f>원본!R54</f>
        <v>26-2403</v>
      </c>
      <c r="AA54" s="2">
        <f>COUNTIF(Z$2:Z54,Z54)</f>
        <v>12</v>
      </c>
    </row>
    <row r="55" spans="1:27" ht="16.5" customHeight="1" x14ac:dyDescent="0.3">
      <c r="A55" s="5" t="str">
        <f>원본!A55</f>
        <v>260904-17</v>
      </c>
      <c r="B55" s="5" t="str">
        <f>원본!F55</f>
        <v>TP</v>
      </c>
      <c r="C55" s="1" t="str">
        <f>원본!G55</f>
        <v>5SKN154IIh/s+14단열(Ar.)+5CL</v>
      </c>
      <c r="D55" s="5">
        <f>원본!H55</f>
        <v>24</v>
      </c>
      <c r="E55" s="1" t="s">
        <v>18</v>
      </c>
      <c r="F55" s="1">
        <f>원본!I55</f>
        <v>982</v>
      </c>
      <c r="G55" s="1">
        <f>원본!J55</f>
        <v>882</v>
      </c>
      <c r="H55" s="1">
        <f>원본!K55</f>
        <v>9</v>
      </c>
      <c r="J55" s="1">
        <f t="shared" si="1"/>
        <v>9</v>
      </c>
      <c r="K55" s="1">
        <f>원본!N55</f>
        <v>84.91</v>
      </c>
      <c r="L55" s="4" t="str">
        <f>원본!D55</f>
        <v>에스지신성건설(주)b</v>
      </c>
      <c r="M55" s="1" t="str">
        <f>+원본!E55</f>
        <v>삼평동세계물산현장</v>
      </c>
      <c r="N55" s="1" t="str">
        <f>+원본!P55</f>
        <v>구조마감 ACW1A 코너</v>
      </c>
      <c r="O55" s="20"/>
      <c r="P55" s="20"/>
      <c r="Z55" s="3" t="str">
        <f>원본!R55</f>
        <v>26-2403</v>
      </c>
      <c r="AA55" s="2">
        <f>COUNTIF(Z$2:Z55,Z55)</f>
        <v>13</v>
      </c>
    </row>
    <row r="56" spans="1:27" ht="16.5" customHeight="1" x14ac:dyDescent="0.3">
      <c r="A56" s="5" t="str">
        <f>원본!A56</f>
        <v>260904-17</v>
      </c>
      <c r="B56" s="5" t="str">
        <f>원본!F56</f>
        <v>TP</v>
      </c>
      <c r="C56" s="1" t="str">
        <f>원본!G56</f>
        <v>5SKN154IIh/s+14단열(Ar.)+5CL</v>
      </c>
      <c r="D56" s="5">
        <f>원본!H56</f>
        <v>24</v>
      </c>
      <c r="E56" s="1" t="s">
        <v>18</v>
      </c>
      <c r="F56" s="1">
        <f>원본!I56</f>
        <v>985</v>
      </c>
      <c r="G56" s="1">
        <f>원본!J56</f>
        <v>555</v>
      </c>
      <c r="H56" s="1">
        <f>원본!K56</f>
        <v>4</v>
      </c>
      <c r="J56" s="1">
        <f t="shared" si="1"/>
        <v>4</v>
      </c>
      <c r="K56" s="1">
        <f>원본!N56</f>
        <v>23.82</v>
      </c>
      <c r="L56" s="4" t="str">
        <f>원본!D56</f>
        <v>에스지신성건설(주)b</v>
      </c>
      <c r="M56" s="1" t="str">
        <f>+원본!E56</f>
        <v>삼평동세계물산현장</v>
      </c>
      <c r="N56" s="1" t="str">
        <f>+원본!P56</f>
        <v>구조마감 ACW/4 2F PJ</v>
      </c>
      <c r="O56" s="20"/>
      <c r="P56" s="20"/>
      <c r="Z56" s="3" t="str">
        <f>원본!R56</f>
        <v>26-2403</v>
      </c>
      <c r="AA56" s="2">
        <f>COUNTIF(Z$2:Z56,Z56)</f>
        <v>14</v>
      </c>
    </row>
    <row r="57" spans="1:27" ht="16.5" customHeight="1" x14ac:dyDescent="0.3">
      <c r="A57" s="5" t="str">
        <f>원본!A57</f>
        <v>260904-17</v>
      </c>
      <c r="B57" s="5" t="str">
        <f>원본!F57</f>
        <v>TP</v>
      </c>
      <c r="C57" s="1" t="str">
        <f>원본!G57</f>
        <v>5SKN154IIh/s+14단열(Ar.)+5CL</v>
      </c>
      <c r="D57" s="5">
        <f>원본!H57</f>
        <v>24</v>
      </c>
      <c r="E57" s="1" t="s">
        <v>18</v>
      </c>
      <c r="F57" s="1">
        <f>원본!I57</f>
        <v>685</v>
      </c>
      <c r="G57" s="1">
        <f>원본!J57</f>
        <v>555</v>
      </c>
      <c r="H57" s="1">
        <f>원본!K57</f>
        <v>2</v>
      </c>
      <c r="J57" s="1">
        <f t="shared" si="1"/>
        <v>2</v>
      </c>
      <c r="K57" s="1">
        <f>원본!N57</f>
        <v>8.2799999999999994</v>
      </c>
      <c r="L57" s="4" t="str">
        <f>원본!D57</f>
        <v>에스지신성건설(주)b</v>
      </c>
      <c r="M57" s="1" t="str">
        <f>+원본!E57</f>
        <v>삼평동세계물산현장</v>
      </c>
      <c r="N57" s="1" t="str">
        <f>+원본!P57</f>
        <v>구조마감 AW/5</v>
      </c>
      <c r="O57" s="20"/>
      <c r="P57" s="20"/>
      <c r="Z57" s="3" t="str">
        <f>원본!R57</f>
        <v>26-2403</v>
      </c>
      <c r="AA57" s="2">
        <f>COUNTIF(Z$2:Z57,Z57)</f>
        <v>15</v>
      </c>
    </row>
    <row r="58" spans="1:27" ht="16.5" customHeight="1" x14ac:dyDescent="0.3">
      <c r="A58" s="5" t="str">
        <f>원본!A58</f>
        <v>260904-17</v>
      </c>
      <c r="B58" s="5" t="str">
        <f>원본!F58</f>
        <v>TP</v>
      </c>
      <c r="C58" s="1" t="str">
        <f>원본!G58</f>
        <v>5SKN154IIh/s+14단열(Ar.)+5CL</v>
      </c>
      <c r="D58" s="5">
        <f>원본!H58</f>
        <v>24</v>
      </c>
      <c r="E58" s="1" t="s">
        <v>18</v>
      </c>
      <c r="F58" s="1">
        <f>원본!I58</f>
        <v>655</v>
      </c>
      <c r="G58" s="1">
        <f>원본!J58</f>
        <v>525</v>
      </c>
      <c r="H58" s="1">
        <f>원본!K58</f>
        <v>4</v>
      </c>
      <c r="J58" s="1">
        <f t="shared" si="1"/>
        <v>4</v>
      </c>
      <c r="K58" s="1">
        <f>원본!N58</f>
        <v>14.98</v>
      </c>
      <c r="L58" s="4" t="str">
        <f>원본!D58</f>
        <v>에스지신성건설(주)b</v>
      </c>
      <c r="M58" s="1" t="str">
        <f>+원본!E58</f>
        <v>삼평동세계물산현장</v>
      </c>
      <c r="N58" s="1" t="str">
        <f>+원본!P58</f>
        <v>구조마감 AW/5 PJ</v>
      </c>
      <c r="O58" s="20"/>
      <c r="P58" s="20"/>
      <c r="Z58" s="3" t="str">
        <f>원본!R58</f>
        <v>26-2403</v>
      </c>
      <c r="AA58" s="2">
        <f>COUNTIF(Z$2:Z58,Z58)</f>
        <v>16</v>
      </c>
    </row>
    <row r="59" spans="1:27" ht="16.5" customHeight="1" x14ac:dyDescent="0.3">
      <c r="A59" s="5" t="str">
        <f>원본!A59</f>
        <v>260904-17</v>
      </c>
      <c r="B59" s="5" t="str">
        <f>원본!F59</f>
        <v>TP</v>
      </c>
      <c r="C59" s="1" t="str">
        <f>원본!G59</f>
        <v>5SKN154IIh/s+14단열(Ar.)+5CL</v>
      </c>
      <c r="D59" s="5">
        <f>원본!H59</f>
        <v>24</v>
      </c>
      <c r="E59" s="1" t="s">
        <v>18</v>
      </c>
      <c r="F59" s="1">
        <f>원본!I59</f>
        <v>525</v>
      </c>
      <c r="G59" s="1">
        <f>원본!J59</f>
        <v>525</v>
      </c>
      <c r="H59" s="1">
        <f>원본!K59</f>
        <v>20</v>
      </c>
      <c r="J59" s="1">
        <f t="shared" si="1"/>
        <v>20</v>
      </c>
      <c r="K59" s="1">
        <f>원본!N59</f>
        <v>60.04</v>
      </c>
      <c r="L59" s="4" t="str">
        <f>원본!D59</f>
        <v>에스지신성건설(주)b</v>
      </c>
      <c r="M59" s="1" t="str">
        <f>+원본!E59</f>
        <v>삼평동세계물산현장</v>
      </c>
      <c r="N59" s="1" t="str">
        <f>+원본!P59</f>
        <v>구조마감 AW/4 2~11F PJ</v>
      </c>
      <c r="O59" s="20"/>
      <c r="P59" s="20"/>
      <c r="Z59" s="3" t="str">
        <f>원본!R59</f>
        <v>26-2403</v>
      </c>
      <c r="AA59" s="2">
        <f>COUNTIF(Z$2:Z59,Z59)</f>
        <v>17</v>
      </c>
    </row>
    <row r="60" spans="1:27" ht="16.5" customHeight="1" x14ac:dyDescent="0.3">
      <c r="A60" s="5" t="str">
        <f>원본!A60</f>
        <v>260904-17</v>
      </c>
      <c r="B60" s="5" t="str">
        <f>원본!F60</f>
        <v>TP</v>
      </c>
      <c r="C60" s="1" t="str">
        <f>원본!G60</f>
        <v>5SKN154IIh/s+14단열(Ar.)+5CL</v>
      </c>
      <c r="D60" s="5">
        <f>원본!H60</f>
        <v>24</v>
      </c>
      <c r="E60" s="1" t="s">
        <v>18</v>
      </c>
      <c r="F60" s="1">
        <f>원본!I60</f>
        <v>505</v>
      </c>
      <c r="G60" s="1">
        <f>원본!J60</f>
        <v>525</v>
      </c>
      <c r="H60" s="1">
        <f>원본!K60</f>
        <v>2</v>
      </c>
      <c r="J60" s="1">
        <f t="shared" si="1"/>
        <v>2</v>
      </c>
      <c r="K60" s="1">
        <f>원본!N60</f>
        <v>5.78</v>
      </c>
      <c r="L60" s="4" t="str">
        <f>원본!D60</f>
        <v>에스지신성건설(주)b</v>
      </c>
      <c r="M60" s="1" t="str">
        <f>+원본!E60</f>
        <v>삼평동세계물산현장</v>
      </c>
      <c r="N60" s="1" t="str">
        <f>+원본!P60</f>
        <v>구조마감 AW/5 PJ</v>
      </c>
      <c r="O60" s="20"/>
      <c r="P60" s="20"/>
      <c r="Z60" s="3" t="str">
        <f>원본!R60</f>
        <v>26-2403</v>
      </c>
      <c r="AA60" s="2">
        <f>COUNTIF(Z$2:Z60,Z60)</f>
        <v>18</v>
      </c>
    </row>
    <row r="61" spans="1:27" ht="16.5" customHeight="1" x14ac:dyDescent="0.3">
      <c r="A61" s="5" t="str">
        <f>원본!A61</f>
        <v>260904-17</v>
      </c>
      <c r="B61" s="5" t="str">
        <f>원본!F61</f>
        <v>TP</v>
      </c>
      <c r="C61" s="1" t="str">
        <f>원본!G61</f>
        <v>5SKN154IIh/s+14단열(Ar.)+5CLh/s</v>
      </c>
      <c r="D61" s="5">
        <f>원본!H61</f>
        <v>24</v>
      </c>
      <c r="E61" s="1" t="s">
        <v>18</v>
      </c>
      <c r="F61" s="1">
        <f>원본!I61</f>
        <v>1015</v>
      </c>
      <c r="G61" s="1">
        <f>원본!J61</f>
        <v>1785</v>
      </c>
      <c r="H61" s="1">
        <f>원본!K61</f>
        <v>8</v>
      </c>
      <c r="J61" s="1">
        <f t="shared" si="1"/>
        <v>8</v>
      </c>
      <c r="K61" s="1">
        <f>원본!N61</f>
        <v>157.87</v>
      </c>
      <c r="L61" s="4" t="str">
        <f>원본!D61</f>
        <v>에스지신성건설(주)b</v>
      </c>
      <c r="M61" s="1" t="str">
        <f>+원본!E61</f>
        <v>삼평동세계물산현장</v>
      </c>
      <c r="N61" s="1" t="str">
        <f>+원본!P61</f>
        <v>구조마감 ACW/4 2F</v>
      </c>
      <c r="O61" s="20"/>
      <c r="P61" s="20"/>
      <c r="Z61" s="3" t="str">
        <f>원본!R61</f>
        <v>26-2403</v>
      </c>
      <c r="AA61" s="2">
        <f>COUNTIF(Z$2:Z61,Z61)</f>
        <v>19</v>
      </c>
    </row>
    <row r="62" spans="1:27" ht="16.5" customHeight="1" x14ac:dyDescent="0.3">
      <c r="A62" s="5" t="str">
        <f>원본!A62</f>
        <v>260904-17</v>
      </c>
      <c r="B62" s="5" t="str">
        <f>원본!F62</f>
        <v>TP</v>
      </c>
      <c r="C62" s="1" t="str">
        <f>원본!G62</f>
        <v>5SKN154IIh/s+14단열(Ar.)+5CLh/s</v>
      </c>
      <c r="D62" s="5">
        <f>원본!H62</f>
        <v>24</v>
      </c>
      <c r="E62" s="1" t="s">
        <v>18</v>
      </c>
      <c r="F62" s="1">
        <f>원본!I62</f>
        <v>965</v>
      </c>
      <c r="G62" s="1">
        <f>원본!J62</f>
        <v>1785</v>
      </c>
      <c r="H62" s="1">
        <f>원본!K62</f>
        <v>2</v>
      </c>
      <c r="J62" s="1">
        <f t="shared" si="1"/>
        <v>2</v>
      </c>
      <c r="K62" s="1">
        <f>원본!N62</f>
        <v>37.520000000000003</v>
      </c>
      <c r="L62" s="4" t="str">
        <f>원본!D62</f>
        <v>에스지신성건설(주)b</v>
      </c>
      <c r="M62" s="1" t="str">
        <f>+원본!E62</f>
        <v>삼평동세계물산현장</v>
      </c>
      <c r="N62" s="1" t="str">
        <f>+원본!P62</f>
        <v>구조마감 ACW/4 2F</v>
      </c>
      <c r="O62" s="20"/>
      <c r="P62" s="20"/>
      <c r="Z62" s="3" t="str">
        <f>원본!R62</f>
        <v>26-2403</v>
      </c>
      <c r="AA62" s="2">
        <f>COUNTIF(Z$2:Z62,Z62)</f>
        <v>20</v>
      </c>
    </row>
    <row r="63" spans="1:27" ht="16.5" customHeight="1" x14ac:dyDescent="0.3">
      <c r="A63" s="5" t="str">
        <f>원본!A63</f>
        <v>260904-17</v>
      </c>
      <c r="B63" s="5" t="str">
        <f>원본!F63</f>
        <v>TP</v>
      </c>
      <c r="C63" s="1" t="str">
        <f>원본!G63</f>
        <v>5SKN154IIh/s+14단열(Ar.)+5CLh/s</v>
      </c>
      <c r="D63" s="5">
        <f>원본!H63</f>
        <v>24</v>
      </c>
      <c r="E63" s="1" t="s">
        <v>18</v>
      </c>
      <c r="F63" s="1">
        <f>원본!I63</f>
        <v>732</v>
      </c>
      <c r="G63" s="1">
        <f>원본!J63</f>
        <v>1782</v>
      </c>
      <c r="H63" s="1">
        <f>원본!K63</f>
        <v>1</v>
      </c>
      <c r="J63" s="1">
        <f t="shared" si="1"/>
        <v>1</v>
      </c>
      <c r="K63" s="1">
        <f>원본!N63</f>
        <v>14.21</v>
      </c>
      <c r="L63" s="4" t="str">
        <f>원본!D63</f>
        <v>에스지신성건설(주)b</v>
      </c>
      <c r="M63" s="1" t="str">
        <f>+원본!E63</f>
        <v>삼평동세계물산현장</v>
      </c>
      <c r="N63" s="1" t="str">
        <f>+원본!P63</f>
        <v>구조마감 시후파</v>
      </c>
      <c r="O63" s="20"/>
      <c r="P63" s="20"/>
      <c r="Z63" s="3" t="str">
        <f>원본!R63</f>
        <v>26-2403</v>
      </c>
      <c r="AA63" s="2">
        <f>COUNTIF(Z$2:Z63,Z63)</f>
        <v>21</v>
      </c>
    </row>
    <row r="64" spans="1:27" ht="16.5" customHeight="1" x14ac:dyDescent="0.3">
      <c r="A64" s="5" t="str">
        <f>원본!A64</f>
        <v>260904-17</v>
      </c>
      <c r="B64" s="5" t="str">
        <f>원본!F64</f>
        <v>TP</v>
      </c>
      <c r="C64" s="1" t="str">
        <f>원본!G64</f>
        <v>5SKN154IIh/s+14단열(Ar.)+5CLh/s</v>
      </c>
      <c r="D64" s="5">
        <f>원본!H64</f>
        <v>24</v>
      </c>
      <c r="E64" s="1" t="s">
        <v>18</v>
      </c>
      <c r="F64" s="1">
        <f>원본!I64</f>
        <v>982</v>
      </c>
      <c r="G64" s="1">
        <f>원본!J64</f>
        <v>1582</v>
      </c>
      <c r="H64" s="1">
        <f>원본!K64</f>
        <v>1</v>
      </c>
      <c r="J64" s="1">
        <f t="shared" si="1"/>
        <v>1</v>
      </c>
      <c r="K64" s="1">
        <f>원본!N64</f>
        <v>16.920000000000002</v>
      </c>
      <c r="L64" s="4" t="str">
        <f>원본!D64</f>
        <v>에스지신성건설(주)b</v>
      </c>
      <c r="M64" s="1" t="str">
        <f>+원본!E64</f>
        <v>삼평동세계물산현장</v>
      </c>
      <c r="N64" s="1" t="str">
        <f>+원본!P64</f>
        <v>구조마감 ACW1A 코너 옥상</v>
      </c>
      <c r="O64" s="20"/>
      <c r="P64" s="20"/>
      <c r="Z64" s="3" t="str">
        <f>원본!R64</f>
        <v>26-2403</v>
      </c>
      <c r="AA64" s="2">
        <f>COUNTIF(Z$2:Z64,Z64)</f>
        <v>22</v>
      </c>
    </row>
    <row r="65" spans="1:27" ht="16.5" customHeight="1" x14ac:dyDescent="0.3">
      <c r="A65" s="5" t="str">
        <f>원본!A65</f>
        <v>260904-17</v>
      </c>
      <c r="B65" s="5" t="str">
        <f>원본!F65</f>
        <v>TP</v>
      </c>
      <c r="C65" s="1" t="str">
        <f>원본!G65</f>
        <v>5SKN154IIh/s+14단열(Ar.)+5CLh/s</v>
      </c>
      <c r="D65" s="5">
        <f>원본!H65</f>
        <v>24</v>
      </c>
      <c r="E65" s="1" t="s">
        <v>18</v>
      </c>
      <c r="F65" s="1">
        <f>원본!I65</f>
        <v>982</v>
      </c>
      <c r="G65" s="1">
        <f>원본!J65</f>
        <v>1522</v>
      </c>
      <c r="H65" s="1">
        <f>원본!K65</f>
        <v>1</v>
      </c>
      <c r="J65" s="1">
        <f t="shared" si="1"/>
        <v>1</v>
      </c>
      <c r="K65" s="1">
        <f>원본!N65</f>
        <v>16.28</v>
      </c>
      <c r="L65" s="4" t="str">
        <f>원본!D65</f>
        <v>에스지신성건설(주)b</v>
      </c>
      <c r="M65" s="1" t="str">
        <f>+원본!E65</f>
        <v>삼평동세계물산현장</v>
      </c>
      <c r="N65" s="1" t="str">
        <f>+원본!P65</f>
        <v>구조마감 ACW1A 코너 2F</v>
      </c>
      <c r="O65" s="20"/>
      <c r="P65" s="20"/>
      <c r="Z65" s="3" t="str">
        <f>원본!R65</f>
        <v>26-2403</v>
      </c>
      <c r="AA65" s="2">
        <f>COUNTIF(Z$2:Z65,Z65)</f>
        <v>23</v>
      </c>
    </row>
    <row r="66" spans="1:27" ht="16.5" customHeight="1" x14ac:dyDescent="0.3">
      <c r="A66" s="5" t="str">
        <f>원본!A66</f>
        <v>260904-17</v>
      </c>
      <c r="B66" s="5" t="str">
        <f>원본!F66</f>
        <v>TP</v>
      </c>
      <c r="C66" s="1" t="str">
        <f>원본!G66</f>
        <v>5SKN154IIh/s+14단열(Ar.)+5CLh/s</v>
      </c>
      <c r="D66" s="5">
        <f>원본!H66</f>
        <v>24</v>
      </c>
      <c r="E66" s="1" t="s">
        <v>18</v>
      </c>
      <c r="F66" s="1">
        <f>원본!I66</f>
        <v>982</v>
      </c>
      <c r="G66" s="1">
        <f>원본!J66</f>
        <v>1502</v>
      </c>
      <c r="H66" s="1">
        <f>원본!K66</f>
        <v>1</v>
      </c>
      <c r="J66" s="1">
        <f t="shared" si="1"/>
        <v>1</v>
      </c>
      <c r="K66" s="1">
        <f>원본!N66</f>
        <v>16.07</v>
      </c>
      <c r="L66" s="4" t="str">
        <f>원본!D66</f>
        <v>에스지신성건설(주)b</v>
      </c>
      <c r="M66" s="1" t="str">
        <f>+원본!E66</f>
        <v>삼평동세계물산현장</v>
      </c>
      <c r="N66" s="1" t="str">
        <f>+원본!P66</f>
        <v>구조마감 ACW1A 코너 10F</v>
      </c>
      <c r="O66" s="20"/>
      <c r="P66" s="20"/>
      <c r="Z66" s="3" t="str">
        <f>원본!R66</f>
        <v>26-2403</v>
      </c>
      <c r="AA66" s="2">
        <f>COUNTIF(Z$2:Z66,Z66)</f>
        <v>24</v>
      </c>
    </row>
    <row r="67" spans="1:27" ht="16.5" customHeight="1" x14ac:dyDescent="0.3">
      <c r="A67" s="5" t="str">
        <f>원본!A67</f>
        <v>260904-17</v>
      </c>
      <c r="B67" s="5" t="str">
        <f>원본!F67</f>
        <v>TP</v>
      </c>
      <c r="C67" s="1" t="str">
        <f>원본!G67</f>
        <v>5SKN154IIh/s+14단열(Ar.)+5CLh/s</v>
      </c>
      <c r="D67" s="5">
        <f>원본!H67</f>
        <v>24</v>
      </c>
      <c r="E67" s="1" t="s">
        <v>18</v>
      </c>
      <c r="F67" s="1">
        <f>원본!I67</f>
        <v>982</v>
      </c>
      <c r="G67" s="1">
        <f>원본!J67</f>
        <v>1502</v>
      </c>
      <c r="H67" s="1">
        <f>원본!K67</f>
        <v>2</v>
      </c>
      <c r="J67" s="1">
        <f t="shared" si="1"/>
        <v>2</v>
      </c>
      <c r="K67" s="1">
        <f>원본!N67</f>
        <v>32.130000000000003</v>
      </c>
      <c r="L67" s="4" t="str">
        <f>원본!D67</f>
        <v>에스지신성건설(주)b</v>
      </c>
      <c r="M67" s="1" t="str">
        <f>+원본!E67</f>
        <v>삼평동세계물산현장</v>
      </c>
      <c r="N67" s="1" t="str">
        <f>+원본!P67</f>
        <v>구조마감 ACW1A 코너 3,6F</v>
      </c>
      <c r="O67" s="20"/>
      <c r="P67" s="20"/>
      <c r="Z67" s="3" t="str">
        <f>원본!R67</f>
        <v>26-2403</v>
      </c>
      <c r="AA67" s="2">
        <f>COUNTIF(Z$2:Z67,Z67)</f>
        <v>25</v>
      </c>
    </row>
    <row r="68" spans="1:27" ht="16.5" customHeight="1" x14ac:dyDescent="0.3">
      <c r="A68" s="5" t="str">
        <f>원본!A68</f>
        <v>260904-17</v>
      </c>
      <c r="B68" s="5" t="str">
        <f>원본!F68</f>
        <v>TP</v>
      </c>
      <c r="C68" s="1" t="str">
        <f>원본!G68</f>
        <v>5SKN154IIh/s+14단열(Ar.)+5CLh/s</v>
      </c>
      <c r="D68" s="5">
        <f>원본!H68</f>
        <v>24</v>
      </c>
      <c r="E68" s="1" t="s">
        <v>18</v>
      </c>
      <c r="F68" s="1">
        <f>원본!I68</f>
        <v>982</v>
      </c>
      <c r="G68" s="1">
        <f>원본!J68</f>
        <v>1492</v>
      </c>
      <c r="H68" s="1">
        <f>원본!K68</f>
        <v>1</v>
      </c>
      <c r="J68" s="1">
        <f t="shared" ref="J68:J131" si="2">H68</f>
        <v>1</v>
      </c>
      <c r="K68" s="1">
        <f>원본!N68</f>
        <v>15.96</v>
      </c>
      <c r="L68" s="4" t="str">
        <f>원본!D68</f>
        <v>에스지신성건설(주)b</v>
      </c>
      <c r="M68" s="1" t="str">
        <f>+원본!E68</f>
        <v>삼평동세계물산현장</v>
      </c>
      <c r="N68" s="1" t="str">
        <f>+원본!P68</f>
        <v>구조마감 ACW1A 코너 9F</v>
      </c>
      <c r="O68" s="20"/>
      <c r="P68" s="20"/>
      <c r="Z68" s="3" t="str">
        <f>원본!R68</f>
        <v>26-2403</v>
      </c>
      <c r="AA68" s="2">
        <f>COUNTIF(Z$2:Z68,Z68)</f>
        <v>26</v>
      </c>
    </row>
    <row r="69" spans="1:27" ht="16.5" customHeight="1" x14ac:dyDescent="0.3">
      <c r="A69" s="5" t="str">
        <f>원본!A69</f>
        <v>260904-17</v>
      </c>
      <c r="B69" s="5" t="str">
        <f>원본!F69</f>
        <v>TP</v>
      </c>
      <c r="C69" s="1" t="str">
        <f>원본!G69</f>
        <v>5SKN154IIh/s+14단열(Ar.)+5CLh/s</v>
      </c>
      <c r="D69" s="5">
        <f>원본!H69</f>
        <v>24</v>
      </c>
      <c r="E69" s="1" t="s">
        <v>18</v>
      </c>
      <c r="F69" s="1">
        <f>원본!I69</f>
        <v>685</v>
      </c>
      <c r="G69" s="1">
        <f>원본!J69</f>
        <v>1485</v>
      </c>
      <c r="H69" s="1">
        <f>원본!K69</f>
        <v>4</v>
      </c>
      <c r="J69" s="1">
        <f t="shared" si="2"/>
        <v>4</v>
      </c>
      <c r="K69" s="1">
        <f>원본!N69</f>
        <v>44.32</v>
      </c>
      <c r="L69" s="4" t="str">
        <f>원본!D69</f>
        <v>에스지신성건설(주)b</v>
      </c>
      <c r="M69" s="1" t="str">
        <f>+원본!E69</f>
        <v>삼평동세계물산현장</v>
      </c>
      <c r="N69" s="1" t="str">
        <f>+원본!P69</f>
        <v>구조마감 AW/5</v>
      </c>
      <c r="O69" s="20"/>
      <c r="P69" s="20"/>
      <c r="Z69" s="3" t="str">
        <f>원본!R69</f>
        <v>26-2403</v>
      </c>
      <c r="AA69" s="2">
        <f>COUNTIF(Z$2:Z69,Z69)</f>
        <v>27</v>
      </c>
    </row>
    <row r="70" spans="1:27" ht="16.5" customHeight="1" x14ac:dyDescent="0.3">
      <c r="A70" s="5" t="str">
        <f>원본!A70</f>
        <v>260904-17</v>
      </c>
      <c r="B70" s="5" t="str">
        <f>원본!F70</f>
        <v>TP</v>
      </c>
      <c r="C70" s="1" t="str">
        <f>원본!G70</f>
        <v>5SKN154IIh/s+14단열(Ar.)+5CLh/s</v>
      </c>
      <c r="D70" s="5">
        <f>원본!H70</f>
        <v>24</v>
      </c>
      <c r="E70" s="1" t="s">
        <v>18</v>
      </c>
      <c r="F70" s="1">
        <f>원본!I70</f>
        <v>535</v>
      </c>
      <c r="G70" s="1">
        <f>원본!J70</f>
        <v>1485</v>
      </c>
      <c r="H70" s="1">
        <f>원본!K70</f>
        <v>2</v>
      </c>
      <c r="J70" s="1">
        <f t="shared" si="2"/>
        <v>2</v>
      </c>
      <c r="K70" s="1">
        <f>원본!N70</f>
        <v>17.309999999999999</v>
      </c>
      <c r="L70" s="4" t="str">
        <f>원본!D70</f>
        <v>에스지신성건설(주)b</v>
      </c>
      <c r="M70" s="1" t="str">
        <f>+원본!E70</f>
        <v>삼평동세계물산현장</v>
      </c>
      <c r="N70" s="1" t="str">
        <f>+원본!P70</f>
        <v>구조마감 AW/6</v>
      </c>
      <c r="O70" s="20"/>
      <c r="P70" s="20"/>
      <c r="Z70" s="3" t="str">
        <f>원본!R70</f>
        <v>26-2403</v>
      </c>
      <c r="AA70" s="2">
        <f>COUNTIF(Z$2:Z70,Z70)</f>
        <v>28</v>
      </c>
    </row>
    <row r="71" spans="1:27" ht="16.5" customHeight="1" x14ac:dyDescent="0.3">
      <c r="A71" s="5" t="str">
        <f>원본!A71</f>
        <v>260904-17</v>
      </c>
      <c r="B71" s="5" t="str">
        <f>원본!F71</f>
        <v>TP</v>
      </c>
      <c r="C71" s="1" t="str">
        <f>원본!G71</f>
        <v>5SKN154IIh/s+14단열(Ar.)+5CLh/s</v>
      </c>
      <c r="D71" s="5">
        <f>원본!H71</f>
        <v>24</v>
      </c>
      <c r="E71" s="1" t="s">
        <v>18</v>
      </c>
      <c r="F71" s="1">
        <f>원본!I71</f>
        <v>982</v>
      </c>
      <c r="G71" s="1">
        <f>원본!J71</f>
        <v>1480</v>
      </c>
      <c r="H71" s="1">
        <f>원본!K71</f>
        <v>1</v>
      </c>
      <c r="J71" s="1">
        <f t="shared" si="2"/>
        <v>1</v>
      </c>
      <c r="K71" s="1">
        <f>원본!N71</f>
        <v>15.83</v>
      </c>
      <c r="L71" s="4" t="str">
        <f>원본!D71</f>
        <v>에스지신성건설(주)b</v>
      </c>
      <c r="M71" s="1" t="str">
        <f>+원본!E71</f>
        <v>삼평동세계물산현장</v>
      </c>
      <c r="N71" s="1" t="str">
        <f>+원본!P71</f>
        <v>구조마감 ACW1A 코너 7F</v>
      </c>
      <c r="O71" s="20"/>
      <c r="P71" s="20"/>
      <c r="Z71" s="3" t="str">
        <f>원본!R71</f>
        <v>26-2403</v>
      </c>
      <c r="AA71" s="2">
        <f>COUNTIF(Z$2:Z71,Z71)</f>
        <v>29</v>
      </c>
    </row>
    <row r="72" spans="1:27" ht="16.5" customHeight="1" x14ac:dyDescent="0.3">
      <c r="A72" s="5" t="str">
        <f>원본!A72</f>
        <v>260904-17</v>
      </c>
      <c r="B72" s="5" t="str">
        <f>원본!F72</f>
        <v>TP</v>
      </c>
      <c r="C72" s="1" t="str">
        <f>원본!G72</f>
        <v>5SKN154IIh/s+14단열(Ar.)+5CLh/s</v>
      </c>
      <c r="D72" s="5">
        <f>원본!H72</f>
        <v>24</v>
      </c>
      <c r="E72" s="1" t="s">
        <v>18</v>
      </c>
      <c r="F72" s="1">
        <f>원본!I72</f>
        <v>1072</v>
      </c>
      <c r="G72" s="1">
        <f>원본!J72</f>
        <v>1472</v>
      </c>
      <c r="H72" s="1">
        <f>원본!K72</f>
        <v>2</v>
      </c>
      <c r="J72" s="1">
        <f t="shared" si="2"/>
        <v>2</v>
      </c>
      <c r="K72" s="1">
        <f>원본!N72</f>
        <v>34.380000000000003</v>
      </c>
      <c r="L72" s="4" t="str">
        <f>원본!D72</f>
        <v>에스지신성건설(주)b</v>
      </c>
      <c r="M72" s="1" t="str">
        <f>+원본!E72</f>
        <v>삼평동세계물산현장</v>
      </c>
      <c r="N72" s="1" t="str">
        <f>+원본!P72</f>
        <v>구조마감 시후파</v>
      </c>
      <c r="O72" s="20"/>
      <c r="P72" s="20"/>
      <c r="Z72" s="3" t="str">
        <f>원본!R72</f>
        <v>26-2403</v>
      </c>
      <c r="AA72" s="2">
        <f>COUNTIF(Z$2:Z72,Z72)</f>
        <v>30</v>
      </c>
    </row>
    <row r="73" spans="1:27" ht="16.5" customHeight="1" x14ac:dyDescent="0.3">
      <c r="A73" s="5" t="str">
        <f>원본!A73</f>
        <v>260904-17</v>
      </c>
      <c r="B73" s="5" t="str">
        <f>원본!F73</f>
        <v>TP</v>
      </c>
      <c r="C73" s="1" t="str">
        <f>원본!G73</f>
        <v>5SKN154IIh/s+14단열(Ar.)+5CLh/s</v>
      </c>
      <c r="D73" s="5">
        <f>원본!H73</f>
        <v>24</v>
      </c>
      <c r="E73" s="1" t="s">
        <v>18</v>
      </c>
      <c r="F73" s="1">
        <f>원본!I73</f>
        <v>982</v>
      </c>
      <c r="G73" s="1">
        <f>원본!J73</f>
        <v>1472</v>
      </c>
      <c r="H73" s="1">
        <f>원본!K73</f>
        <v>1</v>
      </c>
      <c r="J73" s="1">
        <f t="shared" si="2"/>
        <v>1</v>
      </c>
      <c r="K73" s="1">
        <f>원본!N73</f>
        <v>15.74</v>
      </c>
      <c r="L73" s="4" t="str">
        <f>원본!D73</f>
        <v>에스지신성건설(주)b</v>
      </c>
      <c r="M73" s="1" t="str">
        <f>+원본!E73</f>
        <v>삼평동세계물산현장</v>
      </c>
      <c r="N73" s="1" t="str">
        <f>+원본!P73</f>
        <v>구조마감 ACW1A 코너 11F</v>
      </c>
      <c r="O73" s="20"/>
      <c r="P73" s="20"/>
      <c r="Z73" s="3" t="str">
        <f>원본!R73</f>
        <v>26-2403</v>
      </c>
      <c r="AA73" s="2">
        <f>COUNTIF(Z$2:Z73,Z73)</f>
        <v>31</v>
      </c>
    </row>
    <row r="74" spans="1:27" ht="16.5" customHeight="1" x14ac:dyDescent="0.3">
      <c r="A74" s="5" t="str">
        <f>원본!A74</f>
        <v>260904-17</v>
      </c>
      <c r="B74" s="5" t="str">
        <f>원본!F74</f>
        <v>TP</v>
      </c>
      <c r="C74" s="1" t="str">
        <f>원본!G74</f>
        <v>5SKN154IIh/s+14단열(Ar.)+5CLh/s</v>
      </c>
      <c r="D74" s="5">
        <f>원본!H74</f>
        <v>24</v>
      </c>
      <c r="E74" s="1" t="s">
        <v>18</v>
      </c>
      <c r="F74" s="1">
        <f>원본!I74</f>
        <v>982</v>
      </c>
      <c r="G74" s="1">
        <f>원본!J74</f>
        <v>1472</v>
      </c>
      <c r="H74" s="1">
        <f>원본!K74</f>
        <v>3</v>
      </c>
      <c r="J74" s="1">
        <f t="shared" si="2"/>
        <v>3</v>
      </c>
      <c r="K74" s="1">
        <f>원본!N74</f>
        <v>47.23</v>
      </c>
      <c r="L74" s="4" t="str">
        <f>원본!D74</f>
        <v>에스지신성건설(주)b</v>
      </c>
      <c r="M74" s="1" t="str">
        <f>+원본!E74</f>
        <v>삼평동세계물산현장</v>
      </c>
      <c r="N74" s="1" t="str">
        <f>+원본!P74</f>
        <v>구조마감 ACW1A 코너 4,5,8F</v>
      </c>
      <c r="O74" s="20"/>
      <c r="P74" s="20"/>
      <c r="Z74" s="3" t="str">
        <f>원본!R74</f>
        <v>26-2403</v>
      </c>
      <c r="AA74" s="2">
        <f>COUNTIF(Z$2:Z74,Z74)</f>
        <v>32</v>
      </c>
    </row>
    <row r="75" spans="1:27" ht="16.5" customHeight="1" x14ac:dyDescent="0.3">
      <c r="A75" s="5" t="str">
        <f>원본!A75</f>
        <v>260904-17</v>
      </c>
      <c r="B75" s="5" t="str">
        <f>원본!F75</f>
        <v>TP</v>
      </c>
      <c r="C75" s="1" t="str">
        <f>원본!G75</f>
        <v>5SKN154IIh/s+14단열(Ar.)+5CLh/s</v>
      </c>
      <c r="D75" s="5">
        <f>원본!H75</f>
        <v>24</v>
      </c>
      <c r="E75" s="1" t="s">
        <v>18</v>
      </c>
      <c r="F75" s="1">
        <f>원본!I75</f>
        <v>832</v>
      </c>
      <c r="G75" s="1">
        <f>원본!J75</f>
        <v>1472</v>
      </c>
      <c r="H75" s="1">
        <f>원본!K75</f>
        <v>1</v>
      </c>
      <c r="J75" s="1">
        <f t="shared" si="2"/>
        <v>1</v>
      </c>
      <c r="K75" s="1">
        <f>원본!N75</f>
        <v>13.34</v>
      </c>
      <c r="L75" s="4" t="str">
        <f>원본!D75</f>
        <v>에스지신성건설(주)b</v>
      </c>
      <c r="M75" s="1" t="str">
        <f>+원본!E75</f>
        <v>삼평동세계물산현장</v>
      </c>
      <c r="N75" s="1" t="str">
        <f>+원본!P75</f>
        <v>구조마감 시후파</v>
      </c>
      <c r="O75" s="20"/>
      <c r="P75" s="20"/>
      <c r="Z75" s="3" t="str">
        <f>원본!R75</f>
        <v>26-2403</v>
      </c>
      <c r="AA75" s="2">
        <f>COUNTIF(Z$2:Z75,Z75)</f>
        <v>33</v>
      </c>
    </row>
    <row r="76" spans="1:27" ht="16.5" customHeight="1" x14ac:dyDescent="0.3">
      <c r="A76" s="5" t="str">
        <f>원본!A76</f>
        <v>260904-17</v>
      </c>
      <c r="B76" s="5" t="str">
        <f>원본!F76</f>
        <v>TP</v>
      </c>
      <c r="C76" s="1" t="str">
        <f>원본!G76</f>
        <v>5SKN154IIh/s+14단열(Ar.)+5CLh/s</v>
      </c>
      <c r="D76" s="5">
        <f>원본!H76</f>
        <v>24</v>
      </c>
      <c r="E76" s="1" t="s">
        <v>18</v>
      </c>
      <c r="F76" s="1">
        <f>원본!I76</f>
        <v>832</v>
      </c>
      <c r="G76" s="1">
        <f>원본!J76</f>
        <v>882</v>
      </c>
      <c r="H76" s="1">
        <f>원본!K76</f>
        <v>1</v>
      </c>
      <c r="J76" s="1">
        <f t="shared" si="2"/>
        <v>1</v>
      </c>
      <c r="K76" s="1">
        <f>원본!N76</f>
        <v>7.99</v>
      </c>
      <c r="L76" s="4" t="str">
        <f>원본!D76</f>
        <v>에스지신성건설(주)b</v>
      </c>
      <c r="M76" s="1" t="str">
        <f>+원본!E76</f>
        <v>삼평동세계물산현장</v>
      </c>
      <c r="N76" s="1" t="str">
        <f>+원본!P76</f>
        <v>구조마감 시후파</v>
      </c>
      <c r="O76" s="20"/>
      <c r="P76" s="20"/>
      <c r="Z76" s="3" t="str">
        <f>원본!R76</f>
        <v>26-2403</v>
      </c>
      <c r="AA76" s="2">
        <f>COUNTIF(Z$2:Z76,Z76)</f>
        <v>34</v>
      </c>
    </row>
    <row r="77" spans="1:27" ht="16.5" customHeight="1" x14ac:dyDescent="0.3">
      <c r="A77" s="5" t="str">
        <f>원본!A77</f>
        <v>260828-09</v>
      </c>
      <c r="B77" s="5" t="str">
        <f>원본!F77</f>
        <v>TP</v>
      </c>
      <c r="C77" s="1" t="str">
        <f>원본!G77</f>
        <v>5newGN+12AR.+5로이</v>
      </c>
      <c r="D77" s="5">
        <f>원본!H77</f>
        <v>22</v>
      </c>
      <c r="E77" s="1" t="s">
        <v>18</v>
      </c>
      <c r="F77" s="1">
        <f>원본!I77</f>
        <v>1719</v>
      </c>
      <c r="G77" s="1">
        <f>원본!J77</f>
        <v>1820</v>
      </c>
      <c r="H77" s="1">
        <f>원본!K77</f>
        <v>15</v>
      </c>
      <c r="J77" s="1">
        <f t="shared" si="2"/>
        <v>15</v>
      </c>
      <c r="K77" s="1">
        <f>원본!N77</f>
        <v>511.16</v>
      </c>
      <c r="L77" s="4" t="str">
        <f>원본!D77</f>
        <v>우미건설(주)e</v>
      </c>
      <c r="M77" s="1" t="str">
        <f>+원본!E77</f>
        <v xml:space="preserve"> 남원주 역세권 복합용지 AC-4BL 우미린 공동주택현장</v>
      </c>
      <c r="N77" s="1" t="str">
        <f>+원본!P77</f>
        <v>5동 1~3호84A,B 26~30F거실F(外)</v>
      </c>
      <c r="O77" s="20"/>
      <c r="P77" s="20"/>
      <c r="Z77" s="3" t="str">
        <f>원본!R77</f>
        <v>26-2333</v>
      </c>
      <c r="AA77" s="2">
        <f>COUNTIF(Z$2:Z77,Z77)</f>
        <v>1</v>
      </c>
    </row>
    <row r="78" spans="1:27" ht="16.5" customHeight="1" x14ac:dyDescent="0.3">
      <c r="A78" s="5" t="str">
        <f>원본!A78</f>
        <v>260828-09</v>
      </c>
      <c r="B78" s="5" t="str">
        <f>원본!F78</f>
        <v>TP</v>
      </c>
      <c r="C78" s="1" t="str">
        <f>원본!G78</f>
        <v>5newGN+12AR.+5로이</v>
      </c>
      <c r="D78" s="5">
        <f>원본!H78</f>
        <v>22</v>
      </c>
      <c r="E78" s="1" t="s">
        <v>18</v>
      </c>
      <c r="F78" s="1">
        <f>원본!I78</f>
        <v>763</v>
      </c>
      <c r="G78" s="1">
        <f>원본!J78</f>
        <v>1820</v>
      </c>
      <c r="H78" s="1">
        <f>원본!K78</f>
        <v>30</v>
      </c>
      <c r="J78" s="1">
        <f t="shared" si="2"/>
        <v>30</v>
      </c>
      <c r="K78" s="1">
        <f>원본!N78</f>
        <v>453.77</v>
      </c>
      <c r="L78" s="4" t="str">
        <f>원본!D78</f>
        <v>우미건설(주)e</v>
      </c>
      <c r="M78" s="1" t="str">
        <f>+원본!E78</f>
        <v xml:space="preserve"> 남원주 역세권 복합용지 AC-4BL 우미린 공동주택현장</v>
      </c>
      <c r="N78" s="1" t="str">
        <f>+원본!P78</f>
        <v>5동 1~3호84A,B 26~30F거실S(外)</v>
      </c>
      <c r="O78" s="20"/>
      <c r="P78" s="20"/>
      <c r="Z78" s="3" t="str">
        <f>원본!R78</f>
        <v>26-2333</v>
      </c>
      <c r="AA78" s="2">
        <f>COUNTIF(Z$2:Z78,Z78)</f>
        <v>2</v>
      </c>
    </row>
    <row r="79" spans="1:27" ht="16.5" customHeight="1" x14ac:dyDescent="0.3">
      <c r="A79" s="5" t="str">
        <f>원본!A79</f>
        <v>260828-09</v>
      </c>
      <c r="B79" s="5" t="str">
        <f>원본!F79</f>
        <v>TP</v>
      </c>
      <c r="C79" s="1" t="str">
        <f>원본!G79</f>
        <v>5newGN+12AR.+5로이</v>
      </c>
      <c r="D79" s="5">
        <f>원본!H79</f>
        <v>22</v>
      </c>
      <c r="E79" s="1" t="s">
        <v>18</v>
      </c>
      <c r="F79" s="1">
        <f>원본!I79</f>
        <v>755</v>
      </c>
      <c r="G79" s="1">
        <f>원본!J79</f>
        <v>950</v>
      </c>
      <c r="H79" s="1">
        <f>원본!K79</f>
        <v>60</v>
      </c>
      <c r="J79" s="1">
        <f t="shared" si="2"/>
        <v>60</v>
      </c>
      <c r="K79" s="1">
        <f>원본!N79</f>
        <v>468.74</v>
      </c>
      <c r="L79" s="4" t="str">
        <f>원본!D79</f>
        <v>우미건설(주)e</v>
      </c>
      <c r="M79" s="1" t="str">
        <f>+원본!E79</f>
        <v xml:space="preserve"> 남원주 역세권 복합용지 AC-4BL 우미린 공동주택현장</v>
      </c>
      <c r="N79" s="1" t="str">
        <f>+원본!P79</f>
        <v>5동 1~3호84A,B 26~30F침실1,2(外)</v>
      </c>
      <c r="O79" s="20"/>
      <c r="P79" s="20"/>
      <c r="Z79" s="3" t="str">
        <f>원본!R79</f>
        <v>26-2333</v>
      </c>
      <c r="AA79" s="2">
        <f>COUNTIF(Z$2:Z79,Z79)</f>
        <v>3</v>
      </c>
    </row>
    <row r="80" spans="1:27" ht="16.5" customHeight="1" x14ac:dyDescent="0.3">
      <c r="A80" s="5" t="str">
        <f>원본!A80</f>
        <v>260828-09</v>
      </c>
      <c r="B80" s="5" t="str">
        <f>원본!F80</f>
        <v>TP</v>
      </c>
      <c r="C80" s="1" t="str">
        <f>원본!G80</f>
        <v>5newGN+12AR.+5로이</v>
      </c>
      <c r="D80" s="5">
        <f>원본!H80</f>
        <v>22</v>
      </c>
      <c r="E80" s="1" t="s">
        <v>18</v>
      </c>
      <c r="F80" s="1">
        <f>원본!I80</f>
        <v>455</v>
      </c>
      <c r="G80" s="1">
        <f>원본!J80</f>
        <v>950</v>
      </c>
      <c r="H80" s="1">
        <f>원본!K80</f>
        <v>40</v>
      </c>
      <c r="J80" s="1">
        <f t="shared" si="2"/>
        <v>40</v>
      </c>
      <c r="K80" s="1">
        <f>원본!N80</f>
        <v>188.33</v>
      </c>
      <c r="L80" s="4" t="str">
        <f>원본!D80</f>
        <v>우미건설(주)e</v>
      </c>
      <c r="M80" s="1" t="str">
        <f>+원본!E80</f>
        <v xml:space="preserve"> 남원주 역세권 복합용지 AC-4BL 우미린 공동주택현장</v>
      </c>
      <c r="N80" s="1" t="str">
        <f>+원본!P80</f>
        <v>5동 1~3호84A,B 26~30F주방/식당,드레스룸(外)</v>
      </c>
      <c r="O80" s="20"/>
      <c r="P80" s="20"/>
      <c r="Z80" s="3" t="str">
        <f>원본!R80</f>
        <v>26-2333</v>
      </c>
      <c r="AA80" s="2">
        <f>COUNTIF(Z$2:Z80,Z80)</f>
        <v>4</v>
      </c>
    </row>
    <row r="81" spans="1:27" ht="16.5" customHeight="1" x14ac:dyDescent="0.3">
      <c r="A81" s="5" t="str">
        <f>원본!A81</f>
        <v>260828-09</v>
      </c>
      <c r="B81" s="5" t="str">
        <f>원본!F81</f>
        <v>TP</v>
      </c>
      <c r="C81" s="1" t="str">
        <f>원본!G81</f>
        <v>5newGN+12AR.+5로이</v>
      </c>
      <c r="D81" s="5">
        <f>원본!H81</f>
        <v>22</v>
      </c>
      <c r="E81" s="1" t="s">
        <v>18</v>
      </c>
      <c r="F81" s="1">
        <f>원본!I81</f>
        <v>305</v>
      </c>
      <c r="G81" s="1">
        <f>원본!J81</f>
        <v>950</v>
      </c>
      <c r="H81" s="1">
        <f>원본!K81</f>
        <v>40</v>
      </c>
      <c r="J81" s="1">
        <f t="shared" si="2"/>
        <v>40</v>
      </c>
      <c r="K81" s="1">
        <f>원본!N81</f>
        <v>126.24</v>
      </c>
      <c r="L81" s="4" t="str">
        <f>원본!D81</f>
        <v>우미건설(주)e</v>
      </c>
      <c r="M81" s="1" t="str">
        <f>+원본!E81</f>
        <v xml:space="preserve"> 남원주 역세권 복합용지 AC-4BL 우미린 공동주택현장</v>
      </c>
      <c r="N81" s="1" t="str">
        <f>+원본!P81</f>
        <v>5동 1,3호84A 26~30F드레스룸,팬트리(外)</v>
      </c>
      <c r="O81" s="20"/>
      <c r="P81" s="20"/>
      <c r="Z81" s="3" t="str">
        <f>원본!R81</f>
        <v>26-2333</v>
      </c>
      <c r="AA81" s="2">
        <f>COUNTIF(Z$2:Z81,Z81)</f>
        <v>5</v>
      </c>
    </row>
    <row r="82" spans="1:27" ht="16.5" customHeight="1" x14ac:dyDescent="0.3">
      <c r="A82" s="5" t="str">
        <f>원본!A82</f>
        <v>260828-09</v>
      </c>
      <c r="B82" s="5" t="str">
        <f>원본!F82</f>
        <v>TP</v>
      </c>
      <c r="C82" s="1" t="str">
        <f>원본!G82</f>
        <v>5newGN+12AR.+5로이</v>
      </c>
      <c r="D82" s="5">
        <f>원본!H82</f>
        <v>22</v>
      </c>
      <c r="E82" s="1" t="s">
        <v>18</v>
      </c>
      <c r="F82" s="1">
        <f>원본!I82</f>
        <v>405</v>
      </c>
      <c r="G82" s="1">
        <f>원본!J82</f>
        <v>900</v>
      </c>
      <c r="H82" s="1">
        <f>원본!K82</f>
        <v>30</v>
      </c>
      <c r="J82" s="1">
        <f t="shared" si="2"/>
        <v>30</v>
      </c>
      <c r="K82" s="1">
        <f>원본!N82</f>
        <v>119.11</v>
      </c>
      <c r="L82" s="4" t="str">
        <f>원본!D82</f>
        <v>우미건설(주)e</v>
      </c>
      <c r="M82" s="1" t="str">
        <f>+원본!E82</f>
        <v xml:space="preserve"> 남원주 역세권 복합용지 AC-4BL 우미린 공동주택현장</v>
      </c>
      <c r="N82" s="1" t="str">
        <f>+원본!P82</f>
        <v>5동 1~3호84A,B 26~30F발코니2(外)</v>
      </c>
      <c r="O82" s="20"/>
      <c r="P82" s="20"/>
      <c r="Z82" s="3" t="str">
        <f>원본!R82</f>
        <v>26-2333</v>
      </c>
      <c r="AA82" s="2">
        <f>COUNTIF(Z$2:Z82,Z82)</f>
        <v>6</v>
      </c>
    </row>
    <row r="83" spans="1:27" ht="16.5" customHeight="1" x14ac:dyDescent="0.3">
      <c r="A83" s="5" t="str">
        <f>원본!A83</f>
        <v>260828-09</v>
      </c>
      <c r="B83" s="5" t="str">
        <f>원본!F83</f>
        <v>TP</v>
      </c>
      <c r="C83" s="1" t="str">
        <f>원본!G83</f>
        <v>5CL+12Ar.+5로이</v>
      </c>
      <c r="D83" s="5">
        <f>원본!H83</f>
        <v>22</v>
      </c>
      <c r="E83" s="1" t="s">
        <v>18</v>
      </c>
      <c r="F83" s="1">
        <f>원본!I83</f>
        <v>1719</v>
      </c>
      <c r="G83" s="1">
        <f>원본!J83</f>
        <v>1820</v>
      </c>
      <c r="H83" s="1">
        <f>원본!K83</f>
        <v>15</v>
      </c>
      <c r="J83" s="1">
        <f t="shared" si="2"/>
        <v>15</v>
      </c>
      <c r="K83" s="1">
        <f>원본!N83</f>
        <v>511.16</v>
      </c>
      <c r="L83" s="4" t="str">
        <f>원본!D83</f>
        <v>우미건설(주)e</v>
      </c>
      <c r="M83" s="1" t="str">
        <f>+원본!E83</f>
        <v xml:space="preserve"> 남원주 역세권 복합용지 AC-4BL 우미린 공동주택현장</v>
      </c>
      <c r="N83" s="1" t="str">
        <f>+원본!P83</f>
        <v>5동 1~3호84A,B 26~30F거실F(內)</v>
      </c>
      <c r="O83" s="20"/>
      <c r="P83" s="20"/>
      <c r="Z83" s="3" t="str">
        <f>원본!R83</f>
        <v>26-2333</v>
      </c>
      <c r="AA83" s="2">
        <f>COUNTIF(Z$2:Z83,Z83)</f>
        <v>7</v>
      </c>
    </row>
    <row r="84" spans="1:27" ht="16.5" customHeight="1" x14ac:dyDescent="0.3">
      <c r="A84" s="5" t="str">
        <f>원본!A84</f>
        <v>260828-09</v>
      </c>
      <c r="B84" s="5" t="str">
        <f>원본!F84</f>
        <v>TP</v>
      </c>
      <c r="C84" s="1" t="str">
        <f>원본!G84</f>
        <v>5CL+12Ar.+5로이</v>
      </c>
      <c r="D84" s="5">
        <f>원본!H84</f>
        <v>22</v>
      </c>
      <c r="E84" s="1" t="s">
        <v>18</v>
      </c>
      <c r="F84" s="1">
        <f>원본!I84</f>
        <v>763</v>
      </c>
      <c r="G84" s="1">
        <f>원본!J84</f>
        <v>1820</v>
      </c>
      <c r="H84" s="1">
        <f>원본!K84</f>
        <v>30</v>
      </c>
      <c r="J84" s="1">
        <f t="shared" si="2"/>
        <v>30</v>
      </c>
      <c r="K84" s="1">
        <f>원본!N84</f>
        <v>453.77</v>
      </c>
      <c r="L84" s="4" t="str">
        <f>원본!D84</f>
        <v>우미건설(주)e</v>
      </c>
      <c r="M84" s="1" t="str">
        <f>+원본!E84</f>
        <v xml:space="preserve"> 남원주 역세권 복합용지 AC-4BL 우미린 공동주택현장</v>
      </c>
      <c r="N84" s="1" t="str">
        <f>+원본!P84</f>
        <v>5동 1~3호84A,B 26~30F거실S(內)</v>
      </c>
      <c r="O84" s="20"/>
      <c r="P84" s="20"/>
      <c r="Z84" s="3" t="str">
        <f>원본!R84</f>
        <v>26-2333</v>
      </c>
      <c r="AA84" s="2">
        <f>COUNTIF(Z$2:Z84,Z84)</f>
        <v>8</v>
      </c>
    </row>
    <row r="85" spans="1:27" ht="16.5" customHeight="1" x14ac:dyDescent="0.3">
      <c r="A85" s="5" t="str">
        <f>원본!A85</f>
        <v>260828-09</v>
      </c>
      <c r="B85" s="5" t="str">
        <f>원본!F85</f>
        <v>TP</v>
      </c>
      <c r="C85" s="1" t="str">
        <f>원본!G85</f>
        <v>5CL+12Ar.+5로이</v>
      </c>
      <c r="D85" s="5">
        <f>원본!H85</f>
        <v>22</v>
      </c>
      <c r="E85" s="1" t="s">
        <v>18</v>
      </c>
      <c r="F85" s="1">
        <f>원본!I85</f>
        <v>755</v>
      </c>
      <c r="G85" s="1">
        <f>원본!J85</f>
        <v>950</v>
      </c>
      <c r="H85" s="1">
        <f>원본!K85</f>
        <v>60</v>
      </c>
      <c r="J85" s="1">
        <f t="shared" si="2"/>
        <v>60</v>
      </c>
      <c r="K85" s="1">
        <f>원본!N85</f>
        <v>468.74</v>
      </c>
      <c r="L85" s="4" t="str">
        <f>원본!D85</f>
        <v>우미건설(주)e</v>
      </c>
      <c r="M85" s="1" t="str">
        <f>+원본!E85</f>
        <v xml:space="preserve"> 남원주 역세권 복합용지 AC-4BL 우미린 공동주택현장</v>
      </c>
      <c r="N85" s="1" t="str">
        <f>+원본!P85</f>
        <v>5동 1~3호84A,B 26~30F침실1,2(內)</v>
      </c>
      <c r="O85" s="20"/>
      <c r="P85" s="20"/>
      <c r="Z85" s="3" t="str">
        <f>원본!R85</f>
        <v>26-2333</v>
      </c>
      <c r="AA85" s="2">
        <f>COUNTIF(Z$2:Z85,Z85)</f>
        <v>9</v>
      </c>
    </row>
    <row r="86" spans="1:27" ht="16.5" customHeight="1" x14ac:dyDescent="0.3">
      <c r="A86" s="5" t="str">
        <f>원본!A86</f>
        <v>260828-09</v>
      </c>
      <c r="B86" s="5" t="str">
        <f>원본!F86</f>
        <v>TP</v>
      </c>
      <c r="C86" s="1" t="str">
        <f>원본!G86</f>
        <v>5CL+12Ar.+5로이</v>
      </c>
      <c r="D86" s="5">
        <f>원본!H86</f>
        <v>22</v>
      </c>
      <c r="E86" s="1" t="s">
        <v>18</v>
      </c>
      <c r="F86" s="1">
        <f>원본!I86</f>
        <v>455</v>
      </c>
      <c r="G86" s="1">
        <f>원본!J86</f>
        <v>950</v>
      </c>
      <c r="H86" s="1">
        <f>원본!K86</f>
        <v>40</v>
      </c>
      <c r="J86" s="1">
        <f t="shared" si="2"/>
        <v>40</v>
      </c>
      <c r="K86" s="1">
        <f>원본!N86</f>
        <v>188.33</v>
      </c>
      <c r="L86" s="4" t="str">
        <f>원본!D86</f>
        <v>우미건설(주)e</v>
      </c>
      <c r="M86" s="1" t="str">
        <f>+원본!E86</f>
        <v xml:space="preserve"> 남원주 역세권 복합용지 AC-4BL 우미린 공동주택현장</v>
      </c>
      <c r="N86" s="1" t="str">
        <f>+원본!P86</f>
        <v>5동 1~3호84A,B 26~30F주방/식당,드레스룸(內)</v>
      </c>
      <c r="O86" s="20"/>
      <c r="P86" s="20"/>
      <c r="Z86" s="3" t="str">
        <f>원본!R86</f>
        <v>26-2333</v>
      </c>
      <c r="AA86" s="2">
        <f>COUNTIF(Z$2:Z86,Z86)</f>
        <v>10</v>
      </c>
    </row>
    <row r="87" spans="1:27" ht="16.5" customHeight="1" x14ac:dyDescent="0.3">
      <c r="A87" s="5" t="str">
        <f>원본!A87</f>
        <v>260828-09</v>
      </c>
      <c r="B87" s="5" t="str">
        <f>원본!F87</f>
        <v>TP</v>
      </c>
      <c r="C87" s="1" t="str">
        <f>원본!G87</f>
        <v>5CL+12Ar.+5로이</v>
      </c>
      <c r="D87" s="5">
        <f>원본!H87</f>
        <v>22</v>
      </c>
      <c r="E87" s="1" t="s">
        <v>18</v>
      </c>
      <c r="F87" s="1">
        <f>원본!I87</f>
        <v>305</v>
      </c>
      <c r="G87" s="1">
        <f>원본!J87</f>
        <v>950</v>
      </c>
      <c r="H87" s="1">
        <f>원본!K87</f>
        <v>40</v>
      </c>
      <c r="J87" s="1">
        <f t="shared" si="2"/>
        <v>40</v>
      </c>
      <c r="K87" s="1">
        <f>원본!N87</f>
        <v>126.24</v>
      </c>
      <c r="L87" s="4" t="str">
        <f>원본!D87</f>
        <v>우미건설(주)e</v>
      </c>
      <c r="M87" s="1" t="str">
        <f>+원본!E87</f>
        <v xml:space="preserve"> 남원주 역세권 복합용지 AC-4BL 우미린 공동주택현장</v>
      </c>
      <c r="N87" s="1" t="str">
        <f>+원본!P87</f>
        <v>5동 1,3호84A 26~30F드레스룸,팬트리(內)</v>
      </c>
      <c r="O87" s="20"/>
      <c r="P87" s="20"/>
      <c r="Z87" s="3" t="str">
        <f>원본!R87</f>
        <v>26-2333</v>
      </c>
      <c r="AA87" s="2">
        <f>COUNTIF(Z$2:Z87,Z87)</f>
        <v>11</v>
      </c>
    </row>
    <row r="88" spans="1:27" ht="16.5" customHeight="1" x14ac:dyDescent="0.3">
      <c r="A88" s="5" t="str">
        <f>원본!A88</f>
        <v>260828-09</v>
      </c>
      <c r="B88" s="5" t="str">
        <f>원본!F88</f>
        <v>TP</v>
      </c>
      <c r="C88" s="1" t="str">
        <f>원본!G88</f>
        <v>5CL+12Ar.+5로이</v>
      </c>
      <c r="D88" s="5">
        <f>원본!H88</f>
        <v>22</v>
      </c>
      <c r="E88" s="1" t="s">
        <v>18</v>
      </c>
      <c r="F88" s="1">
        <f>원본!I88</f>
        <v>405</v>
      </c>
      <c r="G88" s="1">
        <f>원본!J88</f>
        <v>900</v>
      </c>
      <c r="H88" s="1">
        <f>원본!K88</f>
        <v>30</v>
      </c>
      <c r="J88" s="1">
        <f t="shared" si="2"/>
        <v>30</v>
      </c>
      <c r="K88" s="1">
        <f>원본!N88</f>
        <v>119.11</v>
      </c>
      <c r="L88" s="4" t="str">
        <f>원본!D88</f>
        <v>우미건설(주)e</v>
      </c>
      <c r="M88" s="1" t="str">
        <f>+원본!E88</f>
        <v xml:space="preserve"> 남원주 역세권 복합용지 AC-4BL 우미린 공동주택현장</v>
      </c>
      <c r="N88" s="1" t="str">
        <f>+원본!P88</f>
        <v>5동 1~3호84A,B 26~30F발코니2(內)</v>
      </c>
      <c r="O88" s="20"/>
      <c r="P88" s="20"/>
      <c r="Z88" s="3" t="str">
        <f>원본!R88</f>
        <v>26-2333</v>
      </c>
      <c r="AA88" s="2">
        <f>COUNTIF(Z$2:Z88,Z88)</f>
        <v>12</v>
      </c>
    </row>
    <row r="89" spans="1:27" ht="16.5" customHeight="1" x14ac:dyDescent="0.3">
      <c r="A89" s="5" t="str">
        <f>원본!A89</f>
        <v>260828-09</v>
      </c>
      <c r="B89" s="5" t="str">
        <f>원본!F89</f>
        <v>TP</v>
      </c>
      <c r="C89" s="1" t="str">
        <f>원본!G89</f>
        <v>5newGN+12A+5로이</v>
      </c>
      <c r="D89" s="5">
        <f>원본!H89</f>
        <v>22</v>
      </c>
      <c r="E89" s="1" t="s">
        <v>18</v>
      </c>
      <c r="F89" s="1">
        <f>원본!I89</f>
        <v>705</v>
      </c>
      <c r="G89" s="1">
        <f>원본!J89</f>
        <v>1820</v>
      </c>
      <c r="H89" s="1">
        <f>원본!K89</f>
        <v>20</v>
      </c>
      <c r="J89" s="1">
        <f t="shared" si="2"/>
        <v>20</v>
      </c>
      <c r="K89" s="1">
        <f>원본!N89</f>
        <v>279.52</v>
      </c>
      <c r="L89" s="4" t="str">
        <f>원본!D89</f>
        <v>우미건설(주)e</v>
      </c>
      <c r="M89" s="1" t="str">
        <f>+원본!E89</f>
        <v xml:space="preserve"> 남원주 역세권 복합용지 AC-4BL 우미린 공동주택현장</v>
      </c>
      <c r="N89" s="1" t="str">
        <f>+원본!P89</f>
        <v>5동 1,3호84A 26~30F발코니1</v>
      </c>
      <c r="O89" s="20"/>
      <c r="P89" s="20"/>
      <c r="Z89" s="3" t="str">
        <f>원본!R89</f>
        <v>26-2333</v>
      </c>
      <c r="AA89" s="2">
        <f>COUNTIF(Z$2:Z89,Z89)</f>
        <v>13</v>
      </c>
    </row>
    <row r="90" spans="1:27" ht="16.5" customHeight="1" x14ac:dyDescent="0.3">
      <c r="A90" s="5" t="str">
        <f>원본!A90</f>
        <v>260828-09</v>
      </c>
      <c r="B90" s="5" t="str">
        <f>원본!F90</f>
        <v>TP</v>
      </c>
      <c r="C90" s="1" t="str">
        <f>원본!G90</f>
        <v>5newGN+12A+5로이</v>
      </c>
      <c r="D90" s="5">
        <f>원본!H90</f>
        <v>22</v>
      </c>
      <c r="E90" s="1" t="s">
        <v>18</v>
      </c>
      <c r="F90" s="1">
        <f>원본!I90</f>
        <v>405</v>
      </c>
      <c r="G90" s="1">
        <f>원본!J90</f>
        <v>950</v>
      </c>
      <c r="H90" s="1">
        <f>원본!K90</f>
        <v>30</v>
      </c>
      <c r="J90" s="1">
        <f t="shared" si="2"/>
        <v>30</v>
      </c>
      <c r="K90" s="1">
        <f>원본!N90</f>
        <v>125.72</v>
      </c>
      <c r="L90" s="4" t="str">
        <f>원본!D90</f>
        <v>우미건설(주)e</v>
      </c>
      <c r="M90" s="1" t="str">
        <f>+원본!E90</f>
        <v xml:space="preserve"> 남원주 역세권 복합용지 AC-4BL 우미린 공동주택현장</v>
      </c>
      <c r="N90" s="1" t="str">
        <f>+원본!P90</f>
        <v>5동 1~3호84A,B 26~30F하향식피난구</v>
      </c>
      <c r="O90" s="20"/>
      <c r="P90" s="20"/>
      <c r="Z90" s="3" t="str">
        <f>원본!R90</f>
        <v>26-2333</v>
      </c>
      <c r="AA90" s="2">
        <f>COUNTIF(Z$2:Z90,Z90)</f>
        <v>14</v>
      </c>
    </row>
    <row r="91" spans="1:27" ht="16.5" customHeight="1" x14ac:dyDescent="0.3">
      <c r="A91" s="5" t="str">
        <f>원본!A91</f>
        <v>260828-08</v>
      </c>
      <c r="B91" s="5" t="str">
        <f>원본!F91</f>
        <v>TP</v>
      </c>
      <c r="C91" s="1" t="str">
        <f>원본!G91</f>
        <v>5newGN+12AR.+5로이</v>
      </c>
      <c r="D91" s="5">
        <f>원본!H91</f>
        <v>22</v>
      </c>
      <c r="E91" s="1" t="s">
        <v>18</v>
      </c>
      <c r="F91" s="1">
        <f>원본!I91</f>
        <v>1719</v>
      </c>
      <c r="G91" s="1">
        <f>원본!J91</f>
        <v>1820</v>
      </c>
      <c r="H91" s="1">
        <f>원본!K91</f>
        <v>10</v>
      </c>
      <c r="J91" s="1">
        <f t="shared" si="2"/>
        <v>10</v>
      </c>
      <c r="K91" s="1">
        <f>원본!N91</f>
        <v>340.77</v>
      </c>
      <c r="L91" s="4" t="str">
        <f>원본!D91</f>
        <v>우미건설(주)e</v>
      </c>
      <c r="M91" s="1" t="str">
        <f>+원본!E91</f>
        <v xml:space="preserve"> 남원주 역세권 복합용지 AC-4BL 우미린 공동주택현장</v>
      </c>
      <c r="N91" s="1" t="str">
        <f>+원본!P91</f>
        <v>1동 4,5호84A,C 26~30F거실F(外)</v>
      </c>
      <c r="O91" s="20"/>
      <c r="P91" s="20"/>
      <c r="Z91" s="3" t="str">
        <f>원본!R91</f>
        <v>26-2332</v>
      </c>
      <c r="AA91" s="2">
        <f>COUNTIF(Z$2:Z91,Z91)</f>
        <v>1</v>
      </c>
    </row>
    <row r="92" spans="1:27" ht="16.5" customHeight="1" x14ac:dyDescent="0.3">
      <c r="A92" s="5" t="str">
        <f>원본!A92</f>
        <v>260828-08</v>
      </c>
      <c r="B92" s="5" t="str">
        <f>원본!F92</f>
        <v>TP</v>
      </c>
      <c r="C92" s="1" t="str">
        <f>원본!G92</f>
        <v>5newGN+12AR.+5로이</v>
      </c>
      <c r="D92" s="5">
        <f>원본!H92</f>
        <v>22</v>
      </c>
      <c r="E92" s="1" t="s">
        <v>18</v>
      </c>
      <c r="F92" s="1">
        <f>원본!I92</f>
        <v>763</v>
      </c>
      <c r="G92" s="1">
        <f>원본!J92</f>
        <v>1820</v>
      </c>
      <c r="H92" s="1">
        <f>원본!K92</f>
        <v>20</v>
      </c>
      <c r="J92" s="1">
        <f t="shared" si="2"/>
        <v>20</v>
      </c>
      <c r="K92" s="1">
        <f>원본!N92</f>
        <v>302.51</v>
      </c>
      <c r="L92" s="4" t="str">
        <f>원본!D92</f>
        <v>우미건설(주)e</v>
      </c>
      <c r="M92" s="1" t="str">
        <f>+원본!E92</f>
        <v xml:space="preserve"> 남원주 역세권 복합용지 AC-4BL 우미린 공동주택현장</v>
      </c>
      <c r="N92" s="1" t="str">
        <f>+원본!P92</f>
        <v>1동 4,5호84A,C 26~30F거실S(外)</v>
      </c>
      <c r="O92" s="20"/>
      <c r="P92" s="20"/>
      <c r="Z92" s="3" t="str">
        <f>원본!R92</f>
        <v>26-2332</v>
      </c>
      <c r="AA92" s="2">
        <f>COUNTIF(Z$2:Z92,Z92)</f>
        <v>2</v>
      </c>
    </row>
    <row r="93" spans="1:27" ht="16.5" customHeight="1" x14ac:dyDescent="0.3">
      <c r="A93" s="5" t="str">
        <f>원본!A93</f>
        <v>260828-08</v>
      </c>
      <c r="B93" s="5" t="str">
        <f>원본!F93</f>
        <v>TP</v>
      </c>
      <c r="C93" s="1" t="str">
        <f>원본!G93</f>
        <v>5newGN+12AR.+5로이</v>
      </c>
      <c r="D93" s="5">
        <f>원본!H93</f>
        <v>22</v>
      </c>
      <c r="E93" s="1" t="s">
        <v>18</v>
      </c>
      <c r="F93" s="1">
        <f>원본!I93</f>
        <v>405</v>
      </c>
      <c r="G93" s="1">
        <f>원본!J93</f>
        <v>1310</v>
      </c>
      <c r="H93" s="1">
        <f>원본!K93</f>
        <v>10</v>
      </c>
      <c r="J93" s="1">
        <f t="shared" si="2"/>
        <v>10</v>
      </c>
      <c r="K93" s="1">
        <f>원본!N93</f>
        <v>57.79</v>
      </c>
      <c r="L93" s="4" t="str">
        <f>원본!D93</f>
        <v>우미건설(주)e</v>
      </c>
      <c r="M93" s="1" t="str">
        <f>+원본!E93</f>
        <v xml:space="preserve"> 남원주 역세권 복합용지 AC-4BL 우미린 공동주택현장</v>
      </c>
      <c r="N93" s="1" t="str">
        <f>+원본!P93</f>
        <v>1동 5호84C 26~30F복도(外)</v>
      </c>
      <c r="O93" s="20"/>
      <c r="P93" s="20"/>
      <c r="Z93" s="3" t="str">
        <f>원본!R93</f>
        <v>26-2332</v>
      </c>
      <c r="AA93" s="2">
        <f>COUNTIF(Z$2:Z93,Z93)</f>
        <v>3</v>
      </c>
    </row>
    <row r="94" spans="1:27" ht="16.5" customHeight="1" x14ac:dyDescent="0.3">
      <c r="A94" s="5" t="str">
        <f>원본!A94</f>
        <v>260828-08</v>
      </c>
      <c r="B94" s="5" t="str">
        <f>원본!F94</f>
        <v>TP</v>
      </c>
      <c r="C94" s="1" t="str">
        <f>원본!G94</f>
        <v>5newGN+12AR.+5로이</v>
      </c>
      <c r="D94" s="5">
        <f>원본!H94</f>
        <v>22</v>
      </c>
      <c r="E94" s="1" t="s">
        <v>18</v>
      </c>
      <c r="F94" s="1">
        <f>원본!I94</f>
        <v>755</v>
      </c>
      <c r="G94" s="1">
        <f>원본!J94</f>
        <v>950</v>
      </c>
      <c r="H94" s="1">
        <f>원본!K94</f>
        <v>40</v>
      </c>
      <c r="J94" s="1">
        <f t="shared" si="2"/>
        <v>40</v>
      </c>
      <c r="K94" s="1">
        <f>원본!N94</f>
        <v>312.5</v>
      </c>
      <c r="L94" s="4" t="str">
        <f>원본!D94</f>
        <v>우미건설(주)e</v>
      </c>
      <c r="M94" s="1" t="str">
        <f>+원본!E94</f>
        <v xml:space="preserve"> 남원주 역세권 복합용지 AC-4BL 우미린 공동주택현장</v>
      </c>
      <c r="N94" s="1" t="str">
        <f>+원본!P94</f>
        <v>1동 4,5호84A,C 26~30F침실1,2(外)</v>
      </c>
      <c r="O94" s="20"/>
      <c r="P94" s="20"/>
      <c r="Z94" s="3" t="str">
        <f>원본!R94</f>
        <v>26-2332</v>
      </c>
      <c r="AA94" s="2">
        <f>COUNTIF(Z$2:Z94,Z94)</f>
        <v>4</v>
      </c>
    </row>
    <row r="95" spans="1:27" ht="16.5" customHeight="1" x14ac:dyDescent="0.3">
      <c r="A95" s="5" t="str">
        <f>원본!A95</f>
        <v>260828-08</v>
      </c>
      <c r="B95" s="5" t="str">
        <f>원본!F95</f>
        <v>TP</v>
      </c>
      <c r="C95" s="1" t="str">
        <f>원본!G95</f>
        <v>5newGN+12AR.+5로이</v>
      </c>
      <c r="D95" s="5">
        <f>원본!H95</f>
        <v>22</v>
      </c>
      <c r="E95" s="1" t="s">
        <v>18</v>
      </c>
      <c r="F95" s="1">
        <f>원본!I95</f>
        <v>455</v>
      </c>
      <c r="G95" s="1">
        <f>원본!J95</f>
        <v>950</v>
      </c>
      <c r="H95" s="1">
        <f>원본!K95</f>
        <v>20</v>
      </c>
      <c r="J95" s="1">
        <f t="shared" si="2"/>
        <v>20</v>
      </c>
      <c r="K95" s="1">
        <f>원본!N95</f>
        <v>94.16</v>
      </c>
      <c r="L95" s="4" t="str">
        <f>원본!D95</f>
        <v>우미건설(주)e</v>
      </c>
      <c r="M95" s="1" t="str">
        <f>+원본!E95</f>
        <v xml:space="preserve"> 남원주 역세권 복합용지 AC-4BL 우미린 공동주택현장</v>
      </c>
      <c r="N95" s="1" t="str">
        <f>+원본!P95</f>
        <v>1동 4,5호84A,C 26~30F주방/식당(外)</v>
      </c>
      <c r="O95" s="20"/>
      <c r="P95" s="20"/>
      <c r="Z95" s="3" t="str">
        <f>원본!R95</f>
        <v>26-2332</v>
      </c>
      <c r="AA95" s="2">
        <f>COUNTIF(Z$2:Z95,Z95)</f>
        <v>5</v>
      </c>
    </row>
    <row r="96" spans="1:27" ht="16.5" customHeight="1" x14ac:dyDescent="0.3">
      <c r="A96" s="5" t="str">
        <f>원본!A96</f>
        <v>260828-08</v>
      </c>
      <c r="B96" s="5" t="str">
        <f>원본!F96</f>
        <v>TP</v>
      </c>
      <c r="C96" s="1" t="str">
        <f>원본!G96</f>
        <v>5newGN+12AR.+5로이</v>
      </c>
      <c r="D96" s="5">
        <f>원본!H96</f>
        <v>22</v>
      </c>
      <c r="E96" s="1" t="s">
        <v>18</v>
      </c>
      <c r="F96" s="1">
        <f>원본!I96</f>
        <v>305</v>
      </c>
      <c r="G96" s="1">
        <f>원본!J96</f>
        <v>950</v>
      </c>
      <c r="H96" s="1">
        <f>원본!K96</f>
        <v>30</v>
      </c>
      <c r="J96" s="1">
        <f t="shared" si="2"/>
        <v>30</v>
      </c>
      <c r="K96" s="1">
        <f>원본!N96</f>
        <v>94.68</v>
      </c>
      <c r="L96" s="4" t="str">
        <f>원본!D96</f>
        <v>우미건설(주)e</v>
      </c>
      <c r="M96" s="1" t="str">
        <f>+원본!E96</f>
        <v xml:space="preserve"> 남원주 역세권 복합용지 AC-4BL 우미린 공동주택현장</v>
      </c>
      <c r="N96" s="1" t="str">
        <f>+원본!P96</f>
        <v>1동 4,5호84A,C 26~30F드레스룸,팬트리(外)</v>
      </c>
      <c r="O96" s="20"/>
      <c r="P96" s="20"/>
      <c r="Z96" s="3" t="str">
        <f>원본!R96</f>
        <v>26-2332</v>
      </c>
      <c r="AA96" s="2">
        <f>COUNTIF(Z$2:Z96,Z96)</f>
        <v>6</v>
      </c>
    </row>
    <row r="97" spans="1:27" ht="16.5" customHeight="1" x14ac:dyDescent="0.3">
      <c r="A97" s="5" t="str">
        <f>원본!A97</f>
        <v>260828-08</v>
      </c>
      <c r="B97" s="5" t="str">
        <f>원본!F97</f>
        <v>TP</v>
      </c>
      <c r="C97" s="1" t="str">
        <f>원본!G97</f>
        <v>5newGN+12AR.+5로이</v>
      </c>
      <c r="D97" s="5">
        <f>원본!H97</f>
        <v>22</v>
      </c>
      <c r="E97" s="1" t="s">
        <v>18</v>
      </c>
      <c r="F97" s="1">
        <f>원본!I97</f>
        <v>405</v>
      </c>
      <c r="G97" s="1">
        <f>원본!J97</f>
        <v>900</v>
      </c>
      <c r="H97" s="1">
        <f>원본!K97</f>
        <v>20</v>
      </c>
      <c r="J97" s="1">
        <f t="shared" si="2"/>
        <v>20</v>
      </c>
      <c r="K97" s="1">
        <f>원본!N97</f>
        <v>79.400000000000006</v>
      </c>
      <c r="L97" s="4" t="str">
        <f>원본!D97</f>
        <v>우미건설(주)e</v>
      </c>
      <c r="M97" s="1" t="str">
        <f>+원본!E97</f>
        <v xml:space="preserve"> 남원주 역세권 복합용지 AC-4BL 우미린 공동주택현장</v>
      </c>
      <c r="N97" s="1" t="str">
        <f>+원본!P97</f>
        <v>1동 4,5호84A,C 26~30F발코니2(外)</v>
      </c>
      <c r="O97" s="20"/>
      <c r="P97" s="20"/>
      <c r="Z97" s="3" t="str">
        <f>원본!R97</f>
        <v>26-2332</v>
      </c>
      <c r="AA97" s="2">
        <f>COUNTIF(Z$2:Z97,Z97)</f>
        <v>7</v>
      </c>
    </row>
    <row r="98" spans="1:27" ht="16.5" customHeight="1" x14ac:dyDescent="0.3">
      <c r="A98" s="5" t="str">
        <f>원본!A98</f>
        <v>260828-08</v>
      </c>
      <c r="B98" s="5" t="str">
        <f>원본!F98</f>
        <v>TP</v>
      </c>
      <c r="C98" s="1" t="str">
        <f>원본!G98</f>
        <v>5CL+12Ar.+5로이</v>
      </c>
      <c r="D98" s="5">
        <f>원본!H98</f>
        <v>22</v>
      </c>
      <c r="E98" s="1" t="s">
        <v>18</v>
      </c>
      <c r="F98" s="1">
        <f>원본!I98</f>
        <v>1719</v>
      </c>
      <c r="G98" s="1">
        <f>원본!J98</f>
        <v>1820</v>
      </c>
      <c r="H98" s="1">
        <f>원본!K98</f>
        <v>10</v>
      </c>
      <c r="J98" s="1">
        <f t="shared" si="2"/>
        <v>10</v>
      </c>
      <c r="K98" s="1">
        <f>원본!N98</f>
        <v>340.77</v>
      </c>
      <c r="L98" s="4" t="str">
        <f>원본!D98</f>
        <v>우미건설(주)e</v>
      </c>
      <c r="M98" s="1" t="str">
        <f>+원본!E98</f>
        <v xml:space="preserve"> 남원주 역세권 복합용지 AC-4BL 우미린 공동주택현장</v>
      </c>
      <c r="N98" s="1" t="str">
        <f>+원본!P98</f>
        <v>1동 4,5호84A,C 26~30F거실F(內)</v>
      </c>
      <c r="O98" s="20"/>
      <c r="P98" s="20"/>
      <c r="Z98" s="3" t="str">
        <f>원본!R98</f>
        <v>26-2332</v>
      </c>
      <c r="AA98" s="2">
        <f>COUNTIF(Z$2:Z98,Z98)</f>
        <v>8</v>
      </c>
    </row>
    <row r="99" spans="1:27" ht="16.5" customHeight="1" x14ac:dyDescent="0.3">
      <c r="A99" s="5" t="str">
        <f>원본!A99</f>
        <v>260828-08</v>
      </c>
      <c r="B99" s="5" t="str">
        <f>원본!F99</f>
        <v>TP</v>
      </c>
      <c r="C99" s="1" t="str">
        <f>원본!G99</f>
        <v>5CL+12Ar.+5로이</v>
      </c>
      <c r="D99" s="5">
        <f>원본!H99</f>
        <v>22</v>
      </c>
      <c r="E99" s="1" t="s">
        <v>18</v>
      </c>
      <c r="F99" s="1">
        <f>원본!I99</f>
        <v>763</v>
      </c>
      <c r="G99" s="1">
        <f>원본!J99</f>
        <v>1820</v>
      </c>
      <c r="H99" s="1">
        <f>원본!K99</f>
        <v>20</v>
      </c>
      <c r="J99" s="1">
        <f t="shared" si="2"/>
        <v>20</v>
      </c>
      <c r="K99" s="1">
        <f>원본!N99</f>
        <v>302.51</v>
      </c>
      <c r="L99" s="4" t="str">
        <f>원본!D99</f>
        <v>우미건설(주)e</v>
      </c>
      <c r="M99" s="1" t="str">
        <f>+원본!E99</f>
        <v xml:space="preserve"> 남원주 역세권 복합용지 AC-4BL 우미린 공동주택현장</v>
      </c>
      <c r="N99" s="1" t="str">
        <f>+원본!P99</f>
        <v>1동 4,5호84A,C 26~30F거실S(內)</v>
      </c>
      <c r="O99" s="20"/>
      <c r="P99" s="20"/>
      <c r="Z99" s="3" t="str">
        <f>원본!R99</f>
        <v>26-2332</v>
      </c>
      <c r="AA99" s="2">
        <f>COUNTIF(Z$2:Z99,Z99)</f>
        <v>9</v>
      </c>
    </row>
    <row r="100" spans="1:27" ht="16.5" customHeight="1" x14ac:dyDescent="0.3">
      <c r="A100" s="5" t="str">
        <f>원본!A100</f>
        <v>260828-08</v>
      </c>
      <c r="B100" s="5" t="str">
        <f>원본!F100</f>
        <v>TP</v>
      </c>
      <c r="C100" s="1" t="str">
        <f>원본!G100</f>
        <v>5CL+12Ar.+5로이</v>
      </c>
      <c r="D100" s="5">
        <f>원본!H100</f>
        <v>22</v>
      </c>
      <c r="E100" s="1" t="s">
        <v>18</v>
      </c>
      <c r="F100" s="1">
        <f>원본!I100</f>
        <v>405</v>
      </c>
      <c r="G100" s="1">
        <f>원본!J100</f>
        <v>1310</v>
      </c>
      <c r="H100" s="1">
        <f>원본!K100</f>
        <v>10</v>
      </c>
      <c r="J100" s="1">
        <f t="shared" si="2"/>
        <v>10</v>
      </c>
      <c r="K100" s="1">
        <f>원본!N100</f>
        <v>57.79</v>
      </c>
      <c r="L100" s="4" t="str">
        <f>원본!D100</f>
        <v>우미건설(주)e</v>
      </c>
      <c r="M100" s="1" t="str">
        <f>+원본!E100</f>
        <v xml:space="preserve"> 남원주 역세권 복합용지 AC-4BL 우미린 공동주택현장</v>
      </c>
      <c r="N100" s="1" t="str">
        <f>+원본!P100</f>
        <v>1동 5호84C 26~30F복도(內)</v>
      </c>
      <c r="O100" s="20"/>
      <c r="P100" s="20"/>
      <c r="Z100" s="3" t="str">
        <f>원본!R100</f>
        <v>26-2332</v>
      </c>
      <c r="AA100" s="2">
        <f>COUNTIF(Z$2:Z100,Z100)</f>
        <v>10</v>
      </c>
    </row>
    <row r="101" spans="1:27" ht="16.5" customHeight="1" x14ac:dyDescent="0.3">
      <c r="A101" s="5" t="str">
        <f>원본!A101</f>
        <v>260828-08</v>
      </c>
      <c r="B101" s="5" t="str">
        <f>원본!F101</f>
        <v>TP</v>
      </c>
      <c r="C101" s="1" t="str">
        <f>원본!G101</f>
        <v>5CL+12Ar.+5로이</v>
      </c>
      <c r="D101" s="5">
        <f>원본!H101</f>
        <v>22</v>
      </c>
      <c r="E101" s="1" t="s">
        <v>18</v>
      </c>
      <c r="F101" s="1">
        <f>원본!I101</f>
        <v>755</v>
      </c>
      <c r="G101" s="1">
        <f>원본!J101</f>
        <v>950</v>
      </c>
      <c r="H101" s="1">
        <f>원본!K101</f>
        <v>40</v>
      </c>
      <c r="J101" s="1">
        <f t="shared" si="2"/>
        <v>40</v>
      </c>
      <c r="K101" s="1">
        <f>원본!N101</f>
        <v>312.5</v>
      </c>
      <c r="L101" s="4" t="str">
        <f>원본!D101</f>
        <v>우미건설(주)e</v>
      </c>
      <c r="M101" s="1" t="str">
        <f>+원본!E101</f>
        <v xml:space="preserve"> 남원주 역세권 복합용지 AC-4BL 우미린 공동주택현장</v>
      </c>
      <c r="N101" s="1" t="str">
        <f>+원본!P101</f>
        <v>1동 4,5호84A,C 26~30F침실1,2(內)</v>
      </c>
      <c r="O101" s="20"/>
      <c r="P101" s="20"/>
      <c r="Z101" s="3" t="str">
        <f>원본!R101</f>
        <v>26-2332</v>
      </c>
      <c r="AA101" s="2">
        <f>COUNTIF(Z$2:Z101,Z101)</f>
        <v>11</v>
      </c>
    </row>
    <row r="102" spans="1:27" ht="16.5" customHeight="1" x14ac:dyDescent="0.3">
      <c r="A102" s="5" t="str">
        <f>원본!A102</f>
        <v>260828-08</v>
      </c>
      <c r="B102" s="5" t="str">
        <f>원본!F102</f>
        <v>TP</v>
      </c>
      <c r="C102" s="1" t="str">
        <f>원본!G102</f>
        <v>5CL+12Ar.+5로이</v>
      </c>
      <c r="D102" s="5">
        <f>원본!H102</f>
        <v>22</v>
      </c>
      <c r="E102" s="1" t="s">
        <v>18</v>
      </c>
      <c r="F102" s="1">
        <f>원본!I102</f>
        <v>455</v>
      </c>
      <c r="G102" s="1">
        <f>원본!J102</f>
        <v>950</v>
      </c>
      <c r="H102" s="1">
        <f>원본!K102</f>
        <v>20</v>
      </c>
      <c r="J102" s="1">
        <f t="shared" si="2"/>
        <v>20</v>
      </c>
      <c r="K102" s="1">
        <f>원본!N102</f>
        <v>94.16</v>
      </c>
      <c r="L102" s="4" t="str">
        <f>원본!D102</f>
        <v>우미건설(주)e</v>
      </c>
      <c r="M102" s="1" t="str">
        <f>+원본!E102</f>
        <v xml:space="preserve"> 남원주 역세권 복합용지 AC-4BL 우미린 공동주택현장</v>
      </c>
      <c r="N102" s="1" t="str">
        <f>+원본!P102</f>
        <v>1동 4,5호84A,C 26~30F주방/식당(內)</v>
      </c>
      <c r="O102" s="20"/>
      <c r="P102" s="20"/>
      <c r="Z102" s="3" t="str">
        <f>원본!R102</f>
        <v>26-2332</v>
      </c>
      <c r="AA102" s="2">
        <f>COUNTIF(Z$2:Z102,Z102)</f>
        <v>12</v>
      </c>
    </row>
    <row r="103" spans="1:27" ht="16.5" customHeight="1" x14ac:dyDescent="0.3">
      <c r="A103" s="5" t="str">
        <f>원본!A103</f>
        <v>260828-08</v>
      </c>
      <c r="B103" s="5" t="str">
        <f>원본!F103</f>
        <v>TP</v>
      </c>
      <c r="C103" s="1" t="str">
        <f>원본!G103</f>
        <v>5CL+12Ar.+5로이</v>
      </c>
      <c r="D103" s="5">
        <f>원본!H103</f>
        <v>22</v>
      </c>
      <c r="E103" s="1" t="s">
        <v>18</v>
      </c>
      <c r="F103" s="1">
        <f>원본!I103</f>
        <v>305</v>
      </c>
      <c r="G103" s="1">
        <f>원본!J103</f>
        <v>950</v>
      </c>
      <c r="H103" s="1">
        <f>원본!K103</f>
        <v>30</v>
      </c>
      <c r="J103" s="1">
        <f t="shared" si="2"/>
        <v>30</v>
      </c>
      <c r="K103" s="1">
        <f>원본!N103</f>
        <v>94.68</v>
      </c>
      <c r="L103" s="4" t="str">
        <f>원본!D103</f>
        <v>우미건설(주)e</v>
      </c>
      <c r="M103" s="1" t="str">
        <f>+원본!E103</f>
        <v xml:space="preserve"> 남원주 역세권 복합용지 AC-4BL 우미린 공동주택현장</v>
      </c>
      <c r="N103" s="1" t="str">
        <f>+원본!P103</f>
        <v>1동 4,5호84A,C 26~30F드레스룸,팬트리(內)</v>
      </c>
      <c r="O103" s="20"/>
      <c r="P103" s="20"/>
      <c r="Z103" s="3" t="str">
        <f>원본!R103</f>
        <v>26-2332</v>
      </c>
      <c r="AA103" s="2">
        <f>COUNTIF(Z$2:Z103,Z103)</f>
        <v>13</v>
      </c>
    </row>
    <row r="104" spans="1:27" ht="16.5" customHeight="1" x14ac:dyDescent="0.3">
      <c r="A104" s="5" t="str">
        <f>원본!A104</f>
        <v>260828-08</v>
      </c>
      <c r="B104" s="5" t="str">
        <f>원본!F104</f>
        <v>TP</v>
      </c>
      <c r="C104" s="1" t="str">
        <f>원본!G104</f>
        <v>5CL+12Ar.+5로이</v>
      </c>
      <c r="D104" s="5">
        <f>원본!H104</f>
        <v>22</v>
      </c>
      <c r="E104" s="1" t="s">
        <v>18</v>
      </c>
      <c r="F104" s="1">
        <f>원본!I104</f>
        <v>405</v>
      </c>
      <c r="G104" s="1">
        <f>원본!J104</f>
        <v>900</v>
      </c>
      <c r="H104" s="1">
        <f>원본!K104</f>
        <v>20</v>
      </c>
      <c r="J104" s="1">
        <f t="shared" si="2"/>
        <v>20</v>
      </c>
      <c r="K104" s="1">
        <f>원본!N104</f>
        <v>79.400000000000006</v>
      </c>
      <c r="L104" s="4" t="str">
        <f>원본!D104</f>
        <v>우미건설(주)e</v>
      </c>
      <c r="M104" s="1" t="str">
        <f>+원본!E104</f>
        <v xml:space="preserve"> 남원주 역세권 복합용지 AC-4BL 우미린 공동주택현장</v>
      </c>
      <c r="N104" s="1" t="str">
        <f>+원본!P104</f>
        <v>1동 4,5호84A,C 26~30F발코니2(內)</v>
      </c>
      <c r="O104" s="20"/>
      <c r="P104" s="20"/>
      <c r="Z104" s="3" t="str">
        <f>원본!R104</f>
        <v>26-2332</v>
      </c>
      <c r="AA104" s="2">
        <f>COUNTIF(Z$2:Z104,Z104)</f>
        <v>14</v>
      </c>
    </row>
    <row r="105" spans="1:27" ht="16.5" customHeight="1" x14ac:dyDescent="0.3">
      <c r="A105" s="5" t="str">
        <f>원본!A105</f>
        <v>260828-08</v>
      </c>
      <c r="B105" s="5" t="str">
        <f>원본!F105</f>
        <v>TP</v>
      </c>
      <c r="C105" s="1" t="str">
        <f>원본!G105</f>
        <v>5newGN+12A+5로이</v>
      </c>
      <c r="D105" s="5">
        <f>원본!H105</f>
        <v>22</v>
      </c>
      <c r="E105" s="1" t="s">
        <v>18</v>
      </c>
      <c r="F105" s="1">
        <f>원본!I105</f>
        <v>705</v>
      </c>
      <c r="G105" s="1">
        <f>원본!J105</f>
        <v>1820</v>
      </c>
      <c r="H105" s="1">
        <f>원본!K105</f>
        <v>10</v>
      </c>
      <c r="J105" s="1">
        <f t="shared" si="2"/>
        <v>10</v>
      </c>
      <c r="K105" s="1">
        <f>원본!N105</f>
        <v>139.76</v>
      </c>
      <c r="L105" s="4" t="str">
        <f>원본!D105</f>
        <v>우미건설(주)e</v>
      </c>
      <c r="M105" s="1" t="str">
        <f>+원본!E105</f>
        <v xml:space="preserve"> 남원주 역세권 복합용지 AC-4BL 우미린 공동주택현장</v>
      </c>
      <c r="N105" s="1" t="str">
        <f>+원본!P105</f>
        <v>1동 4호84A 26~30F발코니1</v>
      </c>
      <c r="O105" s="20"/>
      <c r="P105" s="20"/>
      <c r="Z105" s="3" t="str">
        <f>원본!R105</f>
        <v>26-2332</v>
      </c>
      <c r="AA105" s="2">
        <f>COUNTIF(Z$2:Z105,Z105)</f>
        <v>15</v>
      </c>
    </row>
    <row r="106" spans="1:27" ht="16.5" customHeight="1" x14ac:dyDescent="0.3">
      <c r="A106" s="5" t="str">
        <f>원본!A106</f>
        <v>260828-08</v>
      </c>
      <c r="B106" s="5" t="str">
        <f>원본!F106</f>
        <v>TP</v>
      </c>
      <c r="C106" s="1" t="str">
        <f>원본!G106</f>
        <v>5newGN+12A+5로이</v>
      </c>
      <c r="D106" s="5">
        <f>원본!H106</f>
        <v>22</v>
      </c>
      <c r="E106" s="1" t="s">
        <v>18</v>
      </c>
      <c r="F106" s="1">
        <f>원본!I106</f>
        <v>405</v>
      </c>
      <c r="G106" s="1">
        <f>원본!J106</f>
        <v>950</v>
      </c>
      <c r="H106" s="1">
        <f>원본!K106</f>
        <v>20</v>
      </c>
      <c r="J106" s="1">
        <f t="shared" si="2"/>
        <v>20</v>
      </c>
      <c r="K106" s="1">
        <f>원본!N106</f>
        <v>83.82</v>
      </c>
      <c r="L106" s="4" t="str">
        <f>원본!D106</f>
        <v>우미건설(주)e</v>
      </c>
      <c r="M106" s="1" t="str">
        <f>+원본!E106</f>
        <v xml:space="preserve"> 남원주 역세권 복합용지 AC-4BL 우미린 공동주택현장</v>
      </c>
      <c r="N106" s="1" t="str">
        <f>+원본!P106</f>
        <v>1동 4,5호84A,C 26~30F하향식피난구</v>
      </c>
      <c r="O106" s="20"/>
      <c r="P106" s="20"/>
      <c r="Z106" s="3" t="str">
        <f>원본!R106</f>
        <v>26-2332</v>
      </c>
      <c r="AA106" s="2">
        <f>COUNTIF(Z$2:Z106,Z106)</f>
        <v>16</v>
      </c>
    </row>
    <row r="107" spans="1:27" ht="16.5" customHeight="1" x14ac:dyDescent="0.3">
      <c r="A107" s="5" t="str">
        <f>원본!A107</f>
        <v>260828-07</v>
      </c>
      <c r="B107" s="5" t="str">
        <f>원본!F107</f>
        <v>TP</v>
      </c>
      <c r="C107" s="1" t="str">
        <f>원본!G107</f>
        <v>5newGN+12AR.+5로이</v>
      </c>
      <c r="D107" s="5">
        <f>원본!H107</f>
        <v>22</v>
      </c>
      <c r="E107" s="1" t="s">
        <v>18</v>
      </c>
      <c r="F107" s="1">
        <f>원본!I107</f>
        <v>1719</v>
      </c>
      <c r="G107" s="1">
        <f>원본!J107</f>
        <v>1820</v>
      </c>
      <c r="H107" s="1">
        <f>원본!K107</f>
        <v>15</v>
      </c>
      <c r="J107" s="1">
        <f t="shared" si="2"/>
        <v>15</v>
      </c>
      <c r="K107" s="1">
        <f>원본!N107</f>
        <v>511.16</v>
      </c>
      <c r="L107" s="4" t="str">
        <f>원본!D107</f>
        <v>우미건설(주)e</v>
      </c>
      <c r="M107" s="1" t="str">
        <f>+원본!E107</f>
        <v xml:space="preserve"> 남원주 역세권 복합용지 AC-4BL 우미린 공동주택현장</v>
      </c>
      <c r="N107" s="1" t="str">
        <f>+원본!P107</f>
        <v>1동 1~3호84A,B 26~30F거실F(外)</v>
      </c>
      <c r="O107" s="20"/>
      <c r="P107" s="20"/>
      <c r="Z107" s="3" t="str">
        <f>원본!R107</f>
        <v>26-2331</v>
      </c>
      <c r="AA107" s="2">
        <f>COUNTIF(Z$2:Z107,Z107)</f>
        <v>1</v>
      </c>
    </row>
    <row r="108" spans="1:27" ht="16.5" customHeight="1" x14ac:dyDescent="0.3">
      <c r="A108" s="5" t="str">
        <f>원본!A108</f>
        <v>260828-07</v>
      </c>
      <c r="B108" s="5" t="str">
        <f>원본!F108</f>
        <v>TP</v>
      </c>
      <c r="C108" s="1" t="str">
        <f>원본!G108</f>
        <v>5newGN+12AR.+5로이</v>
      </c>
      <c r="D108" s="5">
        <f>원본!H108</f>
        <v>22</v>
      </c>
      <c r="E108" s="1" t="s">
        <v>18</v>
      </c>
      <c r="F108" s="1">
        <f>원본!I108</f>
        <v>763</v>
      </c>
      <c r="G108" s="1">
        <f>원본!J108</f>
        <v>1820</v>
      </c>
      <c r="H108" s="1">
        <f>원본!K108</f>
        <v>30</v>
      </c>
      <c r="J108" s="1">
        <f t="shared" si="2"/>
        <v>30</v>
      </c>
      <c r="K108" s="1">
        <f>원본!N108</f>
        <v>453.77</v>
      </c>
      <c r="L108" s="4" t="str">
        <f>원본!D108</f>
        <v>우미건설(주)e</v>
      </c>
      <c r="M108" s="1" t="str">
        <f>+원본!E108</f>
        <v xml:space="preserve"> 남원주 역세권 복합용지 AC-4BL 우미린 공동주택현장</v>
      </c>
      <c r="N108" s="1" t="str">
        <f>+원본!P108</f>
        <v>1동 1~3호84A,B 26~30F거실S(外)</v>
      </c>
      <c r="O108" s="20"/>
      <c r="P108" s="20"/>
      <c r="Z108" s="3" t="str">
        <f>원본!R108</f>
        <v>26-2331</v>
      </c>
      <c r="AA108" s="2">
        <f>COUNTIF(Z$2:Z108,Z108)</f>
        <v>2</v>
      </c>
    </row>
    <row r="109" spans="1:27" ht="16.5" customHeight="1" x14ac:dyDescent="0.3">
      <c r="A109" s="5" t="str">
        <f>원본!A109</f>
        <v>260828-07</v>
      </c>
      <c r="B109" s="5" t="str">
        <f>원본!F109</f>
        <v>TP</v>
      </c>
      <c r="C109" s="1" t="str">
        <f>원본!G109</f>
        <v>5newGN+12AR.+5로이</v>
      </c>
      <c r="D109" s="5">
        <f>원본!H109</f>
        <v>22</v>
      </c>
      <c r="E109" s="1" t="s">
        <v>18</v>
      </c>
      <c r="F109" s="1">
        <f>원본!I109</f>
        <v>755</v>
      </c>
      <c r="G109" s="1">
        <f>원본!J109</f>
        <v>950</v>
      </c>
      <c r="H109" s="1">
        <f>원본!K109</f>
        <v>60</v>
      </c>
      <c r="J109" s="1">
        <f t="shared" si="2"/>
        <v>60</v>
      </c>
      <c r="K109" s="1">
        <f>원본!N109</f>
        <v>468.74</v>
      </c>
      <c r="L109" s="4" t="str">
        <f>원본!D109</f>
        <v>우미건설(주)e</v>
      </c>
      <c r="M109" s="1" t="str">
        <f>+원본!E109</f>
        <v xml:space="preserve"> 남원주 역세권 복합용지 AC-4BL 우미린 공동주택현장</v>
      </c>
      <c r="N109" s="1" t="str">
        <f>+원본!P109</f>
        <v>1동 1~3호84A,B 26~30F침실1,2(外)</v>
      </c>
      <c r="O109" s="20"/>
      <c r="P109" s="20"/>
      <c r="Z109" s="3" t="str">
        <f>원본!R109</f>
        <v>26-2331</v>
      </c>
      <c r="AA109" s="2">
        <f>COUNTIF(Z$2:Z109,Z109)</f>
        <v>3</v>
      </c>
    </row>
    <row r="110" spans="1:27" ht="16.5" customHeight="1" x14ac:dyDescent="0.3">
      <c r="A110" s="5" t="str">
        <f>원본!A110</f>
        <v>260828-07</v>
      </c>
      <c r="B110" s="5" t="str">
        <f>원본!F110</f>
        <v>TP</v>
      </c>
      <c r="C110" s="1" t="str">
        <f>원본!G110</f>
        <v>5newGN+12AR.+5로이</v>
      </c>
      <c r="D110" s="5">
        <f>원본!H110</f>
        <v>22</v>
      </c>
      <c r="E110" s="1" t="s">
        <v>18</v>
      </c>
      <c r="F110" s="1">
        <f>원본!I110</f>
        <v>455</v>
      </c>
      <c r="G110" s="1">
        <f>원본!J110</f>
        <v>950</v>
      </c>
      <c r="H110" s="1">
        <f>원본!K110</f>
        <v>40</v>
      </c>
      <c r="J110" s="1">
        <f t="shared" si="2"/>
        <v>40</v>
      </c>
      <c r="K110" s="1">
        <f>원본!N110</f>
        <v>188.33</v>
      </c>
      <c r="L110" s="4" t="str">
        <f>원본!D110</f>
        <v>우미건설(주)e</v>
      </c>
      <c r="M110" s="1" t="str">
        <f>+원본!E110</f>
        <v xml:space="preserve"> 남원주 역세권 복합용지 AC-4BL 우미린 공동주택현장</v>
      </c>
      <c r="N110" s="1" t="str">
        <f>+원본!P110</f>
        <v>1동 1~3호84A,B 26~30F주방/식당,드레스(外)</v>
      </c>
      <c r="O110" s="20"/>
      <c r="P110" s="20"/>
      <c r="Z110" s="3" t="str">
        <f>원본!R110</f>
        <v>26-2331</v>
      </c>
      <c r="AA110" s="2">
        <f>COUNTIF(Z$2:Z110,Z110)</f>
        <v>4</v>
      </c>
    </row>
    <row r="111" spans="1:27" ht="16.5" customHeight="1" x14ac:dyDescent="0.3">
      <c r="A111" s="5" t="str">
        <f>원본!A111</f>
        <v>260828-07</v>
      </c>
      <c r="B111" s="5" t="str">
        <f>원본!F111</f>
        <v>TP</v>
      </c>
      <c r="C111" s="1" t="str">
        <f>원본!G111</f>
        <v>5newGN+12AR.+5로이</v>
      </c>
      <c r="D111" s="5">
        <f>원본!H111</f>
        <v>22</v>
      </c>
      <c r="E111" s="1" t="s">
        <v>18</v>
      </c>
      <c r="F111" s="1">
        <f>원본!I111</f>
        <v>305</v>
      </c>
      <c r="G111" s="1">
        <f>원본!J111</f>
        <v>950</v>
      </c>
      <c r="H111" s="1">
        <f>원본!K111</f>
        <v>40</v>
      </c>
      <c r="J111" s="1">
        <f t="shared" si="2"/>
        <v>40</v>
      </c>
      <c r="K111" s="1">
        <f>원본!N111</f>
        <v>126.24</v>
      </c>
      <c r="L111" s="4" t="str">
        <f>원본!D111</f>
        <v>우미건설(주)e</v>
      </c>
      <c r="M111" s="1" t="str">
        <f>+원본!E111</f>
        <v xml:space="preserve"> 남원주 역세권 복합용지 AC-4BL 우미린 공동주택현장</v>
      </c>
      <c r="N111" s="1" t="str">
        <f>+원본!P111</f>
        <v>1동 1,3호84A 26~30F드레스룸,팬트리(外)</v>
      </c>
      <c r="O111" s="20"/>
      <c r="P111" s="20"/>
      <c r="Z111" s="3" t="str">
        <f>원본!R111</f>
        <v>26-2331</v>
      </c>
      <c r="AA111" s="2">
        <f>COUNTIF(Z$2:Z111,Z111)</f>
        <v>5</v>
      </c>
    </row>
    <row r="112" spans="1:27" ht="16.5" customHeight="1" x14ac:dyDescent="0.3">
      <c r="A112" s="5" t="str">
        <f>원본!A112</f>
        <v>260828-07</v>
      </c>
      <c r="B112" s="5" t="str">
        <f>원본!F112</f>
        <v>TP</v>
      </c>
      <c r="C112" s="1" t="str">
        <f>원본!G112</f>
        <v>5newGN+12AR.+5로이</v>
      </c>
      <c r="D112" s="5">
        <f>원본!H112</f>
        <v>22</v>
      </c>
      <c r="E112" s="1" t="s">
        <v>18</v>
      </c>
      <c r="F112" s="1">
        <f>원본!I112</f>
        <v>405</v>
      </c>
      <c r="G112" s="1">
        <f>원본!J112</f>
        <v>900</v>
      </c>
      <c r="H112" s="1">
        <f>원본!K112</f>
        <v>30</v>
      </c>
      <c r="J112" s="1">
        <f t="shared" si="2"/>
        <v>30</v>
      </c>
      <c r="K112" s="1">
        <f>원본!N112</f>
        <v>119.11</v>
      </c>
      <c r="L112" s="4" t="str">
        <f>원본!D112</f>
        <v>우미건설(주)e</v>
      </c>
      <c r="M112" s="1" t="str">
        <f>+원본!E112</f>
        <v xml:space="preserve"> 남원주 역세권 복합용지 AC-4BL 우미린 공동주택현장</v>
      </c>
      <c r="N112" s="1" t="str">
        <f>+원본!P112</f>
        <v>1동 1~3호84A,B 26~30F발코니2(外)</v>
      </c>
      <c r="O112" s="20"/>
      <c r="P112" s="20"/>
      <c r="Z112" s="3" t="str">
        <f>원본!R112</f>
        <v>26-2331</v>
      </c>
      <c r="AA112" s="2">
        <f>COUNTIF(Z$2:Z112,Z112)</f>
        <v>6</v>
      </c>
    </row>
    <row r="113" spans="1:27" ht="16.5" customHeight="1" x14ac:dyDescent="0.3">
      <c r="A113" s="5" t="str">
        <f>원본!A113</f>
        <v>260828-07</v>
      </c>
      <c r="B113" s="5" t="str">
        <f>원본!F113</f>
        <v>TP</v>
      </c>
      <c r="C113" s="1" t="str">
        <f>원본!G113</f>
        <v>5CL+12Ar.+5로이</v>
      </c>
      <c r="D113" s="5">
        <f>원본!H113</f>
        <v>22</v>
      </c>
      <c r="E113" s="1" t="s">
        <v>18</v>
      </c>
      <c r="F113" s="1">
        <f>원본!I113</f>
        <v>1719</v>
      </c>
      <c r="G113" s="1">
        <f>원본!J113</f>
        <v>1820</v>
      </c>
      <c r="H113" s="1">
        <f>원본!K113</f>
        <v>15</v>
      </c>
      <c r="J113" s="1">
        <f t="shared" si="2"/>
        <v>15</v>
      </c>
      <c r="K113" s="1">
        <f>원본!N113</f>
        <v>511.16</v>
      </c>
      <c r="L113" s="4" t="str">
        <f>원본!D113</f>
        <v>우미건설(주)e</v>
      </c>
      <c r="M113" s="1" t="str">
        <f>+원본!E113</f>
        <v xml:space="preserve"> 남원주 역세권 복합용지 AC-4BL 우미린 공동주택현장</v>
      </c>
      <c r="N113" s="1" t="str">
        <f>+원본!P113</f>
        <v>1동 1~3호84A,B 26~30F거실F(內)</v>
      </c>
      <c r="O113" s="20"/>
      <c r="P113" s="20"/>
      <c r="Z113" s="3" t="str">
        <f>원본!R113</f>
        <v>26-2331</v>
      </c>
      <c r="AA113" s="2">
        <f>COUNTIF(Z$2:Z113,Z113)</f>
        <v>7</v>
      </c>
    </row>
    <row r="114" spans="1:27" ht="16.5" customHeight="1" x14ac:dyDescent="0.3">
      <c r="A114" s="5" t="str">
        <f>원본!A114</f>
        <v>260828-07</v>
      </c>
      <c r="B114" s="5" t="str">
        <f>원본!F114</f>
        <v>TP</v>
      </c>
      <c r="C114" s="1" t="str">
        <f>원본!G114</f>
        <v>5CL+12Ar.+5로이</v>
      </c>
      <c r="D114" s="5">
        <f>원본!H114</f>
        <v>22</v>
      </c>
      <c r="E114" s="1" t="s">
        <v>18</v>
      </c>
      <c r="F114" s="1">
        <f>원본!I114</f>
        <v>763</v>
      </c>
      <c r="G114" s="1">
        <f>원본!J114</f>
        <v>1820</v>
      </c>
      <c r="H114" s="1">
        <f>원본!K114</f>
        <v>30</v>
      </c>
      <c r="J114" s="1">
        <f t="shared" si="2"/>
        <v>30</v>
      </c>
      <c r="K114" s="1">
        <f>원본!N114</f>
        <v>453.77</v>
      </c>
      <c r="L114" s="4" t="str">
        <f>원본!D114</f>
        <v>우미건설(주)e</v>
      </c>
      <c r="M114" s="1" t="str">
        <f>+원본!E114</f>
        <v xml:space="preserve"> 남원주 역세권 복합용지 AC-4BL 우미린 공동주택현장</v>
      </c>
      <c r="N114" s="1" t="str">
        <f>+원본!P114</f>
        <v>1동 1~3호84A,B 26~30F거실S(內)</v>
      </c>
      <c r="O114" s="20"/>
      <c r="P114" s="20"/>
      <c r="Z114" s="3" t="str">
        <f>원본!R114</f>
        <v>26-2331</v>
      </c>
      <c r="AA114" s="2">
        <f>COUNTIF(Z$2:Z114,Z114)</f>
        <v>8</v>
      </c>
    </row>
    <row r="115" spans="1:27" ht="16.5" customHeight="1" x14ac:dyDescent="0.3">
      <c r="A115" s="5" t="str">
        <f>원본!A115</f>
        <v>260828-07</v>
      </c>
      <c r="B115" s="5" t="str">
        <f>원본!F115</f>
        <v>TP</v>
      </c>
      <c r="C115" s="1" t="str">
        <f>원본!G115</f>
        <v>5CL+12Ar.+5로이</v>
      </c>
      <c r="D115" s="5">
        <f>원본!H115</f>
        <v>22</v>
      </c>
      <c r="E115" s="1" t="s">
        <v>18</v>
      </c>
      <c r="F115" s="1">
        <f>원본!I115</f>
        <v>755</v>
      </c>
      <c r="G115" s="1">
        <f>원본!J115</f>
        <v>950</v>
      </c>
      <c r="H115" s="1">
        <f>원본!K115</f>
        <v>60</v>
      </c>
      <c r="J115" s="1">
        <f t="shared" si="2"/>
        <v>60</v>
      </c>
      <c r="K115" s="1">
        <f>원본!N115</f>
        <v>468.74</v>
      </c>
      <c r="L115" s="4" t="str">
        <f>원본!D115</f>
        <v>우미건설(주)e</v>
      </c>
      <c r="M115" s="1" t="str">
        <f>+원본!E115</f>
        <v xml:space="preserve"> 남원주 역세권 복합용지 AC-4BL 우미린 공동주택현장</v>
      </c>
      <c r="N115" s="1" t="str">
        <f>+원본!P115</f>
        <v>1동 1~3호84A,B 26~30F침실1,2(內)</v>
      </c>
      <c r="O115" s="20"/>
      <c r="P115" s="20"/>
      <c r="Z115" s="3" t="str">
        <f>원본!R115</f>
        <v>26-2331</v>
      </c>
      <c r="AA115" s="2">
        <f>COUNTIF(Z$2:Z115,Z115)</f>
        <v>9</v>
      </c>
    </row>
    <row r="116" spans="1:27" ht="16.5" customHeight="1" x14ac:dyDescent="0.3">
      <c r="A116" s="5" t="str">
        <f>원본!A116</f>
        <v>260828-07</v>
      </c>
      <c r="B116" s="5" t="str">
        <f>원본!F116</f>
        <v>TP</v>
      </c>
      <c r="C116" s="1" t="str">
        <f>원본!G116</f>
        <v>5CL+12Ar.+5로이</v>
      </c>
      <c r="D116" s="5">
        <f>원본!H116</f>
        <v>22</v>
      </c>
      <c r="E116" s="1" t="s">
        <v>18</v>
      </c>
      <c r="F116" s="1">
        <f>원본!I116</f>
        <v>455</v>
      </c>
      <c r="G116" s="1">
        <f>원본!J116</f>
        <v>950</v>
      </c>
      <c r="H116" s="1">
        <f>원본!K116</f>
        <v>40</v>
      </c>
      <c r="J116" s="1">
        <f t="shared" si="2"/>
        <v>40</v>
      </c>
      <c r="K116" s="1">
        <f>원본!N116</f>
        <v>188.33</v>
      </c>
      <c r="L116" s="4" t="str">
        <f>원본!D116</f>
        <v>우미건설(주)e</v>
      </c>
      <c r="M116" s="1" t="str">
        <f>+원본!E116</f>
        <v xml:space="preserve"> 남원주 역세권 복합용지 AC-4BL 우미린 공동주택현장</v>
      </c>
      <c r="N116" s="1" t="str">
        <f>+원본!P116</f>
        <v>1동 1~3호84A,B 26~30F주방/식당,드레스(內)</v>
      </c>
      <c r="O116" s="20"/>
      <c r="P116" s="20"/>
      <c r="Z116" s="3" t="str">
        <f>원본!R116</f>
        <v>26-2331</v>
      </c>
      <c r="AA116" s="2">
        <f>COUNTIF(Z$2:Z116,Z116)</f>
        <v>10</v>
      </c>
    </row>
    <row r="117" spans="1:27" ht="16.5" customHeight="1" x14ac:dyDescent="0.3">
      <c r="A117" s="5" t="str">
        <f>원본!A117</f>
        <v>260828-07</v>
      </c>
      <c r="B117" s="5" t="str">
        <f>원본!F117</f>
        <v>TP</v>
      </c>
      <c r="C117" s="1" t="str">
        <f>원본!G117</f>
        <v>5CL+12Ar.+5로이</v>
      </c>
      <c r="D117" s="5">
        <f>원본!H117</f>
        <v>22</v>
      </c>
      <c r="E117" s="1" t="s">
        <v>18</v>
      </c>
      <c r="F117" s="1">
        <f>원본!I117</f>
        <v>305</v>
      </c>
      <c r="G117" s="1">
        <f>원본!J117</f>
        <v>950</v>
      </c>
      <c r="H117" s="1">
        <f>원본!K117</f>
        <v>40</v>
      </c>
      <c r="J117" s="1">
        <f t="shared" si="2"/>
        <v>40</v>
      </c>
      <c r="K117" s="1">
        <f>원본!N117</f>
        <v>126.24</v>
      </c>
      <c r="L117" s="4" t="str">
        <f>원본!D117</f>
        <v>우미건설(주)e</v>
      </c>
      <c r="M117" s="1" t="str">
        <f>+원본!E117</f>
        <v xml:space="preserve"> 남원주 역세권 복합용지 AC-4BL 우미린 공동주택현장</v>
      </c>
      <c r="N117" s="1" t="str">
        <f>+원본!P117</f>
        <v>1동 1,3호84A 26~30F드레스룸,팬트리(內)</v>
      </c>
      <c r="O117" s="20"/>
      <c r="P117" s="20"/>
      <c r="Z117" s="3" t="str">
        <f>원본!R117</f>
        <v>26-2331</v>
      </c>
      <c r="AA117" s="2">
        <f>COUNTIF(Z$2:Z117,Z117)</f>
        <v>11</v>
      </c>
    </row>
    <row r="118" spans="1:27" ht="16.5" customHeight="1" x14ac:dyDescent="0.3">
      <c r="A118" s="5" t="str">
        <f>원본!A118</f>
        <v>260828-07</v>
      </c>
      <c r="B118" s="5" t="str">
        <f>원본!F118</f>
        <v>TP</v>
      </c>
      <c r="C118" s="1" t="str">
        <f>원본!G118</f>
        <v>5CL+12Ar.+5로이</v>
      </c>
      <c r="D118" s="5">
        <f>원본!H118</f>
        <v>22</v>
      </c>
      <c r="E118" s="1" t="s">
        <v>18</v>
      </c>
      <c r="F118" s="1">
        <f>원본!I118</f>
        <v>405</v>
      </c>
      <c r="G118" s="1">
        <f>원본!J118</f>
        <v>900</v>
      </c>
      <c r="H118" s="1">
        <f>원본!K118</f>
        <v>30</v>
      </c>
      <c r="J118" s="1">
        <f t="shared" si="2"/>
        <v>30</v>
      </c>
      <c r="K118" s="1">
        <f>원본!N118</f>
        <v>119.11</v>
      </c>
      <c r="L118" s="4" t="str">
        <f>원본!D118</f>
        <v>우미건설(주)e</v>
      </c>
      <c r="M118" s="1" t="str">
        <f>+원본!E118</f>
        <v xml:space="preserve"> 남원주 역세권 복합용지 AC-4BL 우미린 공동주택현장</v>
      </c>
      <c r="N118" s="1" t="str">
        <f>+원본!P118</f>
        <v>1동 1~3호84A,B 26~30F발코니2(內)</v>
      </c>
      <c r="O118" s="20"/>
      <c r="P118" s="20"/>
      <c r="Z118" s="3" t="str">
        <f>원본!R118</f>
        <v>26-2331</v>
      </c>
      <c r="AA118" s="2">
        <f>COUNTIF(Z$2:Z118,Z118)</f>
        <v>12</v>
      </c>
    </row>
    <row r="119" spans="1:27" ht="16.5" customHeight="1" x14ac:dyDescent="0.3">
      <c r="A119" s="5" t="str">
        <f>원본!A119</f>
        <v>260828-07</v>
      </c>
      <c r="B119" s="5" t="str">
        <f>원본!F119</f>
        <v>TP</v>
      </c>
      <c r="C119" s="1" t="str">
        <f>원본!G119</f>
        <v>5newGN+12A+5로이</v>
      </c>
      <c r="D119" s="5">
        <f>원본!H119</f>
        <v>22</v>
      </c>
      <c r="E119" s="1" t="s">
        <v>18</v>
      </c>
      <c r="F119" s="1">
        <f>원본!I119</f>
        <v>705</v>
      </c>
      <c r="G119" s="1">
        <f>원본!J119</f>
        <v>1820</v>
      </c>
      <c r="H119" s="1">
        <f>원본!K119</f>
        <v>20</v>
      </c>
      <c r="J119" s="1">
        <f t="shared" si="2"/>
        <v>20</v>
      </c>
      <c r="K119" s="1">
        <f>원본!N119</f>
        <v>279.52</v>
      </c>
      <c r="L119" s="4" t="str">
        <f>원본!D119</f>
        <v>우미건설(주)e</v>
      </c>
      <c r="M119" s="1" t="str">
        <f>+원본!E119</f>
        <v xml:space="preserve"> 남원주 역세권 복합용지 AC-4BL 우미린 공동주택현장</v>
      </c>
      <c r="N119" s="1" t="str">
        <f>+원본!P119</f>
        <v>1동 1,2호84A,B 26~30F발코니1</v>
      </c>
      <c r="O119" s="20"/>
      <c r="P119" s="20"/>
      <c r="Z119" s="3" t="str">
        <f>원본!R119</f>
        <v>26-2331</v>
      </c>
      <c r="AA119" s="2">
        <f>COUNTIF(Z$2:Z119,Z119)</f>
        <v>13</v>
      </c>
    </row>
    <row r="120" spans="1:27" ht="16.5" customHeight="1" x14ac:dyDescent="0.3">
      <c r="A120" s="5" t="str">
        <f>원본!A120</f>
        <v>260828-07</v>
      </c>
      <c r="B120" s="5" t="str">
        <f>원본!F120</f>
        <v>TP</v>
      </c>
      <c r="C120" s="1" t="str">
        <f>원본!G120</f>
        <v>5newGN+12A+5로이</v>
      </c>
      <c r="D120" s="5">
        <f>원본!H120</f>
        <v>22</v>
      </c>
      <c r="E120" s="1" t="s">
        <v>18</v>
      </c>
      <c r="F120" s="1">
        <f>원본!I120</f>
        <v>405</v>
      </c>
      <c r="G120" s="1">
        <f>원본!J120</f>
        <v>950</v>
      </c>
      <c r="H120" s="1">
        <f>원본!K120</f>
        <v>30</v>
      </c>
      <c r="J120" s="1">
        <f t="shared" si="2"/>
        <v>30</v>
      </c>
      <c r="K120" s="1">
        <f>원본!N120</f>
        <v>125.72</v>
      </c>
      <c r="L120" s="4" t="str">
        <f>원본!D120</f>
        <v>우미건설(주)e</v>
      </c>
      <c r="M120" s="1" t="str">
        <f>+원본!E120</f>
        <v xml:space="preserve"> 남원주 역세권 복합용지 AC-4BL 우미린 공동주택현장</v>
      </c>
      <c r="N120" s="1" t="str">
        <f>+원본!P120</f>
        <v>1동 1~3호84A,B 26~30F하향식피난구</v>
      </c>
      <c r="O120" s="20"/>
      <c r="P120" s="20"/>
      <c r="Z120" s="3" t="str">
        <f>원본!R120</f>
        <v>26-2331</v>
      </c>
      <c r="AA120" s="2">
        <f>COUNTIF(Z$2:Z120,Z120)</f>
        <v>14</v>
      </c>
    </row>
    <row r="121" spans="1:27" ht="16.5" customHeight="1" x14ac:dyDescent="0.3">
      <c r="A121" s="5" t="str">
        <f>원본!A121</f>
        <v>260828-06</v>
      </c>
      <c r="B121" s="5" t="str">
        <f>원본!F121</f>
        <v>TP</v>
      </c>
      <c r="C121" s="1" t="str">
        <f>원본!G121</f>
        <v>5newGN+12AR.+5로이</v>
      </c>
      <c r="D121" s="5">
        <f>원본!H121</f>
        <v>22</v>
      </c>
      <c r="E121" s="1" t="s">
        <v>18</v>
      </c>
      <c r="F121" s="1">
        <f>원본!I121</f>
        <v>1719</v>
      </c>
      <c r="G121" s="1">
        <f>원본!J121</f>
        <v>1820</v>
      </c>
      <c r="H121" s="1">
        <f>원본!K121</f>
        <v>15</v>
      </c>
      <c r="J121" s="1">
        <f t="shared" si="2"/>
        <v>15</v>
      </c>
      <c r="K121" s="1">
        <f>원본!N121</f>
        <v>511.16</v>
      </c>
      <c r="L121" s="4" t="str">
        <f>원본!D121</f>
        <v>우미건설(주)e</v>
      </c>
      <c r="M121" s="1" t="str">
        <f>+원본!E121</f>
        <v xml:space="preserve"> 남원주 역세권 복합용지 AC-4BL 우미린 공동주택현장</v>
      </c>
      <c r="N121" s="1" t="str">
        <f>+원본!P121</f>
        <v>2동 3~5호84A,B 26~30F거실F(外)</v>
      </c>
      <c r="O121" s="20"/>
      <c r="P121" s="20"/>
      <c r="Z121" s="3" t="str">
        <f>원본!R121</f>
        <v>26-2330</v>
      </c>
      <c r="AA121" s="2">
        <f>COUNTIF(Z$2:Z121,Z121)</f>
        <v>1</v>
      </c>
    </row>
    <row r="122" spans="1:27" ht="16.5" customHeight="1" x14ac:dyDescent="0.3">
      <c r="A122" s="5" t="str">
        <f>원본!A122</f>
        <v>260828-06</v>
      </c>
      <c r="B122" s="5" t="str">
        <f>원본!F122</f>
        <v>TP</v>
      </c>
      <c r="C122" s="1" t="str">
        <f>원본!G122</f>
        <v>5newGN+12AR.+5로이</v>
      </c>
      <c r="D122" s="5">
        <f>원본!H122</f>
        <v>22</v>
      </c>
      <c r="E122" s="1" t="s">
        <v>18</v>
      </c>
      <c r="F122" s="1">
        <f>원본!I122</f>
        <v>763</v>
      </c>
      <c r="G122" s="1">
        <f>원본!J122</f>
        <v>1820</v>
      </c>
      <c r="H122" s="1">
        <f>원본!K122</f>
        <v>30</v>
      </c>
      <c r="J122" s="1">
        <f t="shared" si="2"/>
        <v>30</v>
      </c>
      <c r="K122" s="1">
        <f>원본!N122</f>
        <v>453.77</v>
      </c>
      <c r="L122" s="4" t="str">
        <f>원본!D122</f>
        <v>우미건설(주)e</v>
      </c>
      <c r="M122" s="1" t="str">
        <f>+원본!E122</f>
        <v xml:space="preserve"> 남원주 역세권 복합용지 AC-4BL 우미린 공동주택현장</v>
      </c>
      <c r="N122" s="1" t="str">
        <f>+원본!P122</f>
        <v>2동 3~5호84A,B 26~30F거실S(外)</v>
      </c>
      <c r="O122" s="20"/>
      <c r="P122" s="20"/>
      <c r="Z122" s="3" t="str">
        <f>원본!R122</f>
        <v>26-2330</v>
      </c>
      <c r="AA122" s="2">
        <f>COUNTIF(Z$2:Z122,Z122)</f>
        <v>2</v>
      </c>
    </row>
    <row r="123" spans="1:27" ht="16.5" customHeight="1" x14ac:dyDescent="0.3">
      <c r="A123" s="5" t="str">
        <f>원본!A123</f>
        <v>260828-06</v>
      </c>
      <c r="B123" s="5" t="str">
        <f>원본!F123</f>
        <v>TP</v>
      </c>
      <c r="C123" s="1" t="str">
        <f>원본!G123</f>
        <v>5newGN+12AR.+5로이</v>
      </c>
      <c r="D123" s="5">
        <f>원본!H123</f>
        <v>22</v>
      </c>
      <c r="E123" s="1" t="s">
        <v>18</v>
      </c>
      <c r="F123" s="1">
        <f>원본!I123</f>
        <v>755</v>
      </c>
      <c r="G123" s="1">
        <f>원본!J123</f>
        <v>950</v>
      </c>
      <c r="H123" s="1">
        <f>원본!K123</f>
        <v>60</v>
      </c>
      <c r="J123" s="1">
        <f t="shared" si="2"/>
        <v>60</v>
      </c>
      <c r="K123" s="1">
        <f>원본!N123</f>
        <v>468.74</v>
      </c>
      <c r="L123" s="4" t="str">
        <f>원본!D123</f>
        <v>우미건설(주)e</v>
      </c>
      <c r="M123" s="1" t="str">
        <f>+원본!E123</f>
        <v xml:space="preserve"> 남원주 역세권 복합용지 AC-4BL 우미린 공동주택현장</v>
      </c>
      <c r="N123" s="1" t="str">
        <f>+원본!P123</f>
        <v>2동 3~5호84A,B 26~30F침실1,2(外)</v>
      </c>
      <c r="O123" s="20"/>
      <c r="P123" s="20"/>
      <c r="Z123" s="3" t="str">
        <f>원본!R123</f>
        <v>26-2330</v>
      </c>
      <c r="AA123" s="2">
        <f>COUNTIF(Z$2:Z123,Z123)</f>
        <v>3</v>
      </c>
    </row>
    <row r="124" spans="1:27" ht="16.5" customHeight="1" x14ac:dyDescent="0.3">
      <c r="A124" s="5" t="str">
        <f>원본!A124</f>
        <v>260828-06</v>
      </c>
      <c r="B124" s="5" t="str">
        <f>원본!F124</f>
        <v>TP</v>
      </c>
      <c r="C124" s="1" t="str">
        <f>원본!G124</f>
        <v>5newGN+12AR.+5로이</v>
      </c>
      <c r="D124" s="5">
        <f>원본!H124</f>
        <v>22</v>
      </c>
      <c r="E124" s="1" t="s">
        <v>18</v>
      </c>
      <c r="F124" s="1">
        <f>원본!I124</f>
        <v>455</v>
      </c>
      <c r="G124" s="1">
        <f>원본!J124</f>
        <v>950</v>
      </c>
      <c r="H124" s="1">
        <f>원본!K124</f>
        <v>40</v>
      </c>
      <c r="J124" s="1">
        <f t="shared" si="2"/>
        <v>40</v>
      </c>
      <c r="K124" s="1">
        <f>원본!N124</f>
        <v>188.33</v>
      </c>
      <c r="L124" s="4" t="str">
        <f>원본!D124</f>
        <v>우미건설(주)e</v>
      </c>
      <c r="M124" s="1" t="str">
        <f>+원본!E124</f>
        <v xml:space="preserve"> 남원주 역세권 복합용지 AC-4BL 우미린 공동주택현장</v>
      </c>
      <c r="N124" s="1" t="str">
        <f>+원본!P124</f>
        <v>2동 3~5호84A,B 26~30F주방/식당,드레스룸(外)</v>
      </c>
      <c r="O124" s="20"/>
      <c r="P124" s="20"/>
      <c r="Z124" s="3" t="str">
        <f>원본!R124</f>
        <v>26-2330</v>
      </c>
      <c r="AA124" s="2">
        <f>COUNTIF(Z$2:Z124,Z124)</f>
        <v>4</v>
      </c>
    </row>
    <row r="125" spans="1:27" ht="16.5" customHeight="1" x14ac:dyDescent="0.3">
      <c r="A125" s="5" t="str">
        <f>원본!A125</f>
        <v>260828-06</v>
      </c>
      <c r="B125" s="5" t="str">
        <f>원본!F125</f>
        <v>TP</v>
      </c>
      <c r="C125" s="1" t="str">
        <f>원본!G125</f>
        <v>5newGN+12AR.+5로이</v>
      </c>
      <c r="D125" s="5">
        <f>원본!H125</f>
        <v>22</v>
      </c>
      <c r="E125" s="1" t="s">
        <v>18</v>
      </c>
      <c r="F125" s="1">
        <f>원본!I125</f>
        <v>305</v>
      </c>
      <c r="G125" s="1">
        <f>원본!J125</f>
        <v>950</v>
      </c>
      <c r="H125" s="1">
        <f>원본!K125</f>
        <v>40</v>
      </c>
      <c r="J125" s="1">
        <f t="shared" si="2"/>
        <v>40</v>
      </c>
      <c r="K125" s="1">
        <f>원본!N125</f>
        <v>126.24</v>
      </c>
      <c r="L125" s="4" t="str">
        <f>원본!D125</f>
        <v>우미건설(주)e</v>
      </c>
      <c r="M125" s="1" t="str">
        <f>+원본!E125</f>
        <v xml:space="preserve"> 남원주 역세권 복합용지 AC-4BL 우미린 공동주택현장</v>
      </c>
      <c r="N125" s="1" t="str">
        <f>+원본!P125</f>
        <v>2동 3~5호84A,B 26~30F드레스룸,팬트리(外)</v>
      </c>
      <c r="O125" s="20"/>
      <c r="P125" s="20"/>
      <c r="Z125" s="3" t="str">
        <f>원본!R125</f>
        <v>26-2330</v>
      </c>
      <c r="AA125" s="2">
        <f>COUNTIF(Z$2:Z125,Z125)</f>
        <v>5</v>
      </c>
    </row>
    <row r="126" spans="1:27" ht="16.5" customHeight="1" x14ac:dyDescent="0.3">
      <c r="A126" s="5" t="str">
        <f>원본!A126</f>
        <v>260828-06</v>
      </c>
      <c r="B126" s="5" t="str">
        <f>원본!F126</f>
        <v>TP</v>
      </c>
      <c r="C126" s="1" t="str">
        <f>원본!G126</f>
        <v>5newGN+12AR.+5로이</v>
      </c>
      <c r="D126" s="5">
        <f>원본!H126</f>
        <v>22</v>
      </c>
      <c r="E126" s="1" t="s">
        <v>18</v>
      </c>
      <c r="F126" s="1">
        <f>원본!I126</f>
        <v>405</v>
      </c>
      <c r="G126" s="1">
        <f>원본!J126</f>
        <v>900</v>
      </c>
      <c r="H126" s="1">
        <f>원본!K126</f>
        <v>30</v>
      </c>
      <c r="J126" s="1">
        <f t="shared" si="2"/>
        <v>30</v>
      </c>
      <c r="K126" s="1">
        <f>원본!N126</f>
        <v>119.11</v>
      </c>
      <c r="L126" s="4" t="str">
        <f>원본!D126</f>
        <v>우미건설(주)e</v>
      </c>
      <c r="M126" s="1" t="str">
        <f>+원본!E126</f>
        <v xml:space="preserve"> 남원주 역세권 복합용지 AC-4BL 우미린 공동주택현장</v>
      </c>
      <c r="N126" s="1" t="str">
        <f>+원본!P126</f>
        <v>2동 3~5호84A,B 26~30F발코니2(外)</v>
      </c>
      <c r="O126" s="20"/>
      <c r="P126" s="20"/>
      <c r="Z126" s="3" t="str">
        <f>원본!R126</f>
        <v>26-2330</v>
      </c>
      <c r="AA126" s="2">
        <f>COUNTIF(Z$2:Z126,Z126)</f>
        <v>6</v>
      </c>
    </row>
    <row r="127" spans="1:27" ht="16.5" customHeight="1" x14ac:dyDescent="0.3">
      <c r="A127" s="5" t="str">
        <f>원본!A127</f>
        <v>260828-06</v>
      </c>
      <c r="B127" s="5" t="str">
        <f>원본!F127</f>
        <v>TP</v>
      </c>
      <c r="C127" s="1" t="str">
        <f>원본!G127</f>
        <v>5CL+12Ar.+5로이</v>
      </c>
      <c r="D127" s="5">
        <f>원본!H127</f>
        <v>22</v>
      </c>
      <c r="E127" s="1" t="s">
        <v>18</v>
      </c>
      <c r="F127" s="1">
        <f>원본!I127</f>
        <v>1719</v>
      </c>
      <c r="G127" s="1">
        <f>원본!J127</f>
        <v>1820</v>
      </c>
      <c r="H127" s="1">
        <f>원본!K127</f>
        <v>15</v>
      </c>
      <c r="J127" s="1">
        <f t="shared" si="2"/>
        <v>15</v>
      </c>
      <c r="K127" s="1">
        <f>원본!N127</f>
        <v>511.16</v>
      </c>
      <c r="L127" s="4" t="str">
        <f>원본!D127</f>
        <v>우미건설(주)e</v>
      </c>
      <c r="M127" s="1" t="str">
        <f>+원본!E127</f>
        <v xml:space="preserve"> 남원주 역세권 복합용지 AC-4BL 우미린 공동주택현장</v>
      </c>
      <c r="N127" s="1" t="str">
        <f>+원본!P127</f>
        <v>2동 3~5호84A,B 26~30F거실F(內)</v>
      </c>
      <c r="O127" s="20"/>
      <c r="P127" s="20"/>
      <c r="Z127" s="3" t="str">
        <f>원본!R127</f>
        <v>26-2330</v>
      </c>
      <c r="AA127" s="2">
        <f>COUNTIF(Z$2:Z127,Z127)</f>
        <v>7</v>
      </c>
    </row>
    <row r="128" spans="1:27" ht="16.5" customHeight="1" x14ac:dyDescent="0.3">
      <c r="A128" s="5" t="str">
        <f>원본!A128</f>
        <v>260828-06</v>
      </c>
      <c r="B128" s="5" t="str">
        <f>원본!F128</f>
        <v>TP</v>
      </c>
      <c r="C128" s="1" t="str">
        <f>원본!G128</f>
        <v>5CL+12Ar.+5로이</v>
      </c>
      <c r="D128" s="5">
        <f>원본!H128</f>
        <v>22</v>
      </c>
      <c r="E128" s="1" t="s">
        <v>18</v>
      </c>
      <c r="F128" s="1">
        <f>원본!I128</f>
        <v>763</v>
      </c>
      <c r="G128" s="1">
        <f>원본!J128</f>
        <v>1820</v>
      </c>
      <c r="H128" s="1">
        <f>원본!K128</f>
        <v>30</v>
      </c>
      <c r="J128" s="1">
        <f t="shared" si="2"/>
        <v>30</v>
      </c>
      <c r="K128" s="1">
        <f>원본!N128</f>
        <v>453.77</v>
      </c>
      <c r="L128" s="4" t="str">
        <f>원본!D128</f>
        <v>우미건설(주)e</v>
      </c>
      <c r="M128" s="1" t="str">
        <f>+원본!E128</f>
        <v xml:space="preserve"> 남원주 역세권 복합용지 AC-4BL 우미린 공동주택현장</v>
      </c>
      <c r="N128" s="1" t="str">
        <f>+원본!P128</f>
        <v>2동 3~5호84A,B 26~30F거실S(內)</v>
      </c>
      <c r="O128" s="20"/>
      <c r="P128" s="20"/>
      <c r="Z128" s="3" t="str">
        <f>원본!R128</f>
        <v>26-2330</v>
      </c>
      <c r="AA128" s="2">
        <f>COUNTIF(Z$2:Z128,Z128)</f>
        <v>8</v>
      </c>
    </row>
    <row r="129" spans="1:27" ht="16.5" customHeight="1" x14ac:dyDescent="0.3">
      <c r="A129" s="5" t="str">
        <f>원본!A129</f>
        <v>260828-06</v>
      </c>
      <c r="B129" s="5" t="str">
        <f>원본!F129</f>
        <v>TP</v>
      </c>
      <c r="C129" s="1" t="str">
        <f>원본!G129</f>
        <v>5CL+12Ar.+5로이</v>
      </c>
      <c r="D129" s="5">
        <f>원본!H129</f>
        <v>22</v>
      </c>
      <c r="E129" s="1" t="s">
        <v>18</v>
      </c>
      <c r="F129" s="1">
        <f>원본!I129</f>
        <v>755</v>
      </c>
      <c r="G129" s="1">
        <f>원본!J129</f>
        <v>950</v>
      </c>
      <c r="H129" s="1">
        <f>원본!K129</f>
        <v>60</v>
      </c>
      <c r="J129" s="1">
        <f t="shared" si="2"/>
        <v>60</v>
      </c>
      <c r="K129" s="1">
        <f>원본!N129</f>
        <v>468.74</v>
      </c>
      <c r="L129" s="4" t="str">
        <f>원본!D129</f>
        <v>우미건설(주)e</v>
      </c>
      <c r="M129" s="1" t="str">
        <f>+원본!E129</f>
        <v xml:space="preserve"> 남원주 역세권 복합용지 AC-4BL 우미린 공동주택현장</v>
      </c>
      <c r="N129" s="1" t="str">
        <f>+원본!P129</f>
        <v>2동 3~5호84A,B 26~30F침실1,2(內)</v>
      </c>
      <c r="O129" s="20"/>
      <c r="P129" s="20"/>
      <c r="Z129" s="3" t="str">
        <f>원본!R129</f>
        <v>26-2330</v>
      </c>
      <c r="AA129" s="2">
        <f>COUNTIF(Z$2:Z129,Z129)</f>
        <v>9</v>
      </c>
    </row>
    <row r="130" spans="1:27" ht="16.5" customHeight="1" x14ac:dyDescent="0.3">
      <c r="A130" s="5" t="str">
        <f>원본!A130</f>
        <v>260828-06</v>
      </c>
      <c r="B130" s="5" t="str">
        <f>원본!F130</f>
        <v>TP</v>
      </c>
      <c r="C130" s="1" t="str">
        <f>원본!G130</f>
        <v>5CL+12Ar.+5로이</v>
      </c>
      <c r="D130" s="5">
        <f>원본!H130</f>
        <v>22</v>
      </c>
      <c r="E130" s="1" t="s">
        <v>18</v>
      </c>
      <c r="F130" s="1">
        <f>원본!I130</f>
        <v>455</v>
      </c>
      <c r="G130" s="1">
        <f>원본!J130</f>
        <v>950</v>
      </c>
      <c r="H130" s="1">
        <f>원본!K130</f>
        <v>40</v>
      </c>
      <c r="J130" s="1">
        <f t="shared" si="2"/>
        <v>40</v>
      </c>
      <c r="K130" s="1">
        <f>원본!N130</f>
        <v>188.33</v>
      </c>
      <c r="L130" s="4" t="str">
        <f>원본!D130</f>
        <v>우미건설(주)e</v>
      </c>
      <c r="M130" s="1" t="str">
        <f>+원본!E130</f>
        <v xml:space="preserve"> 남원주 역세권 복합용지 AC-4BL 우미린 공동주택현장</v>
      </c>
      <c r="N130" s="1" t="str">
        <f>+원본!P130</f>
        <v>2동 3~5호84A,B 26~30F주방/식당,드레스룸(內)</v>
      </c>
      <c r="O130" s="20"/>
      <c r="P130" s="20"/>
      <c r="Z130" s="3" t="str">
        <f>원본!R130</f>
        <v>26-2330</v>
      </c>
      <c r="AA130" s="2">
        <f>COUNTIF(Z$2:Z130,Z130)</f>
        <v>10</v>
      </c>
    </row>
    <row r="131" spans="1:27" ht="16.5" customHeight="1" x14ac:dyDescent="0.3">
      <c r="A131" s="5" t="str">
        <f>원본!A131</f>
        <v>260828-06</v>
      </c>
      <c r="B131" s="5" t="str">
        <f>원본!F131</f>
        <v>TP</v>
      </c>
      <c r="C131" s="1" t="str">
        <f>원본!G131</f>
        <v>5CL+12Ar.+5로이</v>
      </c>
      <c r="D131" s="5">
        <f>원본!H131</f>
        <v>22</v>
      </c>
      <c r="E131" s="1" t="s">
        <v>18</v>
      </c>
      <c r="F131" s="1">
        <f>원본!I131</f>
        <v>305</v>
      </c>
      <c r="G131" s="1">
        <f>원본!J131</f>
        <v>950</v>
      </c>
      <c r="H131" s="1">
        <f>원본!K131</f>
        <v>40</v>
      </c>
      <c r="J131" s="1">
        <f t="shared" si="2"/>
        <v>40</v>
      </c>
      <c r="K131" s="1">
        <f>원본!N131</f>
        <v>126.24</v>
      </c>
      <c r="L131" s="4" t="str">
        <f>원본!D131</f>
        <v>우미건설(주)e</v>
      </c>
      <c r="M131" s="1" t="str">
        <f>+원본!E131</f>
        <v xml:space="preserve"> 남원주 역세권 복합용지 AC-4BL 우미린 공동주택현장</v>
      </c>
      <c r="N131" s="1" t="str">
        <f>+원본!P131</f>
        <v>2동 3,5호84A,B 26~30F드레스룸,팬트리(內)</v>
      </c>
      <c r="O131" s="20"/>
      <c r="P131" s="20"/>
      <c r="Z131" s="3" t="str">
        <f>원본!R131</f>
        <v>26-2330</v>
      </c>
      <c r="AA131" s="2">
        <f>COUNTIF(Z$2:Z131,Z131)</f>
        <v>11</v>
      </c>
    </row>
    <row r="132" spans="1:27" ht="16.5" customHeight="1" x14ac:dyDescent="0.3">
      <c r="A132" s="5" t="str">
        <f>원본!A132</f>
        <v>260828-06</v>
      </c>
      <c r="B132" s="5" t="str">
        <f>원본!F132</f>
        <v>TP</v>
      </c>
      <c r="C132" s="1" t="str">
        <f>원본!G132</f>
        <v>5CL+12Ar.+5로이</v>
      </c>
      <c r="D132" s="5">
        <f>원본!H132</f>
        <v>22</v>
      </c>
      <c r="E132" s="1" t="s">
        <v>18</v>
      </c>
      <c r="F132" s="1">
        <f>원본!I132</f>
        <v>405</v>
      </c>
      <c r="G132" s="1">
        <f>원본!J132</f>
        <v>900</v>
      </c>
      <c r="H132" s="1">
        <f>원본!K132</f>
        <v>30</v>
      </c>
      <c r="J132" s="1">
        <f t="shared" ref="J132:J195" si="3">H132</f>
        <v>30</v>
      </c>
      <c r="K132" s="1">
        <f>원본!N132</f>
        <v>119.11</v>
      </c>
      <c r="L132" s="4" t="str">
        <f>원본!D132</f>
        <v>우미건설(주)e</v>
      </c>
      <c r="M132" s="1" t="str">
        <f>+원본!E132</f>
        <v xml:space="preserve"> 남원주 역세권 복합용지 AC-4BL 우미린 공동주택현장</v>
      </c>
      <c r="N132" s="1" t="str">
        <f>+원본!P132</f>
        <v>2동 3~5호84A,B 26~30F발코니2(內)</v>
      </c>
      <c r="O132" s="20"/>
      <c r="P132" s="20"/>
      <c r="Z132" s="3" t="str">
        <f>원본!R132</f>
        <v>26-2330</v>
      </c>
      <c r="AA132" s="2">
        <f>COUNTIF(Z$2:Z132,Z132)</f>
        <v>12</v>
      </c>
    </row>
    <row r="133" spans="1:27" ht="16.5" customHeight="1" x14ac:dyDescent="0.3">
      <c r="A133" s="5" t="str">
        <f>원본!A133</f>
        <v>260828-06</v>
      </c>
      <c r="B133" s="5" t="str">
        <f>원본!F133</f>
        <v>TP</v>
      </c>
      <c r="C133" s="1" t="str">
        <f>원본!G133</f>
        <v>5newGN+12A+5로이</v>
      </c>
      <c r="D133" s="5">
        <f>원본!H133</f>
        <v>22</v>
      </c>
      <c r="E133" s="1" t="s">
        <v>18</v>
      </c>
      <c r="F133" s="1">
        <f>원본!I133</f>
        <v>705</v>
      </c>
      <c r="G133" s="1">
        <f>원본!J133</f>
        <v>1820</v>
      </c>
      <c r="H133" s="1">
        <f>원본!K133</f>
        <v>20</v>
      </c>
      <c r="J133" s="1">
        <f t="shared" si="3"/>
        <v>20</v>
      </c>
      <c r="K133" s="1">
        <f>원본!N133</f>
        <v>279.52</v>
      </c>
      <c r="L133" s="4" t="str">
        <f>원본!D133</f>
        <v>우미건설(주)e</v>
      </c>
      <c r="M133" s="1" t="str">
        <f>+원본!E133</f>
        <v xml:space="preserve"> 남원주 역세권 복합용지 AC-4BL 우미린 공동주택현장</v>
      </c>
      <c r="N133" s="1" t="str">
        <f>+원본!P133</f>
        <v>2동 4,5호84A,B 26~30F발코니1</v>
      </c>
      <c r="O133" s="20"/>
      <c r="P133" s="20"/>
      <c r="Z133" s="3" t="str">
        <f>원본!R133</f>
        <v>26-2330</v>
      </c>
      <c r="AA133" s="2">
        <f>COUNTIF(Z$2:Z133,Z133)</f>
        <v>13</v>
      </c>
    </row>
    <row r="134" spans="1:27" ht="16.5" customHeight="1" x14ac:dyDescent="0.3">
      <c r="A134" s="5" t="str">
        <f>원본!A134</f>
        <v>260828-06</v>
      </c>
      <c r="B134" s="5" t="str">
        <f>원본!F134</f>
        <v>TP</v>
      </c>
      <c r="C134" s="1" t="str">
        <f>원본!G134</f>
        <v>5newGN+12A+5로이</v>
      </c>
      <c r="D134" s="5">
        <f>원본!H134</f>
        <v>22</v>
      </c>
      <c r="E134" s="1" t="s">
        <v>18</v>
      </c>
      <c r="F134" s="1">
        <f>원본!I134</f>
        <v>405</v>
      </c>
      <c r="G134" s="1">
        <f>원본!J134</f>
        <v>950</v>
      </c>
      <c r="H134" s="1">
        <f>원본!K134</f>
        <v>30</v>
      </c>
      <c r="J134" s="1">
        <f t="shared" si="3"/>
        <v>30</v>
      </c>
      <c r="K134" s="1">
        <f>원본!N134</f>
        <v>125.72</v>
      </c>
      <c r="L134" s="4" t="str">
        <f>원본!D134</f>
        <v>우미건설(주)e</v>
      </c>
      <c r="M134" s="1" t="str">
        <f>+원본!E134</f>
        <v xml:space="preserve"> 남원주 역세권 복합용지 AC-4BL 우미린 공동주택현장</v>
      </c>
      <c r="N134" s="1" t="str">
        <f>+원본!P134</f>
        <v>2동 3~5호84A,B 26~30F하향식피난구</v>
      </c>
      <c r="O134" s="20"/>
      <c r="P134" s="20"/>
      <c r="Z134" s="3" t="str">
        <f>원본!R134</f>
        <v>26-2330</v>
      </c>
      <c r="AA134" s="2">
        <f>COUNTIF(Z$2:Z134,Z134)</f>
        <v>14</v>
      </c>
    </row>
    <row r="135" spans="1:27" ht="16.5" customHeight="1" x14ac:dyDescent="0.3">
      <c r="A135" s="5" t="str">
        <f>원본!A135</f>
        <v>260828-05</v>
      </c>
      <c r="B135" s="5" t="str">
        <f>원본!F135</f>
        <v>TP</v>
      </c>
      <c r="C135" s="1" t="str">
        <f>원본!G135</f>
        <v>5newGN+12AR.+5로이</v>
      </c>
      <c r="D135" s="5">
        <f>원본!H135</f>
        <v>22</v>
      </c>
      <c r="E135" s="1" t="s">
        <v>18</v>
      </c>
      <c r="F135" s="1">
        <f>원본!I135</f>
        <v>1719</v>
      </c>
      <c r="G135" s="1">
        <f>원본!J135</f>
        <v>1820</v>
      </c>
      <c r="H135" s="1">
        <f>원본!K135</f>
        <v>10</v>
      </c>
      <c r="J135" s="1">
        <f t="shared" si="3"/>
        <v>10</v>
      </c>
      <c r="K135" s="1">
        <f>원본!N135</f>
        <v>340.77</v>
      </c>
      <c r="L135" s="4" t="str">
        <f>원본!D135</f>
        <v>우미건설(주)e</v>
      </c>
      <c r="M135" s="1" t="str">
        <f>+원본!E135</f>
        <v xml:space="preserve"> 남원주 역세권 복합용지 AC-4BL 우미린 공동주택현장</v>
      </c>
      <c r="N135" s="1" t="str">
        <f>+원본!P135</f>
        <v>2동 1,2호84A,C 26~30F거실F(外)</v>
      </c>
      <c r="O135" s="20"/>
      <c r="P135" s="20"/>
      <c r="Z135" s="3" t="str">
        <f>원본!R135</f>
        <v>26-2329</v>
      </c>
      <c r="AA135" s="2">
        <f>COUNTIF(Z$2:Z135,Z135)</f>
        <v>1</v>
      </c>
    </row>
    <row r="136" spans="1:27" ht="16.5" customHeight="1" x14ac:dyDescent="0.3">
      <c r="A136" s="5" t="str">
        <f>원본!A136</f>
        <v>260828-05</v>
      </c>
      <c r="B136" s="5" t="str">
        <f>원본!F136</f>
        <v>TP</v>
      </c>
      <c r="C136" s="1" t="str">
        <f>원본!G136</f>
        <v>5newGN+12AR.+5로이</v>
      </c>
      <c r="D136" s="5">
        <f>원본!H136</f>
        <v>22</v>
      </c>
      <c r="E136" s="1" t="s">
        <v>18</v>
      </c>
      <c r="F136" s="1">
        <f>원본!I136</f>
        <v>763</v>
      </c>
      <c r="G136" s="1">
        <f>원본!J136</f>
        <v>1820</v>
      </c>
      <c r="H136" s="1">
        <f>원본!K136</f>
        <v>20</v>
      </c>
      <c r="J136" s="1">
        <f t="shared" si="3"/>
        <v>20</v>
      </c>
      <c r="K136" s="1">
        <f>원본!N136</f>
        <v>302.51</v>
      </c>
      <c r="L136" s="4" t="str">
        <f>원본!D136</f>
        <v>우미건설(주)e</v>
      </c>
      <c r="M136" s="1" t="str">
        <f>+원본!E136</f>
        <v xml:space="preserve"> 남원주 역세권 복합용지 AC-4BL 우미린 공동주택현장</v>
      </c>
      <c r="N136" s="1" t="str">
        <f>+원본!P136</f>
        <v>2동 1,2호84A,C 26~30F거실S(外)</v>
      </c>
      <c r="O136" s="20"/>
      <c r="P136" s="20"/>
      <c r="Z136" s="3" t="str">
        <f>원본!R136</f>
        <v>26-2329</v>
      </c>
      <c r="AA136" s="2">
        <f>COUNTIF(Z$2:Z136,Z136)</f>
        <v>2</v>
      </c>
    </row>
    <row r="137" spans="1:27" ht="16.5" customHeight="1" x14ac:dyDescent="0.3">
      <c r="A137" s="5" t="str">
        <f>원본!A137</f>
        <v>260828-05</v>
      </c>
      <c r="B137" s="5" t="str">
        <f>원본!F137</f>
        <v>TP</v>
      </c>
      <c r="C137" s="1" t="str">
        <f>원본!G137</f>
        <v>5newGN+12AR.+5로이</v>
      </c>
      <c r="D137" s="5">
        <f>원본!H137</f>
        <v>22</v>
      </c>
      <c r="E137" s="1" t="s">
        <v>18</v>
      </c>
      <c r="F137" s="1">
        <f>원본!I137</f>
        <v>405</v>
      </c>
      <c r="G137" s="1">
        <f>원본!J137</f>
        <v>1310</v>
      </c>
      <c r="H137" s="1">
        <f>원본!K137</f>
        <v>10</v>
      </c>
      <c r="J137" s="1">
        <f t="shared" si="3"/>
        <v>10</v>
      </c>
      <c r="K137" s="1">
        <f>원본!N137</f>
        <v>57.79</v>
      </c>
      <c r="L137" s="4" t="str">
        <f>원본!D137</f>
        <v>우미건설(주)e</v>
      </c>
      <c r="M137" s="1" t="str">
        <f>+원본!E137</f>
        <v xml:space="preserve"> 남원주 역세권 복합용지 AC-4BL 우미린 공동주택현장</v>
      </c>
      <c r="N137" s="1" t="str">
        <f>+원본!P137</f>
        <v>2동 1호84C 26~30F복도(外)</v>
      </c>
      <c r="O137" s="20"/>
      <c r="P137" s="20"/>
      <c r="Z137" s="3" t="str">
        <f>원본!R137</f>
        <v>26-2329</v>
      </c>
      <c r="AA137" s="2">
        <f>COUNTIF(Z$2:Z137,Z137)</f>
        <v>3</v>
      </c>
    </row>
    <row r="138" spans="1:27" ht="16.5" customHeight="1" x14ac:dyDescent="0.3">
      <c r="A138" s="5" t="str">
        <f>원본!A138</f>
        <v>260828-05</v>
      </c>
      <c r="B138" s="5" t="str">
        <f>원본!F138</f>
        <v>TP</v>
      </c>
      <c r="C138" s="1" t="str">
        <f>원본!G138</f>
        <v>5newGN+12AR.+5로이</v>
      </c>
      <c r="D138" s="5">
        <f>원본!H138</f>
        <v>22</v>
      </c>
      <c r="E138" s="1" t="s">
        <v>18</v>
      </c>
      <c r="F138" s="1">
        <f>원본!I138</f>
        <v>755</v>
      </c>
      <c r="G138" s="1">
        <f>원본!J138</f>
        <v>950</v>
      </c>
      <c r="H138" s="1">
        <f>원본!K138</f>
        <v>40</v>
      </c>
      <c r="J138" s="1">
        <f t="shared" si="3"/>
        <v>40</v>
      </c>
      <c r="K138" s="1">
        <f>원본!N138</f>
        <v>312.5</v>
      </c>
      <c r="L138" s="4" t="str">
        <f>원본!D138</f>
        <v>우미건설(주)e</v>
      </c>
      <c r="M138" s="1" t="str">
        <f>+원본!E138</f>
        <v xml:space="preserve"> 남원주 역세권 복합용지 AC-4BL 우미린 공동주택현장</v>
      </c>
      <c r="N138" s="1" t="str">
        <f>+원본!P138</f>
        <v>2동 1,2호84A,C 26~30F침실1,2(外)</v>
      </c>
      <c r="O138" s="20"/>
      <c r="P138" s="20"/>
      <c r="Z138" s="3" t="str">
        <f>원본!R138</f>
        <v>26-2329</v>
      </c>
      <c r="AA138" s="2">
        <f>COUNTIF(Z$2:Z138,Z138)</f>
        <v>4</v>
      </c>
    </row>
    <row r="139" spans="1:27" ht="16.5" customHeight="1" x14ac:dyDescent="0.3">
      <c r="A139" s="5" t="str">
        <f>원본!A139</f>
        <v>260828-05</v>
      </c>
      <c r="B139" s="5" t="str">
        <f>원본!F139</f>
        <v>TP</v>
      </c>
      <c r="C139" s="1" t="str">
        <f>원본!G139</f>
        <v>5newGN+12AR.+5로이</v>
      </c>
      <c r="D139" s="5">
        <f>원본!H139</f>
        <v>22</v>
      </c>
      <c r="E139" s="1" t="s">
        <v>18</v>
      </c>
      <c r="F139" s="1">
        <f>원본!I139</f>
        <v>455</v>
      </c>
      <c r="G139" s="1">
        <f>원본!J139</f>
        <v>950</v>
      </c>
      <c r="H139" s="1">
        <f>원본!K139</f>
        <v>20</v>
      </c>
      <c r="J139" s="1">
        <f t="shared" si="3"/>
        <v>20</v>
      </c>
      <c r="K139" s="1">
        <f>원본!N139</f>
        <v>94.16</v>
      </c>
      <c r="L139" s="4" t="str">
        <f>원본!D139</f>
        <v>우미건설(주)e</v>
      </c>
      <c r="M139" s="1" t="str">
        <f>+원본!E139</f>
        <v xml:space="preserve"> 남원주 역세권 복합용지 AC-4BL 우미린 공동주택현장</v>
      </c>
      <c r="N139" s="1" t="str">
        <f>+원본!P139</f>
        <v>2동 1,2호84A,C 26~30F주방/식당(外)</v>
      </c>
      <c r="O139" s="20"/>
      <c r="P139" s="20"/>
      <c r="Z139" s="3" t="str">
        <f>원본!R139</f>
        <v>26-2329</v>
      </c>
      <c r="AA139" s="2">
        <f>COUNTIF(Z$2:Z139,Z139)</f>
        <v>5</v>
      </c>
    </row>
    <row r="140" spans="1:27" ht="16.5" customHeight="1" x14ac:dyDescent="0.3">
      <c r="A140" s="5" t="str">
        <f>원본!A140</f>
        <v>260828-05</v>
      </c>
      <c r="B140" s="5" t="str">
        <f>원본!F140</f>
        <v>TP</v>
      </c>
      <c r="C140" s="1" t="str">
        <f>원본!G140</f>
        <v>5newGN+12AR.+5로이</v>
      </c>
      <c r="D140" s="5">
        <f>원본!H140</f>
        <v>22</v>
      </c>
      <c r="E140" s="1" t="s">
        <v>18</v>
      </c>
      <c r="F140" s="1">
        <f>원본!I140</f>
        <v>305</v>
      </c>
      <c r="G140" s="1">
        <f>원본!J140</f>
        <v>950</v>
      </c>
      <c r="H140" s="1">
        <f>원본!K140</f>
        <v>30</v>
      </c>
      <c r="J140" s="1">
        <f t="shared" si="3"/>
        <v>30</v>
      </c>
      <c r="K140" s="1">
        <f>원본!N140</f>
        <v>94.68</v>
      </c>
      <c r="L140" s="4" t="str">
        <f>원본!D140</f>
        <v>우미건설(주)e</v>
      </c>
      <c r="M140" s="1" t="str">
        <f>+원본!E140</f>
        <v xml:space="preserve"> 남원주 역세권 복합용지 AC-4BL 우미린 공동주택현장</v>
      </c>
      <c r="N140" s="1" t="str">
        <f>+원본!P140</f>
        <v>2동 1,2호84A,C 26~30F드레스룸,팬트리(外)</v>
      </c>
      <c r="O140" s="20"/>
      <c r="P140" s="20"/>
      <c r="Z140" s="3" t="str">
        <f>원본!R140</f>
        <v>26-2329</v>
      </c>
      <c r="AA140" s="2">
        <f>COUNTIF(Z$2:Z140,Z140)</f>
        <v>6</v>
      </c>
    </row>
    <row r="141" spans="1:27" ht="16.5" customHeight="1" x14ac:dyDescent="0.3">
      <c r="A141" s="5" t="str">
        <f>원본!A141</f>
        <v>260828-05</v>
      </c>
      <c r="B141" s="5" t="str">
        <f>원본!F141</f>
        <v>TP</v>
      </c>
      <c r="C141" s="1" t="str">
        <f>원본!G141</f>
        <v>5newGN+12AR.+5로이</v>
      </c>
      <c r="D141" s="5">
        <f>원본!H141</f>
        <v>22</v>
      </c>
      <c r="E141" s="1" t="s">
        <v>18</v>
      </c>
      <c r="F141" s="1">
        <f>원본!I141</f>
        <v>405</v>
      </c>
      <c r="G141" s="1">
        <f>원본!J141</f>
        <v>900</v>
      </c>
      <c r="H141" s="1">
        <f>원본!K141</f>
        <v>20</v>
      </c>
      <c r="J141" s="1">
        <f t="shared" si="3"/>
        <v>20</v>
      </c>
      <c r="K141" s="1">
        <f>원본!N141</f>
        <v>79.400000000000006</v>
      </c>
      <c r="L141" s="4" t="str">
        <f>원본!D141</f>
        <v>우미건설(주)e</v>
      </c>
      <c r="M141" s="1" t="str">
        <f>+원본!E141</f>
        <v xml:space="preserve"> 남원주 역세권 복합용지 AC-4BL 우미린 공동주택현장</v>
      </c>
      <c r="N141" s="1" t="str">
        <f>+원본!P141</f>
        <v>2동 1,2호84A,C 26~30F발코니2(外)</v>
      </c>
      <c r="O141" s="20"/>
      <c r="P141" s="20"/>
      <c r="Z141" s="3" t="str">
        <f>원본!R141</f>
        <v>26-2329</v>
      </c>
      <c r="AA141" s="2">
        <f>COUNTIF(Z$2:Z141,Z141)</f>
        <v>7</v>
      </c>
    </row>
    <row r="142" spans="1:27" ht="16.5" customHeight="1" x14ac:dyDescent="0.3">
      <c r="A142" s="5" t="str">
        <f>원본!A142</f>
        <v>260828-05</v>
      </c>
      <c r="B142" s="5" t="str">
        <f>원본!F142</f>
        <v>TP</v>
      </c>
      <c r="C142" s="1" t="str">
        <f>원본!G142</f>
        <v>5CL+12Ar.+5로이</v>
      </c>
      <c r="D142" s="5">
        <f>원본!H142</f>
        <v>22</v>
      </c>
      <c r="E142" s="1" t="s">
        <v>18</v>
      </c>
      <c r="F142" s="1">
        <f>원본!I142</f>
        <v>1719</v>
      </c>
      <c r="G142" s="1">
        <f>원본!J142</f>
        <v>1820</v>
      </c>
      <c r="H142" s="1">
        <f>원본!K142</f>
        <v>10</v>
      </c>
      <c r="J142" s="1">
        <f t="shared" si="3"/>
        <v>10</v>
      </c>
      <c r="K142" s="1">
        <f>원본!N142</f>
        <v>340.77</v>
      </c>
      <c r="L142" s="4" t="str">
        <f>원본!D142</f>
        <v>우미건설(주)e</v>
      </c>
      <c r="M142" s="1" t="str">
        <f>+원본!E142</f>
        <v xml:space="preserve"> 남원주 역세권 복합용지 AC-4BL 우미린 공동주택현장</v>
      </c>
      <c r="N142" s="1" t="str">
        <f>+원본!P142</f>
        <v>2동 1,2호84A,C 26~30F거실F(內)</v>
      </c>
      <c r="O142" s="20"/>
      <c r="P142" s="20"/>
      <c r="Z142" s="3" t="str">
        <f>원본!R142</f>
        <v>26-2329</v>
      </c>
      <c r="AA142" s="2">
        <f>COUNTIF(Z$2:Z142,Z142)</f>
        <v>8</v>
      </c>
    </row>
    <row r="143" spans="1:27" ht="16.5" customHeight="1" x14ac:dyDescent="0.3">
      <c r="A143" s="5" t="str">
        <f>원본!A143</f>
        <v>260828-05</v>
      </c>
      <c r="B143" s="5" t="str">
        <f>원본!F143</f>
        <v>TP</v>
      </c>
      <c r="C143" s="1" t="str">
        <f>원본!G143</f>
        <v>5CL+12Ar.+5로이</v>
      </c>
      <c r="D143" s="5">
        <f>원본!H143</f>
        <v>22</v>
      </c>
      <c r="E143" s="1" t="s">
        <v>18</v>
      </c>
      <c r="F143" s="1">
        <f>원본!I143</f>
        <v>763</v>
      </c>
      <c r="G143" s="1">
        <f>원본!J143</f>
        <v>1820</v>
      </c>
      <c r="H143" s="1">
        <f>원본!K143</f>
        <v>20</v>
      </c>
      <c r="J143" s="1">
        <f t="shared" si="3"/>
        <v>20</v>
      </c>
      <c r="K143" s="1">
        <f>원본!N143</f>
        <v>302.51</v>
      </c>
      <c r="L143" s="4" t="str">
        <f>원본!D143</f>
        <v>우미건설(주)e</v>
      </c>
      <c r="M143" s="1" t="str">
        <f>+원본!E143</f>
        <v xml:space="preserve"> 남원주 역세권 복합용지 AC-4BL 우미린 공동주택현장</v>
      </c>
      <c r="N143" s="1" t="str">
        <f>+원본!P143</f>
        <v>2동 1,2호84A,C 26~30F거실S(內)</v>
      </c>
      <c r="O143" s="20"/>
      <c r="P143" s="20"/>
      <c r="Z143" s="3" t="str">
        <f>원본!R143</f>
        <v>26-2329</v>
      </c>
      <c r="AA143" s="2">
        <f>COUNTIF(Z$2:Z143,Z143)</f>
        <v>9</v>
      </c>
    </row>
    <row r="144" spans="1:27" ht="16.5" customHeight="1" x14ac:dyDescent="0.3">
      <c r="A144" s="5" t="str">
        <f>원본!A144</f>
        <v>260828-05</v>
      </c>
      <c r="B144" s="5" t="str">
        <f>원본!F144</f>
        <v>TP</v>
      </c>
      <c r="C144" s="1" t="str">
        <f>원본!G144</f>
        <v>5CL+12Ar.+5로이</v>
      </c>
      <c r="D144" s="5">
        <f>원본!H144</f>
        <v>22</v>
      </c>
      <c r="E144" s="1" t="s">
        <v>18</v>
      </c>
      <c r="F144" s="1">
        <f>원본!I144</f>
        <v>405</v>
      </c>
      <c r="G144" s="1">
        <f>원본!J144</f>
        <v>1310</v>
      </c>
      <c r="H144" s="1">
        <f>원본!K144</f>
        <v>10</v>
      </c>
      <c r="J144" s="1">
        <f t="shared" si="3"/>
        <v>10</v>
      </c>
      <c r="K144" s="1">
        <f>원본!N144</f>
        <v>57.79</v>
      </c>
      <c r="L144" s="4" t="str">
        <f>원본!D144</f>
        <v>우미건설(주)e</v>
      </c>
      <c r="M144" s="1" t="str">
        <f>+원본!E144</f>
        <v xml:space="preserve"> 남원주 역세권 복합용지 AC-4BL 우미린 공동주택현장</v>
      </c>
      <c r="N144" s="1" t="str">
        <f>+원본!P144</f>
        <v>2동 1호84C 26~30F복도(內)</v>
      </c>
      <c r="O144" s="20"/>
      <c r="P144" s="20"/>
      <c r="Z144" s="3" t="str">
        <f>원본!R144</f>
        <v>26-2329</v>
      </c>
      <c r="AA144" s="2">
        <f>COUNTIF(Z$2:Z144,Z144)</f>
        <v>10</v>
      </c>
    </row>
    <row r="145" spans="1:27" ht="16.5" customHeight="1" x14ac:dyDescent="0.3">
      <c r="A145" s="5" t="str">
        <f>원본!A145</f>
        <v>260828-05</v>
      </c>
      <c r="B145" s="5" t="str">
        <f>원본!F145</f>
        <v>TP</v>
      </c>
      <c r="C145" s="1" t="str">
        <f>원본!G145</f>
        <v>5CL+12Ar.+5로이</v>
      </c>
      <c r="D145" s="5">
        <f>원본!H145</f>
        <v>22</v>
      </c>
      <c r="E145" s="1" t="s">
        <v>18</v>
      </c>
      <c r="F145" s="1">
        <f>원본!I145</f>
        <v>755</v>
      </c>
      <c r="G145" s="1">
        <f>원본!J145</f>
        <v>950</v>
      </c>
      <c r="H145" s="1">
        <f>원본!K145</f>
        <v>40</v>
      </c>
      <c r="J145" s="1">
        <f t="shared" si="3"/>
        <v>40</v>
      </c>
      <c r="K145" s="1">
        <f>원본!N145</f>
        <v>312.5</v>
      </c>
      <c r="L145" s="4" t="str">
        <f>원본!D145</f>
        <v>우미건설(주)e</v>
      </c>
      <c r="M145" s="1" t="str">
        <f>+원본!E145</f>
        <v xml:space="preserve"> 남원주 역세권 복합용지 AC-4BL 우미린 공동주택현장</v>
      </c>
      <c r="N145" s="1" t="str">
        <f>+원본!P145</f>
        <v>2동 1,2호84A,C 26~30F침실1,2(內)</v>
      </c>
      <c r="O145" s="20"/>
      <c r="P145" s="20"/>
      <c r="Z145" s="3" t="str">
        <f>원본!R145</f>
        <v>26-2329</v>
      </c>
      <c r="AA145" s="2">
        <f>COUNTIF(Z$2:Z145,Z145)</f>
        <v>11</v>
      </c>
    </row>
    <row r="146" spans="1:27" ht="16.5" customHeight="1" x14ac:dyDescent="0.3">
      <c r="A146" s="5" t="str">
        <f>원본!A146</f>
        <v>260828-05</v>
      </c>
      <c r="B146" s="5" t="str">
        <f>원본!F146</f>
        <v>TP</v>
      </c>
      <c r="C146" s="1" t="str">
        <f>원본!G146</f>
        <v>5CL+12Ar.+5로이</v>
      </c>
      <c r="D146" s="5">
        <f>원본!H146</f>
        <v>22</v>
      </c>
      <c r="E146" s="1" t="s">
        <v>18</v>
      </c>
      <c r="F146" s="1">
        <f>원본!I146</f>
        <v>455</v>
      </c>
      <c r="G146" s="1">
        <f>원본!J146</f>
        <v>950</v>
      </c>
      <c r="H146" s="1">
        <f>원본!K146</f>
        <v>20</v>
      </c>
      <c r="J146" s="1">
        <f t="shared" si="3"/>
        <v>20</v>
      </c>
      <c r="K146" s="1">
        <f>원본!N146</f>
        <v>94.16</v>
      </c>
      <c r="L146" s="4" t="str">
        <f>원본!D146</f>
        <v>우미건설(주)e</v>
      </c>
      <c r="M146" s="1" t="str">
        <f>+원본!E146</f>
        <v xml:space="preserve"> 남원주 역세권 복합용지 AC-4BL 우미린 공동주택현장</v>
      </c>
      <c r="N146" s="1" t="str">
        <f>+원본!P146</f>
        <v>2동 1,2호84A,C 26~30F주방/식당(內)</v>
      </c>
      <c r="O146" s="20"/>
      <c r="P146" s="20"/>
      <c r="Z146" s="3" t="str">
        <f>원본!R146</f>
        <v>26-2329</v>
      </c>
      <c r="AA146" s="2">
        <f>COUNTIF(Z$2:Z146,Z146)</f>
        <v>12</v>
      </c>
    </row>
    <row r="147" spans="1:27" ht="16.5" customHeight="1" x14ac:dyDescent="0.3">
      <c r="A147" s="5" t="str">
        <f>원본!A147</f>
        <v>260828-05</v>
      </c>
      <c r="B147" s="5" t="str">
        <f>원본!F147</f>
        <v>TP</v>
      </c>
      <c r="C147" s="1" t="str">
        <f>원본!G147</f>
        <v>5CL+12Ar.+5로이</v>
      </c>
      <c r="D147" s="5">
        <f>원본!H147</f>
        <v>22</v>
      </c>
      <c r="E147" s="1" t="s">
        <v>18</v>
      </c>
      <c r="F147" s="1">
        <f>원본!I147</f>
        <v>305</v>
      </c>
      <c r="G147" s="1">
        <f>원본!J147</f>
        <v>950</v>
      </c>
      <c r="H147" s="1">
        <f>원본!K147</f>
        <v>30</v>
      </c>
      <c r="J147" s="1">
        <f t="shared" si="3"/>
        <v>30</v>
      </c>
      <c r="K147" s="1">
        <f>원본!N147</f>
        <v>94.68</v>
      </c>
      <c r="L147" s="4" t="str">
        <f>원본!D147</f>
        <v>우미건설(주)e</v>
      </c>
      <c r="M147" s="1" t="str">
        <f>+원본!E147</f>
        <v xml:space="preserve"> 남원주 역세권 복합용지 AC-4BL 우미린 공동주택현장</v>
      </c>
      <c r="N147" s="1" t="str">
        <f>+원본!P147</f>
        <v>2동 1,2호84A,C 26~30F드레스룸,팬트리(內)</v>
      </c>
      <c r="O147" s="20"/>
      <c r="P147" s="20"/>
      <c r="Z147" s="3" t="str">
        <f>원본!R147</f>
        <v>26-2329</v>
      </c>
      <c r="AA147" s="2">
        <f>COUNTIF(Z$2:Z147,Z147)</f>
        <v>13</v>
      </c>
    </row>
    <row r="148" spans="1:27" ht="16.5" customHeight="1" x14ac:dyDescent="0.3">
      <c r="A148" s="5" t="str">
        <f>원본!A148</f>
        <v>260828-05</v>
      </c>
      <c r="B148" s="5" t="str">
        <f>원본!F148</f>
        <v>TP</v>
      </c>
      <c r="C148" s="1" t="str">
        <f>원본!G148</f>
        <v>5CL+12Ar.+5로이</v>
      </c>
      <c r="D148" s="5">
        <f>원본!H148</f>
        <v>22</v>
      </c>
      <c r="E148" s="1" t="s">
        <v>18</v>
      </c>
      <c r="F148" s="1">
        <f>원본!I148</f>
        <v>405</v>
      </c>
      <c r="G148" s="1">
        <f>원본!J148</f>
        <v>900</v>
      </c>
      <c r="H148" s="1">
        <f>원본!K148</f>
        <v>20</v>
      </c>
      <c r="J148" s="1">
        <f t="shared" si="3"/>
        <v>20</v>
      </c>
      <c r="K148" s="1">
        <f>원본!N148</f>
        <v>79.400000000000006</v>
      </c>
      <c r="L148" s="4" t="str">
        <f>원본!D148</f>
        <v>우미건설(주)e</v>
      </c>
      <c r="M148" s="1" t="str">
        <f>+원본!E148</f>
        <v xml:space="preserve"> 남원주 역세권 복합용지 AC-4BL 우미린 공동주택현장</v>
      </c>
      <c r="N148" s="1" t="str">
        <f>+원본!P148</f>
        <v>2동 1,2호84A,C 26~30F발코니2(內)</v>
      </c>
      <c r="O148" s="20"/>
      <c r="P148" s="20"/>
      <c r="Z148" s="3" t="str">
        <f>원본!R148</f>
        <v>26-2329</v>
      </c>
      <c r="AA148" s="2">
        <f>COUNTIF(Z$2:Z148,Z148)</f>
        <v>14</v>
      </c>
    </row>
    <row r="149" spans="1:27" ht="16.5" customHeight="1" x14ac:dyDescent="0.3">
      <c r="A149" s="5" t="str">
        <f>원본!A149</f>
        <v>260828-05</v>
      </c>
      <c r="B149" s="5" t="str">
        <f>원본!F149</f>
        <v>TP</v>
      </c>
      <c r="C149" s="1" t="str">
        <f>원본!G149</f>
        <v>5newGN+12A+5로이</v>
      </c>
      <c r="D149" s="5">
        <f>원본!H149</f>
        <v>22</v>
      </c>
      <c r="E149" s="1" t="s">
        <v>18</v>
      </c>
      <c r="F149" s="1">
        <f>원본!I149</f>
        <v>855</v>
      </c>
      <c r="G149" s="1">
        <f>원본!J149</f>
        <v>1820</v>
      </c>
      <c r="H149" s="1">
        <f>원본!K149</f>
        <v>10</v>
      </c>
      <c r="J149" s="1">
        <f t="shared" si="3"/>
        <v>10</v>
      </c>
      <c r="K149" s="1">
        <f>원본!N149</f>
        <v>169.49</v>
      </c>
      <c r="L149" s="4" t="str">
        <f>원본!D149</f>
        <v>우미건설(주)e</v>
      </c>
      <c r="M149" s="1" t="str">
        <f>+원본!E149</f>
        <v xml:space="preserve"> 남원주 역세권 복합용지 AC-4BL 우미린 공동주택현장</v>
      </c>
      <c r="N149" s="1" t="str">
        <f>+원본!P149</f>
        <v>2동 1호84C 26~30F발코니1</v>
      </c>
      <c r="O149" s="20"/>
      <c r="P149" s="20"/>
      <c r="Z149" s="3" t="str">
        <f>원본!R149</f>
        <v>26-2329</v>
      </c>
      <c r="AA149" s="2">
        <f>COUNTIF(Z$2:Z149,Z149)</f>
        <v>15</v>
      </c>
    </row>
    <row r="150" spans="1:27" ht="16.5" customHeight="1" x14ac:dyDescent="0.3">
      <c r="A150" s="5" t="str">
        <f>원본!A150</f>
        <v>260828-05</v>
      </c>
      <c r="B150" s="5" t="str">
        <f>원본!F150</f>
        <v>TP</v>
      </c>
      <c r="C150" s="1" t="str">
        <f>원본!G150</f>
        <v>5newGN+12A+5로이</v>
      </c>
      <c r="D150" s="5">
        <f>원본!H150</f>
        <v>22</v>
      </c>
      <c r="E150" s="1" t="s">
        <v>18</v>
      </c>
      <c r="F150" s="1">
        <f>원본!I150</f>
        <v>705</v>
      </c>
      <c r="G150" s="1">
        <f>원본!J150</f>
        <v>1820</v>
      </c>
      <c r="H150" s="1">
        <f>원본!K150</f>
        <v>10</v>
      </c>
      <c r="J150" s="1">
        <f t="shared" si="3"/>
        <v>10</v>
      </c>
      <c r="K150" s="1">
        <f>원본!N150</f>
        <v>139.76</v>
      </c>
      <c r="L150" s="4" t="str">
        <f>원본!D150</f>
        <v>우미건설(주)e</v>
      </c>
      <c r="M150" s="1" t="str">
        <f>+원본!E150</f>
        <v xml:space="preserve"> 남원주 역세권 복합용지 AC-4BL 우미린 공동주택현장</v>
      </c>
      <c r="N150" s="1" t="str">
        <f>+원본!P150</f>
        <v>2동 2호84A 26~30F발코니1</v>
      </c>
      <c r="O150" s="20"/>
      <c r="P150" s="20"/>
      <c r="Z150" s="3" t="str">
        <f>원본!R150</f>
        <v>26-2329</v>
      </c>
      <c r="AA150" s="2">
        <f>COUNTIF(Z$2:Z150,Z150)</f>
        <v>16</v>
      </c>
    </row>
    <row r="151" spans="1:27" ht="16.5" customHeight="1" x14ac:dyDescent="0.3">
      <c r="A151" s="5" t="str">
        <f>원본!A151</f>
        <v>260828-05</v>
      </c>
      <c r="B151" s="5" t="str">
        <f>원본!F151</f>
        <v>TP</v>
      </c>
      <c r="C151" s="1" t="str">
        <f>원본!G151</f>
        <v>5newGN+12A+5로이</v>
      </c>
      <c r="D151" s="5">
        <f>원본!H151</f>
        <v>22</v>
      </c>
      <c r="E151" s="1" t="s">
        <v>18</v>
      </c>
      <c r="F151" s="1">
        <f>원본!I151</f>
        <v>405</v>
      </c>
      <c r="G151" s="1">
        <f>원본!J151</f>
        <v>950</v>
      </c>
      <c r="H151" s="1">
        <f>원본!K151</f>
        <v>20</v>
      </c>
      <c r="J151" s="1">
        <f t="shared" si="3"/>
        <v>20</v>
      </c>
      <c r="K151" s="1">
        <f>원본!N151</f>
        <v>83.82</v>
      </c>
      <c r="L151" s="4" t="str">
        <f>원본!D151</f>
        <v>우미건설(주)e</v>
      </c>
      <c r="M151" s="1" t="str">
        <f>+원본!E151</f>
        <v xml:space="preserve"> 남원주 역세권 복합용지 AC-4BL 우미린 공동주택현장</v>
      </c>
      <c r="N151" s="1" t="str">
        <f>+원본!P151</f>
        <v>2동 1,2호84A,C 26~30F하향식피난구</v>
      </c>
      <c r="O151" s="20"/>
      <c r="P151" s="20"/>
      <c r="Z151" s="3" t="str">
        <f>원본!R151</f>
        <v>26-2329</v>
      </c>
      <c r="AA151" s="2">
        <f>COUNTIF(Z$2:Z151,Z151)</f>
        <v>17</v>
      </c>
    </row>
    <row r="152" spans="1:27" ht="16.5" customHeight="1" x14ac:dyDescent="0.3">
      <c r="A152" s="5" t="str">
        <f>원본!A152</f>
        <v>260828-04</v>
      </c>
      <c r="B152" s="5" t="str">
        <f>원본!F152</f>
        <v>TP</v>
      </c>
      <c r="C152" s="1" t="str">
        <f>원본!G152</f>
        <v>5newGN+12AR.+5로이</v>
      </c>
      <c r="D152" s="5">
        <f>원본!H152</f>
        <v>22</v>
      </c>
      <c r="E152" s="1" t="s">
        <v>18</v>
      </c>
      <c r="F152" s="1">
        <f>원본!I152</f>
        <v>1719</v>
      </c>
      <c r="G152" s="1">
        <f>원본!J152</f>
        <v>1820</v>
      </c>
      <c r="H152" s="1">
        <f>원본!K152</f>
        <v>10</v>
      </c>
      <c r="J152" s="1">
        <f t="shared" si="3"/>
        <v>10</v>
      </c>
      <c r="K152" s="1">
        <f>원본!N152</f>
        <v>340.77</v>
      </c>
      <c r="L152" s="4" t="str">
        <f>원본!D152</f>
        <v>우미건설(주)e</v>
      </c>
      <c r="M152" s="1" t="str">
        <f>+원본!E152</f>
        <v xml:space="preserve"> 남원주 역세권 복합용지 AC-4BL 우미린 공동주택현장</v>
      </c>
      <c r="N152" s="1" t="str">
        <f>+원본!P152</f>
        <v>4동 4,5호84A,C 26~30F거실F(外)</v>
      </c>
      <c r="O152" s="20"/>
      <c r="P152" s="20"/>
      <c r="Z152" s="3" t="str">
        <f>원본!R152</f>
        <v>26-2328</v>
      </c>
      <c r="AA152" s="2">
        <f>COUNTIF(Z$2:Z152,Z152)</f>
        <v>1</v>
      </c>
    </row>
    <row r="153" spans="1:27" ht="16.5" customHeight="1" x14ac:dyDescent="0.3">
      <c r="A153" s="5" t="str">
        <f>원본!A153</f>
        <v>260828-04</v>
      </c>
      <c r="B153" s="5" t="str">
        <f>원본!F153</f>
        <v>TP</v>
      </c>
      <c r="C153" s="1" t="str">
        <f>원본!G153</f>
        <v>5newGN+12AR.+5로이</v>
      </c>
      <c r="D153" s="5">
        <f>원본!H153</f>
        <v>22</v>
      </c>
      <c r="E153" s="1" t="s">
        <v>18</v>
      </c>
      <c r="F153" s="1">
        <f>원본!I153</f>
        <v>763</v>
      </c>
      <c r="G153" s="1">
        <f>원본!J153</f>
        <v>1820</v>
      </c>
      <c r="H153" s="1">
        <f>원본!K153</f>
        <v>20</v>
      </c>
      <c r="J153" s="1">
        <f t="shared" si="3"/>
        <v>20</v>
      </c>
      <c r="K153" s="1">
        <f>원본!N153</f>
        <v>302.51</v>
      </c>
      <c r="L153" s="4" t="str">
        <f>원본!D153</f>
        <v>우미건설(주)e</v>
      </c>
      <c r="M153" s="1" t="str">
        <f>+원본!E153</f>
        <v xml:space="preserve"> 남원주 역세권 복합용지 AC-4BL 우미린 공동주택현장</v>
      </c>
      <c r="N153" s="1" t="str">
        <f>+원본!P153</f>
        <v>4동 4,5호84A,C 26~30F거실S(外)</v>
      </c>
      <c r="O153" s="20"/>
      <c r="P153" s="20"/>
      <c r="Z153" s="3" t="str">
        <f>원본!R153</f>
        <v>26-2328</v>
      </c>
      <c r="AA153" s="2">
        <f>COUNTIF(Z$2:Z153,Z153)</f>
        <v>2</v>
      </c>
    </row>
    <row r="154" spans="1:27" ht="16.5" customHeight="1" x14ac:dyDescent="0.3">
      <c r="A154" s="5" t="str">
        <f>원본!A154</f>
        <v>260828-04</v>
      </c>
      <c r="B154" s="5" t="str">
        <f>원본!F154</f>
        <v>TP</v>
      </c>
      <c r="C154" s="1" t="str">
        <f>원본!G154</f>
        <v>5newGN+12AR.+5로이</v>
      </c>
      <c r="D154" s="5">
        <f>원본!H154</f>
        <v>22</v>
      </c>
      <c r="E154" s="1" t="s">
        <v>18</v>
      </c>
      <c r="F154" s="1">
        <f>원본!I154</f>
        <v>405</v>
      </c>
      <c r="G154" s="1">
        <f>원본!J154</f>
        <v>1310</v>
      </c>
      <c r="H154" s="1">
        <f>원본!K154</f>
        <v>10</v>
      </c>
      <c r="J154" s="1">
        <f t="shared" si="3"/>
        <v>10</v>
      </c>
      <c r="K154" s="1">
        <f>원본!N154</f>
        <v>57.79</v>
      </c>
      <c r="L154" s="4" t="str">
        <f>원본!D154</f>
        <v>우미건설(주)e</v>
      </c>
      <c r="M154" s="1" t="str">
        <f>+원본!E154</f>
        <v xml:space="preserve"> 남원주 역세권 복합용지 AC-4BL 우미린 공동주택현장</v>
      </c>
      <c r="N154" s="1" t="str">
        <f>+원본!P154</f>
        <v>4동 5호84C 26~30F복도(外)</v>
      </c>
      <c r="O154" s="20"/>
      <c r="P154" s="20"/>
      <c r="Z154" s="3" t="str">
        <f>원본!R154</f>
        <v>26-2328</v>
      </c>
      <c r="AA154" s="2">
        <f>COUNTIF(Z$2:Z154,Z154)</f>
        <v>3</v>
      </c>
    </row>
    <row r="155" spans="1:27" ht="16.5" customHeight="1" x14ac:dyDescent="0.3">
      <c r="A155" s="5" t="str">
        <f>원본!A155</f>
        <v>260828-04</v>
      </c>
      <c r="B155" s="5" t="str">
        <f>원본!F155</f>
        <v>TP</v>
      </c>
      <c r="C155" s="1" t="str">
        <f>원본!G155</f>
        <v>5newGN+12AR.+5로이</v>
      </c>
      <c r="D155" s="5">
        <f>원본!H155</f>
        <v>22</v>
      </c>
      <c r="E155" s="1" t="s">
        <v>18</v>
      </c>
      <c r="F155" s="1">
        <f>원본!I155</f>
        <v>755</v>
      </c>
      <c r="G155" s="1">
        <f>원본!J155</f>
        <v>950</v>
      </c>
      <c r="H155" s="1">
        <f>원본!K155</f>
        <v>40</v>
      </c>
      <c r="J155" s="1">
        <f t="shared" si="3"/>
        <v>40</v>
      </c>
      <c r="K155" s="1">
        <f>원본!N155</f>
        <v>312.5</v>
      </c>
      <c r="L155" s="4" t="str">
        <f>원본!D155</f>
        <v>우미건설(주)e</v>
      </c>
      <c r="M155" s="1" t="str">
        <f>+원본!E155</f>
        <v xml:space="preserve"> 남원주 역세권 복합용지 AC-4BL 우미린 공동주택현장</v>
      </c>
      <c r="N155" s="1" t="str">
        <f>+원본!P155</f>
        <v>4동 4,5호84A,C 26~30F침실1,2(外)</v>
      </c>
      <c r="O155" s="20"/>
      <c r="P155" s="20"/>
      <c r="Z155" s="3" t="str">
        <f>원본!R155</f>
        <v>26-2328</v>
      </c>
      <c r="AA155" s="2">
        <f>COUNTIF(Z$2:Z155,Z155)</f>
        <v>4</v>
      </c>
    </row>
    <row r="156" spans="1:27" ht="16.5" customHeight="1" x14ac:dyDescent="0.3">
      <c r="A156" s="5" t="str">
        <f>원본!A156</f>
        <v>260828-04</v>
      </c>
      <c r="B156" s="5" t="str">
        <f>원본!F156</f>
        <v>TP</v>
      </c>
      <c r="C156" s="1" t="str">
        <f>원본!G156</f>
        <v>5newGN+12AR.+5로이</v>
      </c>
      <c r="D156" s="5">
        <f>원본!H156</f>
        <v>22</v>
      </c>
      <c r="E156" s="1" t="s">
        <v>18</v>
      </c>
      <c r="F156" s="1">
        <f>원본!I156</f>
        <v>455</v>
      </c>
      <c r="G156" s="1">
        <f>원본!J156</f>
        <v>950</v>
      </c>
      <c r="H156" s="1">
        <f>원본!K156</f>
        <v>20</v>
      </c>
      <c r="J156" s="1">
        <f t="shared" si="3"/>
        <v>20</v>
      </c>
      <c r="K156" s="1">
        <f>원본!N156</f>
        <v>94.16</v>
      </c>
      <c r="L156" s="4" t="str">
        <f>원본!D156</f>
        <v>우미건설(주)e</v>
      </c>
      <c r="M156" s="1" t="str">
        <f>+원본!E156</f>
        <v xml:space="preserve"> 남원주 역세권 복합용지 AC-4BL 우미린 공동주택현장</v>
      </c>
      <c r="N156" s="1" t="str">
        <f>+원본!P156</f>
        <v>4동 4,5호84A,C 26~30F주방/식당(外)</v>
      </c>
      <c r="O156" s="20"/>
      <c r="P156" s="20"/>
      <c r="Z156" s="3" t="str">
        <f>원본!R156</f>
        <v>26-2328</v>
      </c>
      <c r="AA156" s="2">
        <f>COUNTIF(Z$2:Z156,Z156)</f>
        <v>5</v>
      </c>
    </row>
    <row r="157" spans="1:27" ht="16.5" customHeight="1" x14ac:dyDescent="0.3">
      <c r="A157" s="5" t="str">
        <f>원본!A157</f>
        <v>260828-04</v>
      </c>
      <c r="B157" s="5" t="str">
        <f>원본!F157</f>
        <v>TP</v>
      </c>
      <c r="C157" s="1" t="str">
        <f>원본!G157</f>
        <v>5newGN+12AR.+5로이</v>
      </c>
      <c r="D157" s="5">
        <f>원본!H157</f>
        <v>22</v>
      </c>
      <c r="E157" s="1" t="s">
        <v>18</v>
      </c>
      <c r="F157" s="1">
        <f>원본!I157</f>
        <v>305</v>
      </c>
      <c r="G157" s="1">
        <f>원본!J157</f>
        <v>950</v>
      </c>
      <c r="H157" s="1">
        <f>원본!K157</f>
        <v>30</v>
      </c>
      <c r="J157" s="1">
        <f t="shared" si="3"/>
        <v>30</v>
      </c>
      <c r="K157" s="1">
        <f>원본!N157</f>
        <v>94.68</v>
      </c>
      <c r="L157" s="4" t="str">
        <f>원본!D157</f>
        <v>우미건설(주)e</v>
      </c>
      <c r="M157" s="1" t="str">
        <f>+원본!E157</f>
        <v xml:space="preserve"> 남원주 역세권 복합용지 AC-4BL 우미린 공동주택현장</v>
      </c>
      <c r="N157" s="1" t="str">
        <f>+원본!P157</f>
        <v>4동 4,5호84A,C 26~30F드레스룸,팬트리(外)</v>
      </c>
      <c r="O157" s="20"/>
      <c r="P157" s="20"/>
      <c r="Z157" s="3" t="str">
        <f>원본!R157</f>
        <v>26-2328</v>
      </c>
      <c r="AA157" s="2">
        <f>COUNTIF(Z$2:Z157,Z157)</f>
        <v>6</v>
      </c>
    </row>
    <row r="158" spans="1:27" ht="16.5" customHeight="1" x14ac:dyDescent="0.3">
      <c r="A158" s="5" t="str">
        <f>원본!A158</f>
        <v>260828-04</v>
      </c>
      <c r="B158" s="5" t="str">
        <f>원본!F158</f>
        <v>TP</v>
      </c>
      <c r="C158" s="1" t="str">
        <f>원본!G158</f>
        <v>5newGN+12AR.+5로이</v>
      </c>
      <c r="D158" s="5">
        <f>원본!H158</f>
        <v>22</v>
      </c>
      <c r="E158" s="1" t="s">
        <v>18</v>
      </c>
      <c r="F158" s="1">
        <f>원본!I158</f>
        <v>405</v>
      </c>
      <c r="G158" s="1">
        <f>원본!J158</f>
        <v>900</v>
      </c>
      <c r="H158" s="1">
        <f>원본!K158</f>
        <v>20</v>
      </c>
      <c r="J158" s="1">
        <f t="shared" si="3"/>
        <v>20</v>
      </c>
      <c r="K158" s="1">
        <f>원본!N158</f>
        <v>79.400000000000006</v>
      </c>
      <c r="L158" s="4" t="str">
        <f>원본!D158</f>
        <v>우미건설(주)e</v>
      </c>
      <c r="M158" s="1" t="str">
        <f>+원본!E158</f>
        <v xml:space="preserve"> 남원주 역세권 복합용지 AC-4BL 우미린 공동주택현장</v>
      </c>
      <c r="N158" s="1" t="str">
        <f>+원본!P158</f>
        <v>4동 4,5호84A,C 26~30F발코니2(外)</v>
      </c>
      <c r="O158" s="20"/>
      <c r="P158" s="20"/>
      <c r="Z158" s="3" t="str">
        <f>원본!R158</f>
        <v>26-2328</v>
      </c>
      <c r="AA158" s="2">
        <f>COUNTIF(Z$2:Z158,Z158)</f>
        <v>7</v>
      </c>
    </row>
    <row r="159" spans="1:27" ht="16.5" customHeight="1" x14ac:dyDescent="0.3">
      <c r="A159" s="5" t="str">
        <f>원본!A159</f>
        <v>260828-04</v>
      </c>
      <c r="B159" s="5" t="str">
        <f>원본!F159</f>
        <v>TP</v>
      </c>
      <c r="C159" s="1" t="str">
        <f>원본!G159</f>
        <v>5CL+12Ar.+5로이</v>
      </c>
      <c r="D159" s="5">
        <f>원본!H159</f>
        <v>22</v>
      </c>
      <c r="E159" s="1" t="s">
        <v>18</v>
      </c>
      <c r="F159" s="1">
        <f>원본!I159</f>
        <v>1719</v>
      </c>
      <c r="G159" s="1">
        <f>원본!J159</f>
        <v>1820</v>
      </c>
      <c r="H159" s="1">
        <f>원본!K159</f>
        <v>10</v>
      </c>
      <c r="J159" s="1">
        <f t="shared" si="3"/>
        <v>10</v>
      </c>
      <c r="K159" s="1">
        <f>원본!N159</f>
        <v>340.77</v>
      </c>
      <c r="L159" s="4" t="str">
        <f>원본!D159</f>
        <v>우미건설(주)e</v>
      </c>
      <c r="M159" s="1" t="str">
        <f>+원본!E159</f>
        <v xml:space="preserve"> 남원주 역세권 복합용지 AC-4BL 우미린 공동주택현장</v>
      </c>
      <c r="N159" s="1" t="str">
        <f>+원본!P159</f>
        <v>4동 4,5호84A,C 26~30F거실F(內)</v>
      </c>
      <c r="O159" s="20"/>
      <c r="P159" s="20"/>
      <c r="Z159" s="3" t="str">
        <f>원본!R159</f>
        <v>26-2328</v>
      </c>
      <c r="AA159" s="2">
        <f>COUNTIF(Z$2:Z159,Z159)</f>
        <v>8</v>
      </c>
    </row>
    <row r="160" spans="1:27" ht="16.5" customHeight="1" x14ac:dyDescent="0.3">
      <c r="A160" s="5" t="str">
        <f>원본!A160</f>
        <v>260828-04</v>
      </c>
      <c r="B160" s="5" t="str">
        <f>원본!F160</f>
        <v>TP</v>
      </c>
      <c r="C160" s="1" t="str">
        <f>원본!G160</f>
        <v>5CL+12Ar.+5로이</v>
      </c>
      <c r="D160" s="5">
        <f>원본!H160</f>
        <v>22</v>
      </c>
      <c r="E160" s="1" t="s">
        <v>18</v>
      </c>
      <c r="F160" s="1">
        <f>원본!I160</f>
        <v>763</v>
      </c>
      <c r="G160" s="1">
        <f>원본!J160</f>
        <v>1820</v>
      </c>
      <c r="H160" s="1">
        <f>원본!K160</f>
        <v>20</v>
      </c>
      <c r="J160" s="1">
        <f t="shared" si="3"/>
        <v>20</v>
      </c>
      <c r="K160" s="1">
        <f>원본!N160</f>
        <v>302.51</v>
      </c>
      <c r="L160" s="4" t="str">
        <f>원본!D160</f>
        <v>우미건설(주)e</v>
      </c>
      <c r="M160" s="1" t="str">
        <f>+원본!E160</f>
        <v xml:space="preserve"> 남원주 역세권 복합용지 AC-4BL 우미린 공동주택현장</v>
      </c>
      <c r="N160" s="1" t="str">
        <f>+원본!P160</f>
        <v>4동 4,5호84A,C 26~30F거실S(內)</v>
      </c>
      <c r="O160" s="20"/>
      <c r="P160" s="20"/>
      <c r="Z160" s="3" t="str">
        <f>원본!R160</f>
        <v>26-2328</v>
      </c>
      <c r="AA160" s="2">
        <f>COUNTIF(Z$2:Z160,Z160)</f>
        <v>9</v>
      </c>
    </row>
    <row r="161" spans="1:27" ht="16.5" customHeight="1" x14ac:dyDescent="0.3">
      <c r="A161" s="5" t="str">
        <f>원본!A161</f>
        <v>260828-04</v>
      </c>
      <c r="B161" s="5" t="str">
        <f>원본!F161</f>
        <v>TP</v>
      </c>
      <c r="C161" s="1" t="str">
        <f>원본!G161</f>
        <v>5CL+12Ar.+5로이</v>
      </c>
      <c r="D161" s="5">
        <f>원본!H161</f>
        <v>22</v>
      </c>
      <c r="E161" s="1" t="s">
        <v>18</v>
      </c>
      <c r="F161" s="1">
        <f>원본!I161</f>
        <v>405</v>
      </c>
      <c r="G161" s="1">
        <f>원본!J161</f>
        <v>1310</v>
      </c>
      <c r="H161" s="1">
        <f>원본!K161</f>
        <v>10</v>
      </c>
      <c r="J161" s="1">
        <f t="shared" si="3"/>
        <v>10</v>
      </c>
      <c r="K161" s="1">
        <f>원본!N161</f>
        <v>57.79</v>
      </c>
      <c r="L161" s="4" t="str">
        <f>원본!D161</f>
        <v>우미건설(주)e</v>
      </c>
      <c r="M161" s="1" t="str">
        <f>+원본!E161</f>
        <v xml:space="preserve"> 남원주 역세권 복합용지 AC-4BL 우미린 공동주택현장</v>
      </c>
      <c r="N161" s="1" t="str">
        <f>+원본!P161</f>
        <v>4동 5호84C 26~30F복도(內)</v>
      </c>
      <c r="O161" s="20"/>
      <c r="P161" s="20"/>
      <c r="Z161" s="3" t="str">
        <f>원본!R161</f>
        <v>26-2328</v>
      </c>
      <c r="AA161" s="2">
        <f>COUNTIF(Z$2:Z161,Z161)</f>
        <v>10</v>
      </c>
    </row>
    <row r="162" spans="1:27" ht="16.5" customHeight="1" x14ac:dyDescent="0.3">
      <c r="A162" s="5" t="str">
        <f>원본!A162</f>
        <v>260828-04</v>
      </c>
      <c r="B162" s="5" t="str">
        <f>원본!F162</f>
        <v>TP</v>
      </c>
      <c r="C162" s="1" t="str">
        <f>원본!G162</f>
        <v>5CL+12Ar.+5로이</v>
      </c>
      <c r="D162" s="5">
        <f>원본!H162</f>
        <v>22</v>
      </c>
      <c r="E162" s="1" t="s">
        <v>18</v>
      </c>
      <c r="F162" s="1">
        <f>원본!I162</f>
        <v>755</v>
      </c>
      <c r="G162" s="1">
        <f>원본!J162</f>
        <v>950</v>
      </c>
      <c r="H162" s="1">
        <f>원본!K162</f>
        <v>40</v>
      </c>
      <c r="J162" s="1">
        <f t="shared" si="3"/>
        <v>40</v>
      </c>
      <c r="K162" s="1">
        <f>원본!N162</f>
        <v>312.5</v>
      </c>
      <c r="L162" s="4" t="str">
        <f>원본!D162</f>
        <v>우미건설(주)e</v>
      </c>
      <c r="M162" s="1" t="str">
        <f>+원본!E162</f>
        <v xml:space="preserve"> 남원주 역세권 복합용지 AC-4BL 우미린 공동주택현장</v>
      </c>
      <c r="N162" s="1" t="str">
        <f>+원본!P162</f>
        <v>4동 4,5호84A,C 26~30F침실1,2(內)</v>
      </c>
      <c r="O162" s="20"/>
      <c r="P162" s="20"/>
      <c r="Z162" s="3" t="str">
        <f>원본!R162</f>
        <v>26-2328</v>
      </c>
      <c r="AA162" s="2">
        <f>COUNTIF(Z$2:Z162,Z162)</f>
        <v>11</v>
      </c>
    </row>
    <row r="163" spans="1:27" ht="16.5" customHeight="1" x14ac:dyDescent="0.3">
      <c r="A163" s="5" t="str">
        <f>원본!A163</f>
        <v>260828-04</v>
      </c>
      <c r="B163" s="5" t="str">
        <f>원본!F163</f>
        <v>TP</v>
      </c>
      <c r="C163" s="1" t="str">
        <f>원본!G163</f>
        <v>5CL+12Ar.+5로이</v>
      </c>
      <c r="D163" s="5">
        <f>원본!H163</f>
        <v>22</v>
      </c>
      <c r="E163" s="1" t="s">
        <v>18</v>
      </c>
      <c r="F163" s="1">
        <f>원본!I163</f>
        <v>455</v>
      </c>
      <c r="G163" s="1">
        <f>원본!J163</f>
        <v>950</v>
      </c>
      <c r="H163" s="1">
        <f>원본!K163</f>
        <v>20</v>
      </c>
      <c r="J163" s="1">
        <f t="shared" si="3"/>
        <v>20</v>
      </c>
      <c r="K163" s="1">
        <f>원본!N163</f>
        <v>94.16</v>
      </c>
      <c r="L163" s="4" t="str">
        <f>원본!D163</f>
        <v>우미건설(주)e</v>
      </c>
      <c r="M163" s="1" t="str">
        <f>+원본!E163</f>
        <v xml:space="preserve"> 남원주 역세권 복합용지 AC-4BL 우미린 공동주택현장</v>
      </c>
      <c r="N163" s="1" t="str">
        <f>+원본!P163</f>
        <v>4동 4,5호84A,C26~30F주방/식당(內)</v>
      </c>
      <c r="O163" s="20"/>
      <c r="P163" s="20"/>
      <c r="Z163" s="3" t="str">
        <f>원본!R163</f>
        <v>26-2328</v>
      </c>
      <c r="AA163" s="2">
        <f>COUNTIF(Z$2:Z163,Z163)</f>
        <v>12</v>
      </c>
    </row>
    <row r="164" spans="1:27" ht="16.5" customHeight="1" x14ac:dyDescent="0.3">
      <c r="A164" s="5" t="str">
        <f>원본!A164</f>
        <v>260828-04</v>
      </c>
      <c r="B164" s="5" t="str">
        <f>원본!F164</f>
        <v>TP</v>
      </c>
      <c r="C164" s="1" t="str">
        <f>원본!G164</f>
        <v>5CL+12Ar.+5로이</v>
      </c>
      <c r="D164" s="5">
        <f>원본!H164</f>
        <v>22</v>
      </c>
      <c r="E164" s="1" t="s">
        <v>18</v>
      </c>
      <c r="F164" s="1">
        <f>원본!I164</f>
        <v>305</v>
      </c>
      <c r="G164" s="1">
        <f>원본!J164</f>
        <v>950</v>
      </c>
      <c r="H164" s="1">
        <f>원본!K164</f>
        <v>30</v>
      </c>
      <c r="J164" s="1">
        <f t="shared" si="3"/>
        <v>30</v>
      </c>
      <c r="K164" s="1">
        <f>원본!N164</f>
        <v>94.68</v>
      </c>
      <c r="L164" s="4" t="str">
        <f>원본!D164</f>
        <v>우미건설(주)e</v>
      </c>
      <c r="M164" s="1" t="str">
        <f>+원본!E164</f>
        <v xml:space="preserve"> 남원주 역세권 복합용지 AC-4BL 우미린 공동주택현장</v>
      </c>
      <c r="N164" s="1" t="str">
        <f>+원본!P164</f>
        <v>4동 4,5호84A,C 26~30F드레스룸,팬트리(內)</v>
      </c>
      <c r="O164" s="20"/>
      <c r="P164" s="20"/>
      <c r="Z164" s="3" t="str">
        <f>원본!R164</f>
        <v>26-2328</v>
      </c>
      <c r="AA164" s="2">
        <f>COUNTIF(Z$2:Z164,Z164)</f>
        <v>13</v>
      </c>
    </row>
    <row r="165" spans="1:27" ht="16.5" customHeight="1" x14ac:dyDescent="0.3">
      <c r="A165" s="5" t="str">
        <f>원본!A165</f>
        <v>260828-04</v>
      </c>
      <c r="B165" s="5" t="str">
        <f>원본!F165</f>
        <v>TP</v>
      </c>
      <c r="C165" s="1" t="str">
        <f>원본!G165</f>
        <v>5CL+12Ar.+5로이</v>
      </c>
      <c r="D165" s="5">
        <f>원본!H165</f>
        <v>22</v>
      </c>
      <c r="E165" s="1" t="s">
        <v>18</v>
      </c>
      <c r="F165" s="1">
        <f>원본!I165</f>
        <v>405</v>
      </c>
      <c r="G165" s="1">
        <f>원본!J165</f>
        <v>900</v>
      </c>
      <c r="H165" s="1">
        <f>원본!K165</f>
        <v>20</v>
      </c>
      <c r="J165" s="1">
        <f t="shared" si="3"/>
        <v>20</v>
      </c>
      <c r="K165" s="1">
        <f>원본!N165</f>
        <v>79.400000000000006</v>
      </c>
      <c r="L165" s="4" t="str">
        <f>원본!D165</f>
        <v>우미건설(주)e</v>
      </c>
      <c r="M165" s="1" t="str">
        <f>+원본!E165</f>
        <v xml:space="preserve"> 남원주 역세권 복합용지 AC-4BL 우미린 공동주택현장</v>
      </c>
      <c r="N165" s="1" t="str">
        <f>+원본!P165</f>
        <v>4동 4,5호84A,C 26~30F발코니2(內)</v>
      </c>
      <c r="O165" s="20"/>
      <c r="P165" s="20"/>
      <c r="Z165" s="3" t="str">
        <f>원본!R165</f>
        <v>26-2328</v>
      </c>
      <c r="AA165" s="2">
        <f>COUNTIF(Z$2:Z165,Z165)</f>
        <v>14</v>
      </c>
    </row>
    <row r="166" spans="1:27" ht="16.5" customHeight="1" x14ac:dyDescent="0.3">
      <c r="A166" s="5" t="str">
        <f>원본!A166</f>
        <v>260828-04</v>
      </c>
      <c r="B166" s="5" t="str">
        <f>원본!F166</f>
        <v>TP</v>
      </c>
      <c r="C166" s="1" t="str">
        <f>원본!G166</f>
        <v>5newGN+12A+5로이</v>
      </c>
      <c r="D166" s="5">
        <f>원본!H166</f>
        <v>22</v>
      </c>
      <c r="E166" s="1" t="s">
        <v>18</v>
      </c>
      <c r="F166" s="1">
        <f>원본!I166</f>
        <v>855</v>
      </c>
      <c r="G166" s="1">
        <f>원본!J166</f>
        <v>1820</v>
      </c>
      <c r="H166" s="1">
        <f>원본!K166</f>
        <v>10</v>
      </c>
      <c r="J166" s="1">
        <f t="shared" si="3"/>
        <v>10</v>
      </c>
      <c r="K166" s="1">
        <f>원본!N166</f>
        <v>169.49</v>
      </c>
      <c r="L166" s="4" t="str">
        <f>원본!D166</f>
        <v>우미건설(주)e</v>
      </c>
      <c r="M166" s="1" t="str">
        <f>+원본!E166</f>
        <v xml:space="preserve"> 남원주 역세권 복합용지 AC-4BL 우미린 공동주택현장</v>
      </c>
      <c r="N166" s="1" t="str">
        <f>+원본!P166</f>
        <v>4동 5호84C 26~30F발코니1</v>
      </c>
      <c r="O166" s="20"/>
      <c r="P166" s="20"/>
      <c r="Z166" s="3" t="str">
        <f>원본!R166</f>
        <v>26-2328</v>
      </c>
      <c r="AA166" s="2">
        <f>COUNTIF(Z$2:Z166,Z166)</f>
        <v>15</v>
      </c>
    </row>
    <row r="167" spans="1:27" ht="16.5" customHeight="1" x14ac:dyDescent="0.3">
      <c r="A167" s="5" t="str">
        <f>원본!A167</f>
        <v>260828-04</v>
      </c>
      <c r="B167" s="5" t="str">
        <f>원본!F167</f>
        <v>TP</v>
      </c>
      <c r="C167" s="1" t="str">
        <f>원본!G167</f>
        <v>5newGN+12A+5로이</v>
      </c>
      <c r="D167" s="5">
        <f>원본!H167</f>
        <v>22</v>
      </c>
      <c r="E167" s="1" t="s">
        <v>18</v>
      </c>
      <c r="F167" s="1">
        <f>원본!I167</f>
        <v>705</v>
      </c>
      <c r="G167" s="1">
        <f>원본!J167</f>
        <v>1820</v>
      </c>
      <c r="H167" s="1">
        <f>원본!K167</f>
        <v>10</v>
      </c>
      <c r="J167" s="1">
        <f t="shared" si="3"/>
        <v>10</v>
      </c>
      <c r="K167" s="1">
        <f>원본!N167</f>
        <v>139.76</v>
      </c>
      <c r="L167" s="4" t="str">
        <f>원본!D167</f>
        <v>우미건설(주)e</v>
      </c>
      <c r="M167" s="1" t="str">
        <f>+원본!E167</f>
        <v xml:space="preserve"> 남원주 역세권 복합용지 AC-4BL 우미린 공동주택현장</v>
      </c>
      <c r="N167" s="1" t="str">
        <f>+원본!P167</f>
        <v>4동 4호84A 26~30F발코니1</v>
      </c>
      <c r="O167" s="20"/>
      <c r="P167" s="20"/>
      <c r="Z167" s="3" t="str">
        <f>원본!R167</f>
        <v>26-2328</v>
      </c>
      <c r="AA167" s="2">
        <f>COUNTIF(Z$2:Z167,Z167)</f>
        <v>16</v>
      </c>
    </row>
    <row r="168" spans="1:27" ht="16.5" customHeight="1" x14ac:dyDescent="0.3">
      <c r="A168" s="5" t="str">
        <f>원본!A168</f>
        <v>260828-04</v>
      </c>
      <c r="B168" s="5" t="str">
        <f>원본!F168</f>
        <v>TP</v>
      </c>
      <c r="C168" s="1" t="str">
        <f>원본!G168</f>
        <v>5newGN+12A+5로이</v>
      </c>
      <c r="D168" s="5">
        <f>원본!H168</f>
        <v>22</v>
      </c>
      <c r="E168" s="1" t="s">
        <v>18</v>
      </c>
      <c r="F168" s="1">
        <f>원본!I168</f>
        <v>405</v>
      </c>
      <c r="G168" s="1">
        <f>원본!J168</f>
        <v>950</v>
      </c>
      <c r="H168" s="1">
        <f>원본!K168</f>
        <v>20</v>
      </c>
      <c r="J168" s="1">
        <f t="shared" si="3"/>
        <v>20</v>
      </c>
      <c r="K168" s="1">
        <f>원본!N168</f>
        <v>83.82</v>
      </c>
      <c r="L168" s="4" t="str">
        <f>원본!D168</f>
        <v>우미건설(주)e</v>
      </c>
      <c r="M168" s="1" t="str">
        <f>+원본!E168</f>
        <v xml:space="preserve"> 남원주 역세권 복합용지 AC-4BL 우미린 공동주택현장</v>
      </c>
      <c r="N168" s="1" t="str">
        <f>+원본!P168</f>
        <v>4동 4,5호84A,C26~30F하향식피난구</v>
      </c>
      <c r="O168" s="20"/>
      <c r="P168" s="20"/>
      <c r="Z168" s="3" t="str">
        <f>원본!R168</f>
        <v>26-2328</v>
      </c>
      <c r="AA168" s="2">
        <f>COUNTIF(Z$2:Z168,Z168)</f>
        <v>17</v>
      </c>
    </row>
    <row r="169" spans="1:27" ht="16.5" customHeight="1" x14ac:dyDescent="0.3">
      <c r="A169" s="5" t="str">
        <f>원본!A169</f>
        <v>260828-03</v>
      </c>
      <c r="B169" s="5" t="str">
        <f>원본!F169</f>
        <v>TP</v>
      </c>
      <c r="C169" s="1" t="str">
        <f>원본!G169</f>
        <v>5newGN+12AR.+5로이</v>
      </c>
      <c r="D169" s="5">
        <f>원본!H169</f>
        <v>22</v>
      </c>
      <c r="E169" s="1" t="s">
        <v>18</v>
      </c>
      <c r="F169" s="1">
        <f>원본!I169</f>
        <v>1719</v>
      </c>
      <c r="G169" s="1">
        <f>원본!J169</f>
        <v>1820</v>
      </c>
      <c r="H169" s="1">
        <f>원본!K169</f>
        <v>15</v>
      </c>
      <c r="J169" s="1">
        <f t="shared" si="3"/>
        <v>15</v>
      </c>
      <c r="K169" s="1">
        <f>원본!N169</f>
        <v>511.16</v>
      </c>
      <c r="L169" s="4" t="str">
        <f>원본!D169</f>
        <v>우미건설(주)e</v>
      </c>
      <c r="M169" s="1" t="str">
        <f>+원본!E169</f>
        <v xml:space="preserve"> 남원주 역세권 복합용지 AC-4BL 우미린 공동주택현장</v>
      </c>
      <c r="N169" s="1" t="str">
        <f>+원본!P169</f>
        <v>4동 1~3호84A,B 26~30F거실F(外)</v>
      </c>
      <c r="O169" s="20"/>
      <c r="P169" s="20"/>
      <c r="Z169" s="3" t="str">
        <f>원본!R169</f>
        <v>26-2327</v>
      </c>
      <c r="AA169" s="2">
        <f>COUNTIF(Z$2:Z169,Z169)</f>
        <v>1</v>
      </c>
    </row>
    <row r="170" spans="1:27" ht="16.5" customHeight="1" x14ac:dyDescent="0.3">
      <c r="A170" s="5" t="str">
        <f>원본!A170</f>
        <v>260828-03</v>
      </c>
      <c r="B170" s="5" t="str">
        <f>원본!F170</f>
        <v>TP</v>
      </c>
      <c r="C170" s="1" t="str">
        <f>원본!G170</f>
        <v>5newGN+12AR.+5로이</v>
      </c>
      <c r="D170" s="5">
        <f>원본!H170</f>
        <v>22</v>
      </c>
      <c r="E170" s="1" t="s">
        <v>18</v>
      </c>
      <c r="F170" s="1">
        <f>원본!I170</f>
        <v>763</v>
      </c>
      <c r="G170" s="1">
        <f>원본!J170</f>
        <v>1820</v>
      </c>
      <c r="H170" s="1">
        <f>원본!K170</f>
        <v>30</v>
      </c>
      <c r="J170" s="1">
        <f t="shared" si="3"/>
        <v>30</v>
      </c>
      <c r="K170" s="1">
        <f>원본!N170</f>
        <v>453.77</v>
      </c>
      <c r="L170" s="4" t="str">
        <f>원본!D170</f>
        <v>우미건설(주)e</v>
      </c>
      <c r="M170" s="1" t="str">
        <f>+원본!E170</f>
        <v xml:space="preserve"> 남원주 역세권 복합용지 AC-4BL 우미린 공동주택현장</v>
      </c>
      <c r="N170" s="1" t="str">
        <f>+원본!P170</f>
        <v>4동 1~3호84A,B 26~30F거실S(外)</v>
      </c>
      <c r="O170" s="20"/>
      <c r="P170" s="20"/>
      <c r="Z170" s="3" t="str">
        <f>원본!R170</f>
        <v>26-2327</v>
      </c>
      <c r="AA170" s="2">
        <f>COUNTIF(Z$2:Z170,Z170)</f>
        <v>2</v>
      </c>
    </row>
    <row r="171" spans="1:27" ht="16.5" customHeight="1" x14ac:dyDescent="0.3">
      <c r="A171" s="5" t="str">
        <f>원본!A171</f>
        <v>260828-03</v>
      </c>
      <c r="B171" s="5" t="str">
        <f>원본!F171</f>
        <v>TP</v>
      </c>
      <c r="C171" s="1" t="str">
        <f>원본!G171</f>
        <v>5newGN+12AR.+5로이</v>
      </c>
      <c r="D171" s="5">
        <f>원본!H171</f>
        <v>22</v>
      </c>
      <c r="E171" s="1" t="s">
        <v>18</v>
      </c>
      <c r="F171" s="1">
        <f>원본!I171</f>
        <v>755</v>
      </c>
      <c r="G171" s="1">
        <f>원본!J171</f>
        <v>950</v>
      </c>
      <c r="H171" s="1">
        <f>원본!K171</f>
        <v>60</v>
      </c>
      <c r="J171" s="1">
        <f t="shared" si="3"/>
        <v>60</v>
      </c>
      <c r="K171" s="1">
        <f>원본!N171</f>
        <v>468.74</v>
      </c>
      <c r="L171" s="4" t="str">
        <f>원본!D171</f>
        <v>우미건설(주)e</v>
      </c>
      <c r="M171" s="1" t="str">
        <f>+원본!E171</f>
        <v xml:space="preserve"> 남원주 역세권 복합용지 AC-4BL 우미린 공동주택현장</v>
      </c>
      <c r="N171" s="1" t="str">
        <f>+원본!P171</f>
        <v>4동 1~3호84A,B 26~30F침실1,2(外)</v>
      </c>
      <c r="O171" s="20"/>
      <c r="P171" s="20"/>
      <c r="Z171" s="3" t="str">
        <f>원본!R171</f>
        <v>26-2327</v>
      </c>
      <c r="AA171" s="2">
        <f>COUNTIF(Z$2:Z171,Z171)</f>
        <v>3</v>
      </c>
    </row>
    <row r="172" spans="1:27" ht="16.5" customHeight="1" x14ac:dyDescent="0.3">
      <c r="A172" s="5" t="str">
        <f>원본!A172</f>
        <v>260828-03</v>
      </c>
      <c r="B172" s="5" t="str">
        <f>원본!F172</f>
        <v>TP</v>
      </c>
      <c r="C172" s="1" t="str">
        <f>원본!G172</f>
        <v>5newGN+12AR.+5로이</v>
      </c>
      <c r="D172" s="5">
        <f>원본!H172</f>
        <v>22</v>
      </c>
      <c r="E172" s="1" t="s">
        <v>18</v>
      </c>
      <c r="F172" s="1">
        <f>원본!I172</f>
        <v>455</v>
      </c>
      <c r="G172" s="1">
        <f>원본!J172</f>
        <v>950</v>
      </c>
      <c r="H172" s="1">
        <f>원본!K172</f>
        <v>40</v>
      </c>
      <c r="J172" s="1">
        <f t="shared" si="3"/>
        <v>40</v>
      </c>
      <c r="K172" s="1">
        <f>원본!N172</f>
        <v>188.33</v>
      </c>
      <c r="L172" s="4" t="str">
        <f>원본!D172</f>
        <v>우미건설(주)e</v>
      </c>
      <c r="M172" s="1" t="str">
        <f>+원본!E172</f>
        <v xml:space="preserve"> 남원주 역세권 복합용지 AC-4BL 우미린 공동주택현장</v>
      </c>
      <c r="N172" s="1" t="str">
        <f>+원본!P172</f>
        <v>4동 1~3호84A,B 26~30F주방/식당,드레스룸(外)</v>
      </c>
      <c r="O172" s="20"/>
      <c r="P172" s="20"/>
      <c r="Z172" s="3" t="str">
        <f>원본!R172</f>
        <v>26-2327</v>
      </c>
      <c r="AA172" s="2">
        <f>COUNTIF(Z$2:Z172,Z172)</f>
        <v>4</v>
      </c>
    </row>
    <row r="173" spans="1:27" ht="16.5" customHeight="1" x14ac:dyDescent="0.3">
      <c r="A173" s="5" t="str">
        <f>원본!A173</f>
        <v>260828-03</v>
      </c>
      <c r="B173" s="5" t="str">
        <f>원본!F173</f>
        <v>TP</v>
      </c>
      <c r="C173" s="1" t="str">
        <f>원본!G173</f>
        <v>5newGN+12AR.+5로이</v>
      </c>
      <c r="D173" s="5">
        <f>원본!H173</f>
        <v>22</v>
      </c>
      <c r="E173" s="1" t="s">
        <v>18</v>
      </c>
      <c r="F173" s="1">
        <f>원본!I173</f>
        <v>305</v>
      </c>
      <c r="G173" s="1">
        <f>원본!J173</f>
        <v>950</v>
      </c>
      <c r="H173" s="1">
        <f>원본!K173</f>
        <v>40</v>
      </c>
      <c r="J173" s="1">
        <f t="shared" si="3"/>
        <v>40</v>
      </c>
      <c r="K173" s="1">
        <f>원본!N173</f>
        <v>126.24</v>
      </c>
      <c r="L173" s="4" t="str">
        <f>원본!D173</f>
        <v>우미건설(주)e</v>
      </c>
      <c r="M173" s="1" t="str">
        <f>+원본!E173</f>
        <v xml:space="preserve"> 남원주 역세권 복합용지 AC-4BL 우미린 공동주택현장</v>
      </c>
      <c r="N173" s="1" t="str">
        <f>+원본!P173</f>
        <v>4동 1,3호84A 26~30F드레스룸,팬트리(外)</v>
      </c>
      <c r="O173" s="20"/>
      <c r="P173" s="20"/>
      <c r="Z173" s="3" t="str">
        <f>원본!R173</f>
        <v>26-2327</v>
      </c>
      <c r="AA173" s="2">
        <f>COUNTIF(Z$2:Z173,Z173)</f>
        <v>5</v>
      </c>
    </row>
    <row r="174" spans="1:27" ht="16.5" customHeight="1" x14ac:dyDescent="0.3">
      <c r="A174" s="5" t="str">
        <f>원본!A174</f>
        <v>260828-03</v>
      </c>
      <c r="B174" s="5" t="str">
        <f>원본!F174</f>
        <v>TP</v>
      </c>
      <c r="C174" s="1" t="str">
        <f>원본!G174</f>
        <v>5newGN+12AR.+5로이</v>
      </c>
      <c r="D174" s="5">
        <f>원본!H174</f>
        <v>22</v>
      </c>
      <c r="E174" s="1" t="s">
        <v>18</v>
      </c>
      <c r="F174" s="1">
        <f>원본!I174</f>
        <v>405</v>
      </c>
      <c r="G174" s="1">
        <f>원본!J174</f>
        <v>900</v>
      </c>
      <c r="H174" s="1">
        <f>원본!K174</f>
        <v>30</v>
      </c>
      <c r="J174" s="1">
        <f t="shared" si="3"/>
        <v>30</v>
      </c>
      <c r="K174" s="1">
        <f>원본!N174</f>
        <v>119.11</v>
      </c>
      <c r="L174" s="4" t="str">
        <f>원본!D174</f>
        <v>우미건설(주)e</v>
      </c>
      <c r="M174" s="1" t="str">
        <f>+원본!E174</f>
        <v xml:space="preserve"> 남원주 역세권 복합용지 AC-4BL 우미린 공동주택현장</v>
      </c>
      <c r="N174" s="1" t="str">
        <f>+원본!P174</f>
        <v>4동 1~3호84A,B 26~30F발코니2(外)</v>
      </c>
      <c r="O174" s="20"/>
      <c r="P174" s="20"/>
      <c r="Z174" s="3" t="str">
        <f>원본!R174</f>
        <v>26-2327</v>
      </c>
      <c r="AA174" s="2">
        <f>COUNTIF(Z$2:Z174,Z174)</f>
        <v>6</v>
      </c>
    </row>
    <row r="175" spans="1:27" ht="16.5" customHeight="1" x14ac:dyDescent="0.3">
      <c r="A175" s="5" t="str">
        <f>원본!A175</f>
        <v>260828-03</v>
      </c>
      <c r="B175" s="5" t="str">
        <f>원본!F175</f>
        <v>TP</v>
      </c>
      <c r="C175" s="1" t="str">
        <f>원본!G175</f>
        <v>5CL+12Ar.+5로이</v>
      </c>
      <c r="D175" s="5">
        <f>원본!H175</f>
        <v>22</v>
      </c>
      <c r="E175" s="1" t="s">
        <v>18</v>
      </c>
      <c r="F175" s="1">
        <f>원본!I175</f>
        <v>1719</v>
      </c>
      <c r="G175" s="1">
        <f>원본!J175</f>
        <v>1820</v>
      </c>
      <c r="H175" s="1">
        <f>원본!K175</f>
        <v>15</v>
      </c>
      <c r="J175" s="1">
        <f t="shared" si="3"/>
        <v>15</v>
      </c>
      <c r="K175" s="1">
        <f>원본!N175</f>
        <v>511.16</v>
      </c>
      <c r="L175" s="4" t="str">
        <f>원본!D175</f>
        <v>우미건설(주)e</v>
      </c>
      <c r="M175" s="1" t="str">
        <f>+원본!E175</f>
        <v xml:space="preserve"> 남원주 역세권 복합용지 AC-4BL 우미린 공동주택현장</v>
      </c>
      <c r="N175" s="1" t="str">
        <f>+원본!P175</f>
        <v>4동 1~3호84A,B 26~30F거실F(內)</v>
      </c>
      <c r="O175" s="20"/>
      <c r="P175" s="20"/>
      <c r="Z175" s="3" t="str">
        <f>원본!R175</f>
        <v>26-2327</v>
      </c>
      <c r="AA175" s="2">
        <f>COUNTIF(Z$2:Z175,Z175)</f>
        <v>7</v>
      </c>
    </row>
    <row r="176" spans="1:27" ht="16.5" customHeight="1" x14ac:dyDescent="0.3">
      <c r="A176" s="5" t="str">
        <f>원본!A176</f>
        <v>260828-03</v>
      </c>
      <c r="B176" s="5" t="str">
        <f>원본!F176</f>
        <v>TP</v>
      </c>
      <c r="C176" s="1" t="str">
        <f>원본!G176</f>
        <v>5CL+12Ar.+5로이</v>
      </c>
      <c r="D176" s="5">
        <f>원본!H176</f>
        <v>22</v>
      </c>
      <c r="E176" s="1" t="s">
        <v>18</v>
      </c>
      <c r="F176" s="1">
        <f>원본!I176</f>
        <v>763</v>
      </c>
      <c r="G176" s="1">
        <f>원본!J176</f>
        <v>1820</v>
      </c>
      <c r="H176" s="1">
        <f>원본!K176</f>
        <v>30</v>
      </c>
      <c r="J176" s="1">
        <f t="shared" si="3"/>
        <v>30</v>
      </c>
      <c r="K176" s="1">
        <f>원본!N176</f>
        <v>453.77</v>
      </c>
      <c r="L176" s="4" t="str">
        <f>원본!D176</f>
        <v>우미건설(주)e</v>
      </c>
      <c r="M176" s="1" t="str">
        <f>+원본!E176</f>
        <v xml:space="preserve"> 남원주 역세권 복합용지 AC-4BL 우미린 공동주택현장</v>
      </c>
      <c r="N176" s="1" t="str">
        <f>+원본!P176</f>
        <v>4동 1~3호84A,B 26~30F거실S(內)</v>
      </c>
      <c r="O176" s="20"/>
      <c r="P176" s="20"/>
      <c r="Z176" s="3" t="str">
        <f>원본!R176</f>
        <v>26-2327</v>
      </c>
      <c r="AA176" s="2">
        <f>COUNTIF(Z$2:Z176,Z176)</f>
        <v>8</v>
      </c>
    </row>
    <row r="177" spans="1:27" ht="16.5" customHeight="1" x14ac:dyDescent="0.3">
      <c r="A177" s="5" t="str">
        <f>원본!A177</f>
        <v>260828-03</v>
      </c>
      <c r="B177" s="5" t="str">
        <f>원본!F177</f>
        <v>TP</v>
      </c>
      <c r="C177" s="1" t="str">
        <f>원본!G177</f>
        <v>5CL+12Ar.+5로이</v>
      </c>
      <c r="D177" s="5">
        <f>원본!H177</f>
        <v>22</v>
      </c>
      <c r="E177" s="1" t="s">
        <v>18</v>
      </c>
      <c r="F177" s="1">
        <f>원본!I177</f>
        <v>755</v>
      </c>
      <c r="G177" s="1">
        <f>원본!J177</f>
        <v>950</v>
      </c>
      <c r="H177" s="1">
        <f>원본!K177</f>
        <v>60</v>
      </c>
      <c r="J177" s="1">
        <f t="shared" si="3"/>
        <v>60</v>
      </c>
      <c r="K177" s="1">
        <f>원본!N177</f>
        <v>468.74</v>
      </c>
      <c r="L177" s="4" t="str">
        <f>원본!D177</f>
        <v>우미건설(주)e</v>
      </c>
      <c r="M177" s="1" t="str">
        <f>+원본!E177</f>
        <v xml:space="preserve"> 남원주 역세권 복합용지 AC-4BL 우미린 공동주택현장</v>
      </c>
      <c r="N177" s="1" t="str">
        <f>+원본!P177</f>
        <v>4동 1~3호84A,B 26~30F침실1,2(內)</v>
      </c>
      <c r="O177" s="20"/>
      <c r="P177" s="20"/>
      <c r="Z177" s="3" t="str">
        <f>원본!R177</f>
        <v>26-2327</v>
      </c>
      <c r="AA177" s="2">
        <f>COUNTIF(Z$2:Z177,Z177)</f>
        <v>9</v>
      </c>
    </row>
    <row r="178" spans="1:27" ht="16.5" customHeight="1" x14ac:dyDescent="0.3">
      <c r="A178" s="5" t="str">
        <f>원본!A178</f>
        <v>260828-03</v>
      </c>
      <c r="B178" s="5" t="str">
        <f>원본!F178</f>
        <v>TP</v>
      </c>
      <c r="C178" s="1" t="str">
        <f>원본!G178</f>
        <v>5CL+12Ar.+5로이</v>
      </c>
      <c r="D178" s="5">
        <f>원본!H178</f>
        <v>22</v>
      </c>
      <c r="E178" s="1" t="s">
        <v>18</v>
      </c>
      <c r="F178" s="1">
        <f>원본!I178</f>
        <v>455</v>
      </c>
      <c r="G178" s="1">
        <f>원본!J178</f>
        <v>950</v>
      </c>
      <c r="H178" s="1">
        <f>원본!K178</f>
        <v>40</v>
      </c>
      <c r="J178" s="1">
        <f t="shared" si="3"/>
        <v>40</v>
      </c>
      <c r="K178" s="1">
        <f>원본!N178</f>
        <v>188.33</v>
      </c>
      <c r="L178" s="4" t="str">
        <f>원본!D178</f>
        <v>우미건설(주)e</v>
      </c>
      <c r="M178" s="1" t="str">
        <f>+원본!E178</f>
        <v xml:space="preserve"> 남원주 역세권 복합용지 AC-4BL 우미린 공동주택현장</v>
      </c>
      <c r="N178" s="1" t="str">
        <f>+원본!P178</f>
        <v>4동 1~3호84A,B 26~30F주방/식당,드레스룸(內)</v>
      </c>
      <c r="O178" s="20"/>
      <c r="P178" s="20"/>
      <c r="Z178" s="3" t="str">
        <f>원본!R178</f>
        <v>26-2327</v>
      </c>
      <c r="AA178" s="2">
        <f>COUNTIF(Z$2:Z178,Z178)</f>
        <v>10</v>
      </c>
    </row>
    <row r="179" spans="1:27" ht="16.5" customHeight="1" x14ac:dyDescent="0.3">
      <c r="A179" s="5" t="str">
        <f>원본!A179</f>
        <v>260828-03</v>
      </c>
      <c r="B179" s="5" t="str">
        <f>원본!F179</f>
        <v>TP</v>
      </c>
      <c r="C179" s="1" t="str">
        <f>원본!G179</f>
        <v>5CL+12Ar.+5로이</v>
      </c>
      <c r="D179" s="5">
        <f>원본!H179</f>
        <v>22</v>
      </c>
      <c r="E179" s="1" t="s">
        <v>18</v>
      </c>
      <c r="F179" s="1">
        <f>원본!I179</f>
        <v>305</v>
      </c>
      <c r="G179" s="1">
        <f>원본!J179</f>
        <v>950</v>
      </c>
      <c r="H179" s="1">
        <f>원본!K179</f>
        <v>40</v>
      </c>
      <c r="J179" s="1">
        <f t="shared" si="3"/>
        <v>40</v>
      </c>
      <c r="K179" s="1">
        <f>원본!N179</f>
        <v>126.24</v>
      </c>
      <c r="L179" s="4" t="str">
        <f>원본!D179</f>
        <v>우미건설(주)e</v>
      </c>
      <c r="M179" s="1" t="str">
        <f>+원본!E179</f>
        <v xml:space="preserve"> 남원주 역세권 복합용지 AC-4BL 우미린 공동주택현장</v>
      </c>
      <c r="N179" s="1" t="str">
        <f>+원본!P179</f>
        <v>4동 1,3호84A 26~30F드레스룸,팬트리(內)</v>
      </c>
      <c r="O179" s="20"/>
      <c r="P179" s="20"/>
      <c r="Z179" s="3" t="str">
        <f>원본!R179</f>
        <v>26-2327</v>
      </c>
      <c r="AA179" s="2">
        <f>COUNTIF(Z$2:Z179,Z179)</f>
        <v>11</v>
      </c>
    </row>
    <row r="180" spans="1:27" ht="16.5" customHeight="1" x14ac:dyDescent="0.3">
      <c r="A180" s="5" t="str">
        <f>원본!A180</f>
        <v>260828-03</v>
      </c>
      <c r="B180" s="5" t="str">
        <f>원본!F180</f>
        <v>TP</v>
      </c>
      <c r="C180" s="1" t="str">
        <f>원본!G180</f>
        <v>5CL+12Ar.+5로이</v>
      </c>
      <c r="D180" s="5">
        <f>원본!H180</f>
        <v>22</v>
      </c>
      <c r="E180" s="1" t="s">
        <v>18</v>
      </c>
      <c r="F180" s="1">
        <f>원본!I180</f>
        <v>405</v>
      </c>
      <c r="G180" s="1">
        <f>원본!J180</f>
        <v>900</v>
      </c>
      <c r="H180" s="1">
        <f>원본!K180</f>
        <v>30</v>
      </c>
      <c r="J180" s="1">
        <f t="shared" si="3"/>
        <v>30</v>
      </c>
      <c r="K180" s="1">
        <f>원본!N180</f>
        <v>119.11</v>
      </c>
      <c r="L180" s="4" t="str">
        <f>원본!D180</f>
        <v>우미건설(주)e</v>
      </c>
      <c r="M180" s="1" t="str">
        <f>+원본!E180</f>
        <v xml:space="preserve"> 남원주 역세권 복합용지 AC-4BL 우미린 공동주택현장</v>
      </c>
      <c r="N180" s="1" t="str">
        <f>+원본!P180</f>
        <v>4동 1~3호84A,B 26~30F발코니2(內)</v>
      </c>
      <c r="O180" s="20"/>
      <c r="P180" s="20"/>
      <c r="Z180" s="3" t="str">
        <f>원본!R180</f>
        <v>26-2327</v>
      </c>
      <c r="AA180" s="2">
        <f>COUNTIF(Z$2:Z180,Z180)</f>
        <v>12</v>
      </c>
    </row>
    <row r="181" spans="1:27" ht="16.5" customHeight="1" x14ac:dyDescent="0.3">
      <c r="A181" s="5" t="str">
        <f>원본!A181</f>
        <v>260828-03</v>
      </c>
      <c r="B181" s="5" t="str">
        <f>원본!F181</f>
        <v>TP</v>
      </c>
      <c r="C181" s="1" t="str">
        <f>원본!G181</f>
        <v>5newGN+12A+5로이</v>
      </c>
      <c r="D181" s="5">
        <f>원본!H181</f>
        <v>22</v>
      </c>
      <c r="E181" s="1" t="s">
        <v>18</v>
      </c>
      <c r="F181" s="1">
        <f>원본!I181</f>
        <v>705</v>
      </c>
      <c r="G181" s="1">
        <f>원본!J181</f>
        <v>1820</v>
      </c>
      <c r="H181" s="1">
        <f>원본!K181</f>
        <v>20</v>
      </c>
      <c r="J181" s="1">
        <f t="shared" si="3"/>
        <v>20</v>
      </c>
      <c r="K181" s="1">
        <f>원본!N181</f>
        <v>279.52</v>
      </c>
      <c r="L181" s="4" t="str">
        <f>원본!D181</f>
        <v>우미건설(주)e</v>
      </c>
      <c r="M181" s="1" t="str">
        <f>+원본!E181</f>
        <v xml:space="preserve"> 남원주 역세권 복합용지 AC-4BL 우미린 공동주택현장</v>
      </c>
      <c r="N181" s="1" t="str">
        <f>+원본!P181</f>
        <v>4동 2,3호84A,B 26~30F발코니1</v>
      </c>
      <c r="O181" s="20"/>
      <c r="P181" s="20"/>
      <c r="Z181" s="3" t="str">
        <f>원본!R181</f>
        <v>26-2327</v>
      </c>
      <c r="AA181" s="2">
        <f>COUNTIF(Z$2:Z181,Z181)</f>
        <v>13</v>
      </c>
    </row>
    <row r="182" spans="1:27" ht="16.5" customHeight="1" x14ac:dyDescent="0.3">
      <c r="A182" s="5" t="str">
        <f>원본!A182</f>
        <v>260828-03</v>
      </c>
      <c r="B182" s="5" t="str">
        <f>원본!F182</f>
        <v>TP</v>
      </c>
      <c r="C182" s="1" t="str">
        <f>원본!G182</f>
        <v>5newGN+12A+5로이</v>
      </c>
      <c r="D182" s="5">
        <f>원본!H182</f>
        <v>22</v>
      </c>
      <c r="E182" s="1" t="s">
        <v>18</v>
      </c>
      <c r="F182" s="1">
        <f>원본!I182</f>
        <v>405</v>
      </c>
      <c r="G182" s="1">
        <f>원본!J182</f>
        <v>950</v>
      </c>
      <c r="H182" s="1">
        <f>원본!K182</f>
        <v>30</v>
      </c>
      <c r="J182" s="1">
        <f t="shared" si="3"/>
        <v>30</v>
      </c>
      <c r="K182" s="1">
        <f>원본!N182</f>
        <v>125.72</v>
      </c>
      <c r="L182" s="4" t="str">
        <f>원본!D182</f>
        <v>우미건설(주)e</v>
      </c>
      <c r="M182" s="1" t="str">
        <f>+원본!E182</f>
        <v xml:space="preserve"> 남원주 역세권 복합용지 AC-4BL 우미린 공동주택현장</v>
      </c>
      <c r="N182" s="1" t="str">
        <f>+원본!P182</f>
        <v>4동 1~3호84A,B 26~30F하향식피난구</v>
      </c>
      <c r="O182" s="20"/>
      <c r="P182" s="20"/>
      <c r="Z182" s="3" t="str">
        <f>원본!R182</f>
        <v>26-2327</v>
      </c>
      <c r="AA182" s="2">
        <f>COUNTIF(Z$2:Z182,Z182)</f>
        <v>14</v>
      </c>
    </row>
    <row r="183" spans="1:27" ht="16.5" customHeight="1" x14ac:dyDescent="0.3">
      <c r="A183" s="5" t="str">
        <f>원본!A183</f>
        <v>260828-02</v>
      </c>
      <c r="B183" s="5" t="str">
        <f>원본!F183</f>
        <v>TP</v>
      </c>
      <c r="C183" s="1" t="str">
        <f>원본!G183</f>
        <v>5newGN+12AR.+5로이</v>
      </c>
      <c r="D183" s="5">
        <f>원본!H183</f>
        <v>22</v>
      </c>
      <c r="E183" s="1" t="s">
        <v>18</v>
      </c>
      <c r="F183" s="1">
        <f>원본!I183</f>
        <v>1719</v>
      </c>
      <c r="G183" s="1">
        <f>원본!J183</f>
        <v>1820</v>
      </c>
      <c r="H183" s="1">
        <f>원본!K183</f>
        <v>10</v>
      </c>
      <c r="J183" s="1">
        <f t="shared" si="3"/>
        <v>10</v>
      </c>
      <c r="K183" s="1">
        <f>원본!N183</f>
        <v>340.77</v>
      </c>
      <c r="L183" s="4" t="str">
        <f>원본!D183</f>
        <v>우미건설(주)e</v>
      </c>
      <c r="M183" s="1" t="str">
        <f>+원본!E183</f>
        <v xml:space="preserve"> 남원주 역세권 복합용지 AC-4BL 우미린 공동주택현장</v>
      </c>
      <c r="N183" s="1" t="str">
        <f>+원본!P183</f>
        <v>3동 4,5호84A,C 26~30F거실F(外)</v>
      </c>
      <c r="O183" s="20"/>
      <c r="P183" s="20"/>
      <c r="Z183" s="3" t="str">
        <f>원본!R183</f>
        <v>26-2326</v>
      </c>
      <c r="AA183" s="2">
        <f>COUNTIF(Z$2:Z183,Z183)</f>
        <v>1</v>
      </c>
    </row>
    <row r="184" spans="1:27" ht="16.5" customHeight="1" x14ac:dyDescent="0.3">
      <c r="A184" s="5" t="str">
        <f>원본!A184</f>
        <v>260828-02</v>
      </c>
      <c r="B184" s="5" t="str">
        <f>원본!F184</f>
        <v>TP</v>
      </c>
      <c r="C184" s="1" t="str">
        <f>원본!G184</f>
        <v>5newGN+12AR.+5로이</v>
      </c>
      <c r="D184" s="5">
        <f>원본!H184</f>
        <v>22</v>
      </c>
      <c r="E184" s="1" t="s">
        <v>18</v>
      </c>
      <c r="F184" s="1">
        <f>원본!I184</f>
        <v>763</v>
      </c>
      <c r="G184" s="1">
        <f>원본!J184</f>
        <v>1820</v>
      </c>
      <c r="H184" s="1">
        <f>원본!K184</f>
        <v>20</v>
      </c>
      <c r="J184" s="1">
        <f t="shared" si="3"/>
        <v>20</v>
      </c>
      <c r="K184" s="1">
        <f>원본!N184</f>
        <v>302.51</v>
      </c>
      <c r="L184" s="4" t="str">
        <f>원본!D184</f>
        <v>우미건설(주)e</v>
      </c>
      <c r="M184" s="1" t="str">
        <f>+원본!E184</f>
        <v xml:space="preserve"> 남원주 역세권 복합용지 AC-4BL 우미린 공동주택현장</v>
      </c>
      <c r="N184" s="1" t="str">
        <f>+원본!P184</f>
        <v>3동 4,5호84A,C 26~30F거실S(外)</v>
      </c>
      <c r="O184" s="20"/>
      <c r="P184" s="20"/>
      <c r="Z184" s="3" t="str">
        <f>원본!R184</f>
        <v>26-2326</v>
      </c>
      <c r="AA184" s="2">
        <f>COUNTIF(Z$2:Z184,Z184)</f>
        <v>2</v>
      </c>
    </row>
    <row r="185" spans="1:27" ht="16.5" customHeight="1" x14ac:dyDescent="0.3">
      <c r="A185" s="5" t="str">
        <f>원본!A185</f>
        <v>260828-02</v>
      </c>
      <c r="B185" s="5" t="str">
        <f>원본!F185</f>
        <v>TP</v>
      </c>
      <c r="C185" s="1" t="str">
        <f>원본!G185</f>
        <v>5newGN+12AR.+5로이</v>
      </c>
      <c r="D185" s="5">
        <f>원본!H185</f>
        <v>22</v>
      </c>
      <c r="E185" s="1" t="s">
        <v>18</v>
      </c>
      <c r="F185" s="1">
        <f>원본!I185</f>
        <v>405</v>
      </c>
      <c r="G185" s="1">
        <f>원본!J185</f>
        <v>1310</v>
      </c>
      <c r="H185" s="1">
        <f>원본!K185</f>
        <v>10</v>
      </c>
      <c r="J185" s="1">
        <f t="shared" si="3"/>
        <v>10</v>
      </c>
      <c r="K185" s="1">
        <f>원본!N185</f>
        <v>57.79</v>
      </c>
      <c r="L185" s="4" t="str">
        <f>원본!D185</f>
        <v>우미건설(주)e</v>
      </c>
      <c r="M185" s="1" t="str">
        <f>+원본!E185</f>
        <v xml:space="preserve"> 남원주 역세권 복합용지 AC-4BL 우미린 공동주택현장</v>
      </c>
      <c r="N185" s="1" t="str">
        <f>+원본!P185</f>
        <v>3동 5호84C 26~30F복도(外)</v>
      </c>
      <c r="O185" s="20"/>
      <c r="P185" s="20"/>
      <c r="Z185" s="3" t="str">
        <f>원본!R185</f>
        <v>26-2326</v>
      </c>
      <c r="AA185" s="2">
        <f>COUNTIF(Z$2:Z185,Z185)</f>
        <v>3</v>
      </c>
    </row>
    <row r="186" spans="1:27" ht="16.5" customHeight="1" x14ac:dyDescent="0.3">
      <c r="A186" s="5" t="str">
        <f>원본!A186</f>
        <v>260828-02</v>
      </c>
      <c r="B186" s="5" t="str">
        <f>원본!F186</f>
        <v>TP</v>
      </c>
      <c r="C186" s="1" t="str">
        <f>원본!G186</f>
        <v>5newGN+12AR.+5로이</v>
      </c>
      <c r="D186" s="5">
        <f>원본!H186</f>
        <v>22</v>
      </c>
      <c r="E186" s="1" t="s">
        <v>18</v>
      </c>
      <c r="F186" s="1">
        <f>원본!I186</f>
        <v>755</v>
      </c>
      <c r="G186" s="1">
        <f>원본!J186</f>
        <v>950</v>
      </c>
      <c r="H186" s="1">
        <f>원본!K186</f>
        <v>40</v>
      </c>
      <c r="J186" s="1">
        <f t="shared" si="3"/>
        <v>40</v>
      </c>
      <c r="K186" s="1">
        <f>원본!N186</f>
        <v>312.5</v>
      </c>
      <c r="L186" s="4" t="str">
        <f>원본!D186</f>
        <v>우미건설(주)e</v>
      </c>
      <c r="M186" s="1" t="str">
        <f>+원본!E186</f>
        <v xml:space="preserve"> 남원주 역세권 복합용지 AC-4BL 우미린 공동주택현장</v>
      </c>
      <c r="N186" s="1" t="str">
        <f>+원본!P186</f>
        <v>3동 4,5호84A,C 26~30F침실1,2(外)</v>
      </c>
      <c r="O186" s="20"/>
      <c r="P186" s="20"/>
      <c r="Z186" s="3" t="str">
        <f>원본!R186</f>
        <v>26-2326</v>
      </c>
      <c r="AA186" s="2">
        <f>COUNTIF(Z$2:Z186,Z186)</f>
        <v>4</v>
      </c>
    </row>
    <row r="187" spans="1:27" ht="16.5" customHeight="1" x14ac:dyDescent="0.3">
      <c r="A187" s="5" t="str">
        <f>원본!A187</f>
        <v>260828-02</v>
      </c>
      <c r="B187" s="5" t="str">
        <f>원본!F187</f>
        <v>TP</v>
      </c>
      <c r="C187" s="1" t="str">
        <f>원본!G187</f>
        <v>5newGN+12AR.+5로이</v>
      </c>
      <c r="D187" s="5">
        <f>원본!H187</f>
        <v>22</v>
      </c>
      <c r="E187" s="1" t="s">
        <v>18</v>
      </c>
      <c r="F187" s="1">
        <f>원본!I187</f>
        <v>455</v>
      </c>
      <c r="G187" s="1">
        <f>원본!J187</f>
        <v>950</v>
      </c>
      <c r="H187" s="1">
        <f>원본!K187</f>
        <v>20</v>
      </c>
      <c r="J187" s="1">
        <f t="shared" si="3"/>
        <v>20</v>
      </c>
      <c r="K187" s="1">
        <f>원본!N187</f>
        <v>94.16</v>
      </c>
      <c r="L187" s="4" t="str">
        <f>원본!D187</f>
        <v>우미건설(주)e</v>
      </c>
      <c r="M187" s="1" t="str">
        <f>+원본!E187</f>
        <v xml:space="preserve"> 남원주 역세권 복합용지 AC-4BL 우미린 공동주택현장</v>
      </c>
      <c r="N187" s="1" t="str">
        <f>+원본!P187</f>
        <v>3동 4,5호84A,C 26~30F주방/식당(外)</v>
      </c>
      <c r="O187" s="20"/>
      <c r="P187" s="20"/>
      <c r="Z187" s="3" t="str">
        <f>원본!R187</f>
        <v>26-2326</v>
      </c>
      <c r="AA187" s="2">
        <f>COUNTIF(Z$2:Z187,Z187)</f>
        <v>5</v>
      </c>
    </row>
    <row r="188" spans="1:27" ht="16.5" customHeight="1" x14ac:dyDescent="0.3">
      <c r="A188" s="5" t="str">
        <f>원본!A188</f>
        <v>260828-02</v>
      </c>
      <c r="B188" s="5" t="str">
        <f>원본!F188</f>
        <v>TP</v>
      </c>
      <c r="C188" s="1" t="str">
        <f>원본!G188</f>
        <v>5newGN+12AR.+5로이</v>
      </c>
      <c r="D188" s="5">
        <f>원본!H188</f>
        <v>22</v>
      </c>
      <c r="E188" s="1" t="s">
        <v>18</v>
      </c>
      <c r="F188" s="1">
        <f>원본!I188</f>
        <v>305</v>
      </c>
      <c r="G188" s="1">
        <f>원본!J188</f>
        <v>950</v>
      </c>
      <c r="H188" s="1">
        <f>원본!K188</f>
        <v>30</v>
      </c>
      <c r="J188" s="1">
        <f t="shared" si="3"/>
        <v>30</v>
      </c>
      <c r="K188" s="1">
        <f>원본!N188</f>
        <v>94.68</v>
      </c>
      <c r="L188" s="4" t="str">
        <f>원본!D188</f>
        <v>우미건설(주)e</v>
      </c>
      <c r="M188" s="1" t="str">
        <f>+원본!E188</f>
        <v xml:space="preserve"> 남원주 역세권 복합용지 AC-4BL 우미린 공동주택현장</v>
      </c>
      <c r="N188" s="1" t="str">
        <f>+원본!P188</f>
        <v>3동 4,5호84A,C 26~30F드레스룸,팬트리(外)</v>
      </c>
      <c r="O188" s="20"/>
      <c r="P188" s="20"/>
      <c r="Z188" s="3" t="str">
        <f>원본!R188</f>
        <v>26-2326</v>
      </c>
      <c r="AA188" s="2">
        <f>COUNTIF(Z$2:Z188,Z188)</f>
        <v>6</v>
      </c>
    </row>
    <row r="189" spans="1:27" ht="16.5" customHeight="1" x14ac:dyDescent="0.3">
      <c r="A189" s="5" t="str">
        <f>원본!A189</f>
        <v>260828-02</v>
      </c>
      <c r="B189" s="5" t="str">
        <f>원본!F189</f>
        <v>TP</v>
      </c>
      <c r="C189" s="1" t="str">
        <f>원본!G189</f>
        <v>5newGN+12AR.+5로이</v>
      </c>
      <c r="D189" s="5">
        <f>원본!H189</f>
        <v>22</v>
      </c>
      <c r="E189" s="1" t="s">
        <v>18</v>
      </c>
      <c r="F189" s="1">
        <f>원본!I189</f>
        <v>405</v>
      </c>
      <c r="G189" s="1">
        <f>원본!J189</f>
        <v>900</v>
      </c>
      <c r="H189" s="1">
        <f>원본!K189</f>
        <v>20</v>
      </c>
      <c r="J189" s="1">
        <f t="shared" si="3"/>
        <v>20</v>
      </c>
      <c r="K189" s="1">
        <f>원본!N189</f>
        <v>79.400000000000006</v>
      </c>
      <c r="L189" s="4" t="str">
        <f>원본!D189</f>
        <v>우미건설(주)e</v>
      </c>
      <c r="M189" s="1" t="str">
        <f>+원본!E189</f>
        <v xml:space="preserve"> 남원주 역세권 복합용지 AC-4BL 우미린 공동주택현장</v>
      </c>
      <c r="N189" s="1" t="str">
        <f>+원본!P189</f>
        <v>3동 4,5호84A,C 26~30F발코니2(外)</v>
      </c>
      <c r="O189" s="20"/>
      <c r="P189" s="20"/>
      <c r="Z189" s="3" t="str">
        <f>원본!R189</f>
        <v>26-2326</v>
      </c>
      <c r="AA189" s="2">
        <f>COUNTIF(Z$2:Z189,Z189)</f>
        <v>7</v>
      </c>
    </row>
    <row r="190" spans="1:27" ht="16.5" customHeight="1" x14ac:dyDescent="0.3">
      <c r="A190" s="5" t="str">
        <f>원본!A190</f>
        <v>260828-02</v>
      </c>
      <c r="B190" s="5" t="str">
        <f>원본!F190</f>
        <v>TP</v>
      </c>
      <c r="C190" s="1" t="str">
        <f>원본!G190</f>
        <v>5CL+12Ar.+5로이</v>
      </c>
      <c r="D190" s="5">
        <f>원본!H190</f>
        <v>22</v>
      </c>
      <c r="E190" s="1" t="s">
        <v>18</v>
      </c>
      <c r="F190" s="1">
        <f>원본!I190</f>
        <v>1719</v>
      </c>
      <c r="G190" s="1">
        <f>원본!J190</f>
        <v>1820</v>
      </c>
      <c r="H190" s="1">
        <f>원본!K190</f>
        <v>10</v>
      </c>
      <c r="J190" s="1">
        <f t="shared" si="3"/>
        <v>10</v>
      </c>
      <c r="K190" s="1">
        <f>원본!N190</f>
        <v>340.77</v>
      </c>
      <c r="L190" s="4" t="str">
        <f>원본!D190</f>
        <v>우미건설(주)e</v>
      </c>
      <c r="M190" s="1" t="str">
        <f>+원본!E190</f>
        <v xml:space="preserve"> 남원주 역세권 복합용지 AC-4BL 우미린 공동주택현장</v>
      </c>
      <c r="N190" s="1" t="str">
        <f>+원본!P190</f>
        <v>3동 4,5호84A,C 26~30F거실F(內)</v>
      </c>
      <c r="O190" s="20"/>
      <c r="P190" s="20"/>
      <c r="Z190" s="3" t="str">
        <f>원본!R190</f>
        <v>26-2326</v>
      </c>
      <c r="AA190" s="2">
        <f>COUNTIF(Z$2:Z190,Z190)</f>
        <v>8</v>
      </c>
    </row>
    <row r="191" spans="1:27" ht="16.5" customHeight="1" x14ac:dyDescent="0.3">
      <c r="A191" s="5" t="str">
        <f>원본!A191</f>
        <v>260828-02</v>
      </c>
      <c r="B191" s="5" t="str">
        <f>원본!F191</f>
        <v>TP</v>
      </c>
      <c r="C191" s="1" t="str">
        <f>원본!G191</f>
        <v>5CL+12Ar.+5로이</v>
      </c>
      <c r="D191" s="5">
        <f>원본!H191</f>
        <v>22</v>
      </c>
      <c r="E191" s="1" t="s">
        <v>18</v>
      </c>
      <c r="F191" s="1">
        <f>원본!I191</f>
        <v>763</v>
      </c>
      <c r="G191" s="1">
        <f>원본!J191</f>
        <v>1820</v>
      </c>
      <c r="H191" s="1">
        <f>원본!K191</f>
        <v>20</v>
      </c>
      <c r="J191" s="1">
        <f t="shared" si="3"/>
        <v>20</v>
      </c>
      <c r="K191" s="1">
        <f>원본!N191</f>
        <v>302.51</v>
      </c>
      <c r="L191" s="4" t="str">
        <f>원본!D191</f>
        <v>우미건설(주)e</v>
      </c>
      <c r="M191" s="1" t="str">
        <f>+원본!E191</f>
        <v xml:space="preserve"> 남원주 역세권 복합용지 AC-4BL 우미린 공동주택현장</v>
      </c>
      <c r="N191" s="1" t="str">
        <f>+원본!P191</f>
        <v>3동 4,5호84A,C 26~30F거실S(內)</v>
      </c>
      <c r="O191" s="20"/>
      <c r="P191" s="20"/>
      <c r="Z191" s="3" t="str">
        <f>원본!R191</f>
        <v>26-2326</v>
      </c>
      <c r="AA191" s="2">
        <f>COUNTIF(Z$2:Z191,Z191)</f>
        <v>9</v>
      </c>
    </row>
    <row r="192" spans="1:27" ht="16.5" customHeight="1" x14ac:dyDescent="0.3">
      <c r="A192" s="5" t="str">
        <f>원본!A192</f>
        <v>260828-02</v>
      </c>
      <c r="B192" s="5" t="str">
        <f>원본!F192</f>
        <v>TP</v>
      </c>
      <c r="C192" s="1" t="str">
        <f>원본!G192</f>
        <v>5CL+12Ar.+5로이</v>
      </c>
      <c r="D192" s="5">
        <f>원본!H192</f>
        <v>22</v>
      </c>
      <c r="E192" s="1" t="s">
        <v>18</v>
      </c>
      <c r="F192" s="1">
        <f>원본!I192</f>
        <v>405</v>
      </c>
      <c r="G192" s="1">
        <f>원본!J192</f>
        <v>1310</v>
      </c>
      <c r="H192" s="1">
        <f>원본!K192</f>
        <v>10</v>
      </c>
      <c r="J192" s="1">
        <f t="shared" si="3"/>
        <v>10</v>
      </c>
      <c r="K192" s="1">
        <f>원본!N192</f>
        <v>57.79</v>
      </c>
      <c r="L192" s="4" t="str">
        <f>원본!D192</f>
        <v>우미건설(주)e</v>
      </c>
      <c r="M192" s="1" t="str">
        <f>+원본!E192</f>
        <v xml:space="preserve"> 남원주 역세권 복합용지 AC-4BL 우미린 공동주택현장</v>
      </c>
      <c r="N192" s="1" t="str">
        <f>+원본!P192</f>
        <v>3동 5호84C 26~30F복도(內)</v>
      </c>
      <c r="O192" s="20"/>
      <c r="P192" s="20"/>
      <c r="Z192" s="3" t="str">
        <f>원본!R192</f>
        <v>26-2326</v>
      </c>
      <c r="AA192" s="2">
        <f>COUNTIF(Z$2:Z192,Z192)</f>
        <v>10</v>
      </c>
    </row>
    <row r="193" spans="1:27" ht="16.5" customHeight="1" x14ac:dyDescent="0.3">
      <c r="A193" s="5" t="str">
        <f>원본!A193</f>
        <v>260828-02</v>
      </c>
      <c r="B193" s="5" t="str">
        <f>원본!F193</f>
        <v>TP</v>
      </c>
      <c r="C193" s="1" t="str">
        <f>원본!G193</f>
        <v>5CL+12Ar.+5로이</v>
      </c>
      <c r="D193" s="5">
        <f>원본!H193</f>
        <v>22</v>
      </c>
      <c r="E193" s="1" t="s">
        <v>18</v>
      </c>
      <c r="F193" s="1">
        <f>원본!I193</f>
        <v>755</v>
      </c>
      <c r="G193" s="1">
        <f>원본!J193</f>
        <v>950</v>
      </c>
      <c r="H193" s="1">
        <f>원본!K193</f>
        <v>40</v>
      </c>
      <c r="J193" s="1">
        <f t="shared" si="3"/>
        <v>40</v>
      </c>
      <c r="K193" s="1">
        <f>원본!N193</f>
        <v>312.5</v>
      </c>
      <c r="L193" s="4" t="str">
        <f>원본!D193</f>
        <v>우미건설(주)e</v>
      </c>
      <c r="M193" s="1" t="str">
        <f>+원본!E193</f>
        <v xml:space="preserve"> 남원주 역세권 복합용지 AC-4BL 우미린 공동주택현장</v>
      </c>
      <c r="N193" s="1" t="str">
        <f>+원본!P193</f>
        <v>3동 4,5호84A,C 26~30F침실1,2(內)</v>
      </c>
      <c r="O193" s="20"/>
      <c r="P193" s="20"/>
      <c r="Z193" s="3" t="str">
        <f>원본!R193</f>
        <v>26-2326</v>
      </c>
      <c r="AA193" s="2">
        <f>COUNTIF(Z$2:Z193,Z193)</f>
        <v>11</v>
      </c>
    </row>
    <row r="194" spans="1:27" ht="16.5" customHeight="1" x14ac:dyDescent="0.3">
      <c r="A194" s="5" t="str">
        <f>원본!A194</f>
        <v>260828-02</v>
      </c>
      <c r="B194" s="5" t="str">
        <f>원본!F194</f>
        <v>TP</v>
      </c>
      <c r="C194" s="1" t="str">
        <f>원본!G194</f>
        <v>5CL+12Ar.+5로이</v>
      </c>
      <c r="D194" s="5">
        <f>원본!H194</f>
        <v>22</v>
      </c>
      <c r="E194" s="1" t="s">
        <v>18</v>
      </c>
      <c r="F194" s="1">
        <f>원본!I194</f>
        <v>455</v>
      </c>
      <c r="G194" s="1">
        <f>원본!J194</f>
        <v>950</v>
      </c>
      <c r="H194" s="1">
        <f>원본!K194</f>
        <v>20</v>
      </c>
      <c r="J194" s="1">
        <f t="shared" si="3"/>
        <v>20</v>
      </c>
      <c r="K194" s="1">
        <f>원본!N194</f>
        <v>94.16</v>
      </c>
      <c r="L194" s="4" t="str">
        <f>원본!D194</f>
        <v>우미건설(주)e</v>
      </c>
      <c r="M194" s="1" t="str">
        <f>+원본!E194</f>
        <v xml:space="preserve"> 남원주 역세권 복합용지 AC-4BL 우미린 공동주택현장</v>
      </c>
      <c r="N194" s="1" t="str">
        <f>+원본!P194</f>
        <v>3동 4,5호84A,C 26~30F주방/식당(內)</v>
      </c>
      <c r="O194" s="20"/>
      <c r="P194" s="20"/>
      <c r="Z194" s="3" t="str">
        <f>원본!R194</f>
        <v>26-2326</v>
      </c>
      <c r="AA194" s="2">
        <f>COUNTIF(Z$2:Z194,Z194)</f>
        <v>12</v>
      </c>
    </row>
    <row r="195" spans="1:27" ht="16.5" customHeight="1" x14ac:dyDescent="0.3">
      <c r="A195" s="5" t="str">
        <f>원본!A195</f>
        <v>260828-02</v>
      </c>
      <c r="B195" s="5" t="str">
        <f>원본!F195</f>
        <v>TP</v>
      </c>
      <c r="C195" s="1" t="str">
        <f>원본!G195</f>
        <v>5CL+12Ar.+5로이</v>
      </c>
      <c r="D195" s="5">
        <f>원본!H195</f>
        <v>22</v>
      </c>
      <c r="E195" s="1" t="s">
        <v>18</v>
      </c>
      <c r="F195" s="1">
        <f>원본!I195</f>
        <v>305</v>
      </c>
      <c r="G195" s="1">
        <f>원본!J195</f>
        <v>950</v>
      </c>
      <c r="H195" s="1">
        <f>원본!K195</f>
        <v>30</v>
      </c>
      <c r="J195" s="1">
        <f t="shared" si="3"/>
        <v>30</v>
      </c>
      <c r="K195" s="1">
        <f>원본!N195</f>
        <v>94.68</v>
      </c>
      <c r="L195" s="4" t="str">
        <f>원본!D195</f>
        <v>우미건설(주)e</v>
      </c>
      <c r="M195" s="1" t="str">
        <f>+원본!E195</f>
        <v xml:space="preserve"> 남원주 역세권 복합용지 AC-4BL 우미린 공동주택현장</v>
      </c>
      <c r="N195" s="1" t="str">
        <f>+원본!P195</f>
        <v>3동 4,5호84A,C 26~30F드레스룸,팬트리(內)</v>
      </c>
      <c r="O195" s="20"/>
      <c r="P195" s="20"/>
      <c r="Z195" s="3" t="str">
        <f>원본!R195</f>
        <v>26-2326</v>
      </c>
      <c r="AA195" s="2">
        <f>COUNTIF(Z$2:Z195,Z195)</f>
        <v>13</v>
      </c>
    </row>
    <row r="196" spans="1:27" ht="16.5" customHeight="1" x14ac:dyDescent="0.3">
      <c r="A196" s="5" t="str">
        <f>원본!A196</f>
        <v>260828-02</v>
      </c>
      <c r="B196" s="5" t="str">
        <f>원본!F196</f>
        <v>TP</v>
      </c>
      <c r="C196" s="1" t="str">
        <f>원본!G196</f>
        <v>5CL+12Ar.+5로이</v>
      </c>
      <c r="D196" s="5">
        <f>원본!H196</f>
        <v>22</v>
      </c>
      <c r="E196" s="1" t="s">
        <v>18</v>
      </c>
      <c r="F196" s="1">
        <f>원본!I196</f>
        <v>405</v>
      </c>
      <c r="G196" s="1">
        <f>원본!J196</f>
        <v>900</v>
      </c>
      <c r="H196" s="1">
        <f>원본!K196</f>
        <v>20</v>
      </c>
      <c r="J196" s="1">
        <f t="shared" ref="J196:J212" si="4">H196</f>
        <v>20</v>
      </c>
      <c r="K196" s="1">
        <f>원본!N196</f>
        <v>79.400000000000006</v>
      </c>
      <c r="L196" s="4" t="str">
        <f>원본!D196</f>
        <v>우미건설(주)e</v>
      </c>
      <c r="M196" s="1" t="str">
        <f>+원본!E196</f>
        <v xml:space="preserve"> 남원주 역세권 복합용지 AC-4BL 우미린 공동주택현장</v>
      </c>
      <c r="N196" s="1" t="str">
        <f>+원본!P196</f>
        <v>3동 4,5호84A,C 26~30F발코니2(內)</v>
      </c>
      <c r="O196" s="20"/>
      <c r="P196" s="20"/>
      <c r="Z196" s="3" t="str">
        <f>원본!R196</f>
        <v>26-2326</v>
      </c>
      <c r="AA196" s="2">
        <f>COUNTIF(Z$2:Z196,Z196)</f>
        <v>14</v>
      </c>
    </row>
    <row r="197" spans="1:27" ht="16.5" customHeight="1" x14ac:dyDescent="0.3">
      <c r="A197" s="5" t="str">
        <f>원본!A197</f>
        <v>260828-02</v>
      </c>
      <c r="B197" s="5" t="str">
        <f>원본!F197</f>
        <v>TP</v>
      </c>
      <c r="C197" s="1" t="str">
        <f>원본!G197</f>
        <v>5newGN+12A+5로이</v>
      </c>
      <c r="D197" s="5">
        <f>원본!H197</f>
        <v>22</v>
      </c>
      <c r="E197" s="1" t="s">
        <v>18</v>
      </c>
      <c r="F197" s="1">
        <f>원본!I197</f>
        <v>705</v>
      </c>
      <c r="G197" s="1">
        <f>원본!J197</f>
        <v>1820</v>
      </c>
      <c r="H197" s="1">
        <f>원본!K197</f>
        <v>10</v>
      </c>
      <c r="J197" s="1">
        <f t="shared" si="4"/>
        <v>10</v>
      </c>
      <c r="K197" s="1">
        <f>원본!N197</f>
        <v>139.76</v>
      </c>
      <c r="L197" s="4" t="str">
        <f>원본!D197</f>
        <v>우미건설(주)e</v>
      </c>
      <c r="M197" s="1" t="str">
        <f>+원본!E197</f>
        <v xml:space="preserve"> 남원주 역세권 복합용지 AC-4BL 우미린 공동주택현장</v>
      </c>
      <c r="N197" s="1" t="str">
        <f>+원본!P197</f>
        <v>3동 4호84A 26~30F발코니1</v>
      </c>
      <c r="O197" s="20"/>
      <c r="P197" s="20"/>
      <c r="Z197" s="3" t="str">
        <f>원본!R197</f>
        <v>26-2326</v>
      </c>
      <c r="AA197" s="2">
        <f>COUNTIF(Z$2:Z197,Z197)</f>
        <v>15</v>
      </c>
    </row>
    <row r="198" spans="1:27" ht="16.5" customHeight="1" x14ac:dyDescent="0.3">
      <c r="A198" s="5" t="str">
        <f>원본!A198</f>
        <v>260828-02</v>
      </c>
      <c r="B198" s="5" t="str">
        <f>원본!F198</f>
        <v>TP</v>
      </c>
      <c r="C198" s="1" t="str">
        <f>원본!G198</f>
        <v>5newGN+12A+5로이</v>
      </c>
      <c r="D198" s="5">
        <f>원본!H198</f>
        <v>22</v>
      </c>
      <c r="E198" s="1" t="s">
        <v>18</v>
      </c>
      <c r="F198" s="1">
        <f>원본!I198</f>
        <v>405</v>
      </c>
      <c r="G198" s="1">
        <f>원본!J198</f>
        <v>950</v>
      </c>
      <c r="H198" s="1">
        <f>원본!K198</f>
        <v>20</v>
      </c>
      <c r="J198" s="1">
        <f t="shared" si="4"/>
        <v>20</v>
      </c>
      <c r="K198" s="1">
        <f>원본!N198</f>
        <v>83.82</v>
      </c>
      <c r="L198" s="4" t="str">
        <f>원본!D198</f>
        <v>우미건설(주)e</v>
      </c>
      <c r="M198" s="1" t="str">
        <f>+원본!E198</f>
        <v xml:space="preserve"> 남원주 역세권 복합용지 AC-4BL 우미린 공동주택현장</v>
      </c>
      <c r="N198" s="1" t="str">
        <f>+원본!P198</f>
        <v>3동 4,5호84A,C 26~30F하향식피난구</v>
      </c>
      <c r="O198" s="20"/>
      <c r="P198" s="20"/>
      <c r="Z198" s="3" t="str">
        <f>원본!R198</f>
        <v>26-2326</v>
      </c>
      <c r="AA198" s="2">
        <f>COUNTIF(Z$2:Z198,Z198)</f>
        <v>16</v>
      </c>
    </row>
    <row r="199" spans="1:27" ht="16.5" customHeight="1" x14ac:dyDescent="0.3">
      <c r="A199" s="5" t="str">
        <f>원본!A199</f>
        <v>260828-01</v>
      </c>
      <c r="B199" s="5" t="str">
        <f>원본!F199</f>
        <v>TP</v>
      </c>
      <c r="C199" s="1" t="str">
        <f>원본!G199</f>
        <v>5newGN+12AR.+5로이</v>
      </c>
      <c r="D199" s="5">
        <f>원본!H199</f>
        <v>22</v>
      </c>
      <c r="E199" s="1" t="s">
        <v>18</v>
      </c>
      <c r="F199" s="1">
        <f>원본!I199</f>
        <v>1719</v>
      </c>
      <c r="G199" s="1">
        <f>원본!J199</f>
        <v>1820</v>
      </c>
      <c r="H199" s="1">
        <f>원본!K199</f>
        <v>15</v>
      </c>
      <c r="J199" s="1">
        <f t="shared" si="4"/>
        <v>15</v>
      </c>
      <c r="K199" s="1">
        <f>원본!N199</f>
        <v>511.16</v>
      </c>
      <c r="L199" s="4" t="str">
        <f>원본!D199</f>
        <v>우미건설(주)e</v>
      </c>
      <c r="M199" s="1" t="str">
        <f>+원본!E199</f>
        <v xml:space="preserve"> 남원주 역세권 복합용지 AC-4BL 우미린 공동주택현장</v>
      </c>
      <c r="N199" s="1" t="str">
        <f>+원본!P199</f>
        <v>3동 1~3호84A,B 26~30F거실F(外)</v>
      </c>
      <c r="O199" s="20"/>
      <c r="P199" s="20"/>
      <c r="Z199" s="3" t="str">
        <f>원본!R199</f>
        <v>26-2325</v>
      </c>
      <c r="AA199" s="2">
        <f>COUNTIF(Z$2:Z199,Z199)</f>
        <v>1</v>
      </c>
    </row>
    <row r="200" spans="1:27" ht="16.5" customHeight="1" x14ac:dyDescent="0.3">
      <c r="A200" s="5" t="str">
        <f>원본!A200</f>
        <v>260828-01</v>
      </c>
      <c r="B200" s="5" t="str">
        <f>원본!F200</f>
        <v>TP</v>
      </c>
      <c r="C200" s="1" t="str">
        <f>원본!G200</f>
        <v>5newGN+12AR.+5로이</v>
      </c>
      <c r="D200" s="5">
        <f>원본!H200</f>
        <v>22</v>
      </c>
      <c r="E200" s="1" t="s">
        <v>18</v>
      </c>
      <c r="F200" s="1">
        <f>원본!I200</f>
        <v>763</v>
      </c>
      <c r="G200" s="1">
        <f>원본!J200</f>
        <v>1820</v>
      </c>
      <c r="H200" s="1">
        <f>원본!K200</f>
        <v>30</v>
      </c>
      <c r="J200" s="1">
        <f t="shared" si="4"/>
        <v>30</v>
      </c>
      <c r="K200" s="1">
        <f>원본!N200</f>
        <v>453.77</v>
      </c>
      <c r="L200" s="4" t="str">
        <f>원본!D200</f>
        <v>우미건설(주)e</v>
      </c>
      <c r="M200" s="1" t="str">
        <f>+원본!E200</f>
        <v xml:space="preserve"> 남원주 역세권 복합용지 AC-4BL 우미린 공동주택현장</v>
      </c>
      <c r="N200" s="1" t="str">
        <f>+원본!P200</f>
        <v>3동 1~3호84A,B 26~30F거실S(外)</v>
      </c>
      <c r="O200" s="20"/>
      <c r="P200" s="20"/>
      <c r="Z200" s="3" t="str">
        <f>원본!R200</f>
        <v>26-2325</v>
      </c>
      <c r="AA200" s="2">
        <f>COUNTIF(Z$2:Z200,Z200)</f>
        <v>2</v>
      </c>
    </row>
    <row r="201" spans="1:27" ht="16.5" customHeight="1" x14ac:dyDescent="0.3">
      <c r="A201" s="5" t="str">
        <f>원본!A201</f>
        <v>260828-01</v>
      </c>
      <c r="B201" s="5" t="str">
        <f>원본!F201</f>
        <v>TP</v>
      </c>
      <c r="C201" s="1" t="str">
        <f>원본!G201</f>
        <v>5newGN+12AR.+5로이</v>
      </c>
      <c r="D201" s="5">
        <f>원본!H201</f>
        <v>22</v>
      </c>
      <c r="E201" s="1" t="s">
        <v>18</v>
      </c>
      <c r="F201" s="1">
        <f>원본!I201</f>
        <v>755</v>
      </c>
      <c r="G201" s="1">
        <f>원본!J201</f>
        <v>950</v>
      </c>
      <c r="H201" s="1">
        <f>원본!K201</f>
        <v>60</v>
      </c>
      <c r="J201" s="1">
        <f t="shared" si="4"/>
        <v>60</v>
      </c>
      <c r="K201" s="1">
        <f>원본!N201</f>
        <v>468.74</v>
      </c>
      <c r="L201" s="4" t="str">
        <f>원본!D201</f>
        <v>우미건설(주)e</v>
      </c>
      <c r="M201" s="1" t="str">
        <f>+원본!E201</f>
        <v xml:space="preserve"> 남원주 역세권 복합용지 AC-4BL 우미린 공동주택현장</v>
      </c>
      <c r="N201" s="1" t="str">
        <f>+원본!P201</f>
        <v>3동 1~3호84A,B 26~30F침실1,2(外)</v>
      </c>
      <c r="O201" s="20"/>
      <c r="P201" s="20"/>
      <c r="Z201" s="3" t="str">
        <f>원본!R201</f>
        <v>26-2325</v>
      </c>
      <c r="AA201" s="2">
        <f>COUNTIF(Z$2:Z201,Z201)</f>
        <v>3</v>
      </c>
    </row>
    <row r="202" spans="1:27" ht="16.5" customHeight="1" x14ac:dyDescent="0.3">
      <c r="A202" s="5" t="str">
        <f>원본!A202</f>
        <v>260828-01</v>
      </c>
      <c r="B202" s="5" t="str">
        <f>원본!F202</f>
        <v>TP</v>
      </c>
      <c r="C202" s="1" t="str">
        <f>원본!G202</f>
        <v>5newGN+12AR.+5로이</v>
      </c>
      <c r="D202" s="5">
        <f>원본!H202</f>
        <v>22</v>
      </c>
      <c r="E202" s="1" t="s">
        <v>18</v>
      </c>
      <c r="F202" s="1">
        <f>원본!I202</f>
        <v>455</v>
      </c>
      <c r="G202" s="1">
        <f>원본!J202</f>
        <v>950</v>
      </c>
      <c r="H202" s="1">
        <f>원본!K202</f>
        <v>40</v>
      </c>
      <c r="J202" s="1">
        <f t="shared" si="4"/>
        <v>40</v>
      </c>
      <c r="K202" s="1">
        <f>원본!N202</f>
        <v>188.33</v>
      </c>
      <c r="L202" s="4" t="str">
        <f>원본!D202</f>
        <v>우미건설(주)e</v>
      </c>
      <c r="M202" s="1" t="str">
        <f>+원본!E202</f>
        <v xml:space="preserve"> 남원주 역세권 복합용지 AC-4BL 우미린 공동주택현장</v>
      </c>
      <c r="N202" s="1" t="str">
        <f>+원본!P202</f>
        <v>3동 1~3호84A,B 26~30F주방/식당,드레스룸(外)</v>
      </c>
      <c r="O202" s="20"/>
      <c r="P202" s="20"/>
      <c r="Z202" s="3" t="str">
        <f>원본!R202</f>
        <v>26-2325</v>
      </c>
      <c r="AA202" s="2">
        <f>COUNTIF(Z$2:Z202,Z202)</f>
        <v>4</v>
      </c>
    </row>
    <row r="203" spans="1:27" ht="16.5" customHeight="1" x14ac:dyDescent="0.3">
      <c r="A203" s="5" t="str">
        <f>원본!A203</f>
        <v>260828-01</v>
      </c>
      <c r="B203" s="5" t="str">
        <f>원본!F203</f>
        <v>TP</v>
      </c>
      <c r="C203" s="1" t="str">
        <f>원본!G203</f>
        <v>5newGN+12AR.+5로이</v>
      </c>
      <c r="D203" s="5">
        <f>원본!H203</f>
        <v>22</v>
      </c>
      <c r="E203" s="1" t="s">
        <v>18</v>
      </c>
      <c r="F203" s="1">
        <f>원본!I203</f>
        <v>305</v>
      </c>
      <c r="G203" s="1">
        <f>원본!J203</f>
        <v>950</v>
      </c>
      <c r="H203" s="1">
        <f>원본!K203</f>
        <v>40</v>
      </c>
      <c r="J203" s="1">
        <f t="shared" si="4"/>
        <v>40</v>
      </c>
      <c r="K203" s="1">
        <f>원본!N203</f>
        <v>126.24</v>
      </c>
      <c r="L203" s="4" t="str">
        <f>원본!D203</f>
        <v>우미건설(주)e</v>
      </c>
      <c r="M203" s="1" t="str">
        <f>+원본!E203</f>
        <v xml:space="preserve"> 남원주 역세권 복합용지 AC-4BL 우미린 공동주택현장</v>
      </c>
      <c r="N203" s="1" t="str">
        <f>+원본!P203</f>
        <v>3동 1,3호84A 26~30F드레스룸,팬트리(外)</v>
      </c>
      <c r="O203" s="20"/>
      <c r="P203" s="20"/>
      <c r="Z203" s="3" t="str">
        <f>원본!R203</f>
        <v>26-2325</v>
      </c>
      <c r="AA203" s="2">
        <f>COUNTIF(Z$2:Z203,Z203)</f>
        <v>5</v>
      </c>
    </row>
    <row r="204" spans="1:27" ht="16.5" customHeight="1" x14ac:dyDescent="0.3">
      <c r="A204" s="5" t="str">
        <f>원본!A204</f>
        <v>260828-01</v>
      </c>
      <c r="B204" s="5" t="str">
        <f>원본!F204</f>
        <v>TP</v>
      </c>
      <c r="C204" s="1" t="str">
        <f>원본!G204</f>
        <v>5newGN+12AR.+5로이</v>
      </c>
      <c r="D204" s="5">
        <f>원본!H204</f>
        <v>22</v>
      </c>
      <c r="E204" s="1" t="s">
        <v>18</v>
      </c>
      <c r="F204" s="1">
        <f>원본!I204</f>
        <v>405</v>
      </c>
      <c r="G204" s="1">
        <f>원본!J204</f>
        <v>900</v>
      </c>
      <c r="H204" s="1">
        <f>원본!K204</f>
        <v>30</v>
      </c>
      <c r="J204" s="1">
        <f t="shared" si="4"/>
        <v>30</v>
      </c>
      <c r="K204" s="1">
        <f>원본!N204</f>
        <v>119.11</v>
      </c>
      <c r="L204" s="4" t="str">
        <f>원본!D204</f>
        <v>우미건설(주)e</v>
      </c>
      <c r="M204" s="1" t="str">
        <f>+원본!E204</f>
        <v xml:space="preserve"> 남원주 역세권 복합용지 AC-4BL 우미린 공동주택현장</v>
      </c>
      <c r="N204" s="1" t="str">
        <f>+원본!P204</f>
        <v>3동 1~3호84A,B 26~30F발코니2(外)</v>
      </c>
      <c r="O204" s="20"/>
      <c r="P204" s="20"/>
      <c r="Z204" s="3" t="str">
        <f>원본!R204</f>
        <v>26-2325</v>
      </c>
      <c r="AA204" s="2">
        <f>COUNTIF(Z$2:Z204,Z204)</f>
        <v>6</v>
      </c>
    </row>
    <row r="205" spans="1:27" ht="16.5" customHeight="1" x14ac:dyDescent="0.3">
      <c r="A205" s="5" t="str">
        <f>원본!A205</f>
        <v>260828-01</v>
      </c>
      <c r="B205" s="5" t="str">
        <f>원본!F205</f>
        <v>TP</v>
      </c>
      <c r="C205" s="1" t="str">
        <f>원본!G205</f>
        <v>5CL+12Ar.+5로이</v>
      </c>
      <c r="D205" s="5">
        <f>원본!H205</f>
        <v>22</v>
      </c>
      <c r="E205" s="1" t="s">
        <v>18</v>
      </c>
      <c r="F205" s="1">
        <f>원본!I205</f>
        <v>1719</v>
      </c>
      <c r="G205" s="1">
        <f>원본!J205</f>
        <v>1820</v>
      </c>
      <c r="H205" s="1">
        <f>원본!K205</f>
        <v>15</v>
      </c>
      <c r="J205" s="1">
        <f t="shared" si="4"/>
        <v>15</v>
      </c>
      <c r="K205" s="1">
        <f>원본!N205</f>
        <v>511.16</v>
      </c>
      <c r="L205" s="4" t="str">
        <f>원본!D205</f>
        <v>우미건설(주)e</v>
      </c>
      <c r="M205" s="1" t="str">
        <f>+원본!E205</f>
        <v xml:space="preserve"> 남원주 역세권 복합용지 AC-4BL 우미린 공동주택현장</v>
      </c>
      <c r="N205" s="1" t="str">
        <f>+원본!P205</f>
        <v>3동 1~3호84A,B 26~30F거실F(內)</v>
      </c>
      <c r="O205" s="20"/>
      <c r="P205" s="20"/>
      <c r="Z205" s="3" t="str">
        <f>원본!R205</f>
        <v>26-2325</v>
      </c>
      <c r="AA205" s="2">
        <f>COUNTIF(Z$2:Z205,Z205)</f>
        <v>7</v>
      </c>
    </row>
    <row r="206" spans="1:27" ht="16.5" customHeight="1" x14ac:dyDescent="0.3">
      <c r="A206" s="5" t="str">
        <f>원본!A206</f>
        <v>260828-01</v>
      </c>
      <c r="B206" s="5" t="str">
        <f>원본!F206</f>
        <v>TP</v>
      </c>
      <c r="C206" s="1" t="str">
        <f>원본!G206</f>
        <v>5CL+12Ar.+5로이</v>
      </c>
      <c r="D206" s="5">
        <f>원본!H206</f>
        <v>22</v>
      </c>
      <c r="E206" s="1" t="s">
        <v>18</v>
      </c>
      <c r="F206" s="1">
        <f>원본!I206</f>
        <v>763</v>
      </c>
      <c r="G206" s="1">
        <f>원본!J206</f>
        <v>1820</v>
      </c>
      <c r="H206" s="1">
        <f>원본!K206</f>
        <v>30</v>
      </c>
      <c r="J206" s="1">
        <f t="shared" si="4"/>
        <v>30</v>
      </c>
      <c r="K206" s="1">
        <f>원본!N206</f>
        <v>453.77</v>
      </c>
      <c r="L206" s="4" t="str">
        <f>원본!D206</f>
        <v>우미건설(주)e</v>
      </c>
      <c r="M206" s="1" t="str">
        <f>+원본!E206</f>
        <v xml:space="preserve"> 남원주 역세권 복합용지 AC-4BL 우미린 공동주택현장</v>
      </c>
      <c r="N206" s="1" t="str">
        <f>+원본!P206</f>
        <v>3동 1~3호84A,B 26~30F거실S(內)</v>
      </c>
      <c r="O206" s="20"/>
      <c r="P206" s="20"/>
      <c r="Z206" s="3" t="str">
        <f>원본!R206</f>
        <v>26-2325</v>
      </c>
      <c r="AA206" s="2">
        <f>COUNTIF(Z$2:Z206,Z206)</f>
        <v>8</v>
      </c>
    </row>
    <row r="207" spans="1:27" ht="16.5" customHeight="1" x14ac:dyDescent="0.3">
      <c r="A207" s="5" t="str">
        <f>원본!A207</f>
        <v>260828-01</v>
      </c>
      <c r="B207" s="5" t="str">
        <f>원본!F207</f>
        <v>TP</v>
      </c>
      <c r="C207" s="1" t="str">
        <f>원본!G207</f>
        <v>5CL+12Ar.+5로이</v>
      </c>
      <c r="D207" s="5">
        <f>원본!H207</f>
        <v>22</v>
      </c>
      <c r="E207" s="1" t="s">
        <v>18</v>
      </c>
      <c r="F207" s="1">
        <f>원본!I207</f>
        <v>755</v>
      </c>
      <c r="G207" s="1">
        <f>원본!J207</f>
        <v>950</v>
      </c>
      <c r="H207" s="1">
        <f>원본!K207</f>
        <v>60</v>
      </c>
      <c r="J207" s="1">
        <f t="shared" si="4"/>
        <v>60</v>
      </c>
      <c r="K207" s="1">
        <f>원본!N207</f>
        <v>468.74</v>
      </c>
      <c r="L207" s="4" t="str">
        <f>원본!D207</f>
        <v>우미건설(주)e</v>
      </c>
      <c r="M207" s="1" t="str">
        <f>+원본!E207</f>
        <v xml:space="preserve"> 남원주 역세권 복합용지 AC-4BL 우미린 공동주택현장</v>
      </c>
      <c r="N207" s="1" t="str">
        <f>+원본!P207</f>
        <v>3동 1~3호84A,B 26~30F침실1,2(內)</v>
      </c>
      <c r="O207" s="20"/>
      <c r="P207" s="20"/>
      <c r="Z207" s="3" t="str">
        <f>원본!R207</f>
        <v>26-2325</v>
      </c>
      <c r="AA207" s="2">
        <f>COUNTIF(Z$2:Z207,Z207)</f>
        <v>9</v>
      </c>
    </row>
    <row r="208" spans="1:27" ht="16.5" customHeight="1" x14ac:dyDescent="0.3">
      <c r="A208" s="5" t="str">
        <f>원본!A208</f>
        <v>260828-01</v>
      </c>
      <c r="B208" s="5" t="str">
        <f>원본!F208</f>
        <v>TP</v>
      </c>
      <c r="C208" s="1" t="str">
        <f>원본!G208</f>
        <v>5CL+12Ar.+5로이</v>
      </c>
      <c r="D208" s="5">
        <f>원본!H208</f>
        <v>22</v>
      </c>
      <c r="E208" s="1" t="s">
        <v>18</v>
      </c>
      <c r="F208" s="1">
        <f>원본!I208</f>
        <v>455</v>
      </c>
      <c r="G208" s="1">
        <f>원본!J208</f>
        <v>950</v>
      </c>
      <c r="H208" s="1">
        <f>원본!K208</f>
        <v>40</v>
      </c>
      <c r="J208" s="1">
        <f t="shared" si="4"/>
        <v>40</v>
      </c>
      <c r="K208" s="1">
        <f>원본!N208</f>
        <v>188.33</v>
      </c>
      <c r="L208" s="4" t="str">
        <f>원본!D208</f>
        <v>우미건설(주)e</v>
      </c>
      <c r="M208" s="1" t="str">
        <f>+원본!E208</f>
        <v xml:space="preserve"> 남원주 역세권 복합용지 AC-4BL 우미린 공동주택현장</v>
      </c>
      <c r="N208" s="1" t="str">
        <f>+원본!P208</f>
        <v>3동 1~3호84A,B 26~30F주방/식당,드레스룸(內)</v>
      </c>
      <c r="O208" s="20"/>
      <c r="P208" s="20"/>
      <c r="Z208" s="3" t="str">
        <f>원본!R208</f>
        <v>26-2325</v>
      </c>
      <c r="AA208" s="2">
        <f>COUNTIF(Z$2:Z208,Z208)</f>
        <v>10</v>
      </c>
    </row>
    <row r="209" spans="1:27" ht="16.5" customHeight="1" x14ac:dyDescent="0.3">
      <c r="A209" s="5" t="str">
        <f>원본!A209</f>
        <v>260828-01</v>
      </c>
      <c r="B209" s="5" t="str">
        <f>원본!F209</f>
        <v>TP</v>
      </c>
      <c r="C209" s="1" t="str">
        <f>원본!G209</f>
        <v>5CL+12Ar.+5로이</v>
      </c>
      <c r="D209" s="5">
        <f>원본!H209</f>
        <v>22</v>
      </c>
      <c r="E209" s="1" t="s">
        <v>18</v>
      </c>
      <c r="F209" s="1">
        <f>원본!I209</f>
        <v>305</v>
      </c>
      <c r="G209" s="1">
        <f>원본!J209</f>
        <v>950</v>
      </c>
      <c r="H209" s="1">
        <f>원본!K209</f>
        <v>40</v>
      </c>
      <c r="J209" s="1">
        <f t="shared" si="4"/>
        <v>40</v>
      </c>
      <c r="K209" s="1">
        <f>원본!N209</f>
        <v>126.24</v>
      </c>
      <c r="L209" s="4" t="str">
        <f>원본!D209</f>
        <v>우미건설(주)e</v>
      </c>
      <c r="M209" s="1" t="str">
        <f>+원본!E209</f>
        <v xml:space="preserve"> 남원주 역세권 복합용지 AC-4BL 우미린 공동주택현장</v>
      </c>
      <c r="N209" s="1" t="str">
        <f>+원본!P209</f>
        <v>3동 1,3호84A 26~30F드레스룸,팬트리(內)</v>
      </c>
      <c r="O209" s="20"/>
      <c r="P209" s="20"/>
      <c r="Z209" s="3" t="str">
        <f>원본!R209</f>
        <v>26-2325</v>
      </c>
      <c r="AA209" s="2">
        <f>COUNTIF(Z$2:Z209,Z209)</f>
        <v>11</v>
      </c>
    </row>
    <row r="210" spans="1:27" ht="16.5" customHeight="1" x14ac:dyDescent="0.3">
      <c r="A210" s="5" t="str">
        <f>원본!A210</f>
        <v>260828-01</v>
      </c>
      <c r="B210" s="5" t="str">
        <f>원본!F210</f>
        <v>TP</v>
      </c>
      <c r="C210" s="1" t="str">
        <f>원본!G210</f>
        <v>5CL+12Ar.+5로이</v>
      </c>
      <c r="D210" s="5">
        <f>원본!H210</f>
        <v>22</v>
      </c>
      <c r="E210" s="1" t="s">
        <v>18</v>
      </c>
      <c r="F210" s="1">
        <f>원본!I210</f>
        <v>405</v>
      </c>
      <c r="G210" s="1">
        <f>원본!J210</f>
        <v>900</v>
      </c>
      <c r="H210" s="1">
        <f>원본!K210</f>
        <v>30</v>
      </c>
      <c r="J210" s="1">
        <f t="shared" si="4"/>
        <v>30</v>
      </c>
      <c r="K210" s="1">
        <f>원본!N210</f>
        <v>119.11</v>
      </c>
      <c r="L210" s="4" t="str">
        <f>원본!D210</f>
        <v>우미건설(주)e</v>
      </c>
      <c r="M210" s="1" t="str">
        <f>+원본!E210</f>
        <v xml:space="preserve"> 남원주 역세권 복합용지 AC-4BL 우미린 공동주택현장</v>
      </c>
      <c r="N210" s="1" t="str">
        <f>+원본!P210</f>
        <v>3동 1~3호84A,B 26~30F발코니2(內)</v>
      </c>
      <c r="O210" s="20"/>
      <c r="P210" s="20"/>
      <c r="Z210" s="3" t="str">
        <f>원본!R210</f>
        <v>26-2325</v>
      </c>
      <c r="AA210" s="2">
        <f>COUNTIF(Z$2:Z210,Z210)</f>
        <v>12</v>
      </c>
    </row>
    <row r="211" spans="1:27" ht="16.5" customHeight="1" x14ac:dyDescent="0.3">
      <c r="A211" s="5" t="str">
        <f>원본!A211</f>
        <v>260828-01</v>
      </c>
      <c r="B211" s="5" t="str">
        <f>원본!F211</f>
        <v>TP</v>
      </c>
      <c r="C211" s="1" t="str">
        <f>원본!G211</f>
        <v>5newGN+12A+5로이</v>
      </c>
      <c r="D211" s="5">
        <f>원본!H211</f>
        <v>22</v>
      </c>
      <c r="E211" s="1" t="s">
        <v>18</v>
      </c>
      <c r="F211" s="1">
        <f>원본!I211</f>
        <v>705</v>
      </c>
      <c r="G211" s="1">
        <f>원본!J211</f>
        <v>1820</v>
      </c>
      <c r="H211" s="1">
        <f>원본!K211</f>
        <v>20</v>
      </c>
      <c r="J211" s="1">
        <f t="shared" si="4"/>
        <v>20</v>
      </c>
      <c r="K211" s="1">
        <f>원본!N211</f>
        <v>279.52</v>
      </c>
      <c r="L211" s="4" t="str">
        <f>원본!D211</f>
        <v>우미건설(주)e</v>
      </c>
      <c r="M211" s="1" t="str">
        <f>+원본!E211</f>
        <v xml:space="preserve"> 남원주 역세권 복합용지 AC-4BL 우미린 공동주택현장</v>
      </c>
      <c r="N211" s="1" t="str">
        <f>+원본!P211</f>
        <v>3동 1,2호84A,B 26~30F발코니1</v>
      </c>
      <c r="O211" s="20"/>
      <c r="P211" s="20"/>
      <c r="Z211" s="3" t="str">
        <f>원본!R211</f>
        <v>26-2325</v>
      </c>
      <c r="AA211" s="2">
        <f>COUNTIF(Z$2:Z211,Z211)</f>
        <v>13</v>
      </c>
    </row>
    <row r="212" spans="1:27" ht="16.5" customHeight="1" x14ac:dyDescent="0.3">
      <c r="A212" s="5" t="str">
        <f>원본!A212</f>
        <v>260828-01</v>
      </c>
      <c r="B212" s="5" t="str">
        <f>원본!F212</f>
        <v>TP</v>
      </c>
      <c r="C212" s="1" t="str">
        <f>원본!G212</f>
        <v>5newGN+12A+5로이</v>
      </c>
      <c r="D212" s="5">
        <f>원본!H212</f>
        <v>22</v>
      </c>
      <c r="E212" s="1" t="s">
        <v>18</v>
      </c>
      <c r="F212" s="1">
        <f>원본!I212</f>
        <v>405</v>
      </c>
      <c r="G212" s="1">
        <f>원본!J212</f>
        <v>950</v>
      </c>
      <c r="H212" s="1">
        <f>원본!K212</f>
        <v>30</v>
      </c>
      <c r="J212" s="1">
        <f t="shared" si="4"/>
        <v>30</v>
      </c>
      <c r="K212" s="1">
        <f>원본!N212</f>
        <v>125.72</v>
      </c>
      <c r="L212" s="4" t="str">
        <f>원본!D212</f>
        <v>우미건설(주)e</v>
      </c>
      <c r="M212" s="1" t="str">
        <f>+원본!E212</f>
        <v xml:space="preserve"> 남원주 역세권 복합용지 AC-4BL 우미린 공동주택현장</v>
      </c>
      <c r="N212" s="1" t="str">
        <f>+원본!P212</f>
        <v>3동 1~3호84A,B 26~30F하향식피난구</v>
      </c>
      <c r="O212" s="20"/>
      <c r="P212" s="20"/>
      <c r="Z212" s="3" t="str">
        <f>원본!R212</f>
        <v>26-2325</v>
      </c>
      <c r="AA212" s="2">
        <f>COUNTIF(Z$2:Z212,Z212)</f>
        <v>14</v>
      </c>
    </row>
    <row r="213" spans="1:27" ht="16.5" customHeight="1" x14ac:dyDescent="0.3">
      <c r="O213" s="20"/>
      <c r="P213" s="20"/>
    </row>
    <row r="214" spans="1:27" ht="16.5" customHeight="1" x14ac:dyDescent="0.3">
      <c r="O214" s="20"/>
      <c r="P214" s="20"/>
    </row>
    <row r="215" spans="1:27" ht="16.5" customHeight="1" x14ac:dyDescent="0.3">
      <c r="O215" s="20"/>
      <c r="P215" s="20"/>
    </row>
    <row r="216" spans="1:27" ht="16.5" customHeight="1" x14ac:dyDescent="0.3">
      <c r="O216" s="20"/>
      <c r="P216" s="20"/>
    </row>
    <row r="217" spans="1:27" ht="16.5" customHeight="1" x14ac:dyDescent="0.3">
      <c r="O217" s="20"/>
      <c r="P217" s="20"/>
    </row>
    <row r="218" spans="1:27" ht="16.5" customHeight="1" x14ac:dyDescent="0.3">
      <c r="O218" s="20"/>
      <c r="P218" s="20"/>
    </row>
    <row r="219" spans="1:27" ht="16.5" customHeight="1" x14ac:dyDescent="0.3">
      <c r="O219" s="20"/>
      <c r="P219" s="20"/>
    </row>
    <row r="220" spans="1:27" ht="16.5" customHeight="1" x14ac:dyDescent="0.3">
      <c r="O220" s="20"/>
      <c r="P220" s="20"/>
    </row>
    <row r="221" spans="1:27" ht="16.5" customHeight="1" x14ac:dyDescent="0.3">
      <c r="O221" s="20"/>
      <c r="P221" s="20"/>
    </row>
    <row r="222" spans="1:27" ht="16.5" customHeight="1" x14ac:dyDescent="0.3">
      <c r="O222" s="20"/>
      <c r="P222" s="20"/>
    </row>
    <row r="223" spans="1:27" ht="16.5" customHeight="1" x14ac:dyDescent="0.3">
      <c r="O223" s="20"/>
      <c r="P223" s="20"/>
    </row>
    <row r="224" spans="1:27" ht="16.5" customHeight="1" x14ac:dyDescent="0.3">
      <c r="O224" s="20"/>
      <c r="P224" s="20"/>
    </row>
    <row r="225" spans="15:16" ht="16.5" customHeight="1" x14ac:dyDescent="0.3">
      <c r="O225" s="20"/>
      <c r="P225" s="20"/>
    </row>
    <row r="226" spans="15:16" ht="16.5" customHeight="1" x14ac:dyDescent="0.3">
      <c r="O226" s="20"/>
      <c r="P226" s="20"/>
    </row>
    <row r="227" spans="15:16" ht="16.5" customHeight="1" x14ac:dyDescent="0.3">
      <c r="O227" s="20"/>
      <c r="P227" s="20"/>
    </row>
    <row r="228" spans="15:16" ht="16.5" customHeight="1" x14ac:dyDescent="0.3">
      <c r="O228" s="20"/>
      <c r="P228" s="20"/>
    </row>
    <row r="229" spans="15:16" ht="16.5" customHeight="1" x14ac:dyDescent="0.3">
      <c r="O229" s="20"/>
      <c r="P229" s="20"/>
    </row>
    <row r="230" spans="15:16" ht="16.5" customHeight="1" x14ac:dyDescent="0.3">
      <c r="O230" s="20"/>
      <c r="P230" s="20"/>
    </row>
    <row r="231" spans="15:16" ht="16.5" customHeight="1" x14ac:dyDescent="0.3">
      <c r="O231" s="20"/>
      <c r="P231" s="20"/>
    </row>
    <row r="232" spans="15:16" ht="16.5" customHeight="1" x14ac:dyDescent="0.3">
      <c r="O232" s="20"/>
      <c r="P232" s="20"/>
    </row>
    <row r="233" spans="15:16" ht="16.5" customHeight="1" x14ac:dyDescent="0.3">
      <c r="O233" s="20"/>
      <c r="P233" s="20"/>
    </row>
    <row r="234" spans="15:16" ht="16.5" customHeight="1" x14ac:dyDescent="0.3">
      <c r="O234" s="20"/>
      <c r="P234" s="20"/>
    </row>
    <row r="235" spans="15:16" ht="16.5" customHeight="1" x14ac:dyDescent="0.3">
      <c r="O235" s="20"/>
      <c r="P235" s="20"/>
    </row>
    <row r="236" spans="15:16" ht="16.5" customHeight="1" x14ac:dyDescent="0.3">
      <c r="O236" s="20"/>
      <c r="P236" s="20"/>
    </row>
    <row r="237" spans="15:16" ht="16.5" customHeight="1" x14ac:dyDescent="0.3">
      <c r="O237" s="20"/>
      <c r="P237" s="20"/>
    </row>
    <row r="238" spans="15:16" ht="16.5" customHeight="1" x14ac:dyDescent="0.3">
      <c r="O238" s="20"/>
      <c r="P238" s="20"/>
    </row>
    <row r="239" spans="15:16" ht="16.5" customHeight="1" x14ac:dyDescent="0.3">
      <c r="O239" s="20"/>
      <c r="P239" s="20"/>
    </row>
    <row r="240" spans="15:16" ht="16.5" customHeight="1" x14ac:dyDescent="0.3">
      <c r="O240" s="20"/>
      <c r="P240" s="20"/>
    </row>
    <row r="241" spans="15:16" ht="16.5" customHeight="1" x14ac:dyDescent="0.3">
      <c r="O241" s="20"/>
      <c r="P241" s="20"/>
    </row>
    <row r="242" spans="15:16" ht="16.5" customHeight="1" x14ac:dyDescent="0.3">
      <c r="O242" s="20"/>
      <c r="P242" s="20"/>
    </row>
    <row r="243" spans="15:16" ht="16.5" customHeight="1" x14ac:dyDescent="0.3">
      <c r="O243" s="20"/>
      <c r="P243" s="20"/>
    </row>
    <row r="244" spans="15:16" ht="16.5" customHeight="1" x14ac:dyDescent="0.3">
      <c r="O244" s="20"/>
      <c r="P244" s="20"/>
    </row>
    <row r="245" spans="15:16" ht="16.5" customHeight="1" x14ac:dyDescent="0.3">
      <c r="O245" s="20"/>
      <c r="P245" s="20"/>
    </row>
    <row r="246" spans="15:16" ht="16.5" customHeight="1" x14ac:dyDescent="0.3">
      <c r="O246" s="20"/>
      <c r="P246" s="20"/>
    </row>
    <row r="247" spans="15:16" ht="16.5" customHeight="1" x14ac:dyDescent="0.3">
      <c r="O247" s="20"/>
      <c r="P247" s="20"/>
    </row>
    <row r="248" spans="15:16" ht="16.5" customHeight="1" x14ac:dyDescent="0.3">
      <c r="O248" s="20"/>
      <c r="P248" s="20"/>
    </row>
    <row r="249" spans="15:16" ht="16.5" customHeight="1" x14ac:dyDescent="0.3">
      <c r="O249" s="20"/>
      <c r="P249" s="20"/>
    </row>
    <row r="250" spans="15:16" ht="16.5" customHeight="1" x14ac:dyDescent="0.3">
      <c r="O250" s="20"/>
      <c r="P250" s="20"/>
    </row>
    <row r="251" spans="15:16" ht="16.5" customHeight="1" x14ac:dyDescent="0.3">
      <c r="O251" s="20"/>
      <c r="P251" s="20"/>
    </row>
    <row r="252" spans="15:16" ht="16.5" customHeight="1" x14ac:dyDescent="0.3">
      <c r="O252" s="20"/>
      <c r="P252" s="20"/>
    </row>
    <row r="253" spans="15:16" ht="16.5" customHeight="1" x14ac:dyDescent="0.3">
      <c r="O253" s="20"/>
      <c r="P253" s="20"/>
    </row>
    <row r="254" spans="15:16" ht="16.5" customHeight="1" x14ac:dyDescent="0.3">
      <c r="O254" s="20"/>
      <c r="P254" s="20"/>
    </row>
    <row r="255" spans="15:16" ht="16.5" customHeight="1" x14ac:dyDescent="0.3">
      <c r="O255" s="20"/>
      <c r="P255" s="20"/>
    </row>
    <row r="256" spans="15:16" ht="16.5" customHeight="1" x14ac:dyDescent="0.3">
      <c r="O256" s="20"/>
      <c r="P256" s="20"/>
    </row>
    <row r="257" spans="15:16" ht="16.5" customHeight="1" x14ac:dyDescent="0.3">
      <c r="O257" s="20"/>
      <c r="P257" s="20"/>
    </row>
    <row r="258" spans="15:16" ht="16.5" customHeight="1" x14ac:dyDescent="0.3">
      <c r="O258" s="20"/>
      <c r="P258" s="20"/>
    </row>
    <row r="259" spans="15:16" ht="16.5" customHeight="1" x14ac:dyDescent="0.3">
      <c r="O259" s="20"/>
      <c r="P259" s="20"/>
    </row>
    <row r="260" spans="15:16" ht="16.5" customHeight="1" x14ac:dyDescent="0.3">
      <c r="O260" s="20"/>
      <c r="P260" s="20"/>
    </row>
    <row r="261" spans="15:16" ht="16.5" customHeight="1" x14ac:dyDescent="0.3">
      <c r="O261" s="20"/>
      <c r="P261" s="20"/>
    </row>
    <row r="262" spans="15:16" ht="16.5" customHeight="1" x14ac:dyDescent="0.3">
      <c r="O262" s="20"/>
      <c r="P262" s="20"/>
    </row>
    <row r="263" spans="15:16" ht="16.5" customHeight="1" x14ac:dyDescent="0.3">
      <c r="O263" s="20"/>
      <c r="P263" s="20"/>
    </row>
    <row r="264" spans="15:16" ht="16.5" customHeight="1" x14ac:dyDescent="0.3">
      <c r="O264" s="20"/>
      <c r="P264" s="20"/>
    </row>
    <row r="265" spans="15:16" ht="16.5" customHeight="1" x14ac:dyDescent="0.3">
      <c r="O265" s="20"/>
      <c r="P265" s="20"/>
    </row>
    <row r="266" spans="15:16" ht="16.5" customHeight="1" x14ac:dyDescent="0.3">
      <c r="O266" s="20"/>
      <c r="P266" s="20"/>
    </row>
    <row r="267" spans="15:16" ht="16.5" customHeight="1" x14ac:dyDescent="0.3">
      <c r="O267" s="20"/>
      <c r="P267" s="20"/>
    </row>
    <row r="268" spans="15:16" ht="16.5" customHeight="1" x14ac:dyDescent="0.3">
      <c r="O268" s="20"/>
      <c r="P268" s="20"/>
    </row>
    <row r="269" spans="15:16" ht="16.5" customHeight="1" x14ac:dyDescent="0.3">
      <c r="O269" s="20"/>
      <c r="P269" s="20"/>
    </row>
    <row r="270" spans="15:16" ht="16.5" customHeight="1" x14ac:dyDescent="0.3">
      <c r="O270" s="20"/>
      <c r="P270" s="20"/>
    </row>
    <row r="271" spans="15:16" ht="16.5" customHeight="1" x14ac:dyDescent="0.3">
      <c r="O271" s="20"/>
      <c r="P271" s="20"/>
    </row>
    <row r="272" spans="15:16" ht="16.5" customHeight="1" x14ac:dyDescent="0.3">
      <c r="O272" s="20"/>
      <c r="P272" s="20"/>
    </row>
    <row r="273" spans="15:16" ht="16.5" customHeight="1" x14ac:dyDescent="0.3">
      <c r="O273" s="20"/>
      <c r="P273" s="20"/>
    </row>
    <row r="274" spans="15:16" ht="16.5" customHeight="1" x14ac:dyDescent="0.3">
      <c r="O274" s="20"/>
      <c r="P274" s="20"/>
    </row>
    <row r="275" spans="15:16" ht="16.5" customHeight="1" x14ac:dyDescent="0.3">
      <c r="O275" s="20"/>
      <c r="P275" s="20"/>
    </row>
    <row r="276" spans="15:16" ht="16.5" customHeight="1" x14ac:dyDescent="0.3">
      <c r="O276" s="20"/>
      <c r="P276" s="20"/>
    </row>
    <row r="277" spans="15:16" ht="16.5" customHeight="1" x14ac:dyDescent="0.3">
      <c r="O277" s="20"/>
      <c r="P277" s="20"/>
    </row>
    <row r="278" spans="15:16" ht="16.5" customHeight="1" x14ac:dyDescent="0.3">
      <c r="O278" s="20"/>
      <c r="P278" s="20"/>
    </row>
    <row r="279" spans="15:16" ht="16.5" customHeight="1" x14ac:dyDescent="0.3">
      <c r="O279" s="20"/>
      <c r="P279" s="20"/>
    </row>
    <row r="280" spans="15:16" ht="16.5" customHeight="1" x14ac:dyDescent="0.3">
      <c r="O280" s="20"/>
      <c r="P280" s="20"/>
    </row>
    <row r="281" spans="15:16" ht="16.5" customHeight="1" x14ac:dyDescent="0.3">
      <c r="O281" s="20"/>
      <c r="P281" s="20"/>
    </row>
    <row r="282" spans="15:16" ht="16.5" customHeight="1" x14ac:dyDescent="0.3">
      <c r="O282" s="20"/>
      <c r="P282" s="20"/>
    </row>
    <row r="283" spans="15:16" ht="16.5" customHeight="1" x14ac:dyDescent="0.3">
      <c r="O283" s="20"/>
      <c r="P283" s="20"/>
    </row>
    <row r="284" spans="15:16" ht="16.5" customHeight="1" x14ac:dyDescent="0.3">
      <c r="O284" s="20"/>
      <c r="P284" s="20"/>
    </row>
    <row r="285" spans="15:16" ht="16.5" customHeight="1" x14ac:dyDescent="0.3">
      <c r="O285" s="20"/>
      <c r="P285" s="20"/>
    </row>
    <row r="286" spans="15:16" ht="16.5" customHeight="1" x14ac:dyDescent="0.3">
      <c r="O286" s="20"/>
      <c r="P286" s="20"/>
    </row>
    <row r="287" spans="15:16" ht="16.5" customHeight="1" x14ac:dyDescent="0.3">
      <c r="O287" s="20"/>
      <c r="P287" s="20"/>
    </row>
    <row r="288" spans="15:16" ht="16.5" customHeight="1" x14ac:dyDescent="0.3">
      <c r="O288" s="20"/>
      <c r="P288" s="20"/>
    </row>
    <row r="289" spans="15:16" ht="16.5" customHeight="1" x14ac:dyDescent="0.3">
      <c r="O289" s="20"/>
      <c r="P289" s="20"/>
    </row>
    <row r="290" spans="15:16" ht="16.5" customHeight="1" x14ac:dyDescent="0.3">
      <c r="O290" s="20"/>
      <c r="P290" s="20"/>
    </row>
    <row r="291" spans="15:16" ht="16.5" customHeight="1" x14ac:dyDescent="0.3">
      <c r="O291" s="20"/>
      <c r="P291" s="20"/>
    </row>
    <row r="292" spans="15:16" ht="16.5" customHeight="1" x14ac:dyDescent="0.3">
      <c r="O292" s="20"/>
      <c r="P292" s="20"/>
    </row>
    <row r="293" spans="15:16" ht="16.5" customHeight="1" x14ac:dyDescent="0.3">
      <c r="O293" s="20"/>
      <c r="P293" s="20"/>
    </row>
    <row r="294" spans="15:16" ht="16.5" customHeight="1" x14ac:dyDescent="0.3">
      <c r="O294" s="20"/>
      <c r="P294" s="20"/>
    </row>
    <row r="295" spans="15:16" ht="16.5" customHeight="1" x14ac:dyDescent="0.3">
      <c r="O295" s="20"/>
      <c r="P295" s="20"/>
    </row>
    <row r="296" spans="15:16" ht="16.5" customHeight="1" x14ac:dyDescent="0.3">
      <c r="O296" s="20"/>
      <c r="P296" s="20"/>
    </row>
    <row r="297" spans="15:16" ht="16.5" customHeight="1" x14ac:dyDescent="0.3">
      <c r="O297" s="20"/>
      <c r="P297" s="20"/>
    </row>
    <row r="298" spans="15:16" ht="16.5" customHeight="1" x14ac:dyDescent="0.3">
      <c r="O298" s="20"/>
      <c r="P298" s="20"/>
    </row>
    <row r="299" spans="15:16" ht="16.5" customHeight="1" x14ac:dyDescent="0.3">
      <c r="O299" s="20"/>
      <c r="P299" s="20"/>
    </row>
    <row r="300" spans="15:16" ht="16.5" customHeight="1" x14ac:dyDescent="0.3">
      <c r="O300" s="20"/>
      <c r="P300" s="20"/>
    </row>
    <row r="301" spans="15:16" ht="16.5" customHeight="1" x14ac:dyDescent="0.3">
      <c r="O301" s="20"/>
      <c r="P301" s="20"/>
    </row>
    <row r="302" spans="15:16" ht="16.5" customHeight="1" x14ac:dyDescent="0.3">
      <c r="O302" s="20"/>
      <c r="P302" s="20"/>
    </row>
    <row r="303" spans="15:16" ht="16.5" customHeight="1" x14ac:dyDescent="0.3">
      <c r="O303" s="20"/>
      <c r="P303" s="20"/>
    </row>
    <row r="304" spans="15:16" ht="16.5" customHeight="1" x14ac:dyDescent="0.3">
      <c r="O304" s="20"/>
      <c r="P304" s="20"/>
    </row>
    <row r="305" spans="15:16" ht="16.5" customHeight="1" x14ac:dyDescent="0.3">
      <c r="O305" s="20"/>
      <c r="P305" s="20"/>
    </row>
    <row r="306" spans="15:16" ht="16.5" customHeight="1" x14ac:dyDescent="0.3">
      <c r="O306" s="20"/>
      <c r="P306" s="20"/>
    </row>
    <row r="307" spans="15:16" ht="16.5" customHeight="1" x14ac:dyDescent="0.3">
      <c r="O307" s="20"/>
      <c r="P307" s="20"/>
    </row>
    <row r="308" spans="15:16" ht="16.5" customHeight="1" x14ac:dyDescent="0.3">
      <c r="O308" s="20"/>
      <c r="P308" s="20"/>
    </row>
    <row r="309" spans="15:16" ht="16.5" customHeight="1" x14ac:dyDescent="0.3">
      <c r="O309" s="20"/>
      <c r="P309" s="20"/>
    </row>
    <row r="310" spans="15:16" ht="16.5" customHeight="1" x14ac:dyDescent="0.3">
      <c r="O310" s="20"/>
      <c r="P310" s="20"/>
    </row>
    <row r="311" spans="15:16" ht="16.5" customHeight="1" x14ac:dyDescent="0.3">
      <c r="O311" s="20"/>
      <c r="P311" s="20"/>
    </row>
    <row r="312" spans="15:16" ht="16.5" customHeight="1" x14ac:dyDescent="0.3">
      <c r="O312" s="20"/>
      <c r="P312" s="20"/>
    </row>
    <row r="313" spans="15:16" ht="16.5" customHeight="1" x14ac:dyDescent="0.3">
      <c r="O313" s="20"/>
      <c r="P313" s="20"/>
    </row>
    <row r="314" spans="15:16" ht="16.5" customHeight="1" x14ac:dyDescent="0.3">
      <c r="O314" s="20"/>
      <c r="P314" s="20"/>
    </row>
    <row r="315" spans="15:16" ht="16.5" customHeight="1" x14ac:dyDescent="0.3">
      <c r="O315" s="20"/>
      <c r="P315" s="20"/>
    </row>
    <row r="316" spans="15:16" ht="16.5" customHeight="1" x14ac:dyDescent="0.3">
      <c r="O316" s="20"/>
      <c r="P316" s="20"/>
    </row>
    <row r="317" spans="15:16" ht="16.5" customHeight="1" x14ac:dyDescent="0.3">
      <c r="O317" s="20"/>
      <c r="P317" s="20"/>
    </row>
    <row r="318" spans="15:16" ht="16.5" customHeight="1" x14ac:dyDescent="0.3">
      <c r="O318" s="20"/>
      <c r="P318" s="20"/>
    </row>
    <row r="319" spans="15:16" ht="16.5" customHeight="1" x14ac:dyDescent="0.3">
      <c r="O319" s="20"/>
      <c r="P319" s="20"/>
    </row>
    <row r="320" spans="15:16" ht="16.5" customHeight="1" x14ac:dyDescent="0.3">
      <c r="O320" s="20"/>
      <c r="P320" s="20"/>
    </row>
    <row r="321" spans="15:16" ht="16.5" customHeight="1" x14ac:dyDescent="0.3">
      <c r="O321" s="20"/>
      <c r="P321" s="20"/>
    </row>
    <row r="322" spans="15:16" ht="16.5" customHeight="1" x14ac:dyDescent="0.3">
      <c r="O322" s="20"/>
      <c r="P322" s="20"/>
    </row>
    <row r="323" spans="15:16" ht="16.5" customHeight="1" x14ac:dyDescent="0.3">
      <c r="O323" s="20"/>
      <c r="P323" s="20"/>
    </row>
    <row r="324" spans="15:16" ht="16.5" customHeight="1" x14ac:dyDescent="0.3">
      <c r="O324" s="20"/>
      <c r="P324" s="20"/>
    </row>
    <row r="325" spans="15:16" ht="16.5" customHeight="1" x14ac:dyDescent="0.3">
      <c r="O325" s="20"/>
      <c r="P325" s="20"/>
    </row>
    <row r="326" spans="15:16" ht="16.5" customHeight="1" x14ac:dyDescent="0.3">
      <c r="O326" s="20"/>
      <c r="P326" s="20"/>
    </row>
    <row r="327" spans="15:16" ht="16.5" customHeight="1" x14ac:dyDescent="0.3">
      <c r="O327" s="20"/>
      <c r="P327" s="20"/>
    </row>
    <row r="328" spans="15:16" ht="16.5" customHeight="1" x14ac:dyDescent="0.3">
      <c r="O328" s="20"/>
      <c r="P328" s="20"/>
    </row>
    <row r="329" spans="15:16" ht="16.5" customHeight="1" x14ac:dyDescent="0.3">
      <c r="O329" s="20"/>
      <c r="P329" s="20"/>
    </row>
    <row r="330" spans="15:16" ht="16.5" customHeight="1" x14ac:dyDescent="0.3">
      <c r="O330" s="20"/>
      <c r="P330" s="20"/>
    </row>
    <row r="331" spans="15:16" ht="16.5" customHeight="1" x14ac:dyDescent="0.3">
      <c r="O331" s="20"/>
      <c r="P331" s="20"/>
    </row>
    <row r="332" spans="15:16" ht="16.5" customHeight="1" x14ac:dyDescent="0.3">
      <c r="O332" s="20"/>
      <c r="P332" s="20"/>
    </row>
    <row r="333" spans="15:16" ht="16.5" customHeight="1" x14ac:dyDescent="0.3">
      <c r="O333" s="20"/>
      <c r="P333" s="20"/>
    </row>
    <row r="334" spans="15:16" ht="16.5" customHeight="1" x14ac:dyDescent="0.3">
      <c r="O334" s="20"/>
      <c r="P334" s="20"/>
    </row>
    <row r="335" spans="15:16" ht="16.5" customHeight="1" x14ac:dyDescent="0.3">
      <c r="O335" s="20"/>
      <c r="P335" s="20"/>
    </row>
    <row r="336" spans="15:16" ht="16.5" customHeight="1" x14ac:dyDescent="0.3">
      <c r="O336" s="20"/>
      <c r="P336" s="20"/>
    </row>
    <row r="337" spans="15:16" ht="16.5" customHeight="1" x14ac:dyDescent="0.3">
      <c r="O337" s="20"/>
      <c r="P337" s="20"/>
    </row>
    <row r="338" spans="15:16" ht="16.5" customHeight="1" x14ac:dyDescent="0.3">
      <c r="O338" s="20"/>
      <c r="P338" s="20"/>
    </row>
    <row r="339" spans="15:16" ht="16.5" customHeight="1" x14ac:dyDescent="0.3">
      <c r="O339" s="20"/>
      <c r="P339" s="20"/>
    </row>
    <row r="340" spans="15:16" ht="16.5" customHeight="1" x14ac:dyDescent="0.3">
      <c r="O340" s="20"/>
      <c r="P340" s="20"/>
    </row>
    <row r="341" spans="15:16" ht="16.5" customHeight="1" x14ac:dyDescent="0.3">
      <c r="O341" s="20"/>
      <c r="P341" s="20"/>
    </row>
    <row r="342" spans="15:16" ht="16.5" customHeight="1" x14ac:dyDescent="0.3">
      <c r="O342" s="20"/>
      <c r="P342" s="20"/>
    </row>
    <row r="343" spans="15:16" ht="16.5" customHeight="1" x14ac:dyDescent="0.3">
      <c r="O343" s="20"/>
      <c r="P343" s="20"/>
    </row>
    <row r="344" spans="15:16" ht="16.5" customHeight="1" x14ac:dyDescent="0.3">
      <c r="O344" s="20"/>
      <c r="P344" s="20"/>
    </row>
    <row r="345" spans="15:16" ht="16.5" customHeight="1" x14ac:dyDescent="0.3">
      <c r="O345" s="20"/>
      <c r="P345" s="20"/>
    </row>
    <row r="346" spans="15:16" ht="16.5" customHeight="1" x14ac:dyDescent="0.3">
      <c r="O346" s="20"/>
      <c r="P346" s="20"/>
    </row>
    <row r="347" spans="15:16" ht="16.5" customHeight="1" x14ac:dyDescent="0.3">
      <c r="O347" s="20"/>
      <c r="P347" s="20"/>
    </row>
    <row r="348" spans="15:16" ht="16.5" customHeight="1" x14ac:dyDescent="0.3">
      <c r="O348" s="20"/>
      <c r="P348" s="20"/>
    </row>
    <row r="349" spans="15:16" ht="16.5" customHeight="1" x14ac:dyDescent="0.3">
      <c r="O349" s="20"/>
      <c r="P349" s="20"/>
    </row>
    <row r="350" spans="15:16" ht="16.5" customHeight="1" x14ac:dyDescent="0.3">
      <c r="O350" s="20"/>
      <c r="P350" s="20"/>
    </row>
    <row r="351" spans="15:16" ht="16.5" customHeight="1" x14ac:dyDescent="0.3">
      <c r="O351" s="20"/>
      <c r="P351" s="20"/>
    </row>
    <row r="352" spans="15:16" ht="16.5" customHeight="1" x14ac:dyDescent="0.3">
      <c r="O352" s="20"/>
      <c r="P352" s="20"/>
    </row>
    <row r="353" spans="15:16" ht="16.5" customHeight="1" x14ac:dyDescent="0.3">
      <c r="O353" s="20"/>
      <c r="P353" s="20"/>
    </row>
    <row r="354" spans="15:16" ht="16.5" customHeight="1" x14ac:dyDescent="0.3">
      <c r="O354" s="20"/>
      <c r="P354" s="20"/>
    </row>
    <row r="355" spans="15:16" ht="16.5" customHeight="1" x14ac:dyDescent="0.3">
      <c r="O355" s="20"/>
      <c r="P355" s="20"/>
    </row>
    <row r="356" spans="15:16" ht="16.5" customHeight="1" x14ac:dyDescent="0.3">
      <c r="O356" s="20"/>
      <c r="P356" s="20"/>
    </row>
    <row r="357" spans="15:16" ht="16.5" customHeight="1" x14ac:dyDescent="0.3">
      <c r="O357" s="20"/>
      <c r="P357" s="20"/>
    </row>
    <row r="358" spans="15:16" ht="16.5" customHeight="1" x14ac:dyDescent="0.3">
      <c r="O358" s="20"/>
      <c r="P358" s="20"/>
    </row>
    <row r="359" spans="15:16" ht="16.5" customHeight="1" x14ac:dyDescent="0.3">
      <c r="O359" s="20"/>
      <c r="P359" s="20"/>
    </row>
    <row r="360" spans="15:16" ht="16.5" customHeight="1" x14ac:dyDescent="0.3">
      <c r="O360" s="20"/>
      <c r="P360" s="20"/>
    </row>
    <row r="361" spans="15:16" ht="16.5" customHeight="1" x14ac:dyDescent="0.3">
      <c r="O361" s="20"/>
      <c r="P361" s="20"/>
    </row>
    <row r="362" spans="15:16" ht="16.5" customHeight="1" x14ac:dyDescent="0.3">
      <c r="O362" s="20"/>
      <c r="P362" s="20"/>
    </row>
    <row r="363" spans="15:16" ht="16.5" customHeight="1" x14ac:dyDescent="0.3">
      <c r="O363" s="20"/>
      <c r="P363" s="20"/>
    </row>
    <row r="364" spans="15:16" ht="16.5" customHeight="1" x14ac:dyDescent="0.3">
      <c r="O364" s="20"/>
      <c r="P364" s="20"/>
    </row>
    <row r="365" spans="15:16" ht="16.5" customHeight="1" x14ac:dyDescent="0.3">
      <c r="O365" s="20"/>
      <c r="P365" s="20"/>
    </row>
    <row r="366" spans="15:16" ht="16.5" customHeight="1" x14ac:dyDescent="0.3">
      <c r="O366" s="20"/>
      <c r="P366" s="20"/>
    </row>
    <row r="367" spans="15:16" ht="16.5" customHeight="1" x14ac:dyDescent="0.3">
      <c r="O367" s="20"/>
      <c r="P367" s="20"/>
    </row>
    <row r="368" spans="15:16" ht="16.5" customHeight="1" x14ac:dyDescent="0.3">
      <c r="O368" s="20"/>
      <c r="P368" s="20"/>
    </row>
    <row r="369" spans="15:16" ht="16.5" customHeight="1" x14ac:dyDescent="0.3">
      <c r="O369" s="20"/>
      <c r="P369" s="20"/>
    </row>
    <row r="370" spans="15:16" ht="16.5" customHeight="1" x14ac:dyDescent="0.3">
      <c r="O370" s="20"/>
      <c r="P370" s="20"/>
    </row>
    <row r="371" spans="15:16" ht="16.5" customHeight="1" x14ac:dyDescent="0.3">
      <c r="O371" s="20"/>
      <c r="P371" s="20"/>
    </row>
    <row r="372" spans="15:16" ht="16.5" customHeight="1" x14ac:dyDescent="0.3">
      <c r="O372" s="20"/>
      <c r="P372" s="20"/>
    </row>
    <row r="373" spans="15:16" ht="16.5" customHeight="1" x14ac:dyDescent="0.3">
      <c r="O373" s="20"/>
      <c r="P373" s="20"/>
    </row>
    <row r="374" spans="15:16" ht="16.5" customHeight="1" x14ac:dyDescent="0.3">
      <c r="O374" s="20"/>
      <c r="P374" s="20"/>
    </row>
    <row r="375" spans="15:16" ht="16.5" customHeight="1" x14ac:dyDescent="0.3">
      <c r="O375" s="20"/>
      <c r="P375" s="20"/>
    </row>
    <row r="376" spans="15:16" ht="16.5" customHeight="1" x14ac:dyDescent="0.3">
      <c r="O376" s="20"/>
      <c r="P376" s="20"/>
    </row>
    <row r="377" spans="15:16" ht="16.5" customHeight="1" x14ac:dyDescent="0.3">
      <c r="O377" s="20"/>
      <c r="P377" s="20"/>
    </row>
    <row r="378" spans="15:16" ht="16.5" customHeight="1" x14ac:dyDescent="0.3">
      <c r="O378" s="20"/>
      <c r="P378" s="20"/>
    </row>
    <row r="379" spans="15:16" ht="16.5" customHeight="1" x14ac:dyDescent="0.3">
      <c r="O379" s="20"/>
      <c r="P379" s="20"/>
    </row>
    <row r="380" spans="15:16" ht="16.5" customHeight="1" x14ac:dyDescent="0.3">
      <c r="O380" s="20"/>
      <c r="P380" s="20"/>
    </row>
    <row r="381" spans="15:16" ht="16.5" customHeight="1" x14ac:dyDescent="0.3">
      <c r="O381" s="20"/>
      <c r="P381" s="20"/>
    </row>
    <row r="382" spans="15:16" ht="16.5" customHeight="1" x14ac:dyDescent="0.3">
      <c r="O382" s="20"/>
      <c r="P382" s="20"/>
    </row>
    <row r="383" spans="15:16" ht="16.5" customHeight="1" x14ac:dyDescent="0.3">
      <c r="O383" s="20"/>
      <c r="P383" s="20"/>
    </row>
    <row r="384" spans="15:16" ht="16.5" customHeight="1" x14ac:dyDescent="0.3">
      <c r="O384" s="20"/>
      <c r="P384" s="20"/>
    </row>
    <row r="385" spans="15:16" ht="16.5" customHeight="1" x14ac:dyDescent="0.3">
      <c r="O385" s="20"/>
      <c r="P385" s="20"/>
    </row>
    <row r="386" spans="15:16" ht="16.5" customHeight="1" x14ac:dyDescent="0.3">
      <c r="O386" s="20"/>
      <c r="P386" s="20"/>
    </row>
    <row r="387" spans="15:16" ht="16.5" customHeight="1" x14ac:dyDescent="0.3">
      <c r="O387" s="20"/>
      <c r="P387" s="20"/>
    </row>
    <row r="388" spans="15:16" ht="16.5" customHeight="1" x14ac:dyDescent="0.3">
      <c r="O388" s="20"/>
      <c r="P388" s="20"/>
    </row>
    <row r="389" spans="15:16" ht="16.5" customHeight="1" x14ac:dyDescent="0.3">
      <c r="O389" s="20"/>
      <c r="P389" s="20"/>
    </row>
    <row r="390" spans="15:16" ht="16.5" customHeight="1" x14ac:dyDescent="0.3">
      <c r="O390" s="20"/>
      <c r="P390" s="20"/>
    </row>
    <row r="391" spans="15:16" ht="16.5" customHeight="1" x14ac:dyDescent="0.3">
      <c r="O391" s="20"/>
      <c r="P391" s="20"/>
    </row>
    <row r="392" spans="15:16" ht="16.5" customHeight="1" x14ac:dyDescent="0.3">
      <c r="O392" s="20"/>
      <c r="P392" s="20"/>
    </row>
    <row r="393" spans="15:16" ht="16.5" customHeight="1" x14ac:dyDescent="0.3">
      <c r="O393" s="20"/>
      <c r="P393" s="20"/>
    </row>
    <row r="394" spans="15:16" ht="16.5" customHeight="1" x14ac:dyDescent="0.3">
      <c r="O394" s="20"/>
      <c r="P394" s="20"/>
    </row>
    <row r="395" spans="15:16" ht="16.5" customHeight="1" x14ac:dyDescent="0.3">
      <c r="O395" s="20"/>
      <c r="P395" s="20"/>
    </row>
    <row r="396" spans="15:16" ht="16.5" customHeight="1" x14ac:dyDescent="0.3">
      <c r="O396" s="20"/>
      <c r="P396" s="20"/>
    </row>
    <row r="397" spans="15:16" ht="16.5" customHeight="1" x14ac:dyDescent="0.3">
      <c r="O397" s="20"/>
      <c r="P397" s="20"/>
    </row>
    <row r="398" spans="15:16" ht="16.5" customHeight="1" x14ac:dyDescent="0.3">
      <c r="O398" s="20"/>
      <c r="P398" s="20"/>
    </row>
    <row r="399" spans="15:16" ht="16.5" customHeight="1" x14ac:dyDescent="0.3">
      <c r="O399" s="20"/>
      <c r="P399" s="20"/>
    </row>
    <row r="400" spans="15:16" ht="16.5" customHeight="1" x14ac:dyDescent="0.3">
      <c r="O400" s="20"/>
      <c r="P400" s="20"/>
    </row>
    <row r="401" spans="15:16" ht="16.5" customHeight="1" x14ac:dyDescent="0.3">
      <c r="O401" s="20"/>
      <c r="P401" s="20"/>
    </row>
    <row r="402" spans="15:16" ht="16.5" customHeight="1" x14ac:dyDescent="0.3">
      <c r="O402" s="20"/>
      <c r="P402" s="20"/>
    </row>
    <row r="403" spans="15:16" ht="16.5" customHeight="1" x14ac:dyDescent="0.3">
      <c r="O403" s="20"/>
      <c r="P403" s="20"/>
    </row>
    <row r="404" spans="15:16" ht="16.5" customHeight="1" x14ac:dyDescent="0.3">
      <c r="O404" s="20"/>
      <c r="P404" s="20"/>
    </row>
    <row r="405" spans="15:16" ht="16.5" customHeight="1" x14ac:dyDescent="0.3">
      <c r="O405" s="20"/>
      <c r="P405" s="20"/>
    </row>
    <row r="406" spans="15:16" ht="16.5" customHeight="1" x14ac:dyDescent="0.3">
      <c r="O406" s="20"/>
      <c r="P406" s="20"/>
    </row>
    <row r="407" spans="15:16" ht="16.5" customHeight="1" x14ac:dyDescent="0.3">
      <c r="O407" s="20"/>
      <c r="P407" s="20"/>
    </row>
    <row r="408" spans="15:16" ht="16.5" customHeight="1" x14ac:dyDescent="0.3">
      <c r="O408" s="20"/>
      <c r="P408" s="20"/>
    </row>
    <row r="409" spans="15:16" ht="16.5" customHeight="1" x14ac:dyDescent="0.3">
      <c r="O409" s="20"/>
      <c r="P409" s="20"/>
    </row>
    <row r="410" spans="15:16" ht="16.5" customHeight="1" x14ac:dyDescent="0.3">
      <c r="O410" s="20"/>
      <c r="P410" s="20"/>
    </row>
    <row r="411" spans="15:16" ht="16.5" customHeight="1" x14ac:dyDescent="0.3">
      <c r="O411" s="20"/>
      <c r="P411" s="20"/>
    </row>
    <row r="412" spans="15:16" ht="16.5" customHeight="1" x14ac:dyDescent="0.3">
      <c r="O412" s="20"/>
      <c r="P412" s="20"/>
    </row>
    <row r="413" spans="15:16" ht="16.5" customHeight="1" x14ac:dyDescent="0.3">
      <c r="O413" s="20"/>
      <c r="P413" s="20"/>
    </row>
    <row r="414" spans="15:16" ht="16.5" customHeight="1" x14ac:dyDescent="0.3">
      <c r="O414" s="20"/>
      <c r="P414" s="20"/>
    </row>
    <row r="415" spans="15:16" ht="16.5" customHeight="1" x14ac:dyDescent="0.3">
      <c r="O415" s="20"/>
      <c r="P415" s="20"/>
    </row>
    <row r="416" spans="15:16" ht="16.5" customHeight="1" x14ac:dyDescent="0.3">
      <c r="O416" s="20"/>
      <c r="P416" s="20"/>
    </row>
    <row r="417" spans="15:16" ht="16.5" customHeight="1" x14ac:dyDescent="0.3">
      <c r="O417" s="20"/>
      <c r="P417" s="20"/>
    </row>
    <row r="418" spans="15:16" ht="16.5" customHeight="1" x14ac:dyDescent="0.3">
      <c r="O418" s="20"/>
      <c r="P418" s="20"/>
    </row>
    <row r="419" spans="15:16" ht="16.5" customHeight="1" x14ac:dyDescent="0.3">
      <c r="O419" s="20"/>
      <c r="P419" s="20"/>
    </row>
    <row r="420" spans="15:16" ht="16.5" customHeight="1" x14ac:dyDescent="0.3">
      <c r="O420" s="20"/>
      <c r="P420" s="20"/>
    </row>
    <row r="421" spans="15:16" ht="16.5" customHeight="1" x14ac:dyDescent="0.3">
      <c r="O421" s="20"/>
      <c r="P421" s="20"/>
    </row>
    <row r="422" spans="15:16" ht="16.5" customHeight="1" x14ac:dyDescent="0.3">
      <c r="O422" s="20"/>
      <c r="P422" s="20"/>
    </row>
    <row r="423" spans="15:16" ht="16.5" customHeight="1" x14ac:dyDescent="0.3">
      <c r="O423" s="20"/>
      <c r="P423" s="20"/>
    </row>
    <row r="424" spans="15:16" ht="16.5" customHeight="1" x14ac:dyDescent="0.3">
      <c r="O424" s="20"/>
      <c r="P424" s="20"/>
    </row>
    <row r="425" spans="15:16" ht="16.5" customHeight="1" x14ac:dyDescent="0.3">
      <c r="O425" s="20"/>
      <c r="P425" s="20"/>
    </row>
    <row r="426" spans="15:16" ht="16.5" customHeight="1" x14ac:dyDescent="0.3">
      <c r="O426" s="20"/>
      <c r="P426" s="20"/>
    </row>
    <row r="427" spans="15:16" ht="16.5" customHeight="1" x14ac:dyDescent="0.3">
      <c r="O427" s="20"/>
      <c r="P427" s="20"/>
    </row>
    <row r="428" spans="15:16" ht="16.5" customHeight="1" x14ac:dyDescent="0.3">
      <c r="O428" s="20"/>
      <c r="P428" s="20"/>
    </row>
    <row r="429" spans="15:16" ht="16.5" customHeight="1" x14ac:dyDescent="0.3">
      <c r="O429" s="20"/>
      <c r="P429" s="20"/>
    </row>
    <row r="430" spans="15:16" ht="16.5" customHeight="1" x14ac:dyDescent="0.3">
      <c r="O430" s="20"/>
      <c r="P430" s="20"/>
    </row>
    <row r="431" spans="15:16" ht="16.5" customHeight="1" x14ac:dyDescent="0.3">
      <c r="O431" s="20"/>
      <c r="P431" s="20"/>
    </row>
    <row r="432" spans="15:16" ht="16.5" customHeight="1" x14ac:dyDescent="0.3">
      <c r="O432" s="20"/>
      <c r="P432" s="20"/>
    </row>
    <row r="433" spans="15:16" ht="16.5" customHeight="1" x14ac:dyDescent="0.3">
      <c r="O433" s="20"/>
      <c r="P433" s="20"/>
    </row>
    <row r="434" spans="15:16" ht="16.5" customHeight="1" x14ac:dyDescent="0.3">
      <c r="O434" s="20"/>
      <c r="P434" s="20"/>
    </row>
    <row r="435" spans="15:16" ht="16.5" customHeight="1" x14ac:dyDescent="0.3">
      <c r="O435" s="20"/>
      <c r="P435" s="20"/>
    </row>
    <row r="436" spans="15:16" ht="16.5" customHeight="1" x14ac:dyDescent="0.3">
      <c r="O436" s="20"/>
      <c r="P436" s="20"/>
    </row>
    <row r="437" spans="15:16" ht="16.5" customHeight="1" x14ac:dyDescent="0.3">
      <c r="O437" s="20"/>
      <c r="P437" s="20"/>
    </row>
    <row r="438" spans="15:16" ht="16.5" customHeight="1" x14ac:dyDescent="0.3">
      <c r="O438" s="20"/>
      <c r="P438" s="20"/>
    </row>
    <row r="439" spans="15:16" ht="16.5" customHeight="1" x14ac:dyDescent="0.3">
      <c r="O439" s="20"/>
      <c r="P439" s="20"/>
    </row>
    <row r="440" spans="15:16" ht="16.5" customHeight="1" x14ac:dyDescent="0.3">
      <c r="O440" s="20"/>
      <c r="P440" s="20"/>
    </row>
    <row r="441" spans="15:16" ht="16.5" customHeight="1" x14ac:dyDescent="0.3">
      <c r="O441" s="20"/>
      <c r="P441" s="20"/>
    </row>
    <row r="442" spans="15:16" ht="16.5" customHeight="1" x14ac:dyDescent="0.3">
      <c r="O442" s="20"/>
      <c r="P442" s="20"/>
    </row>
    <row r="443" spans="15:16" ht="16.5" customHeight="1" x14ac:dyDescent="0.3">
      <c r="O443" s="20"/>
      <c r="P443" s="20"/>
    </row>
    <row r="444" spans="15:16" ht="16.5" customHeight="1" x14ac:dyDescent="0.3">
      <c r="O444" s="20"/>
      <c r="P444" s="20"/>
    </row>
    <row r="445" spans="15:16" ht="16.5" customHeight="1" x14ac:dyDescent="0.3">
      <c r="O445" s="20"/>
      <c r="P445" s="20"/>
    </row>
    <row r="446" spans="15:16" ht="16.5" customHeight="1" x14ac:dyDescent="0.3">
      <c r="O446" s="20"/>
      <c r="P446" s="20"/>
    </row>
    <row r="447" spans="15:16" ht="16.5" customHeight="1" x14ac:dyDescent="0.3">
      <c r="O447" s="20"/>
      <c r="P447" s="20"/>
    </row>
    <row r="448" spans="15:16" ht="16.5" customHeight="1" x14ac:dyDescent="0.3">
      <c r="O448" s="20"/>
      <c r="P448" s="20"/>
    </row>
    <row r="449" spans="15:16" ht="16.5" customHeight="1" x14ac:dyDescent="0.3">
      <c r="O449" s="20"/>
      <c r="P449" s="20"/>
    </row>
    <row r="450" spans="15:16" ht="16.5" customHeight="1" x14ac:dyDescent="0.3">
      <c r="O450" s="20"/>
      <c r="P450" s="20"/>
    </row>
    <row r="451" spans="15:16" ht="16.5" customHeight="1" x14ac:dyDescent="0.3">
      <c r="O451" s="20"/>
      <c r="P451" s="20"/>
    </row>
    <row r="452" spans="15:16" ht="16.5" customHeight="1" x14ac:dyDescent="0.3">
      <c r="O452" s="20"/>
      <c r="P452" s="20"/>
    </row>
    <row r="453" spans="15:16" ht="16.5" customHeight="1" x14ac:dyDescent="0.3">
      <c r="O453" s="20"/>
      <c r="P453" s="20"/>
    </row>
    <row r="454" spans="15:16" ht="16.5" customHeight="1" x14ac:dyDescent="0.3">
      <c r="O454" s="20"/>
      <c r="P454" s="20"/>
    </row>
    <row r="455" spans="15:16" ht="16.5" customHeight="1" x14ac:dyDescent="0.3">
      <c r="O455" s="20"/>
      <c r="P455" s="20"/>
    </row>
    <row r="456" spans="15:16" ht="16.5" customHeight="1" x14ac:dyDescent="0.3">
      <c r="O456" s="20"/>
      <c r="P456" s="20"/>
    </row>
    <row r="457" spans="15:16" ht="16.5" customHeight="1" x14ac:dyDescent="0.3">
      <c r="O457" s="20"/>
      <c r="P457" s="20"/>
    </row>
    <row r="458" spans="15:16" ht="16.5" customHeight="1" x14ac:dyDescent="0.3">
      <c r="O458" s="20"/>
      <c r="P458" s="20"/>
    </row>
    <row r="459" spans="15:16" ht="16.5" customHeight="1" x14ac:dyDescent="0.3">
      <c r="O459" s="20"/>
      <c r="P459" s="20"/>
    </row>
    <row r="460" spans="15:16" ht="16.5" customHeight="1" x14ac:dyDescent="0.3">
      <c r="O460" s="20"/>
      <c r="P460" s="20"/>
    </row>
    <row r="461" spans="15:16" ht="16.5" customHeight="1" x14ac:dyDescent="0.3">
      <c r="O461" s="20"/>
      <c r="P461" s="20"/>
    </row>
    <row r="462" spans="15:16" ht="16.5" customHeight="1" x14ac:dyDescent="0.3">
      <c r="O462" s="20"/>
      <c r="P462" s="20"/>
    </row>
    <row r="463" spans="15:16" ht="16.5" customHeight="1" x14ac:dyDescent="0.3">
      <c r="O463" s="20"/>
      <c r="P463" s="20"/>
    </row>
    <row r="464" spans="15:16" ht="16.5" customHeight="1" x14ac:dyDescent="0.3">
      <c r="O464" s="20"/>
      <c r="P464" s="20"/>
    </row>
    <row r="465" spans="15:16" ht="16.5" customHeight="1" x14ac:dyDescent="0.3">
      <c r="O465" s="20"/>
      <c r="P465" s="20"/>
    </row>
    <row r="466" spans="15:16" ht="16.5" customHeight="1" x14ac:dyDescent="0.3">
      <c r="O466" s="20"/>
      <c r="P466" s="20"/>
    </row>
    <row r="467" spans="15:16" ht="16.5" customHeight="1" x14ac:dyDescent="0.3">
      <c r="O467" s="20"/>
      <c r="P467" s="20"/>
    </row>
    <row r="468" spans="15:16" ht="16.5" customHeight="1" x14ac:dyDescent="0.3">
      <c r="O468" s="20"/>
      <c r="P468" s="20"/>
    </row>
    <row r="469" spans="15:16" ht="16.5" customHeight="1" x14ac:dyDescent="0.3">
      <c r="O469" s="20"/>
      <c r="P469" s="20"/>
    </row>
    <row r="470" spans="15:16" ht="16.5" customHeight="1" x14ac:dyDescent="0.3">
      <c r="O470" s="20"/>
      <c r="P470" s="20"/>
    </row>
    <row r="471" spans="15:16" ht="16.5" customHeight="1" x14ac:dyDescent="0.3">
      <c r="O471" s="20"/>
      <c r="P471" s="20"/>
    </row>
    <row r="472" spans="15:16" ht="16.5" customHeight="1" x14ac:dyDescent="0.3">
      <c r="O472" s="20"/>
      <c r="P472" s="20"/>
    </row>
    <row r="473" spans="15:16" ht="16.5" customHeight="1" x14ac:dyDescent="0.3">
      <c r="O473" s="20"/>
      <c r="P473" s="20"/>
    </row>
    <row r="474" spans="15:16" ht="16.5" customHeight="1" x14ac:dyDescent="0.3">
      <c r="O474" s="20"/>
      <c r="P474" s="20"/>
    </row>
    <row r="475" spans="15:16" ht="16.5" customHeight="1" x14ac:dyDescent="0.3">
      <c r="O475" s="20"/>
      <c r="P475" s="20"/>
    </row>
    <row r="476" spans="15:16" ht="16.5" customHeight="1" x14ac:dyDescent="0.3">
      <c r="O476" s="20"/>
      <c r="P476" s="20"/>
    </row>
    <row r="477" spans="15:16" ht="16.5" customHeight="1" x14ac:dyDescent="0.3">
      <c r="O477" s="20"/>
      <c r="P477" s="20"/>
    </row>
    <row r="478" spans="15:16" ht="16.5" customHeight="1" x14ac:dyDescent="0.3">
      <c r="O478" s="20"/>
      <c r="P478" s="20"/>
    </row>
    <row r="479" spans="15:16" ht="16.5" customHeight="1" x14ac:dyDescent="0.3">
      <c r="O479" s="20"/>
      <c r="P479" s="20"/>
    </row>
    <row r="480" spans="15:16" ht="16.5" customHeight="1" x14ac:dyDescent="0.3">
      <c r="O480" s="20"/>
      <c r="P480" s="20"/>
    </row>
    <row r="481" spans="15:16" ht="16.5" customHeight="1" x14ac:dyDescent="0.3">
      <c r="O481" s="20"/>
      <c r="P481" s="20"/>
    </row>
    <row r="482" spans="15:16" ht="16.5" customHeight="1" x14ac:dyDescent="0.3">
      <c r="O482" s="20"/>
      <c r="P482" s="20"/>
    </row>
    <row r="483" spans="15:16" ht="16.5" customHeight="1" x14ac:dyDescent="0.3">
      <c r="O483" s="20"/>
      <c r="P483" s="20"/>
    </row>
    <row r="484" spans="15:16" ht="16.5" customHeight="1" x14ac:dyDescent="0.3">
      <c r="O484" s="20"/>
      <c r="P484" s="20"/>
    </row>
    <row r="485" spans="15:16" ht="16.5" customHeight="1" x14ac:dyDescent="0.3">
      <c r="O485" s="20"/>
      <c r="P485" s="20"/>
    </row>
    <row r="486" spans="15:16" ht="16.5" customHeight="1" x14ac:dyDescent="0.3">
      <c r="O486" s="20"/>
      <c r="P486" s="20"/>
    </row>
    <row r="487" spans="15:16" ht="16.5" customHeight="1" x14ac:dyDescent="0.3">
      <c r="O487" s="20"/>
      <c r="P487" s="20"/>
    </row>
    <row r="488" spans="15:16" ht="16.5" customHeight="1" x14ac:dyDescent="0.3">
      <c r="O488" s="20"/>
      <c r="P488" s="20"/>
    </row>
    <row r="489" spans="15:16" ht="16.5" customHeight="1" x14ac:dyDescent="0.3">
      <c r="O489" s="20"/>
      <c r="P489" s="20"/>
    </row>
    <row r="490" spans="15:16" ht="16.5" customHeight="1" x14ac:dyDescent="0.3">
      <c r="O490" s="20"/>
      <c r="P490" s="20"/>
    </row>
    <row r="491" spans="15:16" ht="16.5" customHeight="1" x14ac:dyDescent="0.3">
      <c r="O491" s="20"/>
      <c r="P491" s="20"/>
    </row>
    <row r="492" spans="15:16" ht="16.5" customHeight="1" x14ac:dyDescent="0.3">
      <c r="O492" s="20"/>
      <c r="P492" s="20"/>
    </row>
    <row r="493" spans="15:16" ht="16.5" customHeight="1" x14ac:dyDescent="0.3">
      <c r="O493" s="20"/>
      <c r="P493" s="20"/>
    </row>
    <row r="494" spans="15:16" ht="16.5" customHeight="1" x14ac:dyDescent="0.3">
      <c r="O494" s="20"/>
      <c r="P494" s="20"/>
    </row>
    <row r="495" spans="15:16" ht="16.5" customHeight="1" x14ac:dyDescent="0.3">
      <c r="O495" s="20"/>
      <c r="P495" s="20"/>
    </row>
    <row r="496" spans="15:16" ht="16.5" customHeight="1" x14ac:dyDescent="0.3">
      <c r="O496" s="20"/>
      <c r="P496" s="20"/>
    </row>
    <row r="497" spans="15:16" ht="16.5" customHeight="1" x14ac:dyDescent="0.3">
      <c r="O497" s="20"/>
      <c r="P497" s="20"/>
    </row>
    <row r="498" spans="15:16" ht="16.5" customHeight="1" x14ac:dyDescent="0.3">
      <c r="O498" s="20"/>
      <c r="P498" s="20"/>
    </row>
    <row r="499" spans="15:16" ht="16.5" customHeight="1" x14ac:dyDescent="0.3">
      <c r="O499" s="20"/>
      <c r="P499" s="20"/>
    </row>
    <row r="500" spans="15:16" ht="16.5" customHeight="1" x14ac:dyDescent="0.3">
      <c r="O500" s="20"/>
      <c r="P500" s="20"/>
    </row>
    <row r="501" spans="15:16" ht="16.5" customHeight="1" x14ac:dyDescent="0.3">
      <c r="O501" s="20"/>
      <c r="P501" s="20"/>
    </row>
    <row r="502" spans="15:16" ht="16.5" customHeight="1" x14ac:dyDescent="0.3">
      <c r="O502" s="20"/>
      <c r="P502" s="20"/>
    </row>
    <row r="503" spans="15:16" ht="16.5" customHeight="1" x14ac:dyDescent="0.3">
      <c r="O503" s="20"/>
      <c r="P503" s="20"/>
    </row>
    <row r="504" spans="15:16" ht="16.5" customHeight="1" x14ac:dyDescent="0.3">
      <c r="O504" s="20"/>
      <c r="P504" s="20"/>
    </row>
    <row r="505" spans="15:16" ht="16.5" customHeight="1" x14ac:dyDescent="0.3">
      <c r="O505" s="20"/>
      <c r="P505" s="20"/>
    </row>
    <row r="506" spans="15:16" ht="16.5" customHeight="1" x14ac:dyDescent="0.3">
      <c r="O506" s="20"/>
      <c r="P506" s="20"/>
    </row>
    <row r="507" spans="15:16" ht="16.5" customHeight="1" x14ac:dyDescent="0.3">
      <c r="O507" s="20"/>
      <c r="P507" s="20"/>
    </row>
    <row r="508" spans="15:16" ht="16.5" customHeight="1" x14ac:dyDescent="0.3">
      <c r="O508" s="20"/>
      <c r="P508" s="20"/>
    </row>
    <row r="509" spans="15:16" ht="16.5" customHeight="1" x14ac:dyDescent="0.3">
      <c r="O509" s="20"/>
      <c r="P509" s="20"/>
    </row>
    <row r="510" spans="15:16" ht="16.5" customHeight="1" x14ac:dyDescent="0.3">
      <c r="O510" s="20"/>
      <c r="P510" s="20"/>
    </row>
    <row r="511" spans="15:16" ht="16.5" customHeight="1" x14ac:dyDescent="0.3">
      <c r="O511" s="20"/>
      <c r="P511" s="20"/>
    </row>
    <row r="512" spans="15:16" ht="16.5" customHeight="1" x14ac:dyDescent="0.3">
      <c r="O512" s="20"/>
      <c r="P512" s="20"/>
    </row>
    <row r="513" spans="15:16" ht="16.5" customHeight="1" x14ac:dyDescent="0.3">
      <c r="O513" s="20"/>
      <c r="P513" s="20"/>
    </row>
    <row r="514" spans="15:16" ht="16.5" customHeight="1" x14ac:dyDescent="0.3">
      <c r="O514" s="20"/>
      <c r="P514" s="20"/>
    </row>
    <row r="515" spans="15:16" ht="16.5" customHeight="1" x14ac:dyDescent="0.3">
      <c r="O515" s="20"/>
      <c r="P515" s="20"/>
    </row>
    <row r="516" spans="15:16" ht="16.5" customHeight="1" x14ac:dyDescent="0.3">
      <c r="O516" s="20"/>
      <c r="P516" s="20"/>
    </row>
    <row r="517" spans="15:16" ht="16.5" customHeight="1" x14ac:dyDescent="0.3">
      <c r="O517" s="20"/>
      <c r="P517" s="20"/>
    </row>
    <row r="518" spans="15:16" ht="16.5" customHeight="1" x14ac:dyDescent="0.3">
      <c r="O518" s="20"/>
      <c r="P518" s="20"/>
    </row>
    <row r="519" spans="15:16" ht="16.5" customHeight="1" x14ac:dyDescent="0.3">
      <c r="O519" s="20"/>
      <c r="P519" s="20"/>
    </row>
    <row r="520" spans="15:16" ht="16.5" customHeight="1" x14ac:dyDescent="0.3">
      <c r="O520" s="20"/>
      <c r="P520" s="20"/>
    </row>
    <row r="521" spans="15:16" ht="16.5" customHeight="1" x14ac:dyDescent="0.3">
      <c r="O521" s="20"/>
      <c r="P521" s="20"/>
    </row>
    <row r="522" spans="15:16" ht="16.5" customHeight="1" x14ac:dyDescent="0.3">
      <c r="O522" s="20"/>
      <c r="P522" s="20"/>
    </row>
    <row r="523" spans="15:16" ht="16.5" customHeight="1" x14ac:dyDescent="0.3">
      <c r="O523" s="20"/>
      <c r="P523" s="20"/>
    </row>
    <row r="524" spans="15:16" ht="16.5" customHeight="1" x14ac:dyDescent="0.3">
      <c r="O524" s="20"/>
      <c r="P524" s="20"/>
    </row>
    <row r="525" spans="15:16" ht="16.5" customHeight="1" x14ac:dyDescent="0.3">
      <c r="O525" s="20"/>
      <c r="P525" s="20"/>
    </row>
    <row r="526" spans="15:16" ht="16.5" customHeight="1" x14ac:dyDescent="0.3">
      <c r="O526" s="20"/>
      <c r="P526" s="20"/>
    </row>
    <row r="527" spans="15:16" ht="16.5" customHeight="1" x14ac:dyDescent="0.3">
      <c r="O527" s="20"/>
      <c r="P527" s="20"/>
    </row>
    <row r="528" spans="15:16" ht="16.5" customHeight="1" x14ac:dyDescent="0.3">
      <c r="O528" s="20"/>
      <c r="P528" s="20"/>
    </row>
    <row r="529" spans="15:16" ht="16.5" customHeight="1" x14ac:dyDescent="0.3">
      <c r="O529" s="20"/>
      <c r="P529" s="20"/>
    </row>
    <row r="530" spans="15:16" ht="16.5" customHeight="1" x14ac:dyDescent="0.3">
      <c r="O530" s="20"/>
      <c r="P530" s="20"/>
    </row>
    <row r="531" spans="15:16" ht="16.5" customHeight="1" x14ac:dyDescent="0.3">
      <c r="O531" s="20"/>
      <c r="P531" s="20"/>
    </row>
    <row r="532" spans="15:16" ht="16.5" customHeight="1" x14ac:dyDescent="0.3">
      <c r="O532" s="20"/>
      <c r="P532" s="20"/>
    </row>
    <row r="533" spans="15:16" ht="16.5" customHeight="1" x14ac:dyDescent="0.3">
      <c r="O533" s="20"/>
      <c r="P533" s="20"/>
    </row>
    <row r="534" spans="15:16" ht="16.5" customHeight="1" x14ac:dyDescent="0.3">
      <c r="O534" s="20"/>
      <c r="P534" s="20"/>
    </row>
    <row r="535" spans="15:16" ht="16.5" customHeight="1" x14ac:dyDescent="0.3">
      <c r="O535" s="20"/>
      <c r="P535" s="20"/>
    </row>
    <row r="536" spans="15:16" ht="16.5" customHeight="1" x14ac:dyDescent="0.3">
      <c r="O536" s="20"/>
      <c r="P536" s="20"/>
    </row>
    <row r="537" spans="15:16" ht="16.5" customHeight="1" x14ac:dyDescent="0.3">
      <c r="O537" s="20"/>
      <c r="P537" s="20"/>
    </row>
    <row r="538" spans="15:16" ht="16.5" customHeight="1" x14ac:dyDescent="0.3">
      <c r="O538" s="20"/>
      <c r="P538" s="20"/>
    </row>
    <row r="539" spans="15:16" ht="16.5" customHeight="1" x14ac:dyDescent="0.3">
      <c r="O539" s="20"/>
      <c r="P539" s="20"/>
    </row>
    <row r="540" spans="15:16" ht="16.5" customHeight="1" x14ac:dyDescent="0.3">
      <c r="O540" s="20"/>
      <c r="P540" s="20"/>
    </row>
    <row r="541" spans="15:16" ht="16.5" customHeight="1" x14ac:dyDescent="0.3">
      <c r="O541" s="20"/>
      <c r="P541" s="20"/>
    </row>
    <row r="542" spans="15:16" ht="16.5" customHeight="1" x14ac:dyDescent="0.3">
      <c r="O542" s="20"/>
      <c r="P542" s="20"/>
    </row>
    <row r="543" spans="15:16" ht="16.5" customHeight="1" x14ac:dyDescent="0.3">
      <c r="O543" s="20"/>
      <c r="P543" s="20"/>
    </row>
    <row r="544" spans="15:16" ht="16.5" customHeight="1" x14ac:dyDescent="0.3">
      <c r="O544" s="20"/>
      <c r="P544" s="20"/>
    </row>
    <row r="545" spans="15:16" ht="16.5" customHeight="1" x14ac:dyDescent="0.3">
      <c r="O545" s="20"/>
      <c r="P545" s="20"/>
    </row>
    <row r="546" spans="15:16" ht="16.5" customHeight="1" x14ac:dyDescent="0.3">
      <c r="O546" s="20"/>
      <c r="P546" s="20"/>
    </row>
    <row r="547" spans="15:16" ht="16.5" customHeight="1" x14ac:dyDescent="0.3">
      <c r="O547" s="20"/>
      <c r="P547" s="20"/>
    </row>
    <row r="548" spans="15:16" ht="16.5" customHeight="1" x14ac:dyDescent="0.3">
      <c r="O548" s="20"/>
      <c r="P548" s="20"/>
    </row>
    <row r="549" spans="15:16" ht="16.5" customHeight="1" x14ac:dyDescent="0.3">
      <c r="O549" s="20"/>
      <c r="P549" s="20"/>
    </row>
    <row r="550" spans="15:16" ht="16.5" customHeight="1" x14ac:dyDescent="0.3">
      <c r="O550" s="20"/>
      <c r="P550" s="20"/>
    </row>
    <row r="551" spans="15:16" ht="16.5" customHeight="1" x14ac:dyDescent="0.3">
      <c r="O551" s="20"/>
      <c r="P551" s="20"/>
    </row>
    <row r="552" spans="15:16" ht="16.5" customHeight="1" x14ac:dyDescent="0.3">
      <c r="O552" s="20"/>
      <c r="P552" s="20"/>
    </row>
    <row r="553" spans="15:16" ht="16.5" customHeight="1" x14ac:dyDescent="0.3">
      <c r="O553" s="20"/>
      <c r="P553" s="20"/>
    </row>
    <row r="554" spans="15:16" ht="16.5" customHeight="1" x14ac:dyDescent="0.3">
      <c r="O554" s="20"/>
      <c r="P554" s="20"/>
    </row>
    <row r="555" spans="15:16" ht="16.5" customHeight="1" x14ac:dyDescent="0.3">
      <c r="O555" s="20"/>
      <c r="P555" s="20"/>
    </row>
    <row r="556" spans="15:16" ht="16.5" customHeight="1" x14ac:dyDescent="0.3">
      <c r="O556" s="20"/>
      <c r="P556" s="20"/>
    </row>
    <row r="557" spans="15:16" ht="16.5" customHeight="1" x14ac:dyDescent="0.3">
      <c r="O557" s="20"/>
      <c r="P557" s="20"/>
    </row>
    <row r="558" spans="15:16" ht="16.5" customHeight="1" x14ac:dyDescent="0.3">
      <c r="O558" s="20"/>
      <c r="P558" s="20"/>
    </row>
    <row r="559" spans="15:16" ht="16.5" customHeight="1" x14ac:dyDescent="0.3">
      <c r="O559" s="20"/>
      <c r="P559" s="20"/>
    </row>
    <row r="560" spans="15:16" ht="16.5" customHeight="1" x14ac:dyDescent="0.3">
      <c r="O560" s="20"/>
      <c r="P560" s="20"/>
    </row>
    <row r="561" spans="15:16" ht="16.5" customHeight="1" x14ac:dyDescent="0.3">
      <c r="O561" s="20"/>
      <c r="P561" s="20"/>
    </row>
    <row r="562" spans="15:16" ht="16.5" customHeight="1" x14ac:dyDescent="0.3">
      <c r="O562" s="20"/>
      <c r="P562" s="20"/>
    </row>
    <row r="563" spans="15:16" ht="16.5" customHeight="1" x14ac:dyDescent="0.3">
      <c r="O563" s="20"/>
      <c r="P563" s="20"/>
    </row>
    <row r="564" spans="15:16" ht="16.5" customHeight="1" x14ac:dyDescent="0.3">
      <c r="O564" s="20"/>
      <c r="P564" s="20"/>
    </row>
    <row r="565" spans="15:16" ht="16.5" customHeight="1" x14ac:dyDescent="0.3">
      <c r="O565" s="20"/>
      <c r="P565" s="20"/>
    </row>
    <row r="566" spans="15:16" ht="16.5" customHeight="1" x14ac:dyDescent="0.3">
      <c r="O566" s="20"/>
      <c r="P566" s="20"/>
    </row>
    <row r="567" spans="15:16" ht="16.5" customHeight="1" x14ac:dyDescent="0.3">
      <c r="O567" s="20"/>
      <c r="P567" s="20"/>
    </row>
    <row r="568" spans="15:16" ht="16.5" customHeight="1" x14ac:dyDescent="0.3">
      <c r="O568" s="20"/>
      <c r="P568" s="20"/>
    </row>
    <row r="569" spans="15:16" ht="16.5" customHeight="1" x14ac:dyDescent="0.3">
      <c r="O569" s="20"/>
      <c r="P569" s="20"/>
    </row>
    <row r="570" spans="15:16" ht="16.5" customHeight="1" x14ac:dyDescent="0.3">
      <c r="O570" s="20"/>
      <c r="P570" s="20"/>
    </row>
    <row r="571" spans="15:16" ht="16.5" customHeight="1" x14ac:dyDescent="0.3">
      <c r="O571" s="20"/>
      <c r="P571" s="20"/>
    </row>
    <row r="572" spans="15:16" ht="16.5" customHeight="1" x14ac:dyDescent="0.3">
      <c r="O572" s="20"/>
      <c r="P572" s="20"/>
    </row>
    <row r="573" spans="15:16" ht="16.5" customHeight="1" x14ac:dyDescent="0.3">
      <c r="O573" s="20"/>
      <c r="P573" s="20"/>
    </row>
    <row r="574" spans="15:16" ht="16.5" customHeight="1" x14ac:dyDescent="0.3">
      <c r="O574" s="20"/>
      <c r="P574" s="20"/>
    </row>
    <row r="575" spans="15:16" ht="16.5" customHeight="1" x14ac:dyDescent="0.3">
      <c r="O575" s="20"/>
      <c r="P575" s="20"/>
    </row>
    <row r="576" spans="15:16" ht="16.5" customHeight="1" x14ac:dyDescent="0.3">
      <c r="O576" s="20"/>
      <c r="P576" s="20"/>
    </row>
    <row r="577" spans="15:16" ht="16.5" customHeight="1" x14ac:dyDescent="0.3">
      <c r="O577" s="20"/>
      <c r="P577" s="20"/>
    </row>
    <row r="578" spans="15:16" ht="16.5" customHeight="1" x14ac:dyDescent="0.3">
      <c r="O578" s="20"/>
      <c r="P578" s="20"/>
    </row>
    <row r="579" spans="15:16" ht="16.5" customHeight="1" x14ac:dyDescent="0.3">
      <c r="O579" s="20"/>
      <c r="P579" s="20"/>
    </row>
    <row r="580" spans="15:16" ht="16.5" customHeight="1" x14ac:dyDescent="0.3">
      <c r="O580" s="20"/>
      <c r="P580" s="20"/>
    </row>
    <row r="581" spans="15:16" ht="16.5" customHeight="1" x14ac:dyDescent="0.3">
      <c r="O581" s="20"/>
      <c r="P581" s="20"/>
    </row>
    <row r="582" spans="15:16" ht="16.5" customHeight="1" x14ac:dyDescent="0.3">
      <c r="O582" s="20"/>
      <c r="P582" s="20"/>
    </row>
    <row r="583" spans="15:16" ht="16.5" customHeight="1" x14ac:dyDescent="0.3">
      <c r="O583" s="20"/>
      <c r="P583" s="20"/>
    </row>
    <row r="584" spans="15:16" ht="16.5" customHeight="1" x14ac:dyDescent="0.3">
      <c r="O584" s="20"/>
      <c r="P584" s="20"/>
    </row>
    <row r="585" spans="15:16" ht="16.5" customHeight="1" x14ac:dyDescent="0.3">
      <c r="O585" s="20"/>
      <c r="P585" s="20"/>
    </row>
    <row r="586" spans="15:16" ht="16.5" customHeight="1" x14ac:dyDescent="0.3">
      <c r="O586" s="20"/>
      <c r="P586" s="20"/>
    </row>
    <row r="587" spans="15:16" ht="16.5" customHeight="1" x14ac:dyDescent="0.3">
      <c r="O587" s="20"/>
      <c r="P587" s="20"/>
    </row>
    <row r="588" spans="15:16" ht="16.5" customHeight="1" x14ac:dyDescent="0.3">
      <c r="O588" s="20"/>
      <c r="P588" s="20"/>
    </row>
    <row r="589" spans="15:16" ht="16.5" customHeight="1" x14ac:dyDescent="0.3">
      <c r="O589" s="20"/>
      <c r="P589" s="20"/>
    </row>
    <row r="590" spans="15:16" ht="16.5" customHeight="1" x14ac:dyDescent="0.3">
      <c r="O590" s="20"/>
      <c r="P590" s="20"/>
    </row>
    <row r="591" spans="15:16" ht="16.5" customHeight="1" x14ac:dyDescent="0.3">
      <c r="O591" s="20"/>
      <c r="P591" s="20"/>
    </row>
    <row r="592" spans="15:16" ht="16.5" customHeight="1" x14ac:dyDescent="0.3">
      <c r="O592" s="20"/>
      <c r="P592" s="20"/>
    </row>
    <row r="593" spans="15:16" ht="16.5" customHeight="1" x14ac:dyDescent="0.3">
      <c r="O593" s="20"/>
      <c r="P593" s="20"/>
    </row>
    <row r="594" spans="15:16" ht="16.5" customHeight="1" x14ac:dyDescent="0.3">
      <c r="O594" s="20"/>
      <c r="P594" s="20"/>
    </row>
    <row r="595" spans="15:16" ht="16.5" customHeight="1" x14ac:dyDescent="0.3">
      <c r="O595" s="20"/>
      <c r="P595" s="20"/>
    </row>
    <row r="596" spans="15:16" ht="16.5" customHeight="1" x14ac:dyDescent="0.3">
      <c r="O596" s="20"/>
      <c r="P596" s="20"/>
    </row>
    <row r="597" spans="15:16" ht="16.5" customHeight="1" x14ac:dyDescent="0.3">
      <c r="O597" s="20"/>
      <c r="P597" s="20"/>
    </row>
    <row r="598" spans="15:16" ht="16.5" customHeight="1" x14ac:dyDescent="0.3">
      <c r="O598" s="20"/>
      <c r="P598" s="20"/>
    </row>
    <row r="599" spans="15:16" ht="16.5" customHeight="1" x14ac:dyDescent="0.3">
      <c r="O599" s="20"/>
      <c r="P599" s="20"/>
    </row>
    <row r="600" spans="15:16" ht="16.5" customHeight="1" x14ac:dyDescent="0.3">
      <c r="O600" s="20"/>
      <c r="P600" s="20"/>
    </row>
    <row r="601" spans="15:16" ht="16.5" customHeight="1" x14ac:dyDescent="0.3">
      <c r="O601" s="20"/>
      <c r="P601" s="20"/>
    </row>
    <row r="602" spans="15:16" ht="16.5" customHeight="1" x14ac:dyDescent="0.3">
      <c r="O602" s="20"/>
      <c r="P602" s="20"/>
    </row>
    <row r="603" spans="15:16" ht="16.5" customHeight="1" x14ac:dyDescent="0.3">
      <c r="O603" s="20"/>
      <c r="P603" s="20"/>
    </row>
    <row r="604" spans="15:16" ht="16.5" customHeight="1" x14ac:dyDescent="0.3">
      <c r="O604" s="20"/>
      <c r="P604" s="20"/>
    </row>
    <row r="605" spans="15:16" ht="16.5" customHeight="1" x14ac:dyDescent="0.3">
      <c r="O605" s="20"/>
      <c r="P605" s="20"/>
    </row>
    <row r="606" spans="15:16" ht="16.5" customHeight="1" x14ac:dyDescent="0.3">
      <c r="O606" s="20"/>
      <c r="P606" s="20"/>
    </row>
    <row r="607" spans="15:16" ht="16.5" customHeight="1" x14ac:dyDescent="0.3">
      <c r="O607" s="20"/>
      <c r="P607" s="20"/>
    </row>
    <row r="608" spans="15:16" ht="16.5" customHeight="1" x14ac:dyDescent="0.3">
      <c r="O608" s="20"/>
      <c r="P608" s="20"/>
    </row>
    <row r="609" spans="15:16" ht="16.5" customHeight="1" x14ac:dyDescent="0.3">
      <c r="O609" s="20"/>
      <c r="P609" s="20"/>
    </row>
    <row r="610" spans="15:16" ht="16.5" customHeight="1" x14ac:dyDescent="0.3">
      <c r="O610" s="20"/>
      <c r="P610" s="20"/>
    </row>
    <row r="611" spans="15:16" ht="16.5" customHeight="1" x14ac:dyDescent="0.3">
      <c r="O611" s="20"/>
      <c r="P611" s="20"/>
    </row>
    <row r="612" spans="15:16" ht="16.5" customHeight="1" x14ac:dyDescent="0.3">
      <c r="O612" s="20"/>
      <c r="P612" s="20"/>
    </row>
    <row r="613" spans="15:16" ht="16.5" customHeight="1" x14ac:dyDescent="0.3">
      <c r="O613" s="20"/>
      <c r="P613" s="20"/>
    </row>
    <row r="614" spans="15:16" ht="16.5" customHeight="1" x14ac:dyDescent="0.3">
      <c r="O614" s="20"/>
      <c r="P614" s="20"/>
    </row>
    <row r="615" spans="15:16" ht="16.5" customHeight="1" x14ac:dyDescent="0.3">
      <c r="O615" s="20"/>
      <c r="P615" s="20"/>
    </row>
    <row r="616" spans="15:16" ht="16.5" customHeight="1" x14ac:dyDescent="0.3">
      <c r="O616" s="20"/>
      <c r="P616" s="20"/>
    </row>
    <row r="617" spans="15:16" ht="16.5" customHeight="1" x14ac:dyDescent="0.3">
      <c r="O617" s="20"/>
      <c r="P617" s="20"/>
    </row>
    <row r="618" spans="15:16" ht="16.5" customHeight="1" x14ac:dyDescent="0.3">
      <c r="O618" s="20"/>
      <c r="P618" s="20"/>
    </row>
    <row r="619" spans="15:16" ht="16.5" customHeight="1" x14ac:dyDescent="0.3">
      <c r="O619" s="20"/>
      <c r="P619" s="20"/>
    </row>
    <row r="620" spans="15:16" ht="16.5" customHeight="1" x14ac:dyDescent="0.3">
      <c r="O620" s="20"/>
      <c r="P620" s="20"/>
    </row>
    <row r="621" spans="15:16" ht="16.5" customHeight="1" x14ac:dyDescent="0.3">
      <c r="O621" s="20"/>
      <c r="P621" s="20"/>
    </row>
    <row r="622" spans="15:16" ht="16.5" customHeight="1" x14ac:dyDescent="0.3">
      <c r="O622" s="20"/>
      <c r="P622" s="20"/>
    </row>
    <row r="623" spans="15:16" ht="16.5" customHeight="1" x14ac:dyDescent="0.3">
      <c r="O623" s="20"/>
      <c r="P623" s="20"/>
    </row>
    <row r="624" spans="15:16" ht="16.5" customHeight="1" x14ac:dyDescent="0.3">
      <c r="O624" s="20"/>
      <c r="P624" s="20"/>
    </row>
    <row r="625" spans="15:16" ht="16.5" customHeight="1" x14ac:dyDescent="0.3">
      <c r="O625" s="20"/>
      <c r="P625" s="20"/>
    </row>
    <row r="626" spans="15:16" ht="16.5" customHeight="1" x14ac:dyDescent="0.3">
      <c r="O626" s="20"/>
      <c r="P626" s="20"/>
    </row>
    <row r="627" spans="15:16" ht="16.5" customHeight="1" x14ac:dyDescent="0.3">
      <c r="O627" s="20"/>
      <c r="P627" s="20"/>
    </row>
    <row r="628" spans="15:16" ht="16.5" customHeight="1" x14ac:dyDescent="0.3">
      <c r="O628" s="20"/>
      <c r="P628" s="20"/>
    </row>
    <row r="629" spans="15:16" ht="16.5" customHeight="1" x14ac:dyDescent="0.3">
      <c r="O629" s="20"/>
      <c r="P629" s="20"/>
    </row>
    <row r="630" spans="15:16" ht="16.5" customHeight="1" x14ac:dyDescent="0.3">
      <c r="O630" s="20"/>
      <c r="P630" s="20"/>
    </row>
    <row r="631" spans="15:16" ht="16.5" customHeight="1" x14ac:dyDescent="0.3">
      <c r="O631" s="20"/>
      <c r="P631" s="20"/>
    </row>
    <row r="632" spans="15:16" ht="16.5" customHeight="1" x14ac:dyDescent="0.3">
      <c r="O632" s="20"/>
      <c r="P632" s="20"/>
    </row>
    <row r="633" spans="15:16" ht="16.5" customHeight="1" x14ac:dyDescent="0.3">
      <c r="O633" s="20"/>
      <c r="P633" s="20"/>
    </row>
    <row r="634" spans="15:16" ht="16.5" customHeight="1" x14ac:dyDescent="0.3">
      <c r="O634" s="20"/>
      <c r="P634" s="20"/>
    </row>
    <row r="635" spans="15:16" ht="16.5" customHeight="1" x14ac:dyDescent="0.3">
      <c r="O635" s="20"/>
      <c r="P635" s="20"/>
    </row>
    <row r="636" spans="15:16" ht="16.5" customHeight="1" x14ac:dyDescent="0.3">
      <c r="O636" s="20"/>
      <c r="P636" s="20"/>
    </row>
    <row r="637" spans="15:16" ht="16.5" customHeight="1" x14ac:dyDescent="0.3">
      <c r="O637" s="20"/>
      <c r="P637" s="20"/>
    </row>
    <row r="638" spans="15:16" ht="16.5" customHeight="1" x14ac:dyDescent="0.3">
      <c r="O638" s="20"/>
      <c r="P638" s="20"/>
    </row>
    <row r="639" spans="15:16" ht="16.5" customHeight="1" x14ac:dyDescent="0.3">
      <c r="O639" s="20"/>
      <c r="P639" s="20"/>
    </row>
    <row r="640" spans="15:16" ht="16.5" customHeight="1" x14ac:dyDescent="0.3">
      <c r="O640" s="20"/>
      <c r="P640" s="20"/>
    </row>
    <row r="641" spans="15:16" ht="16.5" customHeight="1" x14ac:dyDescent="0.3">
      <c r="O641" s="20"/>
      <c r="P641" s="20"/>
    </row>
    <row r="642" spans="15:16" ht="16.5" customHeight="1" x14ac:dyDescent="0.3">
      <c r="O642" s="20"/>
      <c r="P642" s="20"/>
    </row>
    <row r="643" spans="15:16" ht="16.5" customHeight="1" x14ac:dyDescent="0.3">
      <c r="O643" s="20"/>
      <c r="P643" s="20"/>
    </row>
    <row r="644" spans="15:16" ht="16.5" customHeight="1" x14ac:dyDescent="0.3">
      <c r="O644" s="20"/>
      <c r="P644" s="20"/>
    </row>
    <row r="645" spans="15:16" ht="16.5" customHeight="1" x14ac:dyDescent="0.3">
      <c r="O645" s="20"/>
      <c r="P645" s="20"/>
    </row>
    <row r="646" spans="15:16" ht="16.5" customHeight="1" x14ac:dyDescent="0.3">
      <c r="O646" s="20"/>
      <c r="P646" s="20"/>
    </row>
    <row r="647" spans="15:16" ht="16.5" customHeight="1" x14ac:dyDescent="0.3">
      <c r="O647" s="20"/>
      <c r="P647" s="20"/>
    </row>
    <row r="648" spans="15:16" ht="16.5" customHeight="1" x14ac:dyDescent="0.3">
      <c r="O648" s="20"/>
      <c r="P648" s="20"/>
    </row>
    <row r="649" spans="15:16" ht="16.5" customHeight="1" x14ac:dyDescent="0.3">
      <c r="O649" s="20"/>
      <c r="P649" s="20"/>
    </row>
    <row r="650" spans="15:16" ht="16.5" customHeight="1" x14ac:dyDescent="0.3">
      <c r="O650" s="20"/>
      <c r="P650" s="20"/>
    </row>
    <row r="651" spans="15:16" ht="16.5" customHeight="1" x14ac:dyDescent="0.3">
      <c r="O651" s="20"/>
      <c r="P651" s="20"/>
    </row>
    <row r="652" spans="15:16" ht="16.5" customHeight="1" x14ac:dyDescent="0.3">
      <c r="O652" s="20"/>
      <c r="P652" s="20"/>
    </row>
    <row r="653" spans="15:16" ht="16.5" customHeight="1" x14ac:dyDescent="0.3">
      <c r="O653" s="20"/>
      <c r="P653" s="20"/>
    </row>
    <row r="654" spans="15:16" ht="16.5" customHeight="1" x14ac:dyDescent="0.3">
      <c r="O654" s="20"/>
      <c r="P654" s="20"/>
    </row>
    <row r="655" spans="15:16" ht="16.5" customHeight="1" x14ac:dyDescent="0.3">
      <c r="O655" s="20"/>
      <c r="P655" s="20"/>
    </row>
    <row r="656" spans="15:16" ht="16.5" customHeight="1" x14ac:dyDescent="0.3">
      <c r="O656" s="20"/>
      <c r="P656" s="20"/>
    </row>
    <row r="657" spans="15:16" ht="16.5" customHeight="1" x14ac:dyDescent="0.3">
      <c r="O657" s="20"/>
      <c r="P657" s="20"/>
    </row>
    <row r="658" spans="15:16" ht="16.5" customHeight="1" x14ac:dyDescent="0.3">
      <c r="O658" s="20"/>
      <c r="P658" s="20"/>
    </row>
    <row r="659" spans="15:16" ht="16.5" customHeight="1" x14ac:dyDescent="0.3">
      <c r="O659" s="20"/>
      <c r="P659" s="20"/>
    </row>
    <row r="660" spans="15:16" ht="16.5" customHeight="1" x14ac:dyDescent="0.3">
      <c r="O660" s="20"/>
      <c r="P660" s="20"/>
    </row>
    <row r="661" spans="15:16" ht="16.5" customHeight="1" x14ac:dyDescent="0.3">
      <c r="O661" s="20"/>
      <c r="P661" s="20"/>
    </row>
    <row r="662" spans="15:16" ht="16.5" customHeight="1" x14ac:dyDescent="0.3">
      <c r="O662" s="20"/>
      <c r="P662" s="20"/>
    </row>
    <row r="663" spans="15:16" ht="16.5" customHeight="1" x14ac:dyDescent="0.3">
      <c r="O663" s="20"/>
      <c r="P663" s="20"/>
    </row>
    <row r="664" spans="15:16" ht="16.5" customHeight="1" x14ac:dyDescent="0.3">
      <c r="O664" s="20"/>
      <c r="P664" s="20"/>
    </row>
    <row r="665" spans="15:16" ht="16.5" customHeight="1" x14ac:dyDescent="0.3">
      <c r="O665" s="20"/>
      <c r="P665" s="20"/>
    </row>
    <row r="666" spans="15:16" ht="16.5" customHeight="1" x14ac:dyDescent="0.3">
      <c r="O666" s="20"/>
      <c r="P666" s="20"/>
    </row>
    <row r="667" spans="15:16" ht="16.5" customHeight="1" x14ac:dyDescent="0.3">
      <c r="O667" s="20"/>
      <c r="P667" s="20"/>
    </row>
    <row r="668" spans="15:16" ht="16.5" customHeight="1" x14ac:dyDescent="0.3">
      <c r="O668" s="20"/>
      <c r="P668" s="20"/>
    </row>
    <row r="669" spans="15:16" ht="16.5" customHeight="1" x14ac:dyDescent="0.3">
      <c r="O669" s="20"/>
      <c r="P669" s="20"/>
    </row>
    <row r="670" spans="15:16" ht="16.5" customHeight="1" x14ac:dyDescent="0.3">
      <c r="O670" s="20"/>
      <c r="P670" s="20"/>
    </row>
    <row r="671" spans="15:16" ht="16.5" customHeight="1" x14ac:dyDescent="0.3">
      <c r="O671" s="20"/>
      <c r="P671" s="20"/>
    </row>
    <row r="672" spans="15:16" ht="16.5" customHeight="1" x14ac:dyDescent="0.3">
      <c r="O672" s="20"/>
      <c r="P672" s="20"/>
    </row>
    <row r="673" spans="15:16" ht="16.5" customHeight="1" x14ac:dyDescent="0.3">
      <c r="O673" s="20"/>
      <c r="P673" s="20"/>
    </row>
    <row r="674" spans="15:16" ht="16.5" customHeight="1" x14ac:dyDescent="0.3">
      <c r="O674" s="20"/>
      <c r="P674" s="20"/>
    </row>
    <row r="675" spans="15:16" ht="16.5" customHeight="1" x14ac:dyDescent="0.3">
      <c r="O675" s="20"/>
      <c r="P675" s="20"/>
    </row>
    <row r="676" spans="15:16" ht="16.5" customHeight="1" x14ac:dyDescent="0.3">
      <c r="O676" s="20"/>
      <c r="P676" s="20"/>
    </row>
    <row r="677" spans="15:16" ht="16.5" customHeight="1" x14ac:dyDescent="0.3">
      <c r="O677" s="20"/>
      <c r="P677" s="20"/>
    </row>
    <row r="678" spans="15:16" ht="16.5" customHeight="1" x14ac:dyDescent="0.3">
      <c r="O678" s="20"/>
      <c r="P678" s="20"/>
    </row>
    <row r="679" spans="15:16" ht="16.5" customHeight="1" x14ac:dyDescent="0.3">
      <c r="O679" s="20"/>
      <c r="P679" s="20"/>
    </row>
    <row r="680" spans="15:16" ht="16.5" customHeight="1" x14ac:dyDescent="0.3">
      <c r="O680" s="20"/>
      <c r="P680" s="20"/>
    </row>
    <row r="681" spans="15:16" ht="16.5" customHeight="1" x14ac:dyDescent="0.3">
      <c r="O681" s="20"/>
      <c r="P681" s="20"/>
    </row>
    <row r="682" spans="15:16" ht="16.5" customHeight="1" x14ac:dyDescent="0.3">
      <c r="O682" s="20"/>
      <c r="P682" s="20"/>
    </row>
    <row r="683" spans="15:16" ht="16.5" customHeight="1" x14ac:dyDescent="0.3">
      <c r="O683" s="20"/>
      <c r="P683" s="20"/>
    </row>
    <row r="684" spans="15:16" ht="16.5" customHeight="1" x14ac:dyDescent="0.3">
      <c r="O684" s="20"/>
      <c r="P684" s="20"/>
    </row>
    <row r="685" spans="15:16" ht="16.5" customHeight="1" x14ac:dyDescent="0.3">
      <c r="O685" s="20"/>
      <c r="P685" s="20"/>
    </row>
    <row r="686" spans="15:16" ht="16.5" customHeight="1" x14ac:dyDescent="0.3">
      <c r="O686" s="20"/>
      <c r="P686" s="20"/>
    </row>
    <row r="687" spans="15:16" ht="16.5" customHeight="1" x14ac:dyDescent="0.3">
      <c r="O687" s="20"/>
      <c r="P687" s="20"/>
    </row>
    <row r="688" spans="15:16" ht="16.5" customHeight="1" x14ac:dyDescent="0.3">
      <c r="O688" s="20"/>
      <c r="P688" s="20"/>
    </row>
    <row r="689" spans="15:16" ht="16.5" customHeight="1" x14ac:dyDescent="0.3">
      <c r="O689" s="20"/>
      <c r="P689" s="20"/>
    </row>
    <row r="690" spans="15:16" ht="16.5" customHeight="1" x14ac:dyDescent="0.3">
      <c r="O690" s="20"/>
      <c r="P690" s="20"/>
    </row>
    <row r="691" spans="15:16" ht="16.5" customHeight="1" x14ac:dyDescent="0.3">
      <c r="O691" s="20"/>
      <c r="P691" s="20"/>
    </row>
    <row r="692" spans="15:16" ht="16.5" customHeight="1" x14ac:dyDescent="0.3">
      <c r="O692" s="20"/>
      <c r="P692" s="20"/>
    </row>
    <row r="693" spans="15:16" ht="16.5" customHeight="1" x14ac:dyDescent="0.3">
      <c r="O693" s="20"/>
      <c r="P693" s="20"/>
    </row>
    <row r="694" spans="15:16" ht="16.5" customHeight="1" x14ac:dyDescent="0.3">
      <c r="O694" s="20"/>
      <c r="P694" s="20"/>
    </row>
    <row r="695" spans="15:16" ht="16.5" customHeight="1" x14ac:dyDescent="0.3">
      <c r="O695" s="20"/>
      <c r="P695" s="20"/>
    </row>
    <row r="696" spans="15:16" ht="16.5" customHeight="1" x14ac:dyDescent="0.3">
      <c r="O696" s="20"/>
      <c r="P696" s="20"/>
    </row>
    <row r="697" spans="15:16" ht="16.5" customHeight="1" x14ac:dyDescent="0.3">
      <c r="O697" s="20"/>
      <c r="P697" s="20"/>
    </row>
    <row r="698" spans="15:16" ht="16.5" customHeight="1" x14ac:dyDescent="0.3">
      <c r="O698" s="20"/>
      <c r="P698" s="20"/>
    </row>
    <row r="699" spans="15:16" ht="16.5" customHeight="1" x14ac:dyDescent="0.3">
      <c r="O699" s="20"/>
      <c r="P699" s="20"/>
    </row>
    <row r="700" spans="15:16" ht="16.5" customHeight="1" x14ac:dyDescent="0.3">
      <c r="O700" s="20"/>
      <c r="P700" s="20"/>
    </row>
    <row r="701" spans="15:16" ht="16.5" customHeight="1" x14ac:dyDescent="0.3">
      <c r="O701" s="20"/>
      <c r="P701" s="20"/>
    </row>
    <row r="702" spans="15:16" ht="16.5" customHeight="1" x14ac:dyDescent="0.3">
      <c r="O702" s="20"/>
      <c r="P702" s="20"/>
    </row>
    <row r="703" spans="15:16" ht="16.5" customHeight="1" x14ac:dyDescent="0.3">
      <c r="O703" s="20"/>
      <c r="P703" s="20"/>
    </row>
    <row r="704" spans="15:16" ht="16.5" customHeight="1" x14ac:dyDescent="0.3">
      <c r="O704" s="20"/>
      <c r="P704" s="20"/>
    </row>
    <row r="705" spans="15:16" ht="16.5" customHeight="1" x14ac:dyDescent="0.3">
      <c r="O705" s="20"/>
      <c r="P705" s="20"/>
    </row>
    <row r="706" spans="15:16" ht="16.5" customHeight="1" x14ac:dyDescent="0.3">
      <c r="O706" s="20"/>
      <c r="P706" s="20"/>
    </row>
    <row r="707" spans="15:16" ht="16.5" customHeight="1" x14ac:dyDescent="0.3">
      <c r="O707" s="20"/>
      <c r="P707" s="20"/>
    </row>
    <row r="708" spans="15:16" ht="16.5" customHeight="1" x14ac:dyDescent="0.3">
      <c r="O708" s="20"/>
      <c r="P708" s="20"/>
    </row>
    <row r="709" spans="15:16" ht="16.5" customHeight="1" x14ac:dyDescent="0.3">
      <c r="O709" s="20"/>
      <c r="P709" s="20"/>
    </row>
    <row r="710" spans="15:16" ht="16.5" customHeight="1" x14ac:dyDescent="0.3">
      <c r="O710" s="20"/>
      <c r="P710" s="20"/>
    </row>
    <row r="711" spans="15:16" ht="16.5" customHeight="1" x14ac:dyDescent="0.3">
      <c r="O711" s="20"/>
      <c r="P711" s="20"/>
    </row>
    <row r="712" spans="15:16" ht="16.5" customHeight="1" x14ac:dyDescent="0.3">
      <c r="O712" s="20"/>
      <c r="P712" s="20"/>
    </row>
    <row r="713" spans="15:16" ht="16.5" customHeight="1" x14ac:dyDescent="0.3">
      <c r="O713" s="20"/>
      <c r="P713" s="20"/>
    </row>
    <row r="714" spans="15:16" ht="16.5" customHeight="1" x14ac:dyDescent="0.3">
      <c r="O714" s="20"/>
      <c r="P714" s="20"/>
    </row>
    <row r="715" spans="15:16" ht="16.5" customHeight="1" x14ac:dyDescent="0.3">
      <c r="O715" s="20"/>
      <c r="P715" s="20"/>
    </row>
    <row r="716" spans="15:16" ht="16.5" customHeight="1" x14ac:dyDescent="0.3">
      <c r="O716" s="20"/>
      <c r="P716" s="20"/>
    </row>
    <row r="717" spans="15:16" ht="16.5" customHeight="1" x14ac:dyDescent="0.3">
      <c r="O717" s="20"/>
      <c r="P717" s="20"/>
    </row>
    <row r="718" spans="15:16" ht="16.5" customHeight="1" x14ac:dyDescent="0.3">
      <c r="O718" s="20"/>
      <c r="P718" s="20"/>
    </row>
    <row r="719" spans="15:16" ht="16.5" customHeight="1" x14ac:dyDescent="0.3">
      <c r="O719" s="20"/>
      <c r="P719" s="20"/>
    </row>
    <row r="720" spans="15:16" ht="16.5" customHeight="1" x14ac:dyDescent="0.3">
      <c r="O720" s="20"/>
      <c r="P720" s="20"/>
    </row>
    <row r="721" spans="15:16" ht="16.5" customHeight="1" x14ac:dyDescent="0.3">
      <c r="O721" s="20"/>
      <c r="P721" s="20"/>
    </row>
    <row r="722" spans="15:16" ht="16.5" customHeight="1" x14ac:dyDescent="0.3">
      <c r="O722" s="20"/>
      <c r="P722" s="20"/>
    </row>
    <row r="723" spans="15:16" ht="16.5" customHeight="1" x14ac:dyDescent="0.3">
      <c r="O723" s="20"/>
      <c r="P723" s="20"/>
    </row>
    <row r="724" spans="15:16" ht="16.5" customHeight="1" x14ac:dyDescent="0.3">
      <c r="O724" s="20"/>
      <c r="P724" s="20"/>
    </row>
    <row r="725" spans="15:16" ht="16.5" customHeight="1" x14ac:dyDescent="0.3">
      <c r="O725" s="20"/>
      <c r="P725" s="20"/>
    </row>
    <row r="726" spans="15:16" ht="16.5" customHeight="1" x14ac:dyDescent="0.3">
      <c r="O726" s="20"/>
      <c r="P726" s="20"/>
    </row>
    <row r="727" spans="15:16" ht="16.5" customHeight="1" x14ac:dyDescent="0.3">
      <c r="O727" s="20"/>
      <c r="P727" s="20"/>
    </row>
    <row r="728" spans="15:16" ht="16.5" customHeight="1" x14ac:dyDescent="0.3">
      <c r="O728" s="20"/>
      <c r="P728" s="20"/>
    </row>
    <row r="729" spans="15:16" ht="16.5" customHeight="1" x14ac:dyDescent="0.3">
      <c r="O729" s="20"/>
      <c r="P729" s="20"/>
    </row>
    <row r="730" spans="15:16" ht="16.5" customHeight="1" x14ac:dyDescent="0.3">
      <c r="O730" s="20"/>
      <c r="P730" s="20"/>
    </row>
    <row r="731" spans="15:16" ht="16.5" customHeight="1" x14ac:dyDescent="0.3">
      <c r="O731" s="20"/>
      <c r="P731" s="20"/>
    </row>
    <row r="732" spans="15:16" ht="16.5" customHeight="1" x14ac:dyDescent="0.3">
      <c r="O732" s="20"/>
      <c r="P732" s="20"/>
    </row>
    <row r="733" spans="15:16" ht="16.5" customHeight="1" x14ac:dyDescent="0.3">
      <c r="O733" s="20"/>
      <c r="P733" s="20"/>
    </row>
    <row r="734" spans="15:16" ht="16.5" customHeight="1" x14ac:dyDescent="0.3">
      <c r="O734" s="20"/>
      <c r="P734" s="20"/>
    </row>
    <row r="735" spans="15:16" ht="16.5" customHeight="1" x14ac:dyDescent="0.3">
      <c r="O735" s="20"/>
      <c r="P735" s="20"/>
    </row>
    <row r="736" spans="15:16" ht="16.5" customHeight="1" x14ac:dyDescent="0.3">
      <c r="O736" s="20"/>
      <c r="P736" s="20"/>
    </row>
    <row r="737" spans="15:16" ht="16.5" customHeight="1" x14ac:dyDescent="0.3">
      <c r="O737" s="20"/>
      <c r="P737" s="20"/>
    </row>
    <row r="738" spans="15:16" ht="16.5" customHeight="1" x14ac:dyDescent="0.3">
      <c r="O738" s="20"/>
      <c r="P738" s="20"/>
    </row>
    <row r="739" spans="15:16" ht="16.5" customHeight="1" x14ac:dyDescent="0.3">
      <c r="O739" s="20"/>
      <c r="P739" s="20"/>
    </row>
    <row r="740" spans="15:16" ht="16.5" customHeight="1" x14ac:dyDescent="0.3">
      <c r="O740" s="20"/>
      <c r="P740" s="20"/>
    </row>
    <row r="741" spans="15:16" ht="16.5" customHeight="1" x14ac:dyDescent="0.3">
      <c r="O741" s="20"/>
      <c r="P741" s="20"/>
    </row>
    <row r="742" spans="15:16" ht="16.5" customHeight="1" x14ac:dyDescent="0.3">
      <c r="O742" s="20"/>
      <c r="P742" s="20"/>
    </row>
    <row r="743" spans="15:16" ht="16.5" customHeight="1" x14ac:dyDescent="0.3">
      <c r="O743" s="20"/>
      <c r="P743" s="20"/>
    </row>
    <row r="744" spans="15:16" ht="16.5" customHeight="1" x14ac:dyDescent="0.3">
      <c r="O744" s="20"/>
      <c r="P744" s="20"/>
    </row>
    <row r="745" spans="15:16" ht="16.5" customHeight="1" x14ac:dyDescent="0.3">
      <c r="O745" s="20"/>
      <c r="P745" s="20"/>
    </row>
    <row r="746" spans="15:16" ht="16.5" customHeight="1" x14ac:dyDescent="0.3">
      <c r="O746" s="20"/>
      <c r="P746" s="20"/>
    </row>
    <row r="747" spans="15:16" ht="16.5" customHeight="1" x14ac:dyDescent="0.3">
      <c r="O747" s="20"/>
      <c r="P747" s="20"/>
    </row>
    <row r="748" spans="15:16" ht="16.5" customHeight="1" x14ac:dyDescent="0.3">
      <c r="O748" s="20"/>
      <c r="P748" s="20"/>
    </row>
    <row r="749" spans="15:16" ht="16.5" customHeight="1" x14ac:dyDescent="0.3">
      <c r="O749" s="20"/>
      <c r="P749" s="20"/>
    </row>
    <row r="750" spans="15:16" ht="16.5" customHeight="1" x14ac:dyDescent="0.3">
      <c r="O750" s="20"/>
      <c r="P750" s="20"/>
    </row>
    <row r="751" spans="15:16" ht="16.5" customHeight="1" x14ac:dyDescent="0.3">
      <c r="O751" s="20"/>
      <c r="P751" s="20"/>
    </row>
    <row r="752" spans="15:16" ht="16.5" customHeight="1" x14ac:dyDescent="0.3">
      <c r="O752" s="20"/>
      <c r="P752" s="20"/>
    </row>
    <row r="753" spans="15:16" ht="16.5" customHeight="1" x14ac:dyDescent="0.3">
      <c r="O753" s="20"/>
      <c r="P753" s="20"/>
    </row>
    <row r="754" spans="15:16" ht="16.5" customHeight="1" x14ac:dyDescent="0.3">
      <c r="O754" s="20"/>
      <c r="P754" s="20"/>
    </row>
    <row r="755" spans="15:16" ht="16.5" customHeight="1" x14ac:dyDescent="0.3">
      <c r="O755" s="20"/>
      <c r="P755" s="20"/>
    </row>
    <row r="756" spans="15:16" ht="16.5" customHeight="1" x14ac:dyDescent="0.3">
      <c r="O756" s="20"/>
      <c r="P756" s="20"/>
    </row>
    <row r="757" spans="15:16" ht="16.5" customHeight="1" x14ac:dyDescent="0.3">
      <c r="O757" s="20"/>
      <c r="P757" s="20"/>
    </row>
    <row r="758" spans="15:16" ht="16.5" customHeight="1" x14ac:dyDescent="0.3">
      <c r="O758" s="20"/>
      <c r="P758" s="20"/>
    </row>
    <row r="759" spans="15:16" ht="16.5" customHeight="1" x14ac:dyDescent="0.3">
      <c r="O759" s="20"/>
      <c r="P759" s="20"/>
    </row>
    <row r="760" spans="15:16" ht="16.5" customHeight="1" x14ac:dyDescent="0.3">
      <c r="O760" s="20"/>
      <c r="P760" s="20"/>
    </row>
    <row r="761" spans="15:16" ht="16.5" customHeight="1" x14ac:dyDescent="0.3">
      <c r="O761" s="20"/>
      <c r="P761" s="20"/>
    </row>
    <row r="762" spans="15:16" ht="16.5" customHeight="1" x14ac:dyDescent="0.3">
      <c r="O762" s="20"/>
      <c r="P762" s="20"/>
    </row>
    <row r="763" spans="15:16" ht="16.5" customHeight="1" x14ac:dyDescent="0.3">
      <c r="O763" s="20"/>
      <c r="P763" s="20"/>
    </row>
    <row r="764" spans="15:16" ht="16.5" customHeight="1" x14ac:dyDescent="0.3">
      <c r="O764" s="20"/>
      <c r="P764" s="20"/>
    </row>
    <row r="765" spans="15:16" ht="16.5" customHeight="1" x14ac:dyDescent="0.3">
      <c r="O765" s="20"/>
      <c r="P765" s="20"/>
    </row>
    <row r="766" spans="15:16" ht="16.5" customHeight="1" x14ac:dyDescent="0.3">
      <c r="O766" s="20"/>
      <c r="P766" s="20"/>
    </row>
    <row r="767" spans="15:16" ht="16.5" customHeight="1" x14ac:dyDescent="0.3">
      <c r="O767" s="20"/>
      <c r="P767" s="20"/>
    </row>
    <row r="768" spans="15:16" ht="16.5" customHeight="1" x14ac:dyDescent="0.3">
      <c r="O768" s="20"/>
      <c r="P768" s="20"/>
    </row>
    <row r="769" spans="15:16" ht="16.5" customHeight="1" x14ac:dyDescent="0.3">
      <c r="O769" s="20"/>
      <c r="P769" s="20"/>
    </row>
    <row r="770" spans="15:16" ht="16.5" customHeight="1" x14ac:dyDescent="0.3">
      <c r="O770" s="20"/>
      <c r="P770" s="20"/>
    </row>
    <row r="771" spans="15:16" ht="16.5" customHeight="1" x14ac:dyDescent="0.3">
      <c r="O771" s="20"/>
      <c r="P771" s="20"/>
    </row>
    <row r="772" spans="15:16" ht="16.5" customHeight="1" x14ac:dyDescent="0.3">
      <c r="O772" s="20"/>
      <c r="P772" s="20"/>
    </row>
    <row r="773" spans="15:16" ht="16.5" customHeight="1" x14ac:dyDescent="0.3">
      <c r="O773" s="20"/>
      <c r="P773" s="20"/>
    </row>
  </sheetData>
  <autoFilter ref="A1:AA1" xr:uid="{00000000-0009-0000-0000-000000000000}"/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showGridLines="0" topLeftCell="A16" workbookViewId="0">
      <selection activeCell="C23" sqref="C23"/>
    </sheetView>
  </sheetViews>
  <sheetFormatPr defaultRowHeight="16.5" x14ac:dyDescent="0.3"/>
  <cols>
    <col min="1" max="1" width="9" style="7"/>
    <col min="2" max="2" width="10.125" customWidth="1"/>
    <col min="3" max="3" width="50" customWidth="1"/>
    <col min="4" max="4" width="13.75" bestFit="1" customWidth="1"/>
  </cols>
  <sheetData>
    <row r="1" spans="1:4" x14ac:dyDescent="0.3">
      <c r="A1" s="12" t="s">
        <v>86</v>
      </c>
    </row>
    <row r="3" spans="1:4" x14ac:dyDescent="0.3">
      <c r="A3" s="11" t="s">
        <v>85</v>
      </c>
    </row>
    <row r="4" spans="1:4" s="7" customFormat="1" ht="17.25" thickBot="1" x14ac:dyDescent="0.35">
      <c r="A4" s="10" t="s">
        <v>84</v>
      </c>
      <c r="B4" s="10" t="s">
        <v>83</v>
      </c>
      <c r="C4" s="10" t="s">
        <v>82</v>
      </c>
      <c r="D4" s="10" t="s">
        <v>56</v>
      </c>
    </row>
    <row r="5" spans="1:4" ht="17.25" thickTop="1" x14ac:dyDescent="0.3">
      <c r="A5" s="7" t="s">
        <v>81</v>
      </c>
      <c r="B5" t="s">
        <v>0</v>
      </c>
      <c r="C5" t="s">
        <v>80</v>
      </c>
    </row>
    <row r="6" spans="1:4" x14ac:dyDescent="0.3">
      <c r="A6" s="7" t="s">
        <v>79</v>
      </c>
      <c r="B6" t="s">
        <v>5</v>
      </c>
      <c r="C6" t="s">
        <v>78</v>
      </c>
    </row>
    <row r="7" spans="1:4" x14ac:dyDescent="0.3">
      <c r="A7" s="9" t="s">
        <v>77</v>
      </c>
      <c r="B7" s="8" t="s">
        <v>6</v>
      </c>
      <c r="C7" s="8" t="s">
        <v>76</v>
      </c>
    </row>
    <row r="8" spans="1:4" x14ac:dyDescent="0.3">
      <c r="A8" s="7" t="s">
        <v>75</v>
      </c>
      <c r="B8" t="s">
        <v>7</v>
      </c>
      <c r="C8" t="s">
        <v>74</v>
      </c>
    </row>
    <row r="9" spans="1:4" x14ac:dyDescent="0.3">
      <c r="A9" s="7" t="s">
        <v>73</v>
      </c>
      <c r="B9" t="s">
        <v>35</v>
      </c>
      <c r="C9" t="s">
        <v>72</v>
      </c>
    </row>
    <row r="10" spans="1:4" x14ac:dyDescent="0.3">
      <c r="A10" s="9" t="s">
        <v>71</v>
      </c>
      <c r="B10" s="8" t="s">
        <v>8</v>
      </c>
      <c r="C10" s="8" t="s">
        <v>70</v>
      </c>
    </row>
    <row r="11" spans="1:4" x14ac:dyDescent="0.3">
      <c r="A11" s="9" t="s">
        <v>69</v>
      </c>
      <c r="B11" s="8" t="s">
        <v>9</v>
      </c>
      <c r="C11" s="8" t="s">
        <v>68</v>
      </c>
    </row>
    <row r="12" spans="1:4" x14ac:dyDescent="0.3">
      <c r="A12" s="7" t="s">
        <v>67</v>
      </c>
      <c r="B12" t="s">
        <v>34</v>
      </c>
      <c r="C12" t="s">
        <v>42</v>
      </c>
      <c r="D12" t="s">
        <v>41</v>
      </c>
    </row>
    <row r="13" spans="1:4" x14ac:dyDescent="0.3">
      <c r="A13" s="7" t="s">
        <v>66</v>
      </c>
      <c r="B13" t="s">
        <v>33</v>
      </c>
      <c r="C13" t="s">
        <v>42</v>
      </c>
      <c r="D13" t="s">
        <v>41</v>
      </c>
    </row>
    <row r="14" spans="1:4" x14ac:dyDescent="0.3">
      <c r="A14" s="9" t="s">
        <v>65</v>
      </c>
      <c r="B14" s="8" t="s">
        <v>32</v>
      </c>
      <c r="C14" s="8" t="s">
        <v>64</v>
      </c>
    </row>
    <row r="15" spans="1:4" x14ac:dyDescent="0.3">
      <c r="A15" s="7" t="s">
        <v>63</v>
      </c>
      <c r="B15" t="s">
        <v>13</v>
      </c>
      <c r="C15" t="s">
        <v>62</v>
      </c>
    </row>
    <row r="16" spans="1:4" x14ac:dyDescent="0.3">
      <c r="A16" s="9" t="s">
        <v>61</v>
      </c>
      <c r="B16" s="8" t="s">
        <v>3</v>
      </c>
      <c r="C16" s="8" t="s">
        <v>60</v>
      </c>
    </row>
    <row r="17" spans="1:4" x14ac:dyDescent="0.3">
      <c r="A17" s="9" t="s">
        <v>59</v>
      </c>
      <c r="B17" s="8" t="s">
        <v>4</v>
      </c>
      <c r="C17" s="8" t="s">
        <v>58</v>
      </c>
    </row>
    <row r="18" spans="1:4" x14ac:dyDescent="0.3">
      <c r="A18" s="9" t="s">
        <v>57</v>
      </c>
      <c r="B18" s="8" t="s">
        <v>31</v>
      </c>
      <c r="C18" s="8" t="s">
        <v>56</v>
      </c>
    </row>
    <row r="19" spans="1:4" x14ac:dyDescent="0.3">
      <c r="A19" s="7" t="s">
        <v>55</v>
      </c>
      <c r="B19" t="s">
        <v>30</v>
      </c>
      <c r="C19" t="s">
        <v>42</v>
      </c>
      <c r="D19" t="s">
        <v>41</v>
      </c>
    </row>
    <row r="20" spans="1:4" x14ac:dyDescent="0.3">
      <c r="A20" s="7" t="s">
        <v>54</v>
      </c>
      <c r="B20" t="s">
        <v>15</v>
      </c>
      <c r="C20" t="s">
        <v>42</v>
      </c>
      <c r="D20" t="s">
        <v>41</v>
      </c>
    </row>
    <row r="21" spans="1:4" x14ac:dyDescent="0.3">
      <c r="A21" s="7" t="s">
        <v>53</v>
      </c>
      <c r="B21" t="s">
        <v>29</v>
      </c>
      <c r="C21" t="s">
        <v>52</v>
      </c>
      <c r="D21" t="s">
        <v>51</v>
      </c>
    </row>
    <row r="22" spans="1:4" x14ac:dyDescent="0.3">
      <c r="A22" s="7" t="s">
        <v>50</v>
      </c>
      <c r="B22" t="s">
        <v>28</v>
      </c>
      <c r="C22" t="s">
        <v>42</v>
      </c>
      <c r="D22" t="s">
        <v>41</v>
      </c>
    </row>
    <row r="23" spans="1:4" x14ac:dyDescent="0.3">
      <c r="A23" s="7" t="s">
        <v>49</v>
      </c>
      <c r="B23" t="s">
        <v>27</v>
      </c>
      <c r="C23" t="s">
        <v>42</v>
      </c>
      <c r="D23" t="s">
        <v>41</v>
      </c>
    </row>
    <row r="24" spans="1:4" x14ac:dyDescent="0.3">
      <c r="A24" s="7" t="s">
        <v>48</v>
      </c>
      <c r="B24" t="s">
        <v>26</v>
      </c>
      <c r="C24" t="s">
        <v>42</v>
      </c>
      <c r="D24" t="s">
        <v>41</v>
      </c>
    </row>
    <row r="25" spans="1:4" x14ac:dyDescent="0.3">
      <c r="A25" s="7" t="s">
        <v>47</v>
      </c>
      <c r="B25" t="s">
        <v>25</v>
      </c>
      <c r="C25" t="s">
        <v>42</v>
      </c>
      <c r="D25" t="s">
        <v>41</v>
      </c>
    </row>
    <row r="26" spans="1:4" x14ac:dyDescent="0.3">
      <c r="A26" s="7" t="s">
        <v>46</v>
      </c>
      <c r="B26" t="s">
        <v>24</v>
      </c>
      <c r="C26" t="s">
        <v>42</v>
      </c>
      <c r="D26" t="s">
        <v>41</v>
      </c>
    </row>
    <row r="27" spans="1:4" x14ac:dyDescent="0.3">
      <c r="A27" s="7" t="s">
        <v>45</v>
      </c>
      <c r="B27" t="s">
        <v>23</v>
      </c>
      <c r="C27" t="s">
        <v>42</v>
      </c>
      <c r="D27" t="s">
        <v>41</v>
      </c>
    </row>
    <row r="28" spans="1:4" x14ac:dyDescent="0.3">
      <c r="A28" s="7" t="s">
        <v>44</v>
      </c>
      <c r="B28" t="s">
        <v>22</v>
      </c>
      <c r="C28" t="s">
        <v>42</v>
      </c>
      <c r="D28" t="s">
        <v>41</v>
      </c>
    </row>
    <row r="29" spans="1:4" x14ac:dyDescent="0.3">
      <c r="A29" s="7" t="s">
        <v>43</v>
      </c>
      <c r="B29" t="s">
        <v>21</v>
      </c>
      <c r="C29" t="s">
        <v>42</v>
      </c>
      <c r="D29" t="s">
        <v>41</v>
      </c>
    </row>
    <row r="30" spans="1:4" x14ac:dyDescent="0.3">
      <c r="A30" s="9" t="s">
        <v>40</v>
      </c>
      <c r="B30" s="8" t="s">
        <v>20</v>
      </c>
      <c r="C30" s="8" t="s">
        <v>39</v>
      </c>
    </row>
    <row r="31" spans="1:4" x14ac:dyDescent="0.3">
      <c r="A31" s="9" t="s">
        <v>38</v>
      </c>
      <c r="B31" s="8" t="s">
        <v>37</v>
      </c>
      <c r="C31" s="8" t="s">
        <v>36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R436"/>
  <sheetViews>
    <sheetView zoomScale="85" zoomScaleNormal="85" workbookViewId="0">
      <selection activeCell="P1" sqref="P1"/>
    </sheetView>
  </sheetViews>
  <sheetFormatPr defaultRowHeight="16.5" x14ac:dyDescent="0.3"/>
  <cols>
    <col min="1" max="1" width="9.125" customWidth="1"/>
    <col min="2" max="3" width="9.75" bestFit="1" customWidth="1"/>
    <col min="4" max="4" width="19.25" bestFit="1" customWidth="1"/>
    <col min="5" max="5" width="31.5" bestFit="1" customWidth="1"/>
    <col min="6" max="6" width="4.75" bestFit="1" customWidth="1"/>
    <col min="7" max="7" width="48" bestFit="1" customWidth="1"/>
    <col min="8" max="8" width="5.875" customWidth="1"/>
    <col min="9" max="13" width="8" bestFit="1" customWidth="1"/>
    <col min="14" max="14" width="6" bestFit="1" customWidth="1"/>
    <col min="15" max="15" width="8" bestFit="1" customWidth="1"/>
    <col min="16" max="16" width="38.875" customWidth="1"/>
    <col min="17" max="17" width="13.25" customWidth="1"/>
    <col min="18" max="18" width="13.875" bestFit="1" customWidth="1"/>
  </cols>
  <sheetData>
    <row r="1" spans="1:18" ht="15.75" customHeight="1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4" t="s">
        <v>16</v>
      </c>
      <c r="R1" s="16" t="s">
        <v>17</v>
      </c>
    </row>
    <row r="2" spans="1:18" s="17" customFormat="1" x14ac:dyDescent="0.3">
      <c r="A2" s="14" t="s">
        <v>88</v>
      </c>
      <c r="B2" s="21">
        <v>46269</v>
      </c>
      <c r="C2" s="14"/>
      <c r="D2" s="14" t="s">
        <v>89</v>
      </c>
      <c r="E2" s="14" t="s">
        <v>90</v>
      </c>
      <c r="F2" s="14" t="s">
        <v>87</v>
      </c>
      <c r="G2" s="14" t="s">
        <v>91</v>
      </c>
      <c r="H2" s="14">
        <v>28</v>
      </c>
      <c r="I2" s="15">
        <v>300</v>
      </c>
      <c r="J2" s="15">
        <v>300</v>
      </c>
      <c r="K2" s="15">
        <v>1</v>
      </c>
      <c r="L2" s="15"/>
      <c r="M2" s="15">
        <v>1</v>
      </c>
      <c r="N2" s="15">
        <v>0.98</v>
      </c>
      <c r="O2" s="15"/>
      <c r="P2" s="15" t="s">
        <v>92</v>
      </c>
      <c r="Q2" s="14" t="s">
        <v>93</v>
      </c>
      <c r="R2" t="s">
        <v>94</v>
      </c>
    </row>
    <row r="3" spans="1:18" s="17" customFormat="1" x14ac:dyDescent="0.3">
      <c r="A3" s="14" t="s">
        <v>88</v>
      </c>
      <c r="B3" s="21">
        <v>46269</v>
      </c>
      <c r="C3" s="14"/>
      <c r="D3" s="14" t="s">
        <v>89</v>
      </c>
      <c r="E3" s="14" t="s">
        <v>90</v>
      </c>
      <c r="F3" s="14" t="s">
        <v>87</v>
      </c>
      <c r="G3" s="14" t="s">
        <v>95</v>
      </c>
      <c r="H3" s="14">
        <v>28</v>
      </c>
      <c r="I3" s="15">
        <v>300</v>
      </c>
      <c r="J3" s="15">
        <v>300</v>
      </c>
      <c r="K3" s="15">
        <v>1</v>
      </c>
      <c r="L3" s="15"/>
      <c r="M3" s="15">
        <v>1</v>
      </c>
      <c r="N3" s="15">
        <v>0.98</v>
      </c>
      <c r="O3" s="15"/>
      <c r="P3" s="15" t="s">
        <v>92</v>
      </c>
      <c r="Q3" s="14" t="s">
        <v>96</v>
      </c>
      <c r="R3" t="s">
        <v>94</v>
      </c>
    </row>
    <row r="4" spans="1:18" s="17" customFormat="1" x14ac:dyDescent="0.3">
      <c r="A4" s="14" t="s">
        <v>88</v>
      </c>
      <c r="B4" s="21">
        <v>46269</v>
      </c>
      <c r="C4" s="14"/>
      <c r="D4" s="14" t="s">
        <v>89</v>
      </c>
      <c r="E4" s="14" t="s">
        <v>90</v>
      </c>
      <c r="F4" s="14" t="s">
        <v>87</v>
      </c>
      <c r="G4" s="14" t="s">
        <v>97</v>
      </c>
      <c r="H4" s="14">
        <v>28</v>
      </c>
      <c r="I4" s="15">
        <v>300</v>
      </c>
      <c r="J4" s="15">
        <v>300</v>
      </c>
      <c r="K4" s="15">
        <v>1</v>
      </c>
      <c r="L4" s="15"/>
      <c r="M4" s="15">
        <v>1</v>
      </c>
      <c r="N4" s="15">
        <v>0.98</v>
      </c>
      <c r="O4" s="15"/>
      <c r="P4" s="15" t="s">
        <v>92</v>
      </c>
      <c r="Q4" s="14" t="s">
        <v>98</v>
      </c>
      <c r="R4" t="s">
        <v>94</v>
      </c>
    </row>
    <row r="5" spans="1:18" s="17" customFormat="1" x14ac:dyDescent="0.3">
      <c r="A5" s="14" t="s">
        <v>88</v>
      </c>
      <c r="B5" s="21">
        <v>46269</v>
      </c>
      <c r="C5" s="14"/>
      <c r="D5" s="14" t="s">
        <v>89</v>
      </c>
      <c r="E5" s="14" t="s">
        <v>90</v>
      </c>
      <c r="F5" s="14" t="s">
        <v>87</v>
      </c>
      <c r="G5" s="14" t="s">
        <v>99</v>
      </c>
      <c r="H5" s="14">
        <v>28</v>
      </c>
      <c r="I5" s="15">
        <v>300</v>
      </c>
      <c r="J5" s="15">
        <v>300</v>
      </c>
      <c r="K5" s="15">
        <v>1</v>
      </c>
      <c r="L5" s="15"/>
      <c r="M5" s="15">
        <v>1</v>
      </c>
      <c r="N5" s="15">
        <v>0.98</v>
      </c>
      <c r="O5" s="15"/>
      <c r="P5" s="15" t="s">
        <v>92</v>
      </c>
      <c r="Q5" s="14" t="s">
        <v>100</v>
      </c>
      <c r="R5" t="s">
        <v>94</v>
      </c>
    </row>
    <row r="6" spans="1:18" s="17" customFormat="1" x14ac:dyDescent="0.3">
      <c r="A6" s="14" t="s">
        <v>88</v>
      </c>
      <c r="B6" s="21">
        <v>46269</v>
      </c>
      <c r="C6" s="14"/>
      <c r="D6" s="14" t="s">
        <v>89</v>
      </c>
      <c r="E6" s="14" t="s">
        <v>90</v>
      </c>
      <c r="F6" s="14" t="s">
        <v>87</v>
      </c>
      <c r="G6" s="14" t="s">
        <v>101</v>
      </c>
      <c r="H6" s="14">
        <v>6</v>
      </c>
      <c r="I6" s="15">
        <v>300</v>
      </c>
      <c r="J6" s="15">
        <v>300</v>
      </c>
      <c r="K6" s="15">
        <v>1</v>
      </c>
      <c r="L6" s="15"/>
      <c r="M6" s="15">
        <v>1</v>
      </c>
      <c r="N6" s="15">
        <v>0.98</v>
      </c>
      <c r="O6" s="15"/>
      <c r="P6" s="15" t="s">
        <v>92</v>
      </c>
      <c r="Q6" s="14" t="s">
        <v>102</v>
      </c>
      <c r="R6" t="s">
        <v>94</v>
      </c>
    </row>
    <row r="7" spans="1:18" s="17" customFormat="1" x14ac:dyDescent="0.3">
      <c r="A7" s="14" t="s">
        <v>88</v>
      </c>
      <c r="B7" s="21">
        <v>46269</v>
      </c>
      <c r="C7" s="14"/>
      <c r="D7" s="14" t="s">
        <v>89</v>
      </c>
      <c r="E7" s="14" t="s">
        <v>90</v>
      </c>
      <c r="F7" s="14" t="s">
        <v>87</v>
      </c>
      <c r="G7" s="14" t="s">
        <v>103</v>
      </c>
      <c r="H7" s="14">
        <v>6</v>
      </c>
      <c r="I7" s="15">
        <v>300</v>
      </c>
      <c r="J7" s="15">
        <v>300</v>
      </c>
      <c r="K7" s="15">
        <v>1</v>
      </c>
      <c r="L7" s="15"/>
      <c r="M7" s="15">
        <v>1</v>
      </c>
      <c r="N7" s="15">
        <v>0.98</v>
      </c>
      <c r="O7" s="15"/>
      <c r="P7" s="15" t="s">
        <v>92</v>
      </c>
      <c r="Q7" s="14" t="s">
        <v>104</v>
      </c>
      <c r="R7" t="s">
        <v>94</v>
      </c>
    </row>
    <row r="8" spans="1:18" s="17" customFormat="1" x14ac:dyDescent="0.3">
      <c r="A8" s="14" t="s">
        <v>105</v>
      </c>
      <c r="B8" s="21">
        <v>46272</v>
      </c>
      <c r="C8" s="21">
        <v>46273</v>
      </c>
      <c r="D8" s="14" t="s">
        <v>106</v>
      </c>
      <c r="E8" s="14" t="s">
        <v>107</v>
      </c>
      <c r="F8" s="14" t="s">
        <v>87</v>
      </c>
      <c r="G8" s="14" t="s">
        <v>108</v>
      </c>
      <c r="H8" s="14">
        <v>24</v>
      </c>
      <c r="I8" s="15">
        <v>1959</v>
      </c>
      <c r="J8" s="15">
        <v>1970</v>
      </c>
      <c r="K8" s="15">
        <v>1</v>
      </c>
      <c r="L8" s="15"/>
      <c r="M8" s="15">
        <v>1</v>
      </c>
      <c r="N8" s="15">
        <v>42.04</v>
      </c>
      <c r="O8" s="15"/>
      <c r="P8" s="15" t="s">
        <v>109</v>
      </c>
      <c r="Q8" s="14" t="s">
        <v>110</v>
      </c>
      <c r="R8" t="s">
        <v>111</v>
      </c>
    </row>
    <row r="9" spans="1:18" s="17" customFormat="1" x14ac:dyDescent="0.3">
      <c r="A9" s="14" t="s">
        <v>112</v>
      </c>
      <c r="B9" s="21">
        <v>46272</v>
      </c>
      <c r="C9" s="21">
        <v>46281</v>
      </c>
      <c r="D9" s="14" t="s">
        <v>113</v>
      </c>
      <c r="E9" s="14" t="s">
        <v>114</v>
      </c>
      <c r="F9" s="14" t="s">
        <v>87</v>
      </c>
      <c r="G9" s="14" t="s">
        <v>115</v>
      </c>
      <c r="H9" s="14">
        <v>24</v>
      </c>
      <c r="I9" s="15">
        <v>1000</v>
      </c>
      <c r="J9" s="15">
        <v>1740</v>
      </c>
      <c r="K9" s="15">
        <v>1</v>
      </c>
      <c r="L9" s="15"/>
      <c r="M9" s="15">
        <v>1</v>
      </c>
      <c r="N9" s="15">
        <v>18.95</v>
      </c>
      <c r="O9" s="15"/>
      <c r="P9" s="15" t="s">
        <v>116</v>
      </c>
      <c r="Q9" s="14" t="s">
        <v>117</v>
      </c>
      <c r="R9" t="s">
        <v>118</v>
      </c>
    </row>
    <row r="10" spans="1:18" s="17" customFormat="1" x14ac:dyDescent="0.3">
      <c r="A10" s="14" t="s">
        <v>112</v>
      </c>
      <c r="B10" s="21">
        <v>46272</v>
      </c>
      <c r="C10" s="21">
        <v>46281</v>
      </c>
      <c r="D10" s="14" t="s">
        <v>113</v>
      </c>
      <c r="E10" s="14" t="s">
        <v>114</v>
      </c>
      <c r="F10" s="14" t="s">
        <v>87</v>
      </c>
      <c r="G10" s="14" t="s">
        <v>115</v>
      </c>
      <c r="H10" s="14">
        <v>24</v>
      </c>
      <c r="I10" s="15">
        <v>800</v>
      </c>
      <c r="J10" s="15">
        <v>910</v>
      </c>
      <c r="K10" s="15">
        <v>2</v>
      </c>
      <c r="L10" s="15"/>
      <c r="M10" s="15">
        <v>2</v>
      </c>
      <c r="N10" s="15">
        <v>15.86</v>
      </c>
      <c r="O10" s="15"/>
      <c r="P10" s="15" t="s">
        <v>119</v>
      </c>
      <c r="Q10" s="14" t="s">
        <v>120</v>
      </c>
      <c r="R10" t="s">
        <v>118</v>
      </c>
    </row>
    <row r="11" spans="1:18" s="17" customFormat="1" x14ac:dyDescent="0.3">
      <c r="A11" s="14" t="s">
        <v>112</v>
      </c>
      <c r="B11" s="21">
        <v>46272</v>
      </c>
      <c r="C11" s="21">
        <v>46281</v>
      </c>
      <c r="D11" s="14" t="s">
        <v>113</v>
      </c>
      <c r="E11" s="14" t="s">
        <v>114</v>
      </c>
      <c r="F11" s="14" t="s">
        <v>87</v>
      </c>
      <c r="G11" s="14" t="s">
        <v>115</v>
      </c>
      <c r="H11" s="14">
        <v>24</v>
      </c>
      <c r="I11" s="15">
        <v>903</v>
      </c>
      <c r="J11" s="15">
        <v>833</v>
      </c>
      <c r="K11" s="15">
        <v>126</v>
      </c>
      <c r="L11" s="15"/>
      <c r="M11" s="15">
        <v>126</v>
      </c>
      <c r="N11" s="15">
        <v>1032.33</v>
      </c>
      <c r="O11" s="15"/>
      <c r="P11" s="15" t="s">
        <v>121</v>
      </c>
      <c r="Q11" s="14" t="s">
        <v>122</v>
      </c>
      <c r="R11" t="s">
        <v>118</v>
      </c>
    </row>
    <row r="12" spans="1:18" s="17" customFormat="1" x14ac:dyDescent="0.3">
      <c r="A12" s="14" t="s">
        <v>112</v>
      </c>
      <c r="B12" s="21">
        <v>46272</v>
      </c>
      <c r="C12" s="21">
        <v>46281</v>
      </c>
      <c r="D12" s="14" t="s">
        <v>113</v>
      </c>
      <c r="E12" s="14" t="s">
        <v>114</v>
      </c>
      <c r="F12" s="14" t="s">
        <v>87</v>
      </c>
      <c r="G12" s="14" t="s">
        <v>115</v>
      </c>
      <c r="H12" s="14">
        <v>24</v>
      </c>
      <c r="I12" s="15">
        <v>605</v>
      </c>
      <c r="J12" s="15">
        <v>755</v>
      </c>
      <c r="K12" s="15">
        <v>1</v>
      </c>
      <c r="L12" s="15"/>
      <c r="M12" s="15">
        <v>1</v>
      </c>
      <c r="N12" s="15">
        <v>4.9800000000000004</v>
      </c>
      <c r="O12" s="15"/>
      <c r="P12" s="15" t="s">
        <v>116</v>
      </c>
      <c r="Q12" s="14" t="s">
        <v>123</v>
      </c>
      <c r="R12" t="s">
        <v>118</v>
      </c>
    </row>
    <row r="13" spans="1:18" s="17" customFormat="1" x14ac:dyDescent="0.3">
      <c r="A13" s="14" t="s">
        <v>112</v>
      </c>
      <c r="B13" s="21">
        <v>46272</v>
      </c>
      <c r="C13" s="21">
        <v>46281</v>
      </c>
      <c r="D13" s="14" t="s">
        <v>113</v>
      </c>
      <c r="E13" s="14" t="s">
        <v>114</v>
      </c>
      <c r="F13" s="14" t="s">
        <v>87</v>
      </c>
      <c r="G13" s="14" t="s">
        <v>115</v>
      </c>
      <c r="H13" s="14">
        <v>24</v>
      </c>
      <c r="I13" s="15">
        <v>435</v>
      </c>
      <c r="J13" s="15">
        <v>735</v>
      </c>
      <c r="K13" s="15">
        <v>1</v>
      </c>
      <c r="L13" s="15"/>
      <c r="M13" s="15">
        <v>1</v>
      </c>
      <c r="N13" s="15">
        <v>3.48</v>
      </c>
      <c r="O13" s="15"/>
      <c r="P13" s="15" t="s">
        <v>116</v>
      </c>
      <c r="Q13" s="14" t="s">
        <v>124</v>
      </c>
      <c r="R13" t="s">
        <v>118</v>
      </c>
    </row>
    <row r="14" spans="1:18" s="17" customFormat="1" x14ac:dyDescent="0.3">
      <c r="A14" s="14" t="s">
        <v>112</v>
      </c>
      <c r="B14" s="21">
        <v>46272</v>
      </c>
      <c r="C14" s="21">
        <v>46281</v>
      </c>
      <c r="D14" s="14" t="s">
        <v>113</v>
      </c>
      <c r="E14" s="14" t="s">
        <v>114</v>
      </c>
      <c r="F14" s="14" t="s">
        <v>87</v>
      </c>
      <c r="G14" s="14" t="s">
        <v>115</v>
      </c>
      <c r="H14" s="14">
        <v>24</v>
      </c>
      <c r="I14" s="15">
        <v>730</v>
      </c>
      <c r="J14" s="15">
        <v>665</v>
      </c>
      <c r="K14" s="15">
        <v>122</v>
      </c>
      <c r="L14" s="15"/>
      <c r="M14" s="15">
        <v>122</v>
      </c>
      <c r="N14" s="15">
        <v>645.09</v>
      </c>
      <c r="O14" s="15"/>
      <c r="P14" s="15" t="s">
        <v>125</v>
      </c>
      <c r="Q14" s="14" t="s">
        <v>126</v>
      </c>
      <c r="R14" t="s">
        <v>118</v>
      </c>
    </row>
    <row r="15" spans="1:18" s="17" customFormat="1" x14ac:dyDescent="0.3">
      <c r="A15" s="14" t="s">
        <v>112</v>
      </c>
      <c r="B15" s="21">
        <v>46272</v>
      </c>
      <c r="C15" s="21">
        <v>46281</v>
      </c>
      <c r="D15" s="14" t="s">
        <v>113</v>
      </c>
      <c r="E15" s="14" t="s">
        <v>114</v>
      </c>
      <c r="F15" s="14" t="s">
        <v>87</v>
      </c>
      <c r="G15" s="14" t="s">
        <v>115</v>
      </c>
      <c r="H15" s="14">
        <v>24</v>
      </c>
      <c r="I15" s="15">
        <v>715</v>
      </c>
      <c r="J15" s="15">
        <v>665</v>
      </c>
      <c r="K15" s="15">
        <v>7</v>
      </c>
      <c r="L15" s="15"/>
      <c r="M15" s="15">
        <v>7</v>
      </c>
      <c r="N15" s="15">
        <v>36.25</v>
      </c>
      <c r="O15" s="15"/>
      <c r="P15" s="15" t="s">
        <v>116</v>
      </c>
      <c r="Q15" s="14" t="s">
        <v>127</v>
      </c>
      <c r="R15" t="s">
        <v>118</v>
      </c>
    </row>
    <row r="16" spans="1:18" s="17" customFormat="1" x14ac:dyDescent="0.3">
      <c r="A16" s="14" t="s">
        <v>128</v>
      </c>
      <c r="B16" s="21">
        <v>46268</v>
      </c>
      <c r="C16" s="21">
        <v>46275</v>
      </c>
      <c r="D16" s="14" t="s">
        <v>129</v>
      </c>
      <c r="E16" s="14" t="s">
        <v>130</v>
      </c>
      <c r="F16" s="14" t="s">
        <v>87</v>
      </c>
      <c r="G16" s="14" t="s">
        <v>131</v>
      </c>
      <c r="H16" s="14">
        <v>22</v>
      </c>
      <c r="I16" s="15">
        <v>874</v>
      </c>
      <c r="J16" s="15">
        <v>2316</v>
      </c>
      <c r="K16" s="15">
        <v>2</v>
      </c>
      <c r="L16" s="15"/>
      <c r="M16" s="15">
        <v>2</v>
      </c>
      <c r="N16" s="15">
        <v>44.1</v>
      </c>
      <c r="O16" s="15"/>
      <c r="P16" s="15" t="s">
        <v>132</v>
      </c>
      <c r="Q16" s="14" t="s">
        <v>133</v>
      </c>
      <c r="R16" t="s">
        <v>134</v>
      </c>
    </row>
    <row r="17" spans="1:18" s="18" customFormat="1" x14ac:dyDescent="0.3">
      <c r="A17" s="14" t="s">
        <v>128</v>
      </c>
      <c r="B17" s="21">
        <v>46268</v>
      </c>
      <c r="C17" s="21">
        <v>46275</v>
      </c>
      <c r="D17" s="14" t="s">
        <v>129</v>
      </c>
      <c r="E17" s="14" t="s">
        <v>130</v>
      </c>
      <c r="F17" s="14" t="s">
        <v>87</v>
      </c>
      <c r="G17" s="14" t="s">
        <v>131</v>
      </c>
      <c r="H17" s="14">
        <v>22</v>
      </c>
      <c r="I17" s="15">
        <v>724</v>
      </c>
      <c r="J17" s="15">
        <v>2316</v>
      </c>
      <c r="K17" s="15">
        <v>2</v>
      </c>
      <c r="L17" s="15"/>
      <c r="M17" s="15">
        <v>2</v>
      </c>
      <c r="N17" s="15">
        <v>36.53</v>
      </c>
      <c r="O17" s="15"/>
      <c r="P17" s="15" t="s">
        <v>135</v>
      </c>
      <c r="Q17" s="14" t="s">
        <v>136</v>
      </c>
      <c r="R17" t="s">
        <v>134</v>
      </c>
    </row>
    <row r="18" spans="1:18" s="18" customFormat="1" x14ac:dyDescent="0.3">
      <c r="A18" s="14" t="s">
        <v>128</v>
      </c>
      <c r="B18" s="21">
        <v>46268</v>
      </c>
      <c r="C18" s="21">
        <v>46275</v>
      </c>
      <c r="D18" s="14" t="s">
        <v>129</v>
      </c>
      <c r="E18" s="14" t="s">
        <v>130</v>
      </c>
      <c r="F18" s="14" t="s">
        <v>87</v>
      </c>
      <c r="G18" s="14" t="s">
        <v>131</v>
      </c>
      <c r="H18" s="14">
        <v>22</v>
      </c>
      <c r="I18" s="15">
        <v>724</v>
      </c>
      <c r="J18" s="15">
        <v>2316</v>
      </c>
      <c r="K18" s="15">
        <v>2</v>
      </c>
      <c r="L18" s="15"/>
      <c r="M18" s="15">
        <v>2</v>
      </c>
      <c r="N18" s="15">
        <v>36.53</v>
      </c>
      <c r="O18" s="15"/>
      <c r="P18" s="15" t="s">
        <v>137</v>
      </c>
      <c r="Q18" s="14" t="s">
        <v>138</v>
      </c>
      <c r="R18" t="s">
        <v>134</v>
      </c>
    </row>
    <row r="19" spans="1:18" s="18" customFormat="1" x14ac:dyDescent="0.3">
      <c r="A19" s="14" t="s">
        <v>128</v>
      </c>
      <c r="B19" s="21">
        <v>46268</v>
      </c>
      <c r="C19" s="21">
        <v>46275</v>
      </c>
      <c r="D19" s="14" t="s">
        <v>129</v>
      </c>
      <c r="E19" s="14" t="s">
        <v>130</v>
      </c>
      <c r="F19" s="14" t="s">
        <v>87</v>
      </c>
      <c r="G19" s="14" t="s">
        <v>131</v>
      </c>
      <c r="H19" s="14">
        <v>22</v>
      </c>
      <c r="I19" s="15">
        <v>414</v>
      </c>
      <c r="J19" s="15">
        <v>1636</v>
      </c>
      <c r="K19" s="15">
        <v>2</v>
      </c>
      <c r="L19" s="15"/>
      <c r="M19" s="15">
        <v>2</v>
      </c>
      <c r="N19" s="15">
        <v>14.75</v>
      </c>
      <c r="O19" s="15"/>
      <c r="P19" s="15" t="s">
        <v>139</v>
      </c>
      <c r="Q19" s="14" t="s">
        <v>140</v>
      </c>
      <c r="R19" t="s">
        <v>134</v>
      </c>
    </row>
    <row r="20" spans="1:18" s="18" customFormat="1" x14ac:dyDescent="0.3">
      <c r="A20" s="14" t="s">
        <v>128</v>
      </c>
      <c r="B20" s="21">
        <v>46268</v>
      </c>
      <c r="C20" s="21">
        <v>46275</v>
      </c>
      <c r="D20" s="14" t="s">
        <v>129</v>
      </c>
      <c r="E20" s="14" t="s">
        <v>130</v>
      </c>
      <c r="F20" s="14" t="s">
        <v>87</v>
      </c>
      <c r="G20" s="14" t="s">
        <v>131</v>
      </c>
      <c r="H20" s="14">
        <v>22</v>
      </c>
      <c r="I20" s="15">
        <v>414</v>
      </c>
      <c r="J20" s="15">
        <v>1636</v>
      </c>
      <c r="K20" s="15">
        <v>2</v>
      </c>
      <c r="L20" s="15"/>
      <c r="M20" s="15">
        <v>2</v>
      </c>
      <c r="N20" s="15">
        <v>14.75</v>
      </c>
      <c r="O20" s="15"/>
      <c r="P20" s="15" t="s">
        <v>141</v>
      </c>
      <c r="Q20" s="14" t="s">
        <v>142</v>
      </c>
      <c r="R20" t="s">
        <v>134</v>
      </c>
    </row>
    <row r="21" spans="1:18" s="18" customFormat="1" x14ac:dyDescent="0.3">
      <c r="A21" s="14" t="s">
        <v>128</v>
      </c>
      <c r="B21" s="21">
        <v>46268</v>
      </c>
      <c r="C21" s="21">
        <v>46275</v>
      </c>
      <c r="D21" s="14" t="s">
        <v>129</v>
      </c>
      <c r="E21" s="14" t="s">
        <v>130</v>
      </c>
      <c r="F21" s="14" t="s">
        <v>87</v>
      </c>
      <c r="G21" s="14" t="s">
        <v>131</v>
      </c>
      <c r="H21" s="14">
        <v>22</v>
      </c>
      <c r="I21" s="15">
        <v>414</v>
      </c>
      <c r="J21" s="15">
        <v>1636</v>
      </c>
      <c r="K21" s="15">
        <v>2</v>
      </c>
      <c r="L21" s="15"/>
      <c r="M21" s="15">
        <v>2</v>
      </c>
      <c r="N21" s="15">
        <v>14.75</v>
      </c>
      <c r="O21" s="15"/>
      <c r="P21" s="15" t="s">
        <v>143</v>
      </c>
      <c r="Q21" s="14" t="s">
        <v>144</v>
      </c>
      <c r="R21" t="s">
        <v>134</v>
      </c>
    </row>
    <row r="22" spans="1:18" s="18" customFormat="1" x14ac:dyDescent="0.3">
      <c r="A22" s="14" t="s">
        <v>128</v>
      </c>
      <c r="B22" s="21">
        <v>46268</v>
      </c>
      <c r="C22" s="21">
        <v>46275</v>
      </c>
      <c r="D22" s="14" t="s">
        <v>129</v>
      </c>
      <c r="E22" s="14" t="s">
        <v>130</v>
      </c>
      <c r="F22" s="14" t="s">
        <v>87</v>
      </c>
      <c r="G22" s="14" t="s">
        <v>145</v>
      </c>
      <c r="H22" s="14">
        <v>22</v>
      </c>
      <c r="I22" s="15">
        <v>874</v>
      </c>
      <c r="J22" s="15">
        <v>2316</v>
      </c>
      <c r="K22" s="15">
        <v>2</v>
      </c>
      <c r="L22" s="15"/>
      <c r="M22" s="15">
        <v>2</v>
      </c>
      <c r="N22" s="15">
        <v>44.1</v>
      </c>
      <c r="O22" s="15"/>
      <c r="P22" s="15" t="s">
        <v>146</v>
      </c>
      <c r="Q22" s="14" t="s">
        <v>147</v>
      </c>
      <c r="R22" t="s">
        <v>134</v>
      </c>
    </row>
    <row r="23" spans="1:18" s="18" customFormat="1" x14ac:dyDescent="0.3">
      <c r="A23" s="14" t="s">
        <v>128</v>
      </c>
      <c r="B23" s="21">
        <v>46268</v>
      </c>
      <c r="C23" s="21">
        <v>46275</v>
      </c>
      <c r="D23" s="14" t="s">
        <v>129</v>
      </c>
      <c r="E23" s="14" t="s">
        <v>130</v>
      </c>
      <c r="F23" s="14" t="s">
        <v>87</v>
      </c>
      <c r="G23" s="14" t="s">
        <v>145</v>
      </c>
      <c r="H23" s="14">
        <v>22</v>
      </c>
      <c r="I23" s="15">
        <v>724</v>
      </c>
      <c r="J23" s="15">
        <v>2316</v>
      </c>
      <c r="K23" s="15">
        <v>2</v>
      </c>
      <c r="L23" s="15"/>
      <c r="M23" s="15">
        <v>2</v>
      </c>
      <c r="N23" s="15">
        <v>36.53</v>
      </c>
      <c r="O23" s="15"/>
      <c r="P23" s="15" t="s">
        <v>148</v>
      </c>
      <c r="Q23" s="14" t="s">
        <v>149</v>
      </c>
      <c r="R23" t="s">
        <v>134</v>
      </c>
    </row>
    <row r="24" spans="1:18" s="18" customFormat="1" x14ac:dyDescent="0.3">
      <c r="A24" s="14" t="s">
        <v>128</v>
      </c>
      <c r="B24" s="21">
        <v>46268</v>
      </c>
      <c r="C24" s="21">
        <v>46275</v>
      </c>
      <c r="D24" s="14" t="s">
        <v>129</v>
      </c>
      <c r="E24" s="14" t="s">
        <v>130</v>
      </c>
      <c r="F24" s="14" t="s">
        <v>87</v>
      </c>
      <c r="G24" s="14" t="s">
        <v>145</v>
      </c>
      <c r="H24" s="14">
        <v>22</v>
      </c>
      <c r="I24" s="15">
        <v>724</v>
      </c>
      <c r="J24" s="15">
        <v>2316</v>
      </c>
      <c r="K24" s="15">
        <v>2</v>
      </c>
      <c r="L24" s="15"/>
      <c r="M24" s="15">
        <v>2</v>
      </c>
      <c r="N24" s="15">
        <v>36.53</v>
      </c>
      <c r="O24" s="15"/>
      <c r="P24" s="15" t="s">
        <v>150</v>
      </c>
      <c r="Q24" s="14" t="s">
        <v>151</v>
      </c>
      <c r="R24" t="s">
        <v>134</v>
      </c>
    </row>
    <row r="25" spans="1:18" s="18" customFormat="1" x14ac:dyDescent="0.3">
      <c r="A25" s="14" t="s">
        <v>128</v>
      </c>
      <c r="B25" s="21">
        <v>46268</v>
      </c>
      <c r="C25" s="21">
        <v>46275</v>
      </c>
      <c r="D25" s="14" t="s">
        <v>129</v>
      </c>
      <c r="E25" s="14" t="s">
        <v>130</v>
      </c>
      <c r="F25" s="14" t="s">
        <v>87</v>
      </c>
      <c r="G25" s="14" t="s">
        <v>145</v>
      </c>
      <c r="H25" s="14">
        <v>22</v>
      </c>
      <c r="I25" s="15">
        <v>414</v>
      </c>
      <c r="J25" s="15">
        <v>1636</v>
      </c>
      <c r="K25" s="15">
        <v>2</v>
      </c>
      <c r="L25" s="15"/>
      <c r="M25" s="15">
        <v>2</v>
      </c>
      <c r="N25" s="15">
        <v>14.75</v>
      </c>
      <c r="O25" s="15"/>
      <c r="P25" s="15" t="s">
        <v>152</v>
      </c>
      <c r="Q25" s="14" t="s">
        <v>153</v>
      </c>
      <c r="R25" t="s">
        <v>134</v>
      </c>
    </row>
    <row r="26" spans="1:18" s="18" customFormat="1" x14ac:dyDescent="0.3">
      <c r="A26" s="14" t="s">
        <v>128</v>
      </c>
      <c r="B26" s="21">
        <v>46268</v>
      </c>
      <c r="C26" s="21">
        <v>46275</v>
      </c>
      <c r="D26" s="14" t="s">
        <v>129</v>
      </c>
      <c r="E26" s="14" t="s">
        <v>130</v>
      </c>
      <c r="F26" s="14" t="s">
        <v>87</v>
      </c>
      <c r="G26" s="14" t="s">
        <v>145</v>
      </c>
      <c r="H26" s="14">
        <v>22</v>
      </c>
      <c r="I26" s="15">
        <v>414</v>
      </c>
      <c r="J26" s="15">
        <v>1636</v>
      </c>
      <c r="K26" s="15">
        <v>2</v>
      </c>
      <c r="L26" s="15"/>
      <c r="M26" s="15">
        <v>2</v>
      </c>
      <c r="N26" s="15">
        <v>14.75</v>
      </c>
      <c r="O26" s="15"/>
      <c r="P26" s="15" t="s">
        <v>154</v>
      </c>
      <c r="Q26" s="14" t="s">
        <v>155</v>
      </c>
      <c r="R26" t="s">
        <v>134</v>
      </c>
    </row>
    <row r="27" spans="1:18" s="18" customFormat="1" x14ac:dyDescent="0.3">
      <c r="A27" s="14" t="s">
        <v>128</v>
      </c>
      <c r="B27" s="21">
        <v>46268</v>
      </c>
      <c r="C27" s="21">
        <v>46275</v>
      </c>
      <c r="D27" s="14" t="s">
        <v>129</v>
      </c>
      <c r="E27" s="14" t="s">
        <v>130</v>
      </c>
      <c r="F27" s="14" t="s">
        <v>87</v>
      </c>
      <c r="G27" s="14" t="s">
        <v>145</v>
      </c>
      <c r="H27" s="14">
        <v>22</v>
      </c>
      <c r="I27" s="15">
        <v>414</v>
      </c>
      <c r="J27" s="15">
        <v>1636</v>
      </c>
      <c r="K27" s="15">
        <v>2</v>
      </c>
      <c r="L27" s="15"/>
      <c r="M27" s="15">
        <v>2</v>
      </c>
      <c r="N27" s="15">
        <v>14.75</v>
      </c>
      <c r="O27" s="15"/>
      <c r="P27" s="15" t="s">
        <v>156</v>
      </c>
      <c r="Q27" s="14" t="s">
        <v>157</v>
      </c>
      <c r="R27" t="s">
        <v>134</v>
      </c>
    </row>
    <row r="28" spans="1:18" s="18" customFormat="1" x14ac:dyDescent="0.3">
      <c r="A28" s="14" t="s">
        <v>158</v>
      </c>
      <c r="B28" s="21">
        <v>46269</v>
      </c>
      <c r="C28" s="21">
        <v>46275</v>
      </c>
      <c r="D28" s="14" t="s">
        <v>159</v>
      </c>
      <c r="E28" s="14" t="s">
        <v>160</v>
      </c>
      <c r="F28" s="14" t="s">
        <v>87</v>
      </c>
      <c r="G28" s="14" t="s">
        <v>161</v>
      </c>
      <c r="H28" s="14">
        <v>5</v>
      </c>
      <c r="I28" s="15">
        <v>645</v>
      </c>
      <c r="J28" s="15">
        <v>1657</v>
      </c>
      <c r="K28" s="15">
        <v>2</v>
      </c>
      <c r="L28" s="15"/>
      <c r="M28" s="15">
        <v>2</v>
      </c>
      <c r="N28" s="15">
        <v>23.28</v>
      </c>
      <c r="O28" s="15"/>
      <c r="P28" s="15" t="s">
        <v>162</v>
      </c>
      <c r="Q28" s="14" t="s">
        <v>163</v>
      </c>
      <c r="R28" t="s">
        <v>164</v>
      </c>
    </row>
    <row r="29" spans="1:18" x14ac:dyDescent="0.3">
      <c r="A29" s="14" t="s">
        <v>158</v>
      </c>
      <c r="B29" s="21">
        <v>46269</v>
      </c>
      <c r="C29" s="21">
        <v>46275</v>
      </c>
      <c r="D29" s="14" t="s">
        <v>159</v>
      </c>
      <c r="E29" s="14" t="s">
        <v>160</v>
      </c>
      <c r="F29" s="14" t="s">
        <v>87</v>
      </c>
      <c r="G29" s="14" t="s">
        <v>161</v>
      </c>
      <c r="H29" s="14">
        <v>5</v>
      </c>
      <c r="I29" s="15">
        <v>445</v>
      </c>
      <c r="J29" s="15">
        <v>1657</v>
      </c>
      <c r="K29" s="15">
        <v>1</v>
      </c>
      <c r="L29" s="15"/>
      <c r="M29" s="15">
        <v>1</v>
      </c>
      <c r="N29" s="15">
        <v>8.0299999999999994</v>
      </c>
      <c r="O29" s="15"/>
      <c r="P29" s="15" t="s">
        <v>162</v>
      </c>
      <c r="Q29" s="14" t="s">
        <v>165</v>
      </c>
      <c r="R29" t="s">
        <v>164</v>
      </c>
    </row>
    <row r="30" spans="1:18" s="17" customFormat="1" x14ac:dyDescent="0.3">
      <c r="A30" s="14" t="s">
        <v>158</v>
      </c>
      <c r="B30" s="21">
        <v>46269</v>
      </c>
      <c r="C30" s="21">
        <v>46275</v>
      </c>
      <c r="D30" s="14" t="s">
        <v>159</v>
      </c>
      <c r="E30" s="14" t="s">
        <v>160</v>
      </c>
      <c r="F30" s="14" t="s">
        <v>87</v>
      </c>
      <c r="G30" s="14" t="s">
        <v>161</v>
      </c>
      <c r="H30" s="14">
        <v>5</v>
      </c>
      <c r="I30" s="15">
        <v>195</v>
      </c>
      <c r="J30" s="15">
        <v>1657</v>
      </c>
      <c r="K30" s="15">
        <v>7</v>
      </c>
      <c r="L30" s="15"/>
      <c r="M30" s="15">
        <v>7</v>
      </c>
      <c r="N30" s="15">
        <v>24.64</v>
      </c>
      <c r="O30" s="15"/>
      <c r="P30" s="15" t="s">
        <v>162</v>
      </c>
      <c r="Q30" s="14" t="s">
        <v>166</v>
      </c>
      <c r="R30" t="s">
        <v>164</v>
      </c>
    </row>
    <row r="31" spans="1:18" s="17" customFormat="1" x14ac:dyDescent="0.3">
      <c r="A31" s="14" t="s">
        <v>158</v>
      </c>
      <c r="B31" s="21">
        <v>46269</v>
      </c>
      <c r="C31" s="21">
        <v>46275</v>
      </c>
      <c r="D31" s="14" t="s">
        <v>159</v>
      </c>
      <c r="E31" s="14" t="s">
        <v>160</v>
      </c>
      <c r="F31" s="14" t="s">
        <v>87</v>
      </c>
      <c r="G31" s="14" t="s">
        <v>161</v>
      </c>
      <c r="H31" s="14">
        <v>5</v>
      </c>
      <c r="I31" s="15">
        <v>822</v>
      </c>
      <c r="J31" s="15">
        <v>1417</v>
      </c>
      <c r="K31" s="15">
        <v>15</v>
      </c>
      <c r="L31" s="15"/>
      <c r="M31" s="15">
        <v>15</v>
      </c>
      <c r="N31" s="15">
        <v>190.3</v>
      </c>
      <c r="O31" s="15"/>
      <c r="P31" s="15" t="s">
        <v>162</v>
      </c>
      <c r="Q31" s="14" t="s">
        <v>167</v>
      </c>
      <c r="R31" t="s">
        <v>164</v>
      </c>
    </row>
    <row r="32" spans="1:18" s="17" customFormat="1" x14ac:dyDescent="0.3">
      <c r="A32" s="14" t="s">
        <v>158</v>
      </c>
      <c r="B32" s="21">
        <v>46269</v>
      </c>
      <c r="C32" s="21">
        <v>46275</v>
      </c>
      <c r="D32" s="14" t="s">
        <v>159</v>
      </c>
      <c r="E32" s="14" t="s">
        <v>160</v>
      </c>
      <c r="F32" s="14" t="s">
        <v>87</v>
      </c>
      <c r="G32" s="14" t="s">
        <v>161</v>
      </c>
      <c r="H32" s="14">
        <v>5</v>
      </c>
      <c r="I32" s="15">
        <v>822</v>
      </c>
      <c r="J32" s="15">
        <v>517</v>
      </c>
      <c r="K32" s="15">
        <v>6</v>
      </c>
      <c r="L32" s="15"/>
      <c r="M32" s="15">
        <v>6</v>
      </c>
      <c r="N32" s="15">
        <v>27.77</v>
      </c>
      <c r="O32" s="15"/>
      <c r="P32" s="15" t="s">
        <v>162</v>
      </c>
      <c r="Q32" s="14" t="s">
        <v>168</v>
      </c>
      <c r="R32" t="s">
        <v>164</v>
      </c>
    </row>
    <row r="33" spans="1:18" s="17" customFormat="1" x14ac:dyDescent="0.3">
      <c r="A33" s="14" t="s">
        <v>158</v>
      </c>
      <c r="B33" s="21">
        <v>46269</v>
      </c>
      <c r="C33" s="21">
        <v>46275</v>
      </c>
      <c r="D33" s="14" t="s">
        <v>159</v>
      </c>
      <c r="E33" s="14" t="s">
        <v>160</v>
      </c>
      <c r="F33" s="14" t="s">
        <v>87</v>
      </c>
      <c r="G33" s="14" t="s">
        <v>161</v>
      </c>
      <c r="H33" s="14">
        <v>5</v>
      </c>
      <c r="I33" s="15">
        <v>645</v>
      </c>
      <c r="J33" s="15">
        <v>1657</v>
      </c>
      <c r="K33" s="15">
        <v>12</v>
      </c>
      <c r="L33" s="15"/>
      <c r="M33" s="15">
        <v>12</v>
      </c>
      <c r="N33" s="15">
        <v>139.69</v>
      </c>
      <c r="O33" s="15"/>
      <c r="P33" s="15" t="s">
        <v>169</v>
      </c>
      <c r="Q33" s="14" t="s">
        <v>170</v>
      </c>
      <c r="R33" t="s">
        <v>164</v>
      </c>
    </row>
    <row r="34" spans="1:18" s="17" customFormat="1" x14ac:dyDescent="0.3">
      <c r="A34" s="14" t="s">
        <v>158</v>
      </c>
      <c r="B34" s="21">
        <v>46269</v>
      </c>
      <c r="C34" s="21">
        <v>46275</v>
      </c>
      <c r="D34" s="14" t="s">
        <v>159</v>
      </c>
      <c r="E34" s="14" t="s">
        <v>160</v>
      </c>
      <c r="F34" s="14" t="s">
        <v>87</v>
      </c>
      <c r="G34" s="14" t="s">
        <v>161</v>
      </c>
      <c r="H34" s="14">
        <v>5</v>
      </c>
      <c r="I34" s="15">
        <v>445</v>
      </c>
      <c r="J34" s="15">
        <v>1657</v>
      </c>
      <c r="K34" s="15">
        <v>1</v>
      </c>
      <c r="L34" s="15"/>
      <c r="M34" s="15">
        <v>1</v>
      </c>
      <c r="N34" s="15">
        <v>8.0299999999999994</v>
      </c>
      <c r="O34" s="15"/>
      <c r="P34" s="15" t="s">
        <v>169</v>
      </c>
      <c r="Q34" s="14" t="s">
        <v>171</v>
      </c>
      <c r="R34" t="s">
        <v>164</v>
      </c>
    </row>
    <row r="35" spans="1:18" s="17" customFormat="1" x14ac:dyDescent="0.3">
      <c r="A35" s="14" t="s">
        <v>158</v>
      </c>
      <c r="B35" s="21">
        <v>46269</v>
      </c>
      <c r="C35" s="21">
        <v>46275</v>
      </c>
      <c r="D35" s="14" t="s">
        <v>159</v>
      </c>
      <c r="E35" s="14" t="s">
        <v>160</v>
      </c>
      <c r="F35" s="14" t="s">
        <v>87</v>
      </c>
      <c r="G35" s="14" t="s">
        <v>161</v>
      </c>
      <c r="H35" s="14">
        <v>5</v>
      </c>
      <c r="I35" s="15">
        <v>195</v>
      </c>
      <c r="J35" s="15">
        <v>1657</v>
      </c>
      <c r="K35" s="15">
        <v>5</v>
      </c>
      <c r="L35" s="15"/>
      <c r="M35" s="15">
        <v>5</v>
      </c>
      <c r="N35" s="15">
        <v>17.600000000000001</v>
      </c>
      <c r="O35" s="15"/>
      <c r="P35" s="15" t="s">
        <v>169</v>
      </c>
      <c r="Q35" s="14" t="s">
        <v>172</v>
      </c>
      <c r="R35" t="s">
        <v>164</v>
      </c>
    </row>
    <row r="36" spans="1:18" s="17" customFormat="1" x14ac:dyDescent="0.3">
      <c r="A36" s="14" t="s">
        <v>158</v>
      </c>
      <c r="B36" s="21">
        <v>46269</v>
      </c>
      <c r="C36" s="21">
        <v>46275</v>
      </c>
      <c r="D36" s="14" t="s">
        <v>159</v>
      </c>
      <c r="E36" s="14" t="s">
        <v>160</v>
      </c>
      <c r="F36" s="14" t="s">
        <v>87</v>
      </c>
      <c r="G36" s="14" t="s">
        <v>161</v>
      </c>
      <c r="H36" s="14">
        <v>5</v>
      </c>
      <c r="I36" s="15">
        <v>822</v>
      </c>
      <c r="J36" s="15">
        <v>1407</v>
      </c>
      <c r="K36" s="15">
        <v>42</v>
      </c>
      <c r="L36" s="15"/>
      <c r="M36" s="15">
        <v>42</v>
      </c>
      <c r="N36" s="15">
        <v>529.09</v>
      </c>
      <c r="O36" s="15"/>
      <c r="P36" s="15" t="s">
        <v>169</v>
      </c>
      <c r="Q36" s="14" t="s">
        <v>173</v>
      </c>
      <c r="R36" t="s">
        <v>164</v>
      </c>
    </row>
    <row r="37" spans="1:18" x14ac:dyDescent="0.3">
      <c r="A37" s="14" t="s">
        <v>158</v>
      </c>
      <c r="B37" s="21">
        <v>46269</v>
      </c>
      <c r="C37" s="21">
        <v>46275</v>
      </c>
      <c r="D37" s="14" t="s">
        <v>159</v>
      </c>
      <c r="E37" s="14" t="s">
        <v>160</v>
      </c>
      <c r="F37" s="14" t="s">
        <v>87</v>
      </c>
      <c r="G37" s="14" t="s">
        <v>161</v>
      </c>
      <c r="H37" s="14">
        <v>5</v>
      </c>
      <c r="I37" s="15">
        <v>645</v>
      </c>
      <c r="J37" s="15">
        <v>757</v>
      </c>
      <c r="K37" s="15">
        <v>2</v>
      </c>
      <c r="L37" s="15"/>
      <c r="M37" s="15">
        <v>2</v>
      </c>
      <c r="N37" s="15">
        <v>10.64</v>
      </c>
      <c r="O37" s="15"/>
      <c r="P37" s="15" t="s">
        <v>169</v>
      </c>
      <c r="Q37" s="14" t="s">
        <v>174</v>
      </c>
      <c r="R37" t="s">
        <v>164</v>
      </c>
    </row>
    <row r="38" spans="1:18" x14ac:dyDescent="0.3">
      <c r="A38" s="14" t="s">
        <v>158</v>
      </c>
      <c r="B38" s="21">
        <v>46269</v>
      </c>
      <c r="C38" s="21">
        <v>46275</v>
      </c>
      <c r="D38" s="14" t="s">
        <v>159</v>
      </c>
      <c r="E38" s="14" t="s">
        <v>160</v>
      </c>
      <c r="F38" s="14" t="s">
        <v>87</v>
      </c>
      <c r="G38" s="14" t="s">
        <v>161</v>
      </c>
      <c r="H38" s="14">
        <v>5</v>
      </c>
      <c r="I38" s="15">
        <v>822</v>
      </c>
      <c r="J38" s="15">
        <v>527</v>
      </c>
      <c r="K38" s="15">
        <v>6</v>
      </c>
      <c r="L38" s="15"/>
      <c r="M38" s="15">
        <v>6</v>
      </c>
      <c r="N38" s="15">
        <v>28.31</v>
      </c>
      <c r="O38" s="15"/>
      <c r="P38" s="15" t="s">
        <v>169</v>
      </c>
      <c r="Q38" s="14" t="s">
        <v>175</v>
      </c>
      <c r="R38" t="s">
        <v>164</v>
      </c>
    </row>
    <row r="39" spans="1:18" x14ac:dyDescent="0.3">
      <c r="A39" s="14" t="s">
        <v>158</v>
      </c>
      <c r="B39" s="21">
        <v>46269</v>
      </c>
      <c r="C39" s="21">
        <v>46275</v>
      </c>
      <c r="D39" s="14" t="s">
        <v>159</v>
      </c>
      <c r="E39" s="14" t="s">
        <v>160</v>
      </c>
      <c r="F39" s="14" t="s">
        <v>87</v>
      </c>
      <c r="G39" s="14" t="s">
        <v>161</v>
      </c>
      <c r="H39" s="14">
        <v>5</v>
      </c>
      <c r="I39" s="15">
        <v>822</v>
      </c>
      <c r="J39" s="15">
        <v>2397</v>
      </c>
      <c r="K39" s="15">
        <v>14</v>
      </c>
      <c r="L39" s="15"/>
      <c r="M39" s="15">
        <v>14</v>
      </c>
      <c r="N39" s="15">
        <v>300.45999999999998</v>
      </c>
      <c r="O39" s="15"/>
      <c r="P39" s="15" t="s">
        <v>176</v>
      </c>
      <c r="Q39" s="14" t="s">
        <v>177</v>
      </c>
      <c r="R39" t="s">
        <v>164</v>
      </c>
    </row>
    <row r="40" spans="1:18" x14ac:dyDescent="0.3">
      <c r="A40" s="14" t="s">
        <v>158</v>
      </c>
      <c r="B40" s="21">
        <v>46269</v>
      </c>
      <c r="C40" s="21">
        <v>46275</v>
      </c>
      <c r="D40" s="14" t="s">
        <v>159</v>
      </c>
      <c r="E40" s="14" t="s">
        <v>160</v>
      </c>
      <c r="F40" s="14" t="s">
        <v>87</v>
      </c>
      <c r="G40" s="14" t="s">
        <v>161</v>
      </c>
      <c r="H40" s="14">
        <v>5</v>
      </c>
      <c r="I40" s="15">
        <v>645</v>
      </c>
      <c r="J40" s="15">
        <v>1657</v>
      </c>
      <c r="K40" s="15">
        <v>9</v>
      </c>
      <c r="L40" s="15"/>
      <c r="M40" s="15">
        <v>9</v>
      </c>
      <c r="N40" s="15">
        <v>104.77</v>
      </c>
      <c r="O40" s="15"/>
      <c r="P40" s="15" t="s">
        <v>176</v>
      </c>
      <c r="Q40" s="14" t="s">
        <v>178</v>
      </c>
      <c r="R40" t="s">
        <v>164</v>
      </c>
    </row>
    <row r="41" spans="1:18" x14ac:dyDescent="0.3">
      <c r="A41" s="14" t="s">
        <v>158</v>
      </c>
      <c r="B41" s="21">
        <v>46269</v>
      </c>
      <c r="C41" s="21">
        <v>46275</v>
      </c>
      <c r="D41" s="14" t="s">
        <v>159</v>
      </c>
      <c r="E41" s="14" t="s">
        <v>160</v>
      </c>
      <c r="F41" s="14" t="s">
        <v>87</v>
      </c>
      <c r="G41" s="14" t="s">
        <v>161</v>
      </c>
      <c r="H41" s="14">
        <v>5</v>
      </c>
      <c r="I41" s="15">
        <v>195</v>
      </c>
      <c r="J41" s="15">
        <v>1657</v>
      </c>
      <c r="K41" s="15">
        <v>2</v>
      </c>
      <c r="L41" s="15"/>
      <c r="M41" s="15">
        <v>2</v>
      </c>
      <c r="N41" s="15">
        <v>7.04</v>
      </c>
      <c r="O41" s="15"/>
      <c r="P41" s="15" t="s">
        <v>176</v>
      </c>
      <c r="Q41" s="14" t="s">
        <v>179</v>
      </c>
      <c r="R41" t="s">
        <v>164</v>
      </c>
    </row>
    <row r="42" spans="1:18" x14ac:dyDescent="0.3">
      <c r="A42" s="14" t="s">
        <v>158</v>
      </c>
      <c r="B42" s="21">
        <v>46269</v>
      </c>
      <c r="C42" s="21">
        <v>46275</v>
      </c>
      <c r="D42" s="14" t="s">
        <v>159</v>
      </c>
      <c r="E42" s="14" t="s">
        <v>160</v>
      </c>
      <c r="F42" s="14" t="s">
        <v>87</v>
      </c>
      <c r="G42" s="14" t="s">
        <v>161</v>
      </c>
      <c r="H42" s="14">
        <v>5</v>
      </c>
      <c r="I42" s="15">
        <v>822</v>
      </c>
      <c r="J42" s="15">
        <v>1417</v>
      </c>
      <c r="K42" s="15">
        <v>15</v>
      </c>
      <c r="L42" s="15"/>
      <c r="M42" s="15">
        <v>15</v>
      </c>
      <c r="N42" s="15">
        <v>190.3</v>
      </c>
      <c r="O42" s="15"/>
      <c r="P42" s="15" t="s">
        <v>176</v>
      </c>
      <c r="Q42" s="14" t="s">
        <v>180</v>
      </c>
      <c r="R42" t="s">
        <v>164</v>
      </c>
    </row>
    <row r="43" spans="1:18" x14ac:dyDescent="0.3">
      <c r="A43" s="14" t="s">
        <v>181</v>
      </c>
      <c r="B43" s="21">
        <v>46269</v>
      </c>
      <c r="C43" s="21">
        <v>46277</v>
      </c>
      <c r="D43" s="14" t="s">
        <v>182</v>
      </c>
      <c r="E43" s="14" t="s">
        <v>183</v>
      </c>
      <c r="F43" s="14" t="s">
        <v>87</v>
      </c>
      <c r="G43" s="14" t="s">
        <v>184</v>
      </c>
      <c r="H43" s="14">
        <v>24</v>
      </c>
      <c r="I43" s="15">
        <v>1015</v>
      </c>
      <c r="J43" s="15">
        <v>1785</v>
      </c>
      <c r="K43" s="15">
        <v>2</v>
      </c>
      <c r="L43" s="15"/>
      <c r="M43" s="15">
        <v>2</v>
      </c>
      <c r="N43" s="15">
        <v>39.47</v>
      </c>
      <c r="O43" s="15"/>
      <c r="P43" s="15" t="s">
        <v>185</v>
      </c>
      <c r="Q43" s="14" t="s">
        <v>186</v>
      </c>
      <c r="R43" t="s">
        <v>187</v>
      </c>
    </row>
    <row r="44" spans="1:18" x14ac:dyDescent="0.3">
      <c r="A44" s="14" t="s">
        <v>181</v>
      </c>
      <c r="B44" s="21">
        <v>46269</v>
      </c>
      <c r="C44" s="21">
        <v>46277</v>
      </c>
      <c r="D44" s="14" t="s">
        <v>182</v>
      </c>
      <c r="E44" s="14" t="s">
        <v>183</v>
      </c>
      <c r="F44" s="14" t="s">
        <v>87</v>
      </c>
      <c r="G44" s="14" t="s">
        <v>184</v>
      </c>
      <c r="H44" s="14">
        <v>24</v>
      </c>
      <c r="I44" s="15">
        <v>965</v>
      </c>
      <c r="J44" s="15">
        <v>1785</v>
      </c>
      <c r="K44" s="15">
        <v>2</v>
      </c>
      <c r="L44" s="15"/>
      <c r="M44" s="15">
        <v>2</v>
      </c>
      <c r="N44" s="15">
        <v>37.520000000000003</v>
      </c>
      <c r="O44" s="15"/>
      <c r="P44" s="15" t="s">
        <v>185</v>
      </c>
      <c r="Q44" s="14" t="s">
        <v>188</v>
      </c>
      <c r="R44" t="s">
        <v>187</v>
      </c>
    </row>
    <row r="45" spans="1:18" x14ac:dyDescent="0.3">
      <c r="A45" s="14" t="s">
        <v>181</v>
      </c>
      <c r="B45" s="21">
        <v>46269</v>
      </c>
      <c r="C45" s="21">
        <v>46277</v>
      </c>
      <c r="D45" s="14" t="s">
        <v>182</v>
      </c>
      <c r="E45" s="14" t="s">
        <v>183</v>
      </c>
      <c r="F45" s="14" t="s">
        <v>87</v>
      </c>
      <c r="G45" s="14" t="s">
        <v>184</v>
      </c>
      <c r="H45" s="14">
        <v>24</v>
      </c>
      <c r="I45" s="15">
        <v>982</v>
      </c>
      <c r="J45" s="15">
        <v>1782</v>
      </c>
      <c r="K45" s="15">
        <v>9</v>
      </c>
      <c r="L45" s="15"/>
      <c r="M45" s="15">
        <v>9</v>
      </c>
      <c r="N45" s="15">
        <v>171.54</v>
      </c>
      <c r="O45" s="15"/>
      <c r="P45" s="15" t="s">
        <v>189</v>
      </c>
      <c r="Q45" s="14" t="s">
        <v>190</v>
      </c>
      <c r="R45" t="s">
        <v>187</v>
      </c>
    </row>
    <row r="46" spans="1:18" x14ac:dyDescent="0.3">
      <c r="A46" s="14" t="s">
        <v>181</v>
      </c>
      <c r="B46" s="21">
        <v>46269</v>
      </c>
      <c r="C46" s="21">
        <v>46277</v>
      </c>
      <c r="D46" s="14" t="s">
        <v>182</v>
      </c>
      <c r="E46" s="14" t="s">
        <v>183</v>
      </c>
      <c r="F46" s="14" t="s">
        <v>87</v>
      </c>
      <c r="G46" s="14" t="s">
        <v>184</v>
      </c>
      <c r="H46" s="14">
        <v>24</v>
      </c>
      <c r="I46" s="15">
        <v>685</v>
      </c>
      <c r="J46" s="15">
        <v>1755</v>
      </c>
      <c r="K46" s="15">
        <v>4</v>
      </c>
      <c r="L46" s="15"/>
      <c r="M46" s="15">
        <v>4</v>
      </c>
      <c r="N46" s="15">
        <v>52.38</v>
      </c>
      <c r="O46" s="15"/>
      <c r="P46" s="15" t="s">
        <v>191</v>
      </c>
      <c r="Q46" s="14" t="s">
        <v>192</v>
      </c>
      <c r="R46" t="s">
        <v>187</v>
      </c>
    </row>
    <row r="47" spans="1:18" x14ac:dyDescent="0.3">
      <c r="A47" s="14" t="s">
        <v>181</v>
      </c>
      <c r="B47" s="21">
        <v>46269</v>
      </c>
      <c r="C47" s="21">
        <v>46277</v>
      </c>
      <c r="D47" s="14" t="s">
        <v>182</v>
      </c>
      <c r="E47" s="14" t="s">
        <v>183</v>
      </c>
      <c r="F47" s="14" t="s">
        <v>87</v>
      </c>
      <c r="G47" s="14" t="s">
        <v>184</v>
      </c>
      <c r="H47" s="14">
        <v>24</v>
      </c>
      <c r="I47" s="15">
        <v>535</v>
      </c>
      <c r="J47" s="15">
        <v>1755</v>
      </c>
      <c r="K47" s="15">
        <v>2</v>
      </c>
      <c r="L47" s="15"/>
      <c r="M47" s="15">
        <v>2</v>
      </c>
      <c r="N47" s="15">
        <v>20.45</v>
      </c>
      <c r="O47" s="15"/>
      <c r="P47" s="15" t="s">
        <v>191</v>
      </c>
      <c r="Q47" s="14" t="s">
        <v>193</v>
      </c>
      <c r="R47" t="s">
        <v>187</v>
      </c>
    </row>
    <row r="48" spans="1:18" x14ac:dyDescent="0.3">
      <c r="A48" s="14" t="s">
        <v>181</v>
      </c>
      <c r="B48" s="21">
        <v>46269</v>
      </c>
      <c r="C48" s="21">
        <v>46277</v>
      </c>
      <c r="D48" s="14" t="s">
        <v>182</v>
      </c>
      <c r="E48" s="14" t="s">
        <v>183</v>
      </c>
      <c r="F48" s="14" t="s">
        <v>87</v>
      </c>
      <c r="G48" s="14" t="s">
        <v>184</v>
      </c>
      <c r="H48" s="14">
        <v>24</v>
      </c>
      <c r="I48" s="15">
        <v>982</v>
      </c>
      <c r="J48" s="15">
        <v>1602</v>
      </c>
      <c r="K48" s="15">
        <v>1</v>
      </c>
      <c r="L48" s="15"/>
      <c r="M48" s="15">
        <v>1</v>
      </c>
      <c r="N48" s="15">
        <v>17.14</v>
      </c>
      <c r="O48" s="15"/>
      <c r="P48" s="15" t="s">
        <v>194</v>
      </c>
      <c r="Q48" s="14" t="s">
        <v>195</v>
      </c>
      <c r="R48" t="s">
        <v>187</v>
      </c>
    </row>
    <row r="49" spans="1:18" x14ac:dyDescent="0.3">
      <c r="A49" s="14" t="s">
        <v>181</v>
      </c>
      <c r="B49" s="21">
        <v>46269</v>
      </c>
      <c r="C49" s="21">
        <v>46277</v>
      </c>
      <c r="D49" s="14" t="s">
        <v>182</v>
      </c>
      <c r="E49" s="14" t="s">
        <v>183</v>
      </c>
      <c r="F49" s="14" t="s">
        <v>87</v>
      </c>
      <c r="G49" s="14" t="s">
        <v>184</v>
      </c>
      <c r="H49" s="14">
        <v>24</v>
      </c>
      <c r="I49" s="15">
        <v>860</v>
      </c>
      <c r="J49" s="15">
        <v>1345</v>
      </c>
      <c r="K49" s="15">
        <v>2</v>
      </c>
      <c r="L49" s="15"/>
      <c r="M49" s="15">
        <v>2</v>
      </c>
      <c r="N49" s="15">
        <v>25.2</v>
      </c>
      <c r="O49" s="15"/>
      <c r="P49" s="15" t="s">
        <v>196</v>
      </c>
      <c r="Q49" s="14" t="s">
        <v>197</v>
      </c>
      <c r="R49" t="s">
        <v>187</v>
      </c>
    </row>
    <row r="50" spans="1:18" x14ac:dyDescent="0.3">
      <c r="A50" s="14" t="s">
        <v>181</v>
      </c>
      <c r="B50" s="21">
        <v>46269</v>
      </c>
      <c r="C50" s="21">
        <v>46277</v>
      </c>
      <c r="D50" s="14" t="s">
        <v>182</v>
      </c>
      <c r="E50" s="14" t="s">
        <v>183</v>
      </c>
      <c r="F50" s="14" t="s">
        <v>87</v>
      </c>
      <c r="G50" s="14" t="s">
        <v>184</v>
      </c>
      <c r="H50" s="14">
        <v>24</v>
      </c>
      <c r="I50" s="15">
        <v>860</v>
      </c>
      <c r="J50" s="15">
        <v>1325</v>
      </c>
      <c r="K50" s="15">
        <v>10</v>
      </c>
      <c r="L50" s="15"/>
      <c r="M50" s="15">
        <v>10</v>
      </c>
      <c r="N50" s="15">
        <v>124.12</v>
      </c>
      <c r="O50" s="15"/>
      <c r="P50" s="15" t="s">
        <v>198</v>
      </c>
      <c r="Q50" s="14" t="s">
        <v>199</v>
      </c>
      <c r="R50" t="s">
        <v>187</v>
      </c>
    </row>
    <row r="51" spans="1:18" x14ac:dyDescent="0.3">
      <c r="A51" s="14" t="s">
        <v>181</v>
      </c>
      <c r="B51" s="21">
        <v>46269</v>
      </c>
      <c r="C51" s="21">
        <v>46277</v>
      </c>
      <c r="D51" s="14" t="s">
        <v>182</v>
      </c>
      <c r="E51" s="14" t="s">
        <v>183</v>
      </c>
      <c r="F51" s="14" t="s">
        <v>87</v>
      </c>
      <c r="G51" s="14" t="s">
        <v>184</v>
      </c>
      <c r="H51" s="14">
        <v>24</v>
      </c>
      <c r="I51" s="15">
        <v>860</v>
      </c>
      <c r="J51" s="15">
        <v>1295</v>
      </c>
      <c r="K51" s="15">
        <v>8</v>
      </c>
      <c r="L51" s="15"/>
      <c r="M51" s="15">
        <v>8</v>
      </c>
      <c r="N51" s="15">
        <v>97.04</v>
      </c>
      <c r="O51" s="15"/>
      <c r="P51" s="15" t="s">
        <v>200</v>
      </c>
      <c r="Q51" s="14" t="s">
        <v>201</v>
      </c>
      <c r="R51" t="s">
        <v>187</v>
      </c>
    </row>
    <row r="52" spans="1:18" x14ac:dyDescent="0.3">
      <c r="A52" s="14" t="s">
        <v>181</v>
      </c>
      <c r="B52" s="21">
        <v>46269</v>
      </c>
      <c r="C52" s="21">
        <v>46277</v>
      </c>
      <c r="D52" s="14" t="s">
        <v>182</v>
      </c>
      <c r="E52" s="14" t="s">
        <v>183</v>
      </c>
      <c r="F52" s="14" t="s">
        <v>87</v>
      </c>
      <c r="G52" s="14" t="s">
        <v>184</v>
      </c>
      <c r="H52" s="14">
        <v>24</v>
      </c>
      <c r="I52" s="15">
        <v>1015</v>
      </c>
      <c r="J52" s="15">
        <v>1185</v>
      </c>
      <c r="K52" s="15">
        <v>4</v>
      </c>
      <c r="L52" s="15"/>
      <c r="M52" s="15">
        <v>4</v>
      </c>
      <c r="N52" s="15">
        <v>52.4</v>
      </c>
      <c r="O52" s="15"/>
      <c r="P52" s="15" t="s">
        <v>185</v>
      </c>
      <c r="Q52" s="14" t="s">
        <v>202</v>
      </c>
      <c r="R52" t="s">
        <v>187</v>
      </c>
    </row>
    <row r="53" spans="1:18" x14ac:dyDescent="0.3">
      <c r="A53" s="14" t="s">
        <v>181</v>
      </c>
      <c r="B53" s="21">
        <v>46269</v>
      </c>
      <c r="C53" s="21">
        <v>46277</v>
      </c>
      <c r="D53" s="14" t="s">
        <v>182</v>
      </c>
      <c r="E53" s="14" t="s">
        <v>183</v>
      </c>
      <c r="F53" s="14" t="s">
        <v>87</v>
      </c>
      <c r="G53" s="14" t="s">
        <v>184</v>
      </c>
      <c r="H53" s="14">
        <v>24</v>
      </c>
      <c r="I53" s="15">
        <v>685</v>
      </c>
      <c r="J53" s="15">
        <v>885</v>
      </c>
      <c r="K53" s="15">
        <v>4</v>
      </c>
      <c r="L53" s="15"/>
      <c r="M53" s="15">
        <v>4</v>
      </c>
      <c r="N53" s="15">
        <v>26.41</v>
      </c>
      <c r="O53" s="15"/>
      <c r="P53" s="15" t="s">
        <v>191</v>
      </c>
      <c r="Q53" s="14" t="s">
        <v>203</v>
      </c>
      <c r="R53" t="s">
        <v>187</v>
      </c>
    </row>
    <row r="54" spans="1:18" x14ac:dyDescent="0.3">
      <c r="A54" s="14" t="s">
        <v>181</v>
      </c>
      <c r="B54" s="21">
        <v>46269</v>
      </c>
      <c r="C54" s="21">
        <v>46277</v>
      </c>
      <c r="D54" s="14" t="s">
        <v>182</v>
      </c>
      <c r="E54" s="14" t="s">
        <v>183</v>
      </c>
      <c r="F54" s="14" t="s">
        <v>87</v>
      </c>
      <c r="G54" s="14" t="s">
        <v>184</v>
      </c>
      <c r="H54" s="14">
        <v>24</v>
      </c>
      <c r="I54" s="15">
        <v>535</v>
      </c>
      <c r="J54" s="15">
        <v>885</v>
      </c>
      <c r="K54" s="15">
        <v>2</v>
      </c>
      <c r="L54" s="15"/>
      <c r="M54" s="15">
        <v>2</v>
      </c>
      <c r="N54" s="15">
        <v>10.31</v>
      </c>
      <c r="O54" s="15"/>
      <c r="P54" s="15" t="s">
        <v>191</v>
      </c>
      <c r="Q54" s="14" t="s">
        <v>204</v>
      </c>
      <c r="R54" t="s">
        <v>187</v>
      </c>
    </row>
    <row r="55" spans="1:18" x14ac:dyDescent="0.3">
      <c r="A55" s="14" t="s">
        <v>181</v>
      </c>
      <c r="B55" s="21">
        <v>46269</v>
      </c>
      <c r="C55" s="21">
        <v>46277</v>
      </c>
      <c r="D55" s="14" t="s">
        <v>182</v>
      </c>
      <c r="E55" s="14" t="s">
        <v>183</v>
      </c>
      <c r="F55" s="14" t="s">
        <v>87</v>
      </c>
      <c r="G55" s="14" t="s">
        <v>184</v>
      </c>
      <c r="H55" s="14">
        <v>24</v>
      </c>
      <c r="I55" s="15">
        <v>982</v>
      </c>
      <c r="J55" s="15">
        <v>882</v>
      </c>
      <c r="K55" s="15">
        <v>9</v>
      </c>
      <c r="L55" s="15"/>
      <c r="M55" s="15">
        <v>9</v>
      </c>
      <c r="N55" s="15">
        <v>84.91</v>
      </c>
      <c r="O55" s="15"/>
      <c r="P55" s="15" t="s">
        <v>189</v>
      </c>
      <c r="Q55" s="14" t="s">
        <v>205</v>
      </c>
      <c r="R55" t="s">
        <v>187</v>
      </c>
    </row>
    <row r="56" spans="1:18" x14ac:dyDescent="0.3">
      <c r="A56" s="14" t="s">
        <v>181</v>
      </c>
      <c r="B56" s="21">
        <v>46269</v>
      </c>
      <c r="C56" s="21">
        <v>46277</v>
      </c>
      <c r="D56" s="14" t="s">
        <v>182</v>
      </c>
      <c r="E56" s="14" t="s">
        <v>183</v>
      </c>
      <c r="F56" s="14" t="s">
        <v>87</v>
      </c>
      <c r="G56" s="14" t="s">
        <v>184</v>
      </c>
      <c r="H56" s="14">
        <v>24</v>
      </c>
      <c r="I56" s="15">
        <v>985</v>
      </c>
      <c r="J56" s="15">
        <v>555</v>
      </c>
      <c r="K56" s="15">
        <v>4</v>
      </c>
      <c r="L56" s="15"/>
      <c r="M56" s="15">
        <v>4</v>
      </c>
      <c r="N56" s="15">
        <v>23.82</v>
      </c>
      <c r="O56" s="15"/>
      <c r="P56" s="15" t="s">
        <v>206</v>
      </c>
      <c r="Q56" s="14" t="s">
        <v>207</v>
      </c>
      <c r="R56" t="s">
        <v>187</v>
      </c>
    </row>
    <row r="57" spans="1:18" x14ac:dyDescent="0.3">
      <c r="A57" s="14" t="s">
        <v>181</v>
      </c>
      <c r="B57" s="21">
        <v>46269</v>
      </c>
      <c r="C57" s="21">
        <v>46277</v>
      </c>
      <c r="D57" s="14" t="s">
        <v>182</v>
      </c>
      <c r="E57" s="14" t="s">
        <v>183</v>
      </c>
      <c r="F57" s="14" t="s">
        <v>87</v>
      </c>
      <c r="G57" s="14" t="s">
        <v>184</v>
      </c>
      <c r="H57" s="14">
        <v>24</v>
      </c>
      <c r="I57" s="15">
        <v>685</v>
      </c>
      <c r="J57" s="15">
        <v>555</v>
      </c>
      <c r="K57" s="15">
        <v>2</v>
      </c>
      <c r="L57" s="15"/>
      <c r="M57" s="15">
        <v>2</v>
      </c>
      <c r="N57" s="15">
        <v>8.2799999999999994</v>
      </c>
      <c r="O57" s="15"/>
      <c r="P57" s="15" t="s">
        <v>191</v>
      </c>
      <c r="Q57" s="14" t="s">
        <v>208</v>
      </c>
      <c r="R57" t="s">
        <v>187</v>
      </c>
    </row>
    <row r="58" spans="1:18" x14ac:dyDescent="0.3">
      <c r="A58" s="14" t="s">
        <v>181</v>
      </c>
      <c r="B58" s="21">
        <v>46269</v>
      </c>
      <c r="C58" s="21">
        <v>46277</v>
      </c>
      <c r="D58" s="14" t="s">
        <v>182</v>
      </c>
      <c r="E58" s="14" t="s">
        <v>183</v>
      </c>
      <c r="F58" s="14" t="s">
        <v>87</v>
      </c>
      <c r="G58" s="14" t="s">
        <v>184</v>
      </c>
      <c r="H58" s="14">
        <v>24</v>
      </c>
      <c r="I58" s="15">
        <v>655</v>
      </c>
      <c r="J58" s="15">
        <v>525</v>
      </c>
      <c r="K58" s="15">
        <v>4</v>
      </c>
      <c r="L58" s="15"/>
      <c r="M58" s="15">
        <v>4</v>
      </c>
      <c r="N58" s="15">
        <v>14.98</v>
      </c>
      <c r="O58" s="15"/>
      <c r="P58" s="15" t="s">
        <v>209</v>
      </c>
      <c r="Q58" s="14" t="s">
        <v>210</v>
      </c>
      <c r="R58" t="s">
        <v>187</v>
      </c>
    </row>
    <row r="59" spans="1:18" x14ac:dyDescent="0.3">
      <c r="A59" s="14" t="s">
        <v>181</v>
      </c>
      <c r="B59" s="21">
        <v>46269</v>
      </c>
      <c r="C59" s="21">
        <v>46277</v>
      </c>
      <c r="D59" s="14" t="s">
        <v>182</v>
      </c>
      <c r="E59" s="14" t="s">
        <v>183</v>
      </c>
      <c r="F59" s="14" t="s">
        <v>87</v>
      </c>
      <c r="G59" s="14" t="s">
        <v>184</v>
      </c>
      <c r="H59" s="14">
        <v>24</v>
      </c>
      <c r="I59" s="15">
        <v>525</v>
      </c>
      <c r="J59" s="15">
        <v>525</v>
      </c>
      <c r="K59" s="15">
        <v>20</v>
      </c>
      <c r="L59" s="15"/>
      <c r="M59" s="15">
        <v>20</v>
      </c>
      <c r="N59" s="15">
        <v>60.04</v>
      </c>
      <c r="O59" s="15"/>
      <c r="P59" s="15" t="s">
        <v>211</v>
      </c>
      <c r="Q59" s="14" t="s">
        <v>212</v>
      </c>
      <c r="R59" t="s">
        <v>187</v>
      </c>
    </row>
    <row r="60" spans="1:18" x14ac:dyDescent="0.3">
      <c r="A60" s="14" t="s">
        <v>181</v>
      </c>
      <c r="B60" s="21">
        <v>46269</v>
      </c>
      <c r="C60" s="21">
        <v>46277</v>
      </c>
      <c r="D60" s="14" t="s">
        <v>182</v>
      </c>
      <c r="E60" s="14" t="s">
        <v>183</v>
      </c>
      <c r="F60" s="14" t="s">
        <v>87</v>
      </c>
      <c r="G60" s="14" t="s">
        <v>184</v>
      </c>
      <c r="H60" s="14">
        <v>24</v>
      </c>
      <c r="I60" s="15">
        <v>505</v>
      </c>
      <c r="J60" s="15">
        <v>525</v>
      </c>
      <c r="K60" s="15">
        <v>2</v>
      </c>
      <c r="L60" s="15"/>
      <c r="M60" s="15">
        <v>2</v>
      </c>
      <c r="N60" s="15">
        <v>5.78</v>
      </c>
      <c r="O60" s="15"/>
      <c r="P60" s="15" t="s">
        <v>209</v>
      </c>
      <c r="Q60" s="14" t="s">
        <v>213</v>
      </c>
      <c r="R60" t="s">
        <v>187</v>
      </c>
    </row>
    <row r="61" spans="1:18" x14ac:dyDescent="0.3">
      <c r="A61" s="14" t="s">
        <v>181</v>
      </c>
      <c r="B61" s="21">
        <v>46269</v>
      </c>
      <c r="C61" s="21">
        <v>46277</v>
      </c>
      <c r="D61" s="14" t="s">
        <v>182</v>
      </c>
      <c r="E61" s="14" t="s">
        <v>183</v>
      </c>
      <c r="F61" s="14" t="s">
        <v>87</v>
      </c>
      <c r="G61" s="14" t="s">
        <v>214</v>
      </c>
      <c r="H61" s="14">
        <v>24</v>
      </c>
      <c r="I61" s="15">
        <v>1015</v>
      </c>
      <c r="J61" s="15">
        <v>1785</v>
      </c>
      <c r="K61" s="15">
        <v>8</v>
      </c>
      <c r="L61" s="15"/>
      <c r="M61" s="15">
        <v>8</v>
      </c>
      <c r="N61" s="15">
        <v>157.87</v>
      </c>
      <c r="O61" s="15"/>
      <c r="P61" s="15" t="s">
        <v>185</v>
      </c>
      <c r="Q61" s="14" t="s">
        <v>215</v>
      </c>
      <c r="R61" t="s">
        <v>187</v>
      </c>
    </row>
    <row r="62" spans="1:18" x14ac:dyDescent="0.3">
      <c r="A62" s="14" t="s">
        <v>181</v>
      </c>
      <c r="B62" s="21">
        <v>46269</v>
      </c>
      <c r="C62" s="21">
        <v>46277</v>
      </c>
      <c r="D62" s="14" t="s">
        <v>182</v>
      </c>
      <c r="E62" s="14" t="s">
        <v>183</v>
      </c>
      <c r="F62" s="14" t="s">
        <v>87</v>
      </c>
      <c r="G62" s="14" t="s">
        <v>214</v>
      </c>
      <c r="H62" s="14">
        <v>24</v>
      </c>
      <c r="I62" s="15">
        <v>965</v>
      </c>
      <c r="J62" s="15">
        <v>1785</v>
      </c>
      <c r="K62" s="15">
        <v>2</v>
      </c>
      <c r="L62" s="15"/>
      <c r="M62" s="15">
        <v>2</v>
      </c>
      <c r="N62" s="15">
        <v>37.520000000000003</v>
      </c>
      <c r="O62" s="15"/>
      <c r="P62" s="15" t="s">
        <v>185</v>
      </c>
      <c r="Q62" s="14" t="s">
        <v>216</v>
      </c>
      <c r="R62" t="s">
        <v>187</v>
      </c>
    </row>
    <row r="63" spans="1:18" x14ac:dyDescent="0.3">
      <c r="A63" s="14" t="s">
        <v>181</v>
      </c>
      <c r="B63" s="21">
        <v>46269</v>
      </c>
      <c r="C63" s="21">
        <v>46277</v>
      </c>
      <c r="D63" s="14" t="s">
        <v>182</v>
      </c>
      <c r="E63" s="14" t="s">
        <v>183</v>
      </c>
      <c r="F63" s="14" t="s">
        <v>87</v>
      </c>
      <c r="G63" s="14" t="s">
        <v>214</v>
      </c>
      <c r="H63" s="14">
        <v>24</v>
      </c>
      <c r="I63" s="15">
        <v>732</v>
      </c>
      <c r="J63" s="15">
        <v>1782</v>
      </c>
      <c r="K63" s="15">
        <v>1</v>
      </c>
      <c r="L63" s="15"/>
      <c r="M63" s="15">
        <v>1</v>
      </c>
      <c r="N63" s="15">
        <v>14.21</v>
      </c>
      <c r="O63" s="15"/>
      <c r="P63" s="15" t="s">
        <v>217</v>
      </c>
      <c r="Q63" s="14" t="s">
        <v>218</v>
      </c>
      <c r="R63" t="s">
        <v>187</v>
      </c>
    </row>
    <row r="64" spans="1:18" x14ac:dyDescent="0.3">
      <c r="A64" s="14" t="s">
        <v>181</v>
      </c>
      <c r="B64" s="21">
        <v>46269</v>
      </c>
      <c r="C64" s="21">
        <v>46277</v>
      </c>
      <c r="D64" s="14" t="s">
        <v>182</v>
      </c>
      <c r="E64" s="14" t="s">
        <v>183</v>
      </c>
      <c r="F64" s="14" t="s">
        <v>87</v>
      </c>
      <c r="G64" s="14" t="s">
        <v>214</v>
      </c>
      <c r="H64" s="14">
        <v>24</v>
      </c>
      <c r="I64" s="15">
        <v>982</v>
      </c>
      <c r="J64" s="15">
        <v>1582</v>
      </c>
      <c r="K64" s="15">
        <v>1</v>
      </c>
      <c r="L64" s="15"/>
      <c r="M64" s="15">
        <v>1</v>
      </c>
      <c r="N64" s="15">
        <v>16.920000000000002</v>
      </c>
      <c r="O64" s="15"/>
      <c r="P64" s="15" t="s">
        <v>194</v>
      </c>
      <c r="Q64" s="14" t="s">
        <v>219</v>
      </c>
      <c r="R64" t="s">
        <v>187</v>
      </c>
    </row>
    <row r="65" spans="1:18" x14ac:dyDescent="0.3">
      <c r="A65" s="14" t="s">
        <v>181</v>
      </c>
      <c r="B65" s="21">
        <v>46269</v>
      </c>
      <c r="C65" s="21">
        <v>46277</v>
      </c>
      <c r="D65" s="14" t="s">
        <v>182</v>
      </c>
      <c r="E65" s="14" t="s">
        <v>183</v>
      </c>
      <c r="F65" s="14" t="s">
        <v>87</v>
      </c>
      <c r="G65" s="14" t="s">
        <v>214</v>
      </c>
      <c r="H65" s="14">
        <v>24</v>
      </c>
      <c r="I65" s="15">
        <v>982</v>
      </c>
      <c r="J65" s="15">
        <v>1522</v>
      </c>
      <c r="K65" s="15">
        <v>1</v>
      </c>
      <c r="L65" s="15"/>
      <c r="M65" s="15">
        <v>1</v>
      </c>
      <c r="N65" s="15">
        <v>16.28</v>
      </c>
      <c r="O65" s="15"/>
      <c r="P65" s="15" t="s">
        <v>220</v>
      </c>
      <c r="Q65" s="14" t="s">
        <v>221</v>
      </c>
      <c r="R65" t="s">
        <v>187</v>
      </c>
    </row>
    <row r="66" spans="1:18" x14ac:dyDescent="0.3">
      <c r="A66" s="14" t="s">
        <v>181</v>
      </c>
      <c r="B66" s="21">
        <v>46269</v>
      </c>
      <c r="C66" s="21">
        <v>46277</v>
      </c>
      <c r="D66" s="14" t="s">
        <v>182</v>
      </c>
      <c r="E66" s="14" t="s">
        <v>183</v>
      </c>
      <c r="F66" s="14" t="s">
        <v>87</v>
      </c>
      <c r="G66" s="14" t="s">
        <v>214</v>
      </c>
      <c r="H66" s="14">
        <v>24</v>
      </c>
      <c r="I66" s="15">
        <v>982</v>
      </c>
      <c r="J66" s="15">
        <v>1502</v>
      </c>
      <c r="K66" s="15">
        <v>1</v>
      </c>
      <c r="L66" s="15"/>
      <c r="M66" s="15">
        <v>1</v>
      </c>
      <c r="N66" s="15">
        <v>16.07</v>
      </c>
      <c r="O66" s="15"/>
      <c r="P66" s="15" t="s">
        <v>222</v>
      </c>
      <c r="Q66" s="14" t="s">
        <v>223</v>
      </c>
      <c r="R66" t="s">
        <v>187</v>
      </c>
    </row>
    <row r="67" spans="1:18" x14ac:dyDescent="0.3">
      <c r="A67" s="14" t="s">
        <v>181</v>
      </c>
      <c r="B67" s="21">
        <v>46269</v>
      </c>
      <c r="C67" s="21">
        <v>46277</v>
      </c>
      <c r="D67" s="14" t="s">
        <v>182</v>
      </c>
      <c r="E67" s="14" t="s">
        <v>183</v>
      </c>
      <c r="F67" s="14" t="s">
        <v>87</v>
      </c>
      <c r="G67" s="14" t="s">
        <v>214</v>
      </c>
      <c r="H67" s="14">
        <v>24</v>
      </c>
      <c r="I67" s="15">
        <v>982</v>
      </c>
      <c r="J67" s="15">
        <v>1502</v>
      </c>
      <c r="K67" s="15">
        <v>2</v>
      </c>
      <c r="L67" s="15"/>
      <c r="M67" s="15">
        <v>2</v>
      </c>
      <c r="N67" s="15">
        <v>32.130000000000003</v>
      </c>
      <c r="O67" s="15"/>
      <c r="P67" s="15" t="s">
        <v>224</v>
      </c>
      <c r="Q67" s="14" t="s">
        <v>225</v>
      </c>
      <c r="R67" t="s">
        <v>187</v>
      </c>
    </row>
    <row r="68" spans="1:18" x14ac:dyDescent="0.3">
      <c r="A68" s="14" t="s">
        <v>181</v>
      </c>
      <c r="B68" s="21">
        <v>46269</v>
      </c>
      <c r="C68" s="21">
        <v>46277</v>
      </c>
      <c r="D68" s="14" t="s">
        <v>182</v>
      </c>
      <c r="E68" s="14" t="s">
        <v>183</v>
      </c>
      <c r="F68" s="14" t="s">
        <v>87</v>
      </c>
      <c r="G68" s="14" t="s">
        <v>214</v>
      </c>
      <c r="H68" s="14">
        <v>24</v>
      </c>
      <c r="I68" s="15">
        <v>982</v>
      </c>
      <c r="J68" s="15">
        <v>1492</v>
      </c>
      <c r="K68" s="15">
        <v>1</v>
      </c>
      <c r="L68" s="15"/>
      <c r="M68" s="15">
        <v>1</v>
      </c>
      <c r="N68" s="15">
        <v>15.96</v>
      </c>
      <c r="O68" s="15"/>
      <c r="P68" s="15" t="s">
        <v>226</v>
      </c>
      <c r="Q68" s="14" t="s">
        <v>227</v>
      </c>
      <c r="R68" t="s">
        <v>187</v>
      </c>
    </row>
    <row r="69" spans="1:18" x14ac:dyDescent="0.3">
      <c r="A69" s="14" t="s">
        <v>181</v>
      </c>
      <c r="B69" s="21">
        <v>46269</v>
      </c>
      <c r="C69" s="21">
        <v>46277</v>
      </c>
      <c r="D69" s="14" t="s">
        <v>182</v>
      </c>
      <c r="E69" s="14" t="s">
        <v>183</v>
      </c>
      <c r="F69" s="14" t="s">
        <v>87</v>
      </c>
      <c r="G69" s="14" t="s">
        <v>214</v>
      </c>
      <c r="H69" s="14">
        <v>24</v>
      </c>
      <c r="I69" s="15">
        <v>685</v>
      </c>
      <c r="J69" s="15">
        <v>1485</v>
      </c>
      <c r="K69" s="15">
        <v>4</v>
      </c>
      <c r="L69" s="15"/>
      <c r="M69" s="15">
        <v>4</v>
      </c>
      <c r="N69" s="15">
        <v>44.32</v>
      </c>
      <c r="O69" s="15"/>
      <c r="P69" s="15" t="s">
        <v>191</v>
      </c>
      <c r="Q69" s="14" t="s">
        <v>228</v>
      </c>
      <c r="R69" t="s">
        <v>187</v>
      </c>
    </row>
    <row r="70" spans="1:18" x14ac:dyDescent="0.3">
      <c r="A70" s="14" t="s">
        <v>181</v>
      </c>
      <c r="B70" s="21">
        <v>46269</v>
      </c>
      <c r="C70" s="21">
        <v>46277</v>
      </c>
      <c r="D70" s="14" t="s">
        <v>182</v>
      </c>
      <c r="E70" s="14" t="s">
        <v>183</v>
      </c>
      <c r="F70" s="14" t="s">
        <v>87</v>
      </c>
      <c r="G70" s="14" t="s">
        <v>214</v>
      </c>
      <c r="H70" s="14">
        <v>24</v>
      </c>
      <c r="I70" s="15">
        <v>535</v>
      </c>
      <c r="J70" s="15">
        <v>1485</v>
      </c>
      <c r="K70" s="15">
        <v>2</v>
      </c>
      <c r="L70" s="15"/>
      <c r="M70" s="15">
        <v>2</v>
      </c>
      <c r="N70" s="15">
        <v>17.309999999999999</v>
      </c>
      <c r="O70" s="15"/>
      <c r="P70" s="15" t="s">
        <v>229</v>
      </c>
      <c r="Q70" s="14" t="s">
        <v>230</v>
      </c>
      <c r="R70" t="s">
        <v>187</v>
      </c>
    </row>
    <row r="71" spans="1:18" x14ac:dyDescent="0.3">
      <c r="A71" s="14" t="s">
        <v>181</v>
      </c>
      <c r="B71" s="21">
        <v>46269</v>
      </c>
      <c r="C71" s="21">
        <v>46277</v>
      </c>
      <c r="D71" s="14" t="s">
        <v>182</v>
      </c>
      <c r="E71" s="14" t="s">
        <v>183</v>
      </c>
      <c r="F71" s="14" t="s">
        <v>87</v>
      </c>
      <c r="G71" s="14" t="s">
        <v>214</v>
      </c>
      <c r="H71" s="14">
        <v>24</v>
      </c>
      <c r="I71" s="15">
        <v>982</v>
      </c>
      <c r="J71" s="15">
        <v>1480</v>
      </c>
      <c r="K71" s="15">
        <v>1</v>
      </c>
      <c r="L71" s="15"/>
      <c r="M71" s="15">
        <v>1</v>
      </c>
      <c r="N71" s="15">
        <v>15.83</v>
      </c>
      <c r="O71" s="15"/>
      <c r="P71" s="15" t="s">
        <v>231</v>
      </c>
      <c r="Q71" s="14" t="s">
        <v>232</v>
      </c>
      <c r="R71" t="s">
        <v>187</v>
      </c>
    </row>
    <row r="72" spans="1:18" x14ac:dyDescent="0.3">
      <c r="A72" s="14" t="s">
        <v>181</v>
      </c>
      <c r="B72" s="21">
        <v>46269</v>
      </c>
      <c r="C72" s="21">
        <v>46277</v>
      </c>
      <c r="D72" s="14" t="s">
        <v>182</v>
      </c>
      <c r="E72" s="14" t="s">
        <v>183</v>
      </c>
      <c r="F72" s="14" t="s">
        <v>87</v>
      </c>
      <c r="G72" s="14" t="s">
        <v>214</v>
      </c>
      <c r="H72" s="14">
        <v>24</v>
      </c>
      <c r="I72" s="15">
        <v>1072</v>
      </c>
      <c r="J72" s="15">
        <v>1472</v>
      </c>
      <c r="K72" s="15">
        <v>2</v>
      </c>
      <c r="L72" s="15"/>
      <c r="M72" s="15">
        <v>2</v>
      </c>
      <c r="N72" s="15">
        <v>34.380000000000003</v>
      </c>
      <c r="O72" s="15"/>
      <c r="P72" s="15" t="s">
        <v>217</v>
      </c>
      <c r="Q72" s="14" t="s">
        <v>233</v>
      </c>
      <c r="R72" t="s">
        <v>187</v>
      </c>
    </row>
    <row r="73" spans="1:18" x14ac:dyDescent="0.3">
      <c r="A73" s="14" t="s">
        <v>181</v>
      </c>
      <c r="B73" s="21">
        <v>46269</v>
      </c>
      <c r="C73" s="21">
        <v>46277</v>
      </c>
      <c r="D73" s="14" t="s">
        <v>182</v>
      </c>
      <c r="E73" s="14" t="s">
        <v>183</v>
      </c>
      <c r="F73" s="14" t="s">
        <v>87</v>
      </c>
      <c r="G73" s="14" t="s">
        <v>214</v>
      </c>
      <c r="H73" s="14">
        <v>24</v>
      </c>
      <c r="I73" s="15">
        <v>982</v>
      </c>
      <c r="J73" s="15">
        <v>1472</v>
      </c>
      <c r="K73" s="15">
        <v>1</v>
      </c>
      <c r="L73" s="15"/>
      <c r="M73" s="15">
        <v>1</v>
      </c>
      <c r="N73" s="15">
        <v>15.74</v>
      </c>
      <c r="O73" s="15"/>
      <c r="P73" s="15" t="s">
        <v>234</v>
      </c>
      <c r="Q73" s="14" t="s">
        <v>235</v>
      </c>
      <c r="R73" t="s">
        <v>187</v>
      </c>
    </row>
    <row r="74" spans="1:18" x14ac:dyDescent="0.3">
      <c r="A74" s="14" t="s">
        <v>181</v>
      </c>
      <c r="B74" s="21">
        <v>46269</v>
      </c>
      <c r="C74" s="21">
        <v>46277</v>
      </c>
      <c r="D74" s="14" t="s">
        <v>182</v>
      </c>
      <c r="E74" s="14" t="s">
        <v>183</v>
      </c>
      <c r="F74" s="14" t="s">
        <v>87</v>
      </c>
      <c r="G74" s="14" t="s">
        <v>214</v>
      </c>
      <c r="H74" s="14">
        <v>24</v>
      </c>
      <c r="I74" s="15">
        <v>982</v>
      </c>
      <c r="J74" s="15">
        <v>1472</v>
      </c>
      <c r="K74" s="15">
        <v>3</v>
      </c>
      <c r="L74" s="15"/>
      <c r="M74" s="15">
        <v>3</v>
      </c>
      <c r="N74" s="15">
        <v>47.23</v>
      </c>
      <c r="O74" s="15"/>
      <c r="P74" s="15" t="s">
        <v>236</v>
      </c>
      <c r="Q74" s="14" t="s">
        <v>237</v>
      </c>
      <c r="R74" t="s">
        <v>187</v>
      </c>
    </row>
    <row r="75" spans="1:18" x14ac:dyDescent="0.3">
      <c r="A75" s="14" t="s">
        <v>181</v>
      </c>
      <c r="B75" s="21">
        <v>46269</v>
      </c>
      <c r="C75" s="21">
        <v>46277</v>
      </c>
      <c r="D75" s="14" t="s">
        <v>182</v>
      </c>
      <c r="E75" s="14" t="s">
        <v>183</v>
      </c>
      <c r="F75" s="14" t="s">
        <v>87</v>
      </c>
      <c r="G75" s="14" t="s">
        <v>214</v>
      </c>
      <c r="H75" s="14">
        <v>24</v>
      </c>
      <c r="I75" s="15">
        <v>832</v>
      </c>
      <c r="J75" s="15">
        <v>1472</v>
      </c>
      <c r="K75" s="15">
        <v>1</v>
      </c>
      <c r="L75" s="15"/>
      <c r="M75" s="15">
        <v>1</v>
      </c>
      <c r="N75" s="15">
        <v>13.34</v>
      </c>
      <c r="O75" s="15"/>
      <c r="P75" s="15" t="s">
        <v>217</v>
      </c>
      <c r="Q75" s="14" t="s">
        <v>238</v>
      </c>
      <c r="R75" t="s">
        <v>187</v>
      </c>
    </row>
    <row r="76" spans="1:18" x14ac:dyDescent="0.3">
      <c r="A76" s="14" t="s">
        <v>181</v>
      </c>
      <c r="B76" s="21">
        <v>46269</v>
      </c>
      <c r="C76" s="21">
        <v>46277</v>
      </c>
      <c r="D76" s="14" t="s">
        <v>182</v>
      </c>
      <c r="E76" s="14" t="s">
        <v>183</v>
      </c>
      <c r="F76" s="14" t="s">
        <v>87</v>
      </c>
      <c r="G76" s="14" t="s">
        <v>214</v>
      </c>
      <c r="H76" s="14">
        <v>24</v>
      </c>
      <c r="I76" s="15">
        <v>832</v>
      </c>
      <c r="J76" s="15">
        <v>882</v>
      </c>
      <c r="K76" s="15">
        <v>1</v>
      </c>
      <c r="L76" s="15"/>
      <c r="M76" s="15">
        <v>1</v>
      </c>
      <c r="N76" s="15">
        <v>7.99</v>
      </c>
      <c r="O76" s="15"/>
      <c r="P76" s="15" t="s">
        <v>217</v>
      </c>
      <c r="Q76" s="14" t="s">
        <v>239</v>
      </c>
      <c r="R76" t="s">
        <v>187</v>
      </c>
    </row>
    <row r="77" spans="1:18" x14ac:dyDescent="0.3">
      <c r="A77" s="14" t="s">
        <v>240</v>
      </c>
      <c r="B77" s="21">
        <v>46262</v>
      </c>
      <c r="C77" s="21">
        <v>46302</v>
      </c>
      <c r="D77" s="14" t="s">
        <v>129</v>
      </c>
      <c r="E77" s="14" t="s">
        <v>130</v>
      </c>
      <c r="F77" s="14" t="s">
        <v>87</v>
      </c>
      <c r="G77" s="14" t="s">
        <v>241</v>
      </c>
      <c r="H77" s="14">
        <v>22</v>
      </c>
      <c r="I77" s="15">
        <v>1719</v>
      </c>
      <c r="J77" s="15">
        <v>1820</v>
      </c>
      <c r="K77" s="15">
        <v>15</v>
      </c>
      <c r="L77" s="15"/>
      <c r="M77" s="15">
        <v>15</v>
      </c>
      <c r="N77" s="15">
        <v>511.16</v>
      </c>
      <c r="O77" s="15"/>
      <c r="P77" s="15" t="s">
        <v>242</v>
      </c>
      <c r="Q77" s="14" t="s">
        <v>243</v>
      </c>
      <c r="R77" t="s">
        <v>244</v>
      </c>
    </row>
    <row r="78" spans="1:18" x14ac:dyDescent="0.3">
      <c r="A78" s="14" t="s">
        <v>240</v>
      </c>
      <c r="B78" s="21">
        <v>46262</v>
      </c>
      <c r="C78" s="21">
        <v>46302</v>
      </c>
      <c r="D78" s="14" t="s">
        <v>129</v>
      </c>
      <c r="E78" s="14" t="s">
        <v>130</v>
      </c>
      <c r="F78" s="14" t="s">
        <v>87</v>
      </c>
      <c r="G78" s="14" t="s">
        <v>241</v>
      </c>
      <c r="H78" s="14">
        <v>22</v>
      </c>
      <c r="I78" s="15">
        <v>763</v>
      </c>
      <c r="J78" s="15">
        <v>1820</v>
      </c>
      <c r="K78" s="15">
        <v>30</v>
      </c>
      <c r="L78" s="15"/>
      <c r="M78" s="15">
        <v>30</v>
      </c>
      <c r="N78" s="15">
        <v>453.77</v>
      </c>
      <c r="O78" s="15"/>
      <c r="P78" s="15" t="s">
        <v>245</v>
      </c>
      <c r="Q78" s="14" t="s">
        <v>246</v>
      </c>
      <c r="R78" t="s">
        <v>244</v>
      </c>
    </row>
    <row r="79" spans="1:18" x14ac:dyDescent="0.3">
      <c r="A79" s="14" t="s">
        <v>240</v>
      </c>
      <c r="B79" s="21">
        <v>46262</v>
      </c>
      <c r="C79" s="21">
        <v>46302</v>
      </c>
      <c r="D79" s="14" t="s">
        <v>129</v>
      </c>
      <c r="E79" s="14" t="s">
        <v>130</v>
      </c>
      <c r="F79" s="14" t="s">
        <v>87</v>
      </c>
      <c r="G79" s="14" t="s">
        <v>241</v>
      </c>
      <c r="H79" s="14">
        <v>22</v>
      </c>
      <c r="I79" s="15">
        <v>755</v>
      </c>
      <c r="J79" s="15">
        <v>950</v>
      </c>
      <c r="K79" s="15">
        <v>60</v>
      </c>
      <c r="L79" s="15"/>
      <c r="M79" s="15">
        <v>60</v>
      </c>
      <c r="N79" s="15">
        <v>468.74</v>
      </c>
      <c r="O79" s="15"/>
      <c r="P79" s="15" t="s">
        <v>247</v>
      </c>
      <c r="Q79" s="14" t="s">
        <v>248</v>
      </c>
      <c r="R79" t="s">
        <v>244</v>
      </c>
    </row>
    <row r="80" spans="1:18" x14ac:dyDescent="0.3">
      <c r="A80" s="14" t="s">
        <v>240</v>
      </c>
      <c r="B80" s="21">
        <v>46262</v>
      </c>
      <c r="C80" s="21">
        <v>46302</v>
      </c>
      <c r="D80" s="14" t="s">
        <v>129</v>
      </c>
      <c r="E80" s="14" t="s">
        <v>130</v>
      </c>
      <c r="F80" s="14" t="s">
        <v>87</v>
      </c>
      <c r="G80" s="14" t="s">
        <v>241</v>
      </c>
      <c r="H80" s="14">
        <v>22</v>
      </c>
      <c r="I80" s="15">
        <v>455</v>
      </c>
      <c r="J80" s="15">
        <v>950</v>
      </c>
      <c r="K80" s="15">
        <v>40</v>
      </c>
      <c r="L80" s="15"/>
      <c r="M80" s="15">
        <v>40</v>
      </c>
      <c r="N80" s="15">
        <v>188.33</v>
      </c>
      <c r="O80" s="15"/>
      <c r="P80" s="15" t="s">
        <v>249</v>
      </c>
      <c r="Q80" s="14" t="s">
        <v>250</v>
      </c>
      <c r="R80" t="s">
        <v>244</v>
      </c>
    </row>
    <row r="81" spans="1:18" x14ac:dyDescent="0.3">
      <c r="A81" s="14" t="s">
        <v>240</v>
      </c>
      <c r="B81" s="21">
        <v>46262</v>
      </c>
      <c r="C81" s="21">
        <v>46302</v>
      </c>
      <c r="D81" s="14" t="s">
        <v>129</v>
      </c>
      <c r="E81" s="14" t="s">
        <v>130</v>
      </c>
      <c r="F81" s="14" t="s">
        <v>87</v>
      </c>
      <c r="G81" s="14" t="s">
        <v>241</v>
      </c>
      <c r="H81" s="14">
        <v>22</v>
      </c>
      <c r="I81" s="15">
        <v>305</v>
      </c>
      <c r="J81" s="15">
        <v>950</v>
      </c>
      <c r="K81" s="15">
        <v>40</v>
      </c>
      <c r="L81" s="15"/>
      <c r="M81" s="15">
        <v>40</v>
      </c>
      <c r="N81" s="15">
        <v>126.24</v>
      </c>
      <c r="O81" s="15"/>
      <c r="P81" s="15" t="s">
        <v>251</v>
      </c>
      <c r="Q81" s="14" t="s">
        <v>252</v>
      </c>
      <c r="R81" t="s">
        <v>244</v>
      </c>
    </row>
    <row r="82" spans="1:18" x14ac:dyDescent="0.3">
      <c r="A82" s="14" t="s">
        <v>240</v>
      </c>
      <c r="B82" s="21">
        <v>46262</v>
      </c>
      <c r="C82" s="21">
        <v>46302</v>
      </c>
      <c r="D82" s="14" t="s">
        <v>129</v>
      </c>
      <c r="E82" s="14" t="s">
        <v>130</v>
      </c>
      <c r="F82" s="14" t="s">
        <v>87</v>
      </c>
      <c r="G82" s="14" t="s">
        <v>241</v>
      </c>
      <c r="H82" s="14">
        <v>22</v>
      </c>
      <c r="I82" s="15">
        <v>405</v>
      </c>
      <c r="J82" s="15">
        <v>900</v>
      </c>
      <c r="K82" s="15">
        <v>30</v>
      </c>
      <c r="L82" s="15"/>
      <c r="M82" s="15">
        <v>30</v>
      </c>
      <c r="N82" s="15">
        <v>119.11</v>
      </c>
      <c r="O82" s="15"/>
      <c r="P82" s="15" t="s">
        <v>253</v>
      </c>
      <c r="Q82" s="14" t="s">
        <v>254</v>
      </c>
      <c r="R82" t="s">
        <v>244</v>
      </c>
    </row>
    <row r="83" spans="1:18" x14ac:dyDescent="0.3">
      <c r="A83" s="14" t="s">
        <v>240</v>
      </c>
      <c r="B83" s="21">
        <v>46262</v>
      </c>
      <c r="C83" s="21">
        <v>46302</v>
      </c>
      <c r="D83" s="14" t="s">
        <v>129</v>
      </c>
      <c r="E83" s="14" t="s">
        <v>130</v>
      </c>
      <c r="F83" s="14" t="s">
        <v>87</v>
      </c>
      <c r="G83" s="14" t="s">
        <v>255</v>
      </c>
      <c r="H83" s="14">
        <v>22</v>
      </c>
      <c r="I83" s="15">
        <v>1719</v>
      </c>
      <c r="J83" s="15">
        <v>1820</v>
      </c>
      <c r="K83" s="15">
        <v>15</v>
      </c>
      <c r="L83" s="15"/>
      <c r="M83" s="15">
        <v>15</v>
      </c>
      <c r="N83" s="15">
        <v>511.16</v>
      </c>
      <c r="O83" s="15"/>
      <c r="P83" s="15" t="s">
        <v>256</v>
      </c>
      <c r="Q83" s="14" t="s">
        <v>257</v>
      </c>
      <c r="R83" t="s">
        <v>244</v>
      </c>
    </row>
    <row r="84" spans="1:18" x14ac:dyDescent="0.3">
      <c r="A84" s="14" t="s">
        <v>240</v>
      </c>
      <c r="B84" s="21">
        <v>46262</v>
      </c>
      <c r="C84" s="21">
        <v>46302</v>
      </c>
      <c r="D84" s="14" t="s">
        <v>129</v>
      </c>
      <c r="E84" s="14" t="s">
        <v>130</v>
      </c>
      <c r="F84" s="14" t="s">
        <v>87</v>
      </c>
      <c r="G84" s="14" t="s">
        <v>255</v>
      </c>
      <c r="H84" s="14">
        <v>22</v>
      </c>
      <c r="I84" s="15">
        <v>763</v>
      </c>
      <c r="J84" s="15">
        <v>1820</v>
      </c>
      <c r="K84" s="15">
        <v>30</v>
      </c>
      <c r="L84" s="15"/>
      <c r="M84" s="15">
        <v>30</v>
      </c>
      <c r="N84" s="15">
        <v>453.77</v>
      </c>
      <c r="O84" s="15"/>
      <c r="P84" s="15" t="s">
        <v>258</v>
      </c>
      <c r="Q84" s="14" t="s">
        <v>259</v>
      </c>
      <c r="R84" t="s">
        <v>244</v>
      </c>
    </row>
    <row r="85" spans="1:18" x14ac:dyDescent="0.3">
      <c r="A85" s="14" t="s">
        <v>240</v>
      </c>
      <c r="B85" s="21">
        <v>46262</v>
      </c>
      <c r="C85" s="21">
        <v>46302</v>
      </c>
      <c r="D85" s="14" t="s">
        <v>129</v>
      </c>
      <c r="E85" s="14" t="s">
        <v>130</v>
      </c>
      <c r="F85" s="14" t="s">
        <v>87</v>
      </c>
      <c r="G85" s="14" t="s">
        <v>255</v>
      </c>
      <c r="H85" s="14">
        <v>22</v>
      </c>
      <c r="I85" s="15">
        <v>755</v>
      </c>
      <c r="J85" s="15">
        <v>950</v>
      </c>
      <c r="K85" s="15">
        <v>60</v>
      </c>
      <c r="L85" s="15"/>
      <c r="M85" s="15">
        <v>60</v>
      </c>
      <c r="N85" s="15">
        <v>468.74</v>
      </c>
      <c r="O85" s="15"/>
      <c r="P85" s="15" t="s">
        <v>260</v>
      </c>
      <c r="Q85" s="14" t="s">
        <v>261</v>
      </c>
      <c r="R85" t="s">
        <v>244</v>
      </c>
    </row>
    <row r="86" spans="1:18" x14ac:dyDescent="0.3">
      <c r="A86" s="14" t="s">
        <v>240</v>
      </c>
      <c r="B86" s="21">
        <v>46262</v>
      </c>
      <c r="C86" s="21">
        <v>46302</v>
      </c>
      <c r="D86" s="14" t="s">
        <v>129</v>
      </c>
      <c r="E86" s="14" t="s">
        <v>130</v>
      </c>
      <c r="F86" s="14" t="s">
        <v>87</v>
      </c>
      <c r="G86" s="14" t="s">
        <v>255</v>
      </c>
      <c r="H86" s="14">
        <v>22</v>
      </c>
      <c r="I86" s="15">
        <v>455</v>
      </c>
      <c r="J86" s="15">
        <v>950</v>
      </c>
      <c r="K86" s="15">
        <v>40</v>
      </c>
      <c r="L86" s="15"/>
      <c r="M86" s="15">
        <v>40</v>
      </c>
      <c r="N86" s="15">
        <v>188.33</v>
      </c>
      <c r="O86" s="15"/>
      <c r="P86" s="15" t="s">
        <v>262</v>
      </c>
      <c r="Q86" s="14" t="s">
        <v>263</v>
      </c>
      <c r="R86" t="s">
        <v>244</v>
      </c>
    </row>
    <row r="87" spans="1:18" x14ac:dyDescent="0.3">
      <c r="A87" s="14" t="s">
        <v>240</v>
      </c>
      <c r="B87" s="21">
        <v>46262</v>
      </c>
      <c r="C87" s="21">
        <v>46302</v>
      </c>
      <c r="D87" s="14" t="s">
        <v>129</v>
      </c>
      <c r="E87" s="14" t="s">
        <v>130</v>
      </c>
      <c r="F87" s="14" t="s">
        <v>87</v>
      </c>
      <c r="G87" s="14" t="s">
        <v>255</v>
      </c>
      <c r="H87" s="14">
        <v>22</v>
      </c>
      <c r="I87" s="15">
        <v>305</v>
      </c>
      <c r="J87" s="15">
        <v>950</v>
      </c>
      <c r="K87" s="15">
        <v>40</v>
      </c>
      <c r="L87" s="15"/>
      <c r="M87" s="15">
        <v>40</v>
      </c>
      <c r="N87" s="15">
        <v>126.24</v>
      </c>
      <c r="O87" s="15"/>
      <c r="P87" s="15" t="s">
        <v>264</v>
      </c>
      <c r="Q87" s="14" t="s">
        <v>265</v>
      </c>
      <c r="R87" t="s">
        <v>244</v>
      </c>
    </row>
    <row r="88" spans="1:18" x14ac:dyDescent="0.3">
      <c r="A88" s="14" t="s">
        <v>240</v>
      </c>
      <c r="B88" s="21">
        <v>46262</v>
      </c>
      <c r="C88" s="21">
        <v>46302</v>
      </c>
      <c r="D88" s="14" t="s">
        <v>129</v>
      </c>
      <c r="E88" s="14" t="s">
        <v>130</v>
      </c>
      <c r="F88" s="14" t="s">
        <v>87</v>
      </c>
      <c r="G88" s="14" t="s">
        <v>255</v>
      </c>
      <c r="H88" s="14">
        <v>22</v>
      </c>
      <c r="I88" s="15">
        <v>405</v>
      </c>
      <c r="J88" s="15">
        <v>900</v>
      </c>
      <c r="K88" s="15">
        <v>30</v>
      </c>
      <c r="L88" s="15"/>
      <c r="M88" s="15">
        <v>30</v>
      </c>
      <c r="N88" s="15">
        <v>119.11</v>
      </c>
      <c r="O88" s="15"/>
      <c r="P88" s="15" t="s">
        <v>266</v>
      </c>
      <c r="Q88" s="14" t="s">
        <v>267</v>
      </c>
      <c r="R88" t="s">
        <v>244</v>
      </c>
    </row>
    <row r="89" spans="1:18" x14ac:dyDescent="0.3">
      <c r="A89" s="14" t="s">
        <v>240</v>
      </c>
      <c r="B89" s="21">
        <v>46262</v>
      </c>
      <c r="C89" s="21">
        <v>46302</v>
      </c>
      <c r="D89" s="14" t="s">
        <v>129</v>
      </c>
      <c r="E89" s="14" t="s">
        <v>130</v>
      </c>
      <c r="F89" s="14" t="s">
        <v>87</v>
      </c>
      <c r="G89" s="14" t="s">
        <v>268</v>
      </c>
      <c r="H89" s="14">
        <v>22</v>
      </c>
      <c r="I89" s="15">
        <v>705</v>
      </c>
      <c r="J89" s="15">
        <v>1820</v>
      </c>
      <c r="K89" s="15">
        <v>20</v>
      </c>
      <c r="L89" s="15"/>
      <c r="M89" s="15">
        <v>20</v>
      </c>
      <c r="N89" s="15">
        <v>279.52</v>
      </c>
      <c r="O89" s="15"/>
      <c r="P89" s="15" t="s">
        <v>269</v>
      </c>
      <c r="Q89" s="14" t="s">
        <v>270</v>
      </c>
      <c r="R89" t="s">
        <v>244</v>
      </c>
    </row>
    <row r="90" spans="1:18" x14ac:dyDescent="0.3">
      <c r="A90" s="14" t="s">
        <v>240</v>
      </c>
      <c r="B90" s="21">
        <v>46262</v>
      </c>
      <c r="C90" s="21">
        <v>46302</v>
      </c>
      <c r="D90" s="14" t="s">
        <v>129</v>
      </c>
      <c r="E90" s="14" t="s">
        <v>130</v>
      </c>
      <c r="F90" s="14" t="s">
        <v>87</v>
      </c>
      <c r="G90" s="14" t="s">
        <v>268</v>
      </c>
      <c r="H90" s="14">
        <v>22</v>
      </c>
      <c r="I90" s="15">
        <v>405</v>
      </c>
      <c r="J90" s="15">
        <v>950</v>
      </c>
      <c r="K90" s="15">
        <v>30</v>
      </c>
      <c r="L90" s="15"/>
      <c r="M90" s="15">
        <v>30</v>
      </c>
      <c r="N90" s="15">
        <v>125.72</v>
      </c>
      <c r="O90" s="15"/>
      <c r="P90" s="15" t="s">
        <v>271</v>
      </c>
      <c r="Q90" s="14" t="s">
        <v>272</v>
      </c>
      <c r="R90" t="s">
        <v>244</v>
      </c>
    </row>
    <row r="91" spans="1:18" x14ac:dyDescent="0.3">
      <c r="A91" s="14" t="s">
        <v>273</v>
      </c>
      <c r="B91" s="21">
        <v>46262</v>
      </c>
      <c r="C91" s="21">
        <v>46302</v>
      </c>
      <c r="D91" s="14" t="s">
        <v>129</v>
      </c>
      <c r="E91" s="14" t="s">
        <v>130</v>
      </c>
      <c r="F91" s="14" t="s">
        <v>87</v>
      </c>
      <c r="G91" s="14" t="s">
        <v>241</v>
      </c>
      <c r="H91" s="14">
        <v>22</v>
      </c>
      <c r="I91" s="15">
        <v>1719</v>
      </c>
      <c r="J91" s="15">
        <v>1820</v>
      </c>
      <c r="K91" s="15">
        <v>10</v>
      </c>
      <c r="L91" s="15"/>
      <c r="M91" s="15">
        <v>10</v>
      </c>
      <c r="N91" s="15">
        <v>340.77</v>
      </c>
      <c r="O91" s="15"/>
      <c r="P91" s="15" t="s">
        <v>274</v>
      </c>
      <c r="Q91" s="14" t="s">
        <v>275</v>
      </c>
      <c r="R91" t="s">
        <v>276</v>
      </c>
    </row>
    <row r="92" spans="1:18" x14ac:dyDescent="0.3">
      <c r="A92" s="14" t="s">
        <v>273</v>
      </c>
      <c r="B92" s="21">
        <v>46262</v>
      </c>
      <c r="C92" s="21">
        <v>46302</v>
      </c>
      <c r="D92" s="14" t="s">
        <v>129</v>
      </c>
      <c r="E92" s="14" t="s">
        <v>130</v>
      </c>
      <c r="F92" s="14" t="s">
        <v>87</v>
      </c>
      <c r="G92" s="14" t="s">
        <v>241</v>
      </c>
      <c r="H92" s="14">
        <v>22</v>
      </c>
      <c r="I92" s="15">
        <v>763</v>
      </c>
      <c r="J92" s="15">
        <v>1820</v>
      </c>
      <c r="K92" s="15">
        <v>20</v>
      </c>
      <c r="L92" s="15"/>
      <c r="M92" s="15">
        <v>20</v>
      </c>
      <c r="N92" s="15">
        <v>302.51</v>
      </c>
      <c r="O92" s="15"/>
      <c r="P92" s="15" t="s">
        <v>277</v>
      </c>
      <c r="Q92" s="14" t="s">
        <v>278</v>
      </c>
      <c r="R92" t="s">
        <v>276</v>
      </c>
    </row>
    <row r="93" spans="1:18" x14ac:dyDescent="0.3">
      <c r="A93" s="14" t="s">
        <v>273</v>
      </c>
      <c r="B93" s="21">
        <v>46262</v>
      </c>
      <c r="C93" s="21">
        <v>46302</v>
      </c>
      <c r="D93" s="14" t="s">
        <v>129</v>
      </c>
      <c r="E93" s="14" t="s">
        <v>130</v>
      </c>
      <c r="F93" s="14" t="s">
        <v>87</v>
      </c>
      <c r="G93" s="14" t="s">
        <v>241</v>
      </c>
      <c r="H93" s="14">
        <v>22</v>
      </c>
      <c r="I93" s="15">
        <v>405</v>
      </c>
      <c r="J93" s="15">
        <v>1310</v>
      </c>
      <c r="K93" s="15">
        <v>10</v>
      </c>
      <c r="L93" s="15"/>
      <c r="M93" s="15">
        <v>10</v>
      </c>
      <c r="N93" s="15">
        <v>57.79</v>
      </c>
      <c r="O93" s="15"/>
      <c r="P93" s="15" t="s">
        <v>279</v>
      </c>
      <c r="Q93" s="14" t="s">
        <v>280</v>
      </c>
      <c r="R93" t="s">
        <v>276</v>
      </c>
    </row>
    <row r="94" spans="1:18" x14ac:dyDescent="0.3">
      <c r="A94" s="14" t="s">
        <v>273</v>
      </c>
      <c r="B94" s="21">
        <v>46262</v>
      </c>
      <c r="C94" s="21">
        <v>46302</v>
      </c>
      <c r="D94" s="14" t="s">
        <v>129</v>
      </c>
      <c r="E94" s="14" t="s">
        <v>130</v>
      </c>
      <c r="F94" s="14" t="s">
        <v>87</v>
      </c>
      <c r="G94" s="14" t="s">
        <v>241</v>
      </c>
      <c r="H94" s="14">
        <v>22</v>
      </c>
      <c r="I94" s="15">
        <v>755</v>
      </c>
      <c r="J94" s="15">
        <v>950</v>
      </c>
      <c r="K94" s="15">
        <v>40</v>
      </c>
      <c r="L94" s="15"/>
      <c r="M94" s="15">
        <v>40</v>
      </c>
      <c r="N94" s="15">
        <v>312.5</v>
      </c>
      <c r="O94" s="15"/>
      <c r="P94" s="15" t="s">
        <v>281</v>
      </c>
      <c r="Q94" s="14" t="s">
        <v>282</v>
      </c>
      <c r="R94" t="s">
        <v>276</v>
      </c>
    </row>
    <row r="95" spans="1:18" x14ac:dyDescent="0.3">
      <c r="A95" s="14" t="s">
        <v>273</v>
      </c>
      <c r="B95" s="21">
        <v>46262</v>
      </c>
      <c r="C95" s="21">
        <v>46302</v>
      </c>
      <c r="D95" s="14" t="s">
        <v>129</v>
      </c>
      <c r="E95" s="14" t="s">
        <v>130</v>
      </c>
      <c r="F95" s="14" t="s">
        <v>87</v>
      </c>
      <c r="G95" s="14" t="s">
        <v>241</v>
      </c>
      <c r="H95" s="14">
        <v>22</v>
      </c>
      <c r="I95" s="15">
        <v>455</v>
      </c>
      <c r="J95" s="15">
        <v>950</v>
      </c>
      <c r="K95" s="15">
        <v>20</v>
      </c>
      <c r="L95" s="15"/>
      <c r="M95" s="15">
        <v>20</v>
      </c>
      <c r="N95" s="15">
        <v>94.16</v>
      </c>
      <c r="O95" s="15"/>
      <c r="P95" s="15" t="s">
        <v>283</v>
      </c>
      <c r="Q95" s="14" t="s">
        <v>284</v>
      </c>
      <c r="R95" t="s">
        <v>276</v>
      </c>
    </row>
    <row r="96" spans="1:18" x14ac:dyDescent="0.3">
      <c r="A96" s="14" t="s">
        <v>273</v>
      </c>
      <c r="B96" s="21">
        <v>46262</v>
      </c>
      <c r="C96" s="21">
        <v>46302</v>
      </c>
      <c r="D96" s="14" t="s">
        <v>129</v>
      </c>
      <c r="E96" s="14" t="s">
        <v>130</v>
      </c>
      <c r="F96" s="14" t="s">
        <v>87</v>
      </c>
      <c r="G96" s="14" t="s">
        <v>241</v>
      </c>
      <c r="H96" s="14">
        <v>22</v>
      </c>
      <c r="I96" s="15">
        <v>305</v>
      </c>
      <c r="J96" s="15">
        <v>950</v>
      </c>
      <c r="K96" s="15">
        <v>30</v>
      </c>
      <c r="L96" s="15"/>
      <c r="M96" s="15">
        <v>30</v>
      </c>
      <c r="N96" s="15">
        <v>94.68</v>
      </c>
      <c r="O96" s="15"/>
      <c r="P96" s="15" t="s">
        <v>285</v>
      </c>
      <c r="Q96" s="14" t="s">
        <v>286</v>
      </c>
      <c r="R96" t="s">
        <v>276</v>
      </c>
    </row>
    <row r="97" spans="1:18" x14ac:dyDescent="0.3">
      <c r="A97" s="14" t="s">
        <v>273</v>
      </c>
      <c r="B97" s="21">
        <v>46262</v>
      </c>
      <c r="C97" s="21">
        <v>46302</v>
      </c>
      <c r="D97" s="14" t="s">
        <v>129</v>
      </c>
      <c r="E97" s="14" t="s">
        <v>130</v>
      </c>
      <c r="F97" s="14" t="s">
        <v>87</v>
      </c>
      <c r="G97" s="14" t="s">
        <v>241</v>
      </c>
      <c r="H97" s="14">
        <v>22</v>
      </c>
      <c r="I97" s="15">
        <v>405</v>
      </c>
      <c r="J97" s="15">
        <v>900</v>
      </c>
      <c r="K97" s="15">
        <v>20</v>
      </c>
      <c r="L97" s="15"/>
      <c r="M97" s="15">
        <v>20</v>
      </c>
      <c r="N97" s="15">
        <v>79.400000000000006</v>
      </c>
      <c r="O97" s="15"/>
      <c r="P97" s="15" t="s">
        <v>287</v>
      </c>
      <c r="Q97" s="14" t="s">
        <v>288</v>
      </c>
      <c r="R97" t="s">
        <v>276</v>
      </c>
    </row>
    <row r="98" spans="1:18" x14ac:dyDescent="0.3">
      <c r="A98" s="14" t="s">
        <v>273</v>
      </c>
      <c r="B98" s="21">
        <v>46262</v>
      </c>
      <c r="C98" s="21">
        <v>46302</v>
      </c>
      <c r="D98" s="14" t="s">
        <v>129</v>
      </c>
      <c r="E98" s="14" t="s">
        <v>130</v>
      </c>
      <c r="F98" s="14" t="s">
        <v>87</v>
      </c>
      <c r="G98" s="14" t="s">
        <v>255</v>
      </c>
      <c r="H98" s="14">
        <v>22</v>
      </c>
      <c r="I98" s="15">
        <v>1719</v>
      </c>
      <c r="J98" s="15">
        <v>1820</v>
      </c>
      <c r="K98" s="15">
        <v>10</v>
      </c>
      <c r="L98" s="15"/>
      <c r="M98" s="15">
        <v>10</v>
      </c>
      <c r="N98" s="15">
        <v>340.77</v>
      </c>
      <c r="O98" s="15"/>
      <c r="P98" s="15" t="s">
        <v>289</v>
      </c>
      <c r="Q98" s="14" t="s">
        <v>290</v>
      </c>
      <c r="R98" t="s">
        <v>276</v>
      </c>
    </row>
    <row r="99" spans="1:18" x14ac:dyDescent="0.3">
      <c r="A99" s="14" t="s">
        <v>273</v>
      </c>
      <c r="B99" s="21">
        <v>46262</v>
      </c>
      <c r="C99" s="21">
        <v>46302</v>
      </c>
      <c r="D99" s="14" t="s">
        <v>129</v>
      </c>
      <c r="E99" s="14" t="s">
        <v>130</v>
      </c>
      <c r="F99" s="14" t="s">
        <v>87</v>
      </c>
      <c r="G99" s="14" t="s">
        <v>255</v>
      </c>
      <c r="H99" s="14">
        <v>22</v>
      </c>
      <c r="I99" s="15">
        <v>763</v>
      </c>
      <c r="J99" s="15">
        <v>1820</v>
      </c>
      <c r="K99" s="15">
        <v>20</v>
      </c>
      <c r="L99" s="15"/>
      <c r="M99" s="15">
        <v>20</v>
      </c>
      <c r="N99" s="15">
        <v>302.51</v>
      </c>
      <c r="O99" s="15"/>
      <c r="P99" s="15" t="s">
        <v>291</v>
      </c>
      <c r="Q99" s="14" t="s">
        <v>292</v>
      </c>
      <c r="R99" t="s">
        <v>276</v>
      </c>
    </row>
    <row r="100" spans="1:18" x14ac:dyDescent="0.3">
      <c r="A100" s="14" t="s">
        <v>273</v>
      </c>
      <c r="B100" s="21">
        <v>46262</v>
      </c>
      <c r="C100" s="21">
        <v>46302</v>
      </c>
      <c r="D100" s="14" t="s">
        <v>129</v>
      </c>
      <c r="E100" s="14" t="s">
        <v>130</v>
      </c>
      <c r="F100" s="14" t="s">
        <v>87</v>
      </c>
      <c r="G100" s="14" t="s">
        <v>255</v>
      </c>
      <c r="H100" s="14">
        <v>22</v>
      </c>
      <c r="I100" s="15">
        <v>405</v>
      </c>
      <c r="J100" s="15">
        <v>1310</v>
      </c>
      <c r="K100" s="15">
        <v>10</v>
      </c>
      <c r="L100" s="15"/>
      <c r="M100" s="15">
        <v>10</v>
      </c>
      <c r="N100" s="15">
        <v>57.79</v>
      </c>
      <c r="O100" s="15"/>
      <c r="P100" s="15" t="s">
        <v>293</v>
      </c>
      <c r="Q100" s="14" t="s">
        <v>294</v>
      </c>
      <c r="R100" t="s">
        <v>276</v>
      </c>
    </row>
    <row r="101" spans="1:18" x14ac:dyDescent="0.3">
      <c r="A101" s="14" t="s">
        <v>273</v>
      </c>
      <c r="B101" s="21">
        <v>46262</v>
      </c>
      <c r="C101" s="21">
        <v>46302</v>
      </c>
      <c r="D101" s="14" t="s">
        <v>129</v>
      </c>
      <c r="E101" s="14" t="s">
        <v>130</v>
      </c>
      <c r="F101" s="14" t="s">
        <v>87</v>
      </c>
      <c r="G101" s="14" t="s">
        <v>255</v>
      </c>
      <c r="H101" s="14">
        <v>22</v>
      </c>
      <c r="I101" s="15">
        <v>755</v>
      </c>
      <c r="J101" s="15">
        <v>950</v>
      </c>
      <c r="K101" s="15">
        <v>40</v>
      </c>
      <c r="L101" s="15"/>
      <c r="M101" s="15">
        <v>40</v>
      </c>
      <c r="N101" s="15">
        <v>312.5</v>
      </c>
      <c r="O101" s="15"/>
      <c r="P101" s="15" t="s">
        <v>295</v>
      </c>
      <c r="Q101" s="14" t="s">
        <v>296</v>
      </c>
      <c r="R101" t="s">
        <v>276</v>
      </c>
    </row>
    <row r="102" spans="1:18" x14ac:dyDescent="0.3">
      <c r="A102" s="14" t="s">
        <v>273</v>
      </c>
      <c r="B102" s="21">
        <v>46262</v>
      </c>
      <c r="C102" s="21">
        <v>46302</v>
      </c>
      <c r="D102" s="14" t="s">
        <v>129</v>
      </c>
      <c r="E102" s="14" t="s">
        <v>130</v>
      </c>
      <c r="F102" s="14" t="s">
        <v>87</v>
      </c>
      <c r="G102" s="14" t="s">
        <v>255</v>
      </c>
      <c r="H102" s="14">
        <v>22</v>
      </c>
      <c r="I102" s="15">
        <v>455</v>
      </c>
      <c r="J102" s="15">
        <v>950</v>
      </c>
      <c r="K102" s="15">
        <v>20</v>
      </c>
      <c r="L102" s="15"/>
      <c r="M102" s="15">
        <v>20</v>
      </c>
      <c r="N102" s="15">
        <v>94.16</v>
      </c>
      <c r="O102" s="15"/>
      <c r="P102" s="15" t="s">
        <v>297</v>
      </c>
      <c r="Q102" s="14" t="s">
        <v>298</v>
      </c>
      <c r="R102" t="s">
        <v>276</v>
      </c>
    </row>
    <row r="103" spans="1:18" x14ac:dyDescent="0.3">
      <c r="A103" s="14" t="s">
        <v>273</v>
      </c>
      <c r="B103" s="21">
        <v>46262</v>
      </c>
      <c r="C103" s="21">
        <v>46302</v>
      </c>
      <c r="D103" s="14" t="s">
        <v>129</v>
      </c>
      <c r="E103" s="14" t="s">
        <v>130</v>
      </c>
      <c r="F103" s="14" t="s">
        <v>87</v>
      </c>
      <c r="G103" s="14" t="s">
        <v>255</v>
      </c>
      <c r="H103" s="14">
        <v>22</v>
      </c>
      <c r="I103" s="15">
        <v>305</v>
      </c>
      <c r="J103" s="15">
        <v>950</v>
      </c>
      <c r="K103" s="15">
        <v>30</v>
      </c>
      <c r="L103" s="15"/>
      <c r="M103" s="15">
        <v>30</v>
      </c>
      <c r="N103" s="15">
        <v>94.68</v>
      </c>
      <c r="O103" s="15"/>
      <c r="P103" s="15" t="s">
        <v>299</v>
      </c>
      <c r="Q103" s="14" t="s">
        <v>300</v>
      </c>
      <c r="R103" t="s">
        <v>276</v>
      </c>
    </row>
    <row r="104" spans="1:18" x14ac:dyDescent="0.3">
      <c r="A104" s="14" t="s">
        <v>273</v>
      </c>
      <c r="B104" s="21">
        <v>46262</v>
      </c>
      <c r="C104" s="21">
        <v>46302</v>
      </c>
      <c r="D104" s="14" t="s">
        <v>129</v>
      </c>
      <c r="E104" s="14" t="s">
        <v>130</v>
      </c>
      <c r="F104" s="14" t="s">
        <v>87</v>
      </c>
      <c r="G104" s="14" t="s">
        <v>255</v>
      </c>
      <c r="H104" s="14">
        <v>22</v>
      </c>
      <c r="I104" s="15">
        <v>405</v>
      </c>
      <c r="J104" s="15">
        <v>900</v>
      </c>
      <c r="K104" s="15">
        <v>20</v>
      </c>
      <c r="L104" s="15"/>
      <c r="M104" s="15">
        <v>20</v>
      </c>
      <c r="N104" s="15">
        <v>79.400000000000006</v>
      </c>
      <c r="O104" s="15"/>
      <c r="P104" s="15" t="s">
        <v>301</v>
      </c>
      <c r="Q104" s="14" t="s">
        <v>302</v>
      </c>
      <c r="R104" t="s">
        <v>276</v>
      </c>
    </row>
    <row r="105" spans="1:18" x14ac:dyDescent="0.3">
      <c r="A105" s="14" t="s">
        <v>273</v>
      </c>
      <c r="B105" s="21">
        <v>46262</v>
      </c>
      <c r="C105" s="21">
        <v>46302</v>
      </c>
      <c r="D105" s="14" t="s">
        <v>129</v>
      </c>
      <c r="E105" s="14" t="s">
        <v>130</v>
      </c>
      <c r="F105" s="14" t="s">
        <v>87</v>
      </c>
      <c r="G105" s="14" t="s">
        <v>268</v>
      </c>
      <c r="H105" s="14">
        <v>22</v>
      </c>
      <c r="I105" s="15">
        <v>705</v>
      </c>
      <c r="J105" s="15">
        <v>1820</v>
      </c>
      <c r="K105" s="15">
        <v>10</v>
      </c>
      <c r="L105" s="15"/>
      <c r="M105" s="15">
        <v>10</v>
      </c>
      <c r="N105" s="15">
        <v>139.76</v>
      </c>
      <c r="O105" s="15"/>
      <c r="P105" s="15" t="s">
        <v>303</v>
      </c>
      <c r="Q105" s="14" t="s">
        <v>304</v>
      </c>
      <c r="R105" t="s">
        <v>276</v>
      </c>
    </row>
    <row r="106" spans="1:18" x14ac:dyDescent="0.3">
      <c r="A106" s="14" t="s">
        <v>273</v>
      </c>
      <c r="B106" s="21">
        <v>46262</v>
      </c>
      <c r="C106" s="21">
        <v>46302</v>
      </c>
      <c r="D106" s="14" t="s">
        <v>129</v>
      </c>
      <c r="E106" s="14" t="s">
        <v>130</v>
      </c>
      <c r="F106" s="14" t="s">
        <v>87</v>
      </c>
      <c r="G106" s="14" t="s">
        <v>268</v>
      </c>
      <c r="H106" s="14">
        <v>22</v>
      </c>
      <c r="I106" s="15">
        <v>405</v>
      </c>
      <c r="J106" s="15">
        <v>950</v>
      </c>
      <c r="K106" s="15">
        <v>20</v>
      </c>
      <c r="L106" s="15"/>
      <c r="M106" s="15">
        <v>20</v>
      </c>
      <c r="N106" s="15">
        <v>83.82</v>
      </c>
      <c r="O106" s="15"/>
      <c r="P106" s="15" t="s">
        <v>305</v>
      </c>
      <c r="Q106" s="14" t="s">
        <v>306</v>
      </c>
      <c r="R106" t="s">
        <v>276</v>
      </c>
    </row>
    <row r="107" spans="1:18" x14ac:dyDescent="0.3">
      <c r="A107" s="14" t="s">
        <v>307</v>
      </c>
      <c r="B107" s="21">
        <v>46262</v>
      </c>
      <c r="C107" s="21">
        <v>46302</v>
      </c>
      <c r="D107" s="14" t="s">
        <v>129</v>
      </c>
      <c r="E107" s="14" t="s">
        <v>130</v>
      </c>
      <c r="F107" s="14" t="s">
        <v>87</v>
      </c>
      <c r="G107" s="14" t="s">
        <v>241</v>
      </c>
      <c r="H107" s="14">
        <v>22</v>
      </c>
      <c r="I107" s="15">
        <v>1719</v>
      </c>
      <c r="J107" s="15">
        <v>1820</v>
      </c>
      <c r="K107" s="15">
        <v>15</v>
      </c>
      <c r="L107" s="15"/>
      <c r="M107" s="15">
        <v>15</v>
      </c>
      <c r="N107" s="15">
        <v>511.16</v>
      </c>
      <c r="O107" s="15"/>
      <c r="P107" s="15" t="s">
        <v>308</v>
      </c>
      <c r="Q107" s="14" t="s">
        <v>309</v>
      </c>
      <c r="R107" t="s">
        <v>310</v>
      </c>
    </row>
    <row r="108" spans="1:18" x14ac:dyDescent="0.3">
      <c r="A108" s="14" t="s">
        <v>307</v>
      </c>
      <c r="B108" s="21">
        <v>46262</v>
      </c>
      <c r="C108" s="21">
        <v>46302</v>
      </c>
      <c r="D108" s="14" t="s">
        <v>129</v>
      </c>
      <c r="E108" s="14" t="s">
        <v>130</v>
      </c>
      <c r="F108" s="14" t="s">
        <v>87</v>
      </c>
      <c r="G108" s="14" t="s">
        <v>241</v>
      </c>
      <c r="H108" s="14">
        <v>22</v>
      </c>
      <c r="I108" s="15">
        <v>763</v>
      </c>
      <c r="J108" s="15">
        <v>1820</v>
      </c>
      <c r="K108" s="15">
        <v>30</v>
      </c>
      <c r="L108" s="15"/>
      <c r="M108" s="15">
        <v>30</v>
      </c>
      <c r="N108" s="15">
        <v>453.77</v>
      </c>
      <c r="O108" s="15"/>
      <c r="P108" s="15" t="s">
        <v>311</v>
      </c>
      <c r="Q108" s="14" t="s">
        <v>312</v>
      </c>
      <c r="R108" t="s">
        <v>310</v>
      </c>
    </row>
    <row r="109" spans="1:18" x14ac:dyDescent="0.3">
      <c r="A109" s="14" t="s">
        <v>307</v>
      </c>
      <c r="B109" s="21">
        <v>46262</v>
      </c>
      <c r="C109" s="21">
        <v>46302</v>
      </c>
      <c r="D109" s="14" t="s">
        <v>129</v>
      </c>
      <c r="E109" s="14" t="s">
        <v>130</v>
      </c>
      <c r="F109" s="14" t="s">
        <v>87</v>
      </c>
      <c r="G109" s="14" t="s">
        <v>241</v>
      </c>
      <c r="H109" s="14">
        <v>22</v>
      </c>
      <c r="I109" s="15">
        <v>755</v>
      </c>
      <c r="J109" s="15">
        <v>950</v>
      </c>
      <c r="K109" s="15">
        <v>60</v>
      </c>
      <c r="L109" s="15"/>
      <c r="M109" s="15">
        <v>60</v>
      </c>
      <c r="N109" s="15">
        <v>468.74</v>
      </c>
      <c r="O109" s="15"/>
      <c r="P109" s="15" t="s">
        <v>313</v>
      </c>
      <c r="Q109" s="14" t="s">
        <v>314</v>
      </c>
      <c r="R109" t="s">
        <v>310</v>
      </c>
    </row>
    <row r="110" spans="1:18" x14ac:dyDescent="0.3">
      <c r="A110" s="14" t="s">
        <v>307</v>
      </c>
      <c r="B110" s="21">
        <v>46262</v>
      </c>
      <c r="C110" s="21">
        <v>46302</v>
      </c>
      <c r="D110" s="14" t="s">
        <v>129</v>
      </c>
      <c r="E110" s="14" t="s">
        <v>130</v>
      </c>
      <c r="F110" s="14" t="s">
        <v>87</v>
      </c>
      <c r="G110" s="14" t="s">
        <v>241</v>
      </c>
      <c r="H110" s="14">
        <v>22</v>
      </c>
      <c r="I110" s="15">
        <v>455</v>
      </c>
      <c r="J110" s="15">
        <v>950</v>
      </c>
      <c r="K110" s="15">
        <v>40</v>
      </c>
      <c r="L110" s="15"/>
      <c r="M110" s="15">
        <v>40</v>
      </c>
      <c r="N110" s="15">
        <v>188.33</v>
      </c>
      <c r="O110" s="15"/>
      <c r="P110" s="15" t="s">
        <v>315</v>
      </c>
      <c r="Q110" s="14" t="s">
        <v>316</v>
      </c>
      <c r="R110" t="s">
        <v>310</v>
      </c>
    </row>
    <row r="111" spans="1:18" x14ac:dyDescent="0.3">
      <c r="A111" s="14" t="s">
        <v>307</v>
      </c>
      <c r="B111" s="21">
        <v>46262</v>
      </c>
      <c r="C111" s="21">
        <v>46302</v>
      </c>
      <c r="D111" s="14" t="s">
        <v>129</v>
      </c>
      <c r="E111" s="14" t="s">
        <v>130</v>
      </c>
      <c r="F111" s="14" t="s">
        <v>87</v>
      </c>
      <c r="G111" s="14" t="s">
        <v>241</v>
      </c>
      <c r="H111" s="14">
        <v>22</v>
      </c>
      <c r="I111" s="15">
        <v>305</v>
      </c>
      <c r="J111" s="15">
        <v>950</v>
      </c>
      <c r="K111" s="15">
        <v>40</v>
      </c>
      <c r="L111" s="15"/>
      <c r="M111" s="15">
        <v>40</v>
      </c>
      <c r="N111" s="15">
        <v>126.24</v>
      </c>
      <c r="O111" s="15"/>
      <c r="P111" s="15" t="s">
        <v>317</v>
      </c>
      <c r="Q111" s="14" t="s">
        <v>318</v>
      </c>
      <c r="R111" t="s">
        <v>310</v>
      </c>
    </row>
    <row r="112" spans="1:18" x14ac:dyDescent="0.3">
      <c r="A112" s="14" t="s">
        <v>307</v>
      </c>
      <c r="B112" s="21">
        <v>46262</v>
      </c>
      <c r="C112" s="21">
        <v>46302</v>
      </c>
      <c r="D112" s="14" t="s">
        <v>129</v>
      </c>
      <c r="E112" s="14" t="s">
        <v>130</v>
      </c>
      <c r="F112" s="14" t="s">
        <v>87</v>
      </c>
      <c r="G112" s="14" t="s">
        <v>241</v>
      </c>
      <c r="H112" s="14">
        <v>22</v>
      </c>
      <c r="I112" s="15">
        <v>405</v>
      </c>
      <c r="J112" s="15">
        <v>900</v>
      </c>
      <c r="K112" s="15">
        <v>30</v>
      </c>
      <c r="L112" s="15"/>
      <c r="M112" s="15">
        <v>30</v>
      </c>
      <c r="N112" s="15">
        <v>119.11</v>
      </c>
      <c r="O112" s="15"/>
      <c r="P112" s="15" t="s">
        <v>319</v>
      </c>
      <c r="Q112" s="14" t="s">
        <v>320</v>
      </c>
      <c r="R112" t="s">
        <v>310</v>
      </c>
    </row>
    <row r="113" spans="1:18" x14ac:dyDescent="0.3">
      <c r="A113" s="14" t="s">
        <v>307</v>
      </c>
      <c r="B113" s="21">
        <v>46262</v>
      </c>
      <c r="C113" s="21">
        <v>46302</v>
      </c>
      <c r="D113" s="14" t="s">
        <v>129</v>
      </c>
      <c r="E113" s="14" t="s">
        <v>130</v>
      </c>
      <c r="F113" s="14" t="s">
        <v>87</v>
      </c>
      <c r="G113" s="14" t="s">
        <v>255</v>
      </c>
      <c r="H113" s="14">
        <v>22</v>
      </c>
      <c r="I113" s="15">
        <v>1719</v>
      </c>
      <c r="J113" s="15">
        <v>1820</v>
      </c>
      <c r="K113" s="15">
        <v>15</v>
      </c>
      <c r="L113" s="15"/>
      <c r="M113" s="15">
        <v>15</v>
      </c>
      <c r="N113" s="15">
        <v>511.16</v>
      </c>
      <c r="O113" s="15"/>
      <c r="P113" s="15" t="s">
        <v>321</v>
      </c>
      <c r="Q113" s="14" t="s">
        <v>322</v>
      </c>
      <c r="R113" t="s">
        <v>310</v>
      </c>
    </row>
    <row r="114" spans="1:18" x14ac:dyDescent="0.3">
      <c r="A114" s="14" t="s">
        <v>307</v>
      </c>
      <c r="B114" s="21">
        <v>46262</v>
      </c>
      <c r="C114" s="21">
        <v>46302</v>
      </c>
      <c r="D114" s="14" t="s">
        <v>129</v>
      </c>
      <c r="E114" s="14" t="s">
        <v>130</v>
      </c>
      <c r="F114" s="14" t="s">
        <v>87</v>
      </c>
      <c r="G114" s="14" t="s">
        <v>255</v>
      </c>
      <c r="H114" s="14">
        <v>22</v>
      </c>
      <c r="I114" s="15">
        <v>763</v>
      </c>
      <c r="J114" s="15">
        <v>1820</v>
      </c>
      <c r="K114" s="15">
        <v>30</v>
      </c>
      <c r="L114" s="15"/>
      <c r="M114" s="15">
        <v>30</v>
      </c>
      <c r="N114" s="15">
        <v>453.77</v>
      </c>
      <c r="O114" s="15"/>
      <c r="P114" s="15" t="s">
        <v>323</v>
      </c>
      <c r="Q114" s="14" t="s">
        <v>324</v>
      </c>
      <c r="R114" t="s">
        <v>310</v>
      </c>
    </row>
    <row r="115" spans="1:18" x14ac:dyDescent="0.3">
      <c r="A115" s="14" t="s">
        <v>307</v>
      </c>
      <c r="B115" s="21">
        <v>46262</v>
      </c>
      <c r="C115" s="21">
        <v>46302</v>
      </c>
      <c r="D115" s="14" t="s">
        <v>129</v>
      </c>
      <c r="E115" s="14" t="s">
        <v>130</v>
      </c>
      <c r="F115" s="14" t="s">
        <v>87</v>
      </c>
      <c r="G115" s="14" t="s">
        <v>255</v>
      </c>
      <c r="H115" s="14">
        <v>22</v>
      </c>
      <c r="I115" s="15">
        <v>755</v>
      </c>
      <c r="J115" s="15">
        <v>950</v>
      </c>
      <c r="K115" s="15">
        <v>60</v>
      </c>
      <c r="L115" s="15"/>
      <c r="M115" s="15">
        <v>60</v>
      </c>
      <c r="N115" s="15">
        <v>468.74</v>
      </c>
      <c r="O115" s="15"/>
      <c r="P115" s="15" t="s">
        <v>325</v>
      </c>
      <c r="Q115" s="14" t="s">
        <v>326</v>
      </c>
      <c r="R115" t="s">
        <v>310</v>
      </c>
    </row>
    <row r="116" spans="1:18" x14ac:dyDescent="0.3">
      <c r="A116" s="14" t="s">
        <v>307</v>
      </c>
      <c r="B116" s="21">
        <v>46262</v>
      </c>
      <c r="C116" s="21">
        <v>46302</v>
      </c>
      <c r="D116" s="14" t="s">
        <v>129</v>
      </c>
      <c r="E116" s="14" t="s">
        <v>130</v>
      </c>
      <c r="F116" s="14" t="s">
        <v>87</v>
      </c>
      <c r="G116" s="14" t="s">
        <v>255</v>
      </c>
      <c r="H116" s="14">
        <v>22</v>
      </c>
      <c r="I116" s="15">
        <v>455</v>
      </c>
      <c r="J116" s="15">
        <v>950</v>
      </c>
      <c r="K116" s="15">
        <v>40</v>
      </c>
      <c r="L116" s="15"/>
      <c r="M116" s="15">
        <v>40</v>
      </c>
      <c r="N116" s="15">
        <v>188.33</v>
      </c>
      <c r="O116" s="15"/>
      <c r="P116" s="15" t="s">
        <v>327</v>
      </c>
      <c r="Q116" s="14" t="s">
        <v>328</v>
      </c>
      <c r="R116" t="s">
        <v>310</v>
      </c>
    </row>
    <row r="117" spans="1:18" x14ac:dyDescent="0.3">
      <c r="A117" s="14" t="s">
        <v>307</v>
      </c>
      <c r="B117" s="21">
        <v>46262</v>
      </c>
      <c r="C117" s="21">
        <v>46302</v>
      </c>
      <c r="D117" s="14" t="s">
        <v>129</v>
      </c>
      <c r="E117" s="14" t="s">
        <v>130</v>
      </c>
      <c r="F117" s="14" t="s">
        <v>87</v>
      </c>
      <c r="G117" s="14" t="s">
        <v>255</v>
      </c>
      <c r="H117" s="14">
        <v>22</v>
      </c>
      <c r="I117" s="15">
        <v>305</v>
      </c>
      <c r="J117" s="15">
        <v>950</v>
      </c>
      <c r="K117" s="15">
        <v>40</v>
      </c>
      <c r="L117" s="15"/>
      <c r="M117" s="15">
        <v>40</v>
      </c>
      <c r="N117" s="15">
        <v>126.24</v>
      </c>
      <c r="O117" s="15"/>
      <c r="P117" s="15" t="s">
        <v>329</v>
      </c>
      <c r="Q117" s="14" t="s">
        <v>330</v>
      </c>
      <c r="R117" t="s">
        <v>310</v>
      </c>
    </row>
    <row r="118" spans="1:18" x14ac:dyDescent="0.3">
      <c r="A118" s="14" t="s">
        <v>307</v>
      </c>
      <c r="B118" s="21">
        <v>46262</v>
      </c>
      <c r="C118" s="21">
        <v>46302</v>
      </c>
      <c r="D118" s="14" t="s">
        <v>129</v>
      </c>
      <c r="E118" s="14" t="s">
        <v>130</v>
      </c>
      <c r="F118" s="14" t="s">
        <v>87</v>
      </c>
      <c r="G118" s="14" t="s">
        <v>255</v>
      </c>
      <c r="H118" s="14">
        <v>22</v>
      </c>
      <c r="I118" s="15">
        <v>405</v>
      </c>
      <c r="J118" s="15">
        <v>900</v>
      </c>
      <c r="K118" s="15">
        <v>30</v>
      </c>
      <c r="L118" s="15"/>
      <c r="M118" s="15">
        <v>30</v>
      </c>
      <c r="N118" s="15">
        <v>119.11</v>
      </c>
      <c r="O118" s="15"/>
      <c r="P118" s="15" t="s">
        <v>331</v>
      </c>
      <c r="Q118" s="14" t="s">
        <v>332</v>
      </c>
      <c r="R118" t="s">
        <v>310</v>
      </c>
    </row>
    <row r="119" spans="1:18" x14ac:dyDescent="0.3">
      <c r="A119" s="14" t="s">
        <v>307</v>
      </c>
      <c r="B119" s="21">
        <v>46262</v>
      </c>
      <c r="C119" s="21">
        <v>46302</v>
      </c>
      <c r="D119" s="14" t="s">
        <v>129</v>
      </c>
      <c r="E119" s="14" t="s">
        <v>130</v>
      </c>
      <c r="F119" s="14" t="s">
        <v>87</v>
      </c>
      <c r="G119" s="14" t="s">
        <v>268</v>
      </c>
      <c r="H119" s="14">
        <v>22</v>
      </c>
      <c r="I119" s="15">
        <v>705</v>
      </c>
      <c r="J119" s="15">
        <v>1820</v>
      </c>
      <c r="K119" s="15">
        <v>20</v>
      </c>
      <c r="L119" s="15"/>
      <c r="M119" s="15">
        <v>20</v>
      </c>
      <c r="N119" s="15">
        <v>279.52</v>
      </c>
      <c r="O119" s="15"/>
      <c r="P119" s="15" t="s">
        <v>333</v>
      </c>
      <c r="Q119" s="14" t="s">
        <v>334</v>
      </c>
      <c r="R119" t="s">
        <v>310</v>
      </c>
    </row>
    <row r="120" spans="1:18" x14ac:dyDescent="0.3">
      <c r="A120" s="14" t="s">
        <v>307</v>
      </c>
      <c r="B120" s="21">
        <v>46262</v>
      </c>
      <c r="C120" s="21">
        <v>46302</v>
      </c>
      <c r="D120" s="14" t="s">
        <v>129</v>
      </c>
      <c r="E120" s="14" t="s">
        <v>130</v>
      </c>
      <c r="F120" s="14" t="s">
        <v>87</v>
      </c>
      <c r="G120" s="14" t="s">
        <v>268</v>
      </c>
      <c r="H120" s="14">
        <v>22</v>
      </c>
      <c r="I120" s="15">
        <v>405</v>
      </c>
      <c r="J120" s="15">
        <v>950</v>
      </c>
      <c r="K120" s="15">
        <v>30</v>
      </c>
      <c r="L120" s="15"/>
      <c r="M120" s="15">
        <v>30</v>
      </c>
      <c r="N120" s="15">
        <v>125.72</v>
      </c>
      <c r="O120" s="15"/>
      <c r="P120" s="15" t="s">
        <v>335</v>
      </c>
      <c r="Q120" s="14" t="s">
        <v>336</v>
      </c>
      <c r="R120" t="s">
        <v>310</v>
      </c>
    </row>
    <row r="121" spans="1:18" x14ac:dyDescent="0.3">
      <c r="A121" s="14" t="s">
        <v>337</v>
      </c>
      <c r="B121" s="21">
        <v>46262</v>
      </c>
      <c r="C121" s="21">
        <v>46302</v>
      </c>
      <c r="D121" s="14" t="s">
        <v>129</v>
      </c>
      <c r="E121" s="14" t="s">
        <v>130</v>
      </c>
      <c r="F121" s="14" t="s">
        <v>87</v>
      </c>
      <c r="G121" s="14" t="s">
        <v>241</v>
      </c>
      <c r="H121" s="14">
        <v>22</v>
      </c>
      <c r="I121" s="15">
        <v>1719</v>
      </c>
      <c r="J121" s="15">
        <v>1820</v>
      </c>
      <c r="K121" s="15">
        <v>15</v>
      </c>
      <c r="L121" s="15"/>
      <c r="M121" s="15">
        <v>15</v>
      </c>
      <c r="N121" s="15">
        <v>511.16</v>
      </c>
      <c r="O121" s="15"/>
      <c r="P121" s="15" t="s">
        <v>338</v>
      </c>
      <c r="Q121" s="14" t="s">
        <v>339</v>
      </c>
      <c r="R121" t="s">
        <v>340</v>
      </c>
    </row>
    <row r="122" spans="1:18" x14ac:dyDescent="0.3">
      <c r="A122" s="14" t="s">
        <v>337</v>
      </c>
      <c r="B122" s="21">
        <v>46262</v>
      </c>
      <c r="C122" s="21">
        <v>46302</v>
      </c>
      <c r="D122" s="14" t="s">
        <v>129</v>
      </c>
      <c r="E122" s="14" t="s">
        <v>130</v>
      </c>
      <c r="F122" s="14" t="s">
        <v>87</v>
      </c>
      <c r="G122" s="14" t="s">
        <v>241</v>
      </c>
      <c r="H122" s="14">
        <v>22</v>
      </c>
      <c r="I122" s="15">
        <v>763</v>
      </c>
      <c r="J122" s="15">
        <v>1820</v>
      </c>
      <c r="K122" s="15">
        <v>30</v>
      </c>
      <c r="L122" s="15"/>
      <c r="M122" s="15">
        <v>30</v>
      </c>
      <c r="N122" s="15">
        <v>453.77</v>
      </c>
      <c r="O122" s="15"/>
      <c r="P122" s="15" t="s">
        <v>341</v>
      </c>
      <c r="Q122" s="14" t="s">
        <v>342</v>
      </c>
      <c r="R122" t="s">
        <v>340</v>
      </c>
    </row>
    <row r="123" spans="1:18" x14ac:dyDescent="0.3">
      <c r="A123" s="14" t="s">
        <v>337</v>
      </c>
      <c r="B123" s="21">
        <v>46262</v>
      </c>
      <c r="C123" s="21">
        <v>46302</v>
      </c>
      <c r="D123" s="14" t="s">
        <v>129</v>
      </c>
      <c r="E123" s="14" t="s">
        <v>130</v>
      </c>
      <c r="F123" s="14" t="s">
        <v>87</v>
      </c>
      <c r="G123" s="14" t="s">
        <v>241</v>
      </c>
      <c r="H123" s="14">
        <v>22</v>
      </c>
      <c r="I123" s="15">
        <v>755</v>
      </c>
      <c r="J123" s="15">
        <v>950</v>
      </c>
      <c r="K123" s="15">
        <v>60</v>
      </c>
      <c r="L123" s="15"/>
      <c r="M123" s="15">
        <v>60</v>
      </c>
      <c r="N123" s="15">
        <v>468.74</v>
      </c>
      <c r="O123" s="15"/>
      <c r="P123" s="15" t="s">
        <v>343</v>
      </c>
      <c r="Q123" s="14" t="s">
        <v>344</v>
      </c>
      <c r="R123" t="s">
        <v>340</v>
      </c>
    </row>
    <row r="124" spans="1:18" x14ac:dyDescent="0.3">
      <c r="A124" s="14" t="s">
        <v>337</v>
      </c>
      <c r="B124" s="21">
        <v>46262</v>
      </c>
      <c r="C124" s="21">
        <v>46302</v>
      </c>
      <c r="D124" s="14" t="s">
        <v>129</v>
      </c>
      <c r="E124" s="14" t="s">
        <v>130</v>
      </c>
      <c r="F124" s="14" t="s">
        <v>87</v>
      </c>
      <c r="G124" s="14" t="s">
        <v>241</v>
      </c>
      <c r="H124" s="14">
        <v>22</v>
      </c>
      <c r="I124" s="15">
        <v>455</v>
      </c>
      <c r="J124" s="15">
        <v>950</v>
      </c>
      <c r="K124" s="15">
        <v>40</v>
      </c>
      <c r="L124" s="15"/>
      <c r="M124" s="15">
        <v>40</v>
      </c>
      <c r="N124" s="15">
        <v>188.33</v>
      </c>
      <c r="O124" s="15"/>
      <c r="P124" s="15" t="s">
        <v>345</v>
      </c>
      <c r="Q124" s="14" t="s">
        <v>346</v>
      </c>
      <c r="R124" t="s">
        <v>340</v>
      </c>
    </row>
    <row r="125" spans="1:18" x14ac:dyDescent="0.3">
      <c r="A125" s="14" t="s">
        <v>337</v>
      </c>
      <c r="B125" s="21">
        <v>46262</v>
      </c>
      <c r="C125" s="21">
        <v>46302</v>
      </c>
      <c r="D125" s="14" t="s">
        <v>129</v>
      </c>
      <c r="E125" s="14" t="s">
        <v>130</v>
      </c>
      <c r="F125" s="14" t="s">
        <v>87</v>
      </c>
      <c r="G125" s="14" t="s">
        <v>241</v>
      </c>
      <c r="H125" s="14">
        <v>22</v>
      </c>
      <c r="I125" s="15">
        <v>305</v>
      </c>
      <c r="J125" s="15">
        <v>950</v>
      </c>
      <c r="K125" s="15">
        <v>40</v>
      </c>
      <c r="L125" s="15"/>
      <c r="M125" s="15">
        <v>40</v>
      </c>
      <c r="N125" s="15">
        <v>126.24</v>
      </c>
      <c r="O125" s="15"/>
      <c r="P125" s="15" t="s">
        <v>347</v>
      </c>
      <c r="Q125" s="14" t="s">
        <v>348</v>
      </c>
      <c r="R125" t="s">
        <v>340</v>
      </c>
    </row>
    <row r="126" spans="1:18" x14ac:dyDescent="0.3">
      <c r="A126" s="14" t="s">
        <v>337</v>
      </c>
      <c r="B126" s="21">
        <v>46262</v>
      </c>
      <c r="C126" s="21">
        <v>46302</v>
      </c>
      <c r="D126" s="14" t="s">
        <v>129</v>
      </c>
      <c r="E126" s="14" t="s">
        <v>130</v>
      </c>
      <c r="F126" s="14" t="s">
        <v>87</v>
      </c>
      <c r="G126" s="14" t="s">
        <v>241</v>
      </c>
      <c r="H126" s="14">
        <v>22</v>
      </c>
      <c r="I126" s="15">
        <v>405</v>
      </c>
      <c r="J126" s="15">
        <v>900</v>
      </c>
      <c r="K126" s="15">
        <v>30</v>
      </c>
      <c r="L126" s="15"/>
      <c r="M126" s="15">
        <v>30</v>
      </c>
      <c r="N126" s="15">
        <v>119.11</v>
      </c>
      <c r="O126" s="15"/>
      <c r="P126" s="15" t="s">
        <v>349</v>
      </c>
      <c r="Q126" s="14" t="s">
        <v>350</v>
      </c>
      <c r="R126" t="s">
        <v>340</v>
      </c>
    </row>
    <row r="127" spans="1:18" x14ac:dyDescent="0.3">
      <c r="A127" s="14" t="s">
        <v>337</v>
      </c>
      <c r="B127" s="21">
        <v>46262</v>
      </c>
      <c r="C127" s="21">
        <v>46302</v>
      </c>
      <c r="D127" s="14" t="s">
        <v>129</v>
      </c>
      <c r="E127" s="14" t="s">
        <v>130</v>
      </c>
      <c r="F127" s="14" t="s">
        <v>87</v>
      </c>
      <c r="G127" s="14" t="s">
        <v>255</v>
      </c>
      <c r="H127" s="14">
        <v>22</v>
      </c>
      <c r="I127" s="15">
        <v>1719</v>
      </c>
      <c r="J127" s="15">
        <v>1820</v>
      </c>
      <c r="K127" s="15">
        <v>15</v>
      </c>
      <c r="L127" s="15"/>
      <c r="M127" s="15">
        <v>15</v>
      </c>
      <c r="N127" s="15">
        <v>511.16</v>
      </c>
      <c r="O127" s="15"/>
      <c r="P127" s="15" t="s">
        <v>351</v>
      </c>
      <c r="Q127" s="14" t="s">
        <v>352</v>
      </c>
      <c r="R127" t="s">
        <v>340</v>
      </c>
    </row>
    <row r="128" spans="1:18" x14ac:dyDescent="0.3">
      <c r="A128" s="14" t="s">
        <v>337</v>
      </c>
      <c r="B128" s="21">
        <v>46262</v>
      </c>
      <c r="C128" s="21">
        <v>46302</v>
      </c>
      <c r="D128" s="14" t="s">
        <v>129</v>
      </c>
      <c r="E128" s="14" t="s">
        <v>130</v>
      </c>
      <c r="F128" s="14" t="s">
        <v>87</v>
      </c>
      <c r="G128" s="14" t="s">
        <v>255</v>
      </c>
      <c r="H128" s="14">
        <v>22</v>
      </c>
      <c r="I128" s="15">
        <v>763</v>
      </c>
      <c r="J128" s="15">
        <v>1820</v>
      </c>
      <c r="K128" s="15">
        <v>30</v>
      </c>
      <c r="L128" s="15"/>
      <c r="M128" s="15">
        <v>30</v>
      </c>
      <c r="N128" s="15">
        <v>453.77</v>
      </c>
      <c r="O128" s="15"/>
      <c r="P128" s="15" t="s">
        <v>353</v>
      </c>
      <c r="Q128" s="14" t="s">
        <v>354</v>
      </c>
      <c r="R128" t="s">
        <v>340</v>
      </c>
    </row>
    <row r="129" spans="1:18" x14ac:dyDescent="0.3">
      <c r="A129" s="14" t="s">
        <v>337</v>
      </c>
      <c r="B129" s="21">
        <v>46262</v>
      </c>
      <c r="C129" s="21">
        <v>46302</v>
      </c>
      <c r="D129" s="14" t="s">
        <v>129</v>
      </c>
      <c r="E129" s="14" t="s">
        <v>130</v>
      </c>
      <c r="F129" s="14" t="s">
        <v>87</v>
      </c>
      <c r="G129" s="14" t="s">
        <v>255</v>
      </c>
      <c r="H129" s="14">
        <v>22</v>
      </c>
      <c r="I129" s="15">
        <v>755</v>
      </c>
      <c r="J129" s="15">
        <v>950</v>
      </c>
      <c r="K129" s="15">
        <v>60</v>
      </c>
      <c r="L129" s="15"/>
      <c r="M129" s="15">
        <v>60</v>
      </c>
      <c r="N129" s="15">
        <v>468.74</v>
      </c>
      <c r="O129" s="15"/>
      <c r="P129" s="15" t="s">
        <v>355</v>
      </c>
      <c r="Q129" s="14" t="s">
        <v>356</v>
      </c>
      <c r="R129" t="s">
        <v>340</v>
      </c>
    </row>
    <row r="130" spans="1:18" x14ac:dyDescent="0.3">
      <c r="A130" s="14" t="s">
        <v>337</v>
      </c>
      <c r="B130" s="21">
        <v>46262</v>
      </c>
      <c r="C130" s="21">
        <v>46302</v>
      </c>
      <c r="D130" s="14" t="s">
        <v>129</v>
      </c>
      <c r="E130" s="14" t="s">
        <v>130</v>
      </c>
      <c r="F130" s="14" t="s">
        <v>87</v>
      </c>
      <c r="G130" s="14" t="s">
        <v>255</v>
      </c>
      <c r="H130" s="14">
        <v>22</v>
      </c>
      <c r="I130" s="15">
        <v>455</v>
      </c>
      <c r="J130" s="15">
        <v>950</v>
      </c>
      <c r="K130" s="15">
        <v>40</v>
      </c>
      <c r="L130" s="15"/>
      <c r="M130" s="15">
        <v>40</v>
      </c>
      <c r="N130" s="15">
        <v>188.33</v>
      </c>
      <c r="O130" s="15"/>
      <c r="P130" s="15" t="s">
        <v>357</v>
      </c>
      <c r="Q130" s="14" t="s">
        <v>358</v>
      </c>
      <c r="R130" t="s">
        <v>340</v>
      </c>
    </row>
    <row r="131" spans="1:18" x14ac:dyDescent="0.3">
      <c r="A131" s="14" t="s">
        <v>337</v>
      </c>
      <c r="B131" s="21">
        <v>46262</v>
      </c>
      <c r="C131" s="21">
        <v>46302</v>
      </c>
      <c r="D131" s="14" t="s">
        <v>129</v>
      </c>
      <c r="E131" s="14" t="s">
        <v>130</v>
      </c>
      <c r="F131" s="14" t="s">
        <v>87</v>
      </c>
      <c r="G131" s="14" t="s">
        <v>255</v>
      </c>
      <c r="H131" s="14">
        <v>22</v>
      </c>
      <c r="I131" s="15">
        <v>305</v>
      </c>
      <c r="J131" s="15">
        <v>950</v>
      </c>
      <c r="K131" s="15">
        <v>40</v>
      </c>
      <c r="L131" s="15"/>
      <c r="M131" s="15">
        <v>40</v>
      </c>
      <c r="N131" s="15">
        <v>126.24</v>
      </c>
      <c r="O131" s="15"/>
      <c r="P131" s="15" t="s">
        <v>359</v>
      </c>
      <c r="Q131" s="14" t="s">
        <v>360</v>
      </c>
      <c r="R131" t="s">
        <v>340</v>
      </c>
    </row>
    <row r="132" spans="1:18" x14ac:dyDescent="0.3">
      <c r="A132" s="14" t="s">
        <v>337</v>
      </c>
      <c r="B132" s="21">
        <v>46262</v>
      </c>
      <c r="C132" s="21">
        <v>46302</v>
      </c>
      <c r="D132" s="14" t="s">
        <v>129</v>
      </c>
      <c r="E132" s="14" t="s">
        <v>130</v>
      </c>
      <c r="F132" s="14" t="s">
        <v>87</v>
      </c>
      <c r="G132" s="14" t="s">
        <v>255</v>
      </c>
      <c r="H132" s="14">
        <v>22</v>
      </c>
      <c r="I132" s="15">
        <v>405</v>
      </c>
      <c r="J132" s="15">
        <v>900</v>
      </c>
      <c r="K132" s="15">
        <v>30</v>
      </c>
      <c r="L132" s="15"/>
      <c r="M132" s="15">
        <v>30</v>
      </c>
      <c r="N132" s="15">
        <v>119.11</v>
      </c>
      <c r="O132" s="15"/>
      <c r="P132" s="15" t="s">
        <v>361</v>
      </c>
      <c r="Q132" s="14" t="s">
        <v>362</v>
      </c>
      <c r="R132" t="s">
        <v>340</v>
      </c>
    </row>
    <row r="133" spans="1:18" x14ac:dyDescent="0.3">
      <c r="A133" s="14" t="s">
        <v>337</v>
      </c>
      <c r="B133" s="21">
        <v>46262</v>
      </c>
      <c r="C133" s="21">
        <v>46302</v>
      </c>
      <c r="D133" s="14" t="s">
        <v>129</v>
      </c>
      <c r="E133" s="14" t="s">
        <v>130</v>
      </c>
      <c r="F133" s="14" t="s">
        <v>87</v>
      </c>
      <c r="G133" s="14" t="s">
        <v>268</v>
      </c>
      <c r="H133" s="14">
        <v>22</v>
      </c>
      <c r="I133" s="15">
        <v>705</v>
      </c>
      <c r="J133" s="15">
        <v>1820</v>
      </c>
      <c r="K133" s="15">
        <v>20</v>
      </c>
      <c r="L133" s="15"/>
      <c r="M133" s="15">
        <v>20</v>
      </c>
      <c r="N133" s="15">
        <v>279.52</v>
      </c>
      <c r="O133" s="15"/>
      <c r="P133" s="15" t="s">
        <v>363</v>
      </c>
      <c r="Q133" s="14" t="s">
        <v>364</v>
      </c>
      <c r="R133" t="s">
        <v>340</v>
      </c>
    </row>
    <row r="134" spans="1:18" x14ac:dyDescent="0.3">
      <c r="A134" s="14" t="s">
        <v>337</v>
      </c>
      <c r="B134" s="21">
        <v>46262</v>
      </c>
      <c r="C134" s="21">
        <v>46302</v>
      </c>
      <c r="D134" s="14" t="s">
        <v>129</v>
      </c>
      <c r="E134" s="14" t="s">
        <v>130</v>
      </c>
      <c r="F134" s="14" t="s">
        <v>87</v>
      </c>
      <c r="G134" s="14" t="s">
        <v>268</v>
      </c>
      <c r="H134" s="14">
        <v>22</v>
      </c>
      <c r="I134" s="15">
        <v>405</v>
      </c>
      <c r="J134" s="15">
        <v>950</v>
      </c>
      <c r="K134" s="15">
        <v>30</v>
      </c>
      <c r="L134" s="15"/>
      <c r="M134" s="15">
        <v>30</v>
      </c>
      <c r="N134" s="15">
        <v>125.72</v>
      </c>
      <c r="O134" s="15"/>
      <c r="P134" s="15" t="s">
        <v>365</v>
      </c>
      <c r="Q134" s="14" t="s">
        <v>366</v>
      </c>
      <c r="R134" t="s">
        <v>340</v>
      </c>
    </row>
    <row r="135" spans="1:18" x14ac:dyDescent="0.3">
      <c r="A135" s="14" t="s">
        <v>367</v>
      </c>
      <c r="B135" s="21">
        <v>46262</v>
      </c>
      <c r="C135" s="21">
        <v>46302</v>
      </c>
      <c r="D135" s="14" t="s">
        <v>129</v>
      </c>
      <c r="E135" s="14" t="s">
        <v>130</v>
      </c>
      <c r="F135" s="14" t="s">
        <v>87</v>
      </c>
      <c r="G135" s="14" t="s">
        <v>241</v>
      </c>
      <c r="H135" s="14">
        <v>22</v>
      </c>
      <c r="I135" s="15">
        <v>1719</v>
      </c>
      <c r="J135" s="15">
        <v>1820</v>
      </c>
      <c r="K135" s="15">
        <v>10</v>
      </c>
      <c r="L135" s="15"/>
      <c r="M135" s="15">
        <v>10</v>
      </c>
      <c r="N135" s="15">
        <v>340.77</v>
      </c>
      <c r="O135" s="15"/>
      <c r="P135" s="15" t="s">
        <v>368</v>
      </c>
      <c r="Q135" s="14" t="s">
        <v>369</v>
      </c>
      <c r="R135" t="s">
        <v>370</v>
      </c>
    </row>
    <row r="136" spans="1:18" x14ac:dyDescent="0.3">
      <c r="A136" s="14" t="s">
        <v>367</v>
      </c>
      <c r="B136" s="21">
        <v>46262</v>
      </c>
      <c r="C136" s="21">
        <v>46302</v>
      </c>
      <c r="D136" s="14" t="s">
        <v>129</v>
      </c>
      <c r="E136" s="14" t="s">
        <v>130</v>
      </c>
      <c r="F136" s="14" t="s">
        <v>87</v>
      </c>
      <c r="G136" s="14" t="s">
        <v>241</v>
      </c>
      <c r="H136" s="14">
        <v>22</v>
      </c>
      <c r="I136" s="15">
        <v>763</v>
      </c>
      <c r="J136" s="15">
        <v>1820</v>
      </c>
      <c r="K136" s="15">
        <v>20</v>
      </c>
      <c r="L136" s="15"/>
      <c r="M136" s="15">
        <v>20</v>
      </c>
      <c r="N136" s="15">
        <v>302.51</v>
      </c>
      <c r="O136" s="15"/>
      <c r="P136" s="15" t="s">
        <v>371</v>
      </c>
      <c r="Q136" s="14" t="s">
        <v>372</v>
      </c>
      <c r="R136" t="s">
        <v>370</v>
      </c>
    </row>
    <row r="137" spans="1:18" x14ac:dyDescent="0.3">
      <c r="A137" s="14" t="s">
        <v>367</v>
      </c>
      <c r="B137" s="21">
        <v>46262</v>
      </c>
      <c r="C137" s="21">
        <v>46302</v>
      </c>
      <c r="D137" s="14" t="s">
        <v>129</v>
      </c>
      <c r="E137" s="14" t="s">
        <v>130</v>
      </c>
      <c r="F137" s="14" t="s">
        <v>87</v>
      </c>
      <c r="G137" s="14" t="s">
        <v>241</v>
      </c>
      <c r="H137" s="14">
        <v>22</v>
      </c>
      <c r="I137" s="15">
        <v>405</v>
      </c>
      <c r="J137" s="15">
        <v>1310</v>
      </c>
      <c r="K137" s="15">
        <v>10</v>
      </c>
      <c r="L137" s="15"/>
      <c r="M137" s="15">
        <v>10</v>
      </c>
      <c r="N137" s="15">
        <v>57.79</v>
      </c>
      <c r="O137" s="15"/>
      <c r="P137" s="15" t="s">
        <v>373</v>
      </c>
      <c r="Q137" s="14" t="s">
        <v>374</v>
      </c>
      <c r="R137" t="s">
        <v>370</v>
      </c>
    </row>
    <row r="138" spans="1:18" x14ac:dyDescent="0.3">
      <c r="A138" s="14" t="s">
        <v>367</v>
      </c>
      <c r="B138" s="21">
        <v>46262</v>
      </c>
      <c r="C138" s="21">
        <v>46302</v>
      </c>
      <c r="D138" s="14" t="s">
        <v>129</v>
      </c>
      <c r="E138" s="14" t="s">
        <v>130</v>
      </c>
      <c r="F138" s="14" t="s">
        <v>87</v>
      </c>
      <c r="G138" s="14" t="s">
        <v>241</v>
      </c>
      <c r="H138" s="14">
        <v>22</v>
      </c>
      <c r="I138" s="15">
        <v>755</v>
      </c>
      <c r="J138" s="15">
        <v>950</v>
      </c>
      <c r="K138" s="15">
        <v>40</v>
      </c>
      <c r="L138" s="15"/>
      <c r="M138" s="15">
        <v>40</v>
      </c>
      <c r="N138" s="15">
        <v>312.5</v>
      </c>
      <c r="O138" s="15"/>
      <c r="P138" s="15" t="s">
        <v>375</v>
      </c>
      <c r="Q138" s="14" t="s">
        <v>376</v>
      </c>
      <c r="R138" t="s">
        <v>370</v>
      </c>
    </row>
    <row r="139" spans="1:18" x14ac:dyDescent="0.3">
      <c r="A139" s="14" t="s">
        <v>367</v>
      </c>
      <c r="B139" s="21">
        <v>46262</v>
      </c>
      <c r="C139" s="21">
        <v>46302</v>
      </c>
      <c r="D139" s="14" t="s">
        <v>129</v>
      </c>
      <c r="E139" s="14" t="s">
        <v>130</v>
      </c>
      <c r="F139" s="14" t="s">
        <v>87</v>
      </c>
      <c r="G139" s="14" t="s">
        <v>241</v>
      </c>
      <c r="H139" s="14">
        <v>22</v>
      </c>
      <c r="I139" s="15">
        <v>455</v>
      </c>
      <c r="J139" s="15">
        <v>950</v>
      </c>
      <c r="K139" s="15">
        <v>20</v>
      </c>
      <c r="L139" s="15"/>
      <c r="M139" s="15">
        <v>20</v>
      </c>
      <c r="N139" s="15">
        <v>94.16</v>
      </c>
      <c r="O139" s="15"/>
      <c r="P139" s="15" t="s">
        <v>377</v>
      </c>
      <c r="Q139" s="14" t="s">
        <v>378</v>
      </c>
      <c r="R139" t="s">
        <v>370</v>
      </c>
    </row>
    <row r="140" spans="1:18" x14ac:dyDescent="0.3">
      <c r="A140" s="14" t="s">
        <v>367</v>
      </c>
      <c r="B140" s="21">
        <v>46262</v>
      </c>
      <c r="C140" s="21">
        <v>46302</v>
      </c>
      <c r="D140" s="14" t="s">
        <v>129</v>
      </c>
      <c r="E140" s="14" t="s">
        <v>130</v>
      </c>
      <c r="F140" s="14" t="s">
        <v>87</v>
      </c>
      <c r="G140" s="14" t="s">
        <v>241</v>
      </c>
      <c r="H140" s="14">
        <v>22</v>
      </c>
      <c r="I140" s="15">
        <v>305</v>
      </c>
      <c r="J140" s="15">
        <v>950</v>
      </c>
      <c r="K140" s="15">
        <v>30</v>
      </c>
      <c r="L140" s="15"/>
      <c r="M140" s="15">
        <v>30</v>
      </c>
      <c r="N140" s="15">
        <v>94.68</v>
      </c>
      <c r="O140" s="15"/>
      <c r="P140" s="15" t="s">
        <v>379</v>
      </c>
      <c r="Q140" s="14" t="s">
        <v>380</v>
      </c>
      <c r="R140" t="s">
        <v>370</v>
      </c>
    </row>
    <row r="141" spans="1:18" x14ac:dyDescent="0.3">
      <c r="A141" s="14" t="s">
        <v>367</v>
      </c>
      <c r="B141" s="21">
        <v>46262</v>
      </c>
      <c r="C141" s="21">
        <v>46302</v>
      </c>
      <c r="D141" s="14" t="s">
        <v>129</v>
      </c>
      <c r="E141" s="14" t="s">
        <v>130</v>
      </c>
      <c r="F141" s="14" t="s">
        <v>87</v>
      </c>
      <c r="G141" s="14" t="s">
        <v>241</v>
      </c>
      <c r="H141" s="14">
        <v>22</v>
      </c>
      <c r="I141" s="15">
        <v>405</v>
      </c>
      <c r="J141" s="15">
        <v>900</v>
      </c>
      <c r="K141" s="15">
        <v>20</v>
      </c>
      <c r="L141" s="15"/>
      <c r="M141" s="15">
        <v>20</v>
      </c>
      <c r="N141" s="15">
        <v>79.400000000000006</v>
      </c>
      <c r="O141" s="15"/>
      <c r="P141" s="15" t="s">
        <v>381</v>
      </c>
      <c r="Q141" s="14" t="s">
        <v>382</v>
      </c>
      <c r="R141" t="s">
        <v>370</v>
      </c>
    </row>
    <row r="142" spans="1:18" x14ac:dyDescent="0.3">
      <c r="A142" s="14" t="s">
        <v>367</v>
      </c>
      <c r="B142" s="21">
        <v>46262</v>
      </c>
      <c r="C142" s="21">
        <v>46302</v>
      </c>
      <c r="D142" s="14" t="s">
        <v>129</v>
      </c>
      <c r="E142" s="14" t="s">
        <v>130</v>
      </c>
      <c r="F142" s="14" t="s">
        <v>87</v>
      </c>
      <c r="G142" s="14" t="s">
        <v>255</v>
      </c>
      <c r="H142" s="14">
        <v>22</v>
      </c>
      <c r="I142" s="15">
        <v>1719</v>
      </c>
      <c r="J142" s="15">
        <v>1820</v>
      </c>
      <c r="K142" s="15">
        <v>10</v>
      </c>
      <c r="L142" s="15"/>
      <c r="M142" s="15">
        <v>10</v>
      </c>
      <c r="N142" s="15">
        <v>340.77</v>
      </c>
      <c r="O142" s="15"/>
      <c r="P142" s="15" t="s">
        <v>383</v>
      </c>
      <c r="Q142" s="14" t="s">
        <v>384</v>
      </c>
      <c r="R142" t="s">
        <v>370</v>
      </c>
    </row>
    <row r="143" spans="1:18" x14ac:dyDescent="0.3">
      <c r="A143" s="14" t="s">
        <v>367</v>
      </c>
      <c r="B143" s="21">
        <v>46262</v>
      </c>
      <c r="C143" s="21">
        <v>46302</v>
      </c>
      <c r="D143" s="14" t="s">
        <v>129</v>
      </c>
      <c r="E143" s="14" t="s">
        <v>130</v>
      </c>
      <c r="F143" s="14" t="s">
        <v>87</v>
      </c>
      <c r="G143" s="14" t="s">
        <v>255</v>
      </c>
      <c r="H143" s="14">
        <v>22</v>
      </c>
      <c r="I143" s="15">
        <v>763</v>
      </c>
      <c r="J143" s="15">
        <v>1820</v>
      </c>
      <c r="K143" s="15">
        <v>20</v>
      </c>
      <c r="L143" s="15"/>
      <c r="M143" s="15">
        <v>20</v>
      </c>
      <c r="N143" s="15">
        <v>302.51</v>
      </c>
      <c r="O143" s="15"/>
      <c r="P143" s="15" t="s">
        <v>385</v>
      </c>
      <c r="Q143" s="14" t="s">
        <v>386</v>
      </c>
      <c r="R143" t="s">
        <v>370</v>
      </c>
    </row>
    <row r="144" spans="1:18" x14ac:dyDescent="0.3">
      <c r="A144" s="14" t="s">
        <v>367</v>
      </c>
      <c r="B144" s="21">
        <v>46262</v>
      </c>
      <c r="C144" s="21">
        <v>46302</v>
      </c>
      <c r="D144" s="14" t="s">
        <v>129</v>
      </c>
      <c r="E144" s="14" t="s">
        <v>130</v>
      </c>
      <c r="F144" s="14" t="s">
        <v>87</v>
      </c>
      <c r="G144" s="14" t="s">
        <v>255</v>
      </c>
      <c r="H144" s="14">
        <v>22</v>
      </c>
      <c r="I144" s="15">
        <v>405</v>
      </c>
      <c r="J144" s="15">
        <v>1310</v>
      </c>
      <c r="K144" s="15">
        <v>10</v>
      </c>
      <c r="L144" s="15"/>
      <c r="M144" s="15">
        <v>10</v>
      </c>
      <c r="N144" s="15">
        <v>57.79</v>
      </c>
      <c r="O144" s="15"/>
      <c r="P144" s="15" t="s">
        <v>387</v>
      </c>
      <c r="Q144" s="14" t="s">
        <v>388</v>
      </c>
      <c r="R144" t="s">
        <v>370</v>
      </c>
    </row>
    <row r="145" spans="1:18" x14ac:dyDescent="0.3">
      <c r="A145" s="14" t="s">
        <v>367</v>
      </c>
      <c r="B145" s="21">
        <v>46262</v>
      </c>
      <c r="C145" s="21">
        <v>46302</v>
      </c>
      <c r="D145" s="14" t="s">
        <v>129</v>
      </c>
      <c r="E145" s="14" t="s">
        <v>130</v>
      </c>
      <c r="F145" s="14" t="s">
        <v>87</v>
      </c>
      <c r="G145" s="14" t="s">
        <v>255</v>
      </c>
      <c r="H145" s="14">
        <v>22</v>
      </c>
      <c r="I145" s="15">
        <v>755</v>
      </c>
      <c r="J145" s="15">
        <v>950</v>
      </c>
      <c r="K145" s="15">
        <v>40</v>
      </c>
      <c r="L145" s="15"/>
      <c r="M145" s="15">
        <v>40</v>
      </c>
      <c r="N145" s="15">
        <v>312.5</v>
      </c>
      <c r="O145" s="15"/>
      <c r="P145" s="15" t="s">
        <v>389</v>
      </c>
      <c r="Q145" s="14" t="s">
        <v>390</v>
      </c>
      <c r="R145" t="s">
        <v>370</v>
      </c>
    </row>
    <row r="146" spans="1:18" x14ac:dyDescent="0.3">
      <c r="A146" s="14" t="s">
        <v>367</v>
      </c>
      <c r="B146" s="21">
        <v>46262</v>
      </c>
      <c r="C146" s="21">
        <v>46302</v>
      </c>
      <c r="D146" s="14" t="s">
        <v>129</v>
      </c>
      <c r="E146" s="14" t="s">
        <v>130</v>
      </c>
      <c r="F146" s="14" t="s">
        <v>87</v>
      </c>
      <c r="G146" s="14" t="s">
        <v>255</v>
      </c>
      <c r="H146" s="14">
        <v>22</v>
      </c>
      <c r="I146" s="15">
        <v>455</v>
      </c>
      <c r="J146" s="15">
        <v>950</v>
      </c>
      <c r="K146" s="15">
        <v>20</v>
      </c>
      <c r="L146" s="15"/>
      <c r="M146" s="15">
        <v>20</v>
      </c>
      <c r="N146" s="15">
        <v>94.16</v>
      </c>
      <c r="O146" s="15"/>
      <c r="P146" s="15" t="s">
        <v>391</v>
      </c>
      <c r="Q146" s="14" t="s">
        <v>392</v>
      </c>
      <c r="R146" t="s">
        <v>370</v>
      </c>
    </row>
    <row r="147" spans="1:18" x14ac:dyDescent="0.3">
      <c r="A147" s="14" t="s">
        <v>367</v>
      </c>
      <c r="B147" s="21">
        <v>46262</v>
      </c>
      <c r="C147" s="21">
        <v>46302</v>
      </c>
      <c r="D147" s="14" t="s">
        <v>129</v>
      </c>
      <c r="E147" s="14" t="s">
        <v>130</v>
      </c>
      <c r="F147" s="14" t="s">
        <v>87</v>
      </c>
      <c r="G147" s="14" t="s">
        <v>255</v>
      </c>
      <c r="H147" s="14">
        <v>22</v>
      </c>
      <c r="I147" s="15">
        <v>305</v>
      </c>
      <c r="J147" s="15">
        <v>950</v>
      </c>
      <c r="K147" s="15">
        <v>30</v>
      </c>
      <c r="L147" s="15"/>
      <c r="M147" s="15">
        <v>30</v>
      </c>
      <c r="N147" s="15">
        <v>94.68</v>
      </c>
      <c r="O147" s="15"/>
      <c r="P147" s="15" t="s">
        <v>393</v>
      </c>
      <c r="Q147" s="14" t="s">
        <v>394</v>
      </c>
      <c r="R147" t="s">
        <v>370</v>
      </c>
    </row>
    <row r="148" spans="1:18" x14ac:dyDescent="0.3">
      <c r="A148" s="14" t="s">
        <v>367</v>
      </c>
      <c r="B148" s="21">
        <v>46262</v>
      </c>
      <c r="C148" s="21">
        <v>46302</v>
      </c>
      <c r="D148" s="14" t="s">
        <v>129</v>
      </c>
      <c r="E148" s="14" t="s">
        <v>130</v>
      </c>
      <c r="F148" s="14" t="s">
        <v>87</v>
      </c>
      <c r="G148" s="14" t="s">
        <v>255</v>
      </c>
      <c r="H148" s="14">
        <v>22</v>
      </c>
      <c r="I148" s="15">
        <v>405</v>
      </c>
      <c r="J148" s="15">
        <v>900</v>
      </c>
      <c r="K148" s="15">
        <v>20</v>
      </c>
      <c r="L148" s="15"/>
      <c r="M148" s="15">
        <v>20</v>
      </c>
      <c r="N148" s="15">
        <v>79.400000000000006</v>
      </c>
      <c r="O148" s="15"/>
      <c r="P148" s="15" t="s">
        <v>395</v>
      </c>
      <c r="Q148" s="14" t="s">
        <v>396</v>
      </c>
      <c r="R148" t="s">
        <v>370</v>
      </c>
    </row>
    <row r="149" spans="1:18" x14ac:dyDescent="0.3">
      <c r="A149" s="14" t="s">
        <v>367</v>
      </c>
      <c r="B149" s="21">
        <v>46262</v>
      </c>
      <c r="C149" s="21">
        <v>46302</v>
      </c>
      <c r="D149" s="14" t="s">
        <v>129</v>
      </c>
      <c r="E149" s="14" t="s">
        <v>130</v>
      </c>
      <c r="F149" s="14" t="s">
        <v>87</v>
      </c>
      <c r="G149" s="14" t="s">
        <v>268</v>
      </c>
      <c r="H149" s="14">
        <v>22</v>
      </c>
      <c r="I149" s="15">
        <v>855</v>
      </c>
      <c r="J149" s="15">
        <v>1820</v>
      </c>
      <c r="K149" s="15">
        <v>10</v>
      </c>
      <c r="L149" s="15"/>
      <c r="M149" s="15">
        <v>10</v>
      </c>
      <c r="N149" s="15">
        <v>169.49</v>
      </c>
      <c r="O149" s="15"/>
      <c r="P149" s="15" t="s">
        <v>397</v>
      </c>
      <c r="Q149" s="14" t="s">
        <v>398</v>
      </c>
      <c r="R149" t="s">
        <v>370</v>
      </c>
    </row>
    <row r="150" spans="1:18" x14ac:dyDescent="0.3">
      <c r="A150" s="14" t="s">
        <v>367</v>
      </c>
      <c r="B150" s="21">
        <v>46262</v>
      </c>
      <c r="C150" s="21">
        <v>46302</v>
      </c>
      <c r="D150" s="14" t="s">
        <v>129</v>
      </c>
      <c r="E150" s="14" t="s">
        <v>130</v>
      </c>
      <c r="F150" s="14" t="s">
        <v>87</v>
      </c>
      <c r="G150" s="14" t="s">
        <v>268</v>
      </c>
      <c r="H150" s="14">
        <v>22</v>
      </c>
      <c r="I150" s="15">
        <v>705</v>
      </c>
      <c r="J150" s="15">
        <v>1820</v>
      </c>
      <c r="K150" s="15">
        <v>10</v>
      </c>
      <c r="L150" s="15"/>
      <c r="M150" s="15">
        <v>10</v>
      </c>
      <c r="N150" s="15">
        <v>139.76</v>
      </c>
      <c r="O150" s="15"/>
      <c r="P150" s="15" t="s">
        <v>399</v>
      </c>
      <c r="Q150" s="14" t="s">
        <v>400</v>
      </c>
      <c r="R150" t="s">
        <v>370</v>
      </c>
    </row>
    <row r="151" spans="1:18" x14ac:dyDescent="0.3">
      <c r="A151" s="14" t="s">
        <v>367</v>
      </c>
      <c r="B151" s="21">
        <v>46262</v>
      </c>
      <c r="C151" s="21">
        <v>46302</v>
      </c>
      <c r="D151" s="14" t="s">
        <v>129</v>
      </c>
      <c r="E151" s="14" t="s">
        <v>130</v>
      </c>
      <c r="F151" s="14" t="s">
        <v>87</v>
      </c>
      <c r="G151" s="14" t="s">
        <v>268</v>
      </c>
      <c r="H151" s="14">
        <v>22</v>
      </c>
      <c r="I151" s="15">
        <v>405</v>
      </c>
      <c r="J151" s="15">
        <v>950</v>
      </c>
      <c r="K151" s="15">
        <v>20</v>
      </c>
      <c r="L151" s="15"/>
      <c r="M151" s="15">
        <v>20</v>
      </c>
      <c r="N151" s="15">
        <v>83.82</v>
      </c>
      <c r="O151" s="15"/>
      <c r="P151" s="15" t="s">
        <v>401</v>
      </c>
      <c r="Q151" s="14" t="s">
        <v>402</v>
      </c>
      <c r="R151" t="s">
        <v>370</v>
      </c>
    </row>
    <row r="152" spans="1:18" x14ac:dyDescent="0.3">
      <c r="A152" s="14" t="s">
        <v>403</v>
      </c>
      <c r="B152" s="21">
        <v>46262</v>
      </c>
      <c r="C152" s="21">
        <v>46302</v>
      </c>
      <c r="D152" s="14" t="s">
        <v>129</v>
      </c>
      <c r="E152" s="14" t="s">
        <v>130</v>
      </c>
      <c r="F152" s="14" t="s">
        <v>87</v>
      </c>
      <c r="G152" s="14" t="s">
        <v>241</v>
      </c>
      <c r="H152" s="14">
        <v>22</v>
      </c>
      <c r="I152" s="15">
        <v>1719</v>
      </c>
      <c r="J152" s="15">
        <v>1820</v>
      </c>
      <c r="K152" s="15">
        <v>10</v>
      </c>
      <c r="L152" s="15"/>
      <c r="M152" s="15">
        <v>10</v>
      </c>
      <c r="N152" s="15">
        <v>340.77</v>
      </c>
      <c r="O152" s="15"/>
      <c r="P152" s="15" t="s">
        <v>404</v>
      </c>
      <c r="Q152" s="14" t="s">
        <v>405</v>
      </c>
      <c r="R152" t="s">
        <v>406</v>
      </c>
    </row>
    <row r="153" spans="1:18" x14ac:dyDescent="0.3">
      <c r="A153" s="14" t="s">
        <v>403</v>
      </c>
      <c r="B153" s="21">
        <v>46262</v>
      </c>
      <c r="C153" s="21">
        <v>46302</v>
      </c>
      <c r="D153" s="14" t="s">
        <v>129</v>
      </c>
      <c r="E153" s="14" t="s">
        <v>130</v>
      </c>
      <c r="F153" s="14" t="s">
        <v>87</v>
      </c>
      <c r="G153" s="14" t="s">
        <v>241</v>
      </c>
      <c r="H153" s="14">
        <v>22</v>
      </c>
      <c r="I153" s="15">
        <v>763</v>
      </c>
      <c r="J153" s="15">
        <v>1820</v>
      </c>
      <c r="K153" s="15">
        <v>20</v>
      </c>
      <c r="L153" s="15"/>
      <c r="M153" s="15">
        <v>20</v>
      </c>
      <c r="N153" s="15">
        <v>302.51</v>
      </c>
      <c r="O153" s="15"/>
      <c r="P153" s="15" t="s">
        <v>407</v>
      </c>
      <c r="Q153" s="14" t="s">
        <v>408</v>
      </c>
      <c r="R153" t="s">
        <v>406</v>
      </c>
    </row>
    <row r="154" spans="1:18" x14ac:dyDescent="0.3">
      <c r="A154" s="14" t="s">
        <v>403</v>
      </c>
      <c r="B154" s="21">
        <v>46262</v>
      </c>
      <c r="C154" s="21">
        <v>46302</v>
      </c>
      <c r="D154" s="14" t="s">
        <v>129</v>
      </c>
      <c r="E154" s="14" t="s">
        <v>130</v>
      </c>
      <c r="F154" s="14" t="s">
        <v>87</v>
      </c>
      <c r="G154" s="14" t="s">
        <v>241</v>
      </c>
      <c r="H154" s="14">
        <v>22</v>
      </c>
      <c r="I154" s="15">
        <v>405</v>
      </c>
      <c r="J154" s="15">
        <v>1310</v>
      </c>
      <c r="K154" s="15">
        <v>10</v>
      </c>
      <c r="L154" s="15"/>
      <c r="M154" s="15">
        <v>10</v>
      </c>
      <c r="N154" s="15">
        <v>57.79</v>
      </c>
      <c r="O154" s="15"/>
      <c r="P154" s="15" t="s">
        <v>409</v>
      </c>
      <c r="Q154" s="14" t="s">
        <v>410</v>
      </c>
      <c r="R154" t="s">
        <v>406</v>
      </c>
    </row>
    <row r="155" spans="1:18" x14ac:dyDescent="0.3">
      <c r="A155" s="14" t="s">
        <v>403</v>
      </c>
      <c r="B155" s="21">
        <v>46262</v>
      </c>
      <c r="C155" s="21">
        <v>46302</v>
      </c>
      <c r="D155" s="14" t="s">
        <v>129</v>
      </c>
      <c r="E155" s="14" t="s">
        <v>130</v>
      </c>
      <c r="F155" s="14" t="s">
        <v>87</v>
      </c>
      <c r="G155" s="14" t="s">
        <v>241</v>
      </c>
      <c r="H155" s="14">
        <v>22</v>
      </c>
      <c r="I155" s="15">
        <v>755</v>
      </c>
      <c r="J155" s="15">
        <v>950</v>
      </c>
      <c r="K155" s="15">
        <v>40</v>
      </c>
      <c r="L155" s="15"/>
      <c r="M155" s="15">
        <v>40</v>
      </c>
      <c r="N155" s="15">
        <v>312.5</v>
      </c>
      <c r="O155" s="15"/>
      <c r="P155" s="15" t="s">
        <v>411</v>
      </c>
      <c r="Q155" s="14" t="s">
        <v>412</v>
      </c>
      <c r="R155" t="s">
        <v>406</v>
      </c>
    </row>
    <row r="156" spans="1:18" x14ac:dyDescent="0.3">
      <c r="A156" s="14" t="s">
        <v>403</v>
      </c>
      <c r="B156" s="21">
        <v>46262</v>
      </c>
      <c r="C156" s="21">
        <v>46302</v>
      </c>
      <c r="D156" s="14" t="s">
        <v>129</v>
      </c>
      <c r="E156" s="14" t="s">
        <v>130</v>
      </c>
      <c r="F156" s="14" t="s">
        <v>87</v>
      </c>
      <c r="G156" s="14" t="s">
        <v>241</v>
      </c>
      <c r="H156" s="14">
        <v>22</v>
      </c>
      <c r="I156" s="15">
        <v>455</v>
      </c>
      <c r="J156" s="15">
        <v>950</v>
      </c>
      <c r="K156" s="15">
        <v>20</v>
      </c>
      <c r="L156" s="15"/>
      <c r="M156" s="15">
        <v>20</v>
      </c>
      <c r="N156" s="15">
        <v>94.16</v>
      </c>
      <c r="O156" s="15"/>
      <c r="P156" s="15" t="s">
        <v>413</v>
      </c>
      <c r="Q156" s="14" t="s">
        <v>414</v>
      </c>
      <c r="R156" t="s">
        <v>406</v>
      </c>
    </row>
    <row r="157" spans="1:18" x14ac:dyDescent="0.3">
      <c r="A157" s="14" t="s">
        <v>403</v>
      </c>
      <c r="B157" s="21">
        <v>46262</v>
      </c>
      <c r="C157" s="21">
        <v>46302</v>
      </c>
      <c r="D157" s="14" t="s">
        <v>129</v>
      </c>
      <c r="E157" s="14" t="s">
        <v>130</v>
      </c>
      <c r="F157" s="14" t="s">
        <v>87</v>
      </c>
      <c r="G157" s="14" t="s">
        <v>241</v>
      </c>
      <c r="H157" s="14">
        <v>22</v>
      </c>
      <c r="I157" s="15">
        <v>305</v>
      </c>
      <c r="J157" s="15">
        <v>950</v>
      </c>
      <c r="K157" s="15">
        <v>30</v>
      </c>
      <c r="L157" s="15"/>
      <c r="M157" s="15">
        <v>30</v>
      </c>
      <c r="N157" s="15">
        <v>94.68</v>
      </c>
      <c r="O157" s="15"/>
      <c r="P157" s="15" t="s">
        <v>415</v>
      </c>
      <c r="Q157" s="14" t="s">
        <v>416</v>
      </c>
      <c r="R157" t="s">
        <v>406</v>
      </c>
    </row>
    <row r="158" spans="1:18" x14ac:dyDescent="0.3">
      <c r="A158" s="14" t="s">
        <v>403</v>
      </c>
      <c r="B158" s="21">
        <v>46262</v>
      </c>
      <c r="C158" s="21">
        <v>46302</v>
      </c>
      <c r="D158" s="14" t="s">
        <v>129</v>
      </c>
      <c r="E158" s="14" t="s">
        <v>130</v>
      </c>
      <c r="F158" s="14" t="s">
        <v>87</v>
      </c>
      <c r="G158" s="14" t="s">
        <v>241</v>
      </c>
      <c r="H158" s="14">
        <v>22</v>
      </c>
      <c r="I158" s="15">
        <v>405</v>
      </c>
      <c r="J158" s="15">
        <v>900</v>
      </c>
      <c r="K158" s="15">
        <v>20</v>
      </c>
      <c r="L158" s="15"/>
      <c r="M158" s="15">
        <v>20</v>
      </c>
      <c r="N158" s="15">
        <v>79.400000000000006</v>
      </c>
      <c r="O158" s="15"/>
      <c r="P158" s="15" t="s">
        <v>417</v>
      </c>
      <c r="Q158" s="14" t="s">
        <v>418</v>
      </c>
      <c r="R158" t="s">
        <v>406</v>
      </c>
    </row>
    <row r="159" spans="1:18" x14ac:dyDescent="0.3">
      <c r="A159" s="14" t="s">
        <v>403</v>
      </c>
      <c r="B159" s="21">
        <v>46262</v>
      </c>
      <c r="C159" s="21">
        <v>46302</v>
      </c>
      <c r="D159" s="14" t="s">
        <v>129</v>
      </c>
      <c r="E159" s="14" t="s">
        <v>130</v>
      </c>
      <c r="F159" s="14" t="s">
        <v>87</v>
      </c>
      <c r="G159" s="14" t="s">
        <v>255</v>
      </c>
      <c r="H159" s="14">
        <v>22</v>
      </c>
      <c r="I159" s="15">
        <v>1719</v>
      </c>
      <c r="J159" s="15">
        <v>1820</v>
      </c>
      <c r="K159" s="15">
        <v>10</v>
      </c>
      <c r="L159" s="15"/>
      <c r="M159" s="15">
        <v>10</v>
      </c>
      <c r="N159" s="15">
        <v>340.77</v>
      </c>
      <c r="O159" s="15"/>
      <c r="P159" s="15" t="s">
        <v>419</v>
      </c>
      <c r="Q159" s="14" t="s">
        <v>420</v>
      </c>
      <c r="R159" t="s">
        <v>406</v>
      </c>
    </row>
    <row r="160" spans="1:18" x14ac:dyDescent="0.3">
      <c r="A160" s="14" t="s">
        <v>403</v>
      </c>
      <c r="B160" s="21">
        <v>46262</v>
      </c>
      <c r="C160" s="21">
        <v>46302</v>
      </c>
      <c r="D160" s="14" t="s">
        <v>129</v>
      </c>
      <c r="E160" s="14" t="s">
        <v>130</v>
      </c>
      <c r="F160" s="14" t="s">
        <v>87</v>
      </c>
      <c r="G160" s="14" t="s">
        <v>255</v>
      </c>
      <c r="H160" s="14">
        <v>22</v>
      </c>
      <c r="I160" s="15">
        <v>763</v>
      </c>
      <c r="J160" s="15">
        <v>1820</v>
      </c>
      <c r="K160" s="15">
        <v>20</v>
      </c>
      <c r="L160" s="15"/>
      <c r="M160" s="15">
        <v>20</v>
      </c>
      <c r="N160" s="15">
        <v>302.51</v>
      </c>
      <c r="O160" s="15"/>
      <c r="P160" s="15" t="s">
        <v>421</v>
      </c>
      <c r="Q160" s="14" t="s">
        <v>422</v>
      </c>
      <c r="R160" t="s">
        <v>406</v>
      </c>
    </row>
    <row r="161" spans="1:18" x14ac:dyDescent="0.3">
      <c r="A161" s="14" t="s">
        <v>403</v>
      </c>
      <c r="B161" s="21">
        <v>46262</v>
      </c>
      <c r="C161" s="21">
        <v>46302</v>
      </c>
      <c r="D161" s="14" t="s">
        <v>129</v>
      </c>
      <c r="E161" s="14" t="s">
        <v>130</v>
      </c>
      <c r="F161" s="14" t="s">
        <v>87</v>
      </c>
      <c r="G161" s="14" t="s">
        <v>255</v>
      </c>
      <c r="H161" s="14">
        <v>22</v>
      </c>
      <c r="I161" s="15">
        <v>405</v>
      </c>
      <c r="J161" s="15">
        <v>1310</v>
      </c>
      <c r="K161" s="15">
        <v>10</v>
      </c>
      <c r="L161" s="15"/>
      <c r="M161" s="15">
        <v>10</v>
      </c>
      <c r="N161" s="15">
        <v>57.79</v>
      </c>
      <c r="O161" s="15"/>
      <c r="P161" s="15" t="s">
        <v>423</v>
      </c>
      <c r="Q161" s="14" t="s">
        <v>424</v>
      </c>
      <c r="R161" t="s">
        <v>406</v>
      </c>
    </row>
    <row r="162" spans="1:18" x14ac:dyDescent="0.3">
      <c r="A162" s="14" t="s">
        <v>403</v>
      </c>
      <c r="B162" s="21">
        <v>46262</v>
      </c>
      <c r="C162" s="21">
        <v>46302</v>
      </c>
      <c r="D162" s="14" t="s">
        <v>129</v>
      </c>
      <c r="E162" s="14" t="s">
        <v>130</v>
      </c>
      <c r="F162" s="14" t="s">
        <v>87</v>
      </c>
      <c r="G162" s="14" t="s">
        <v>255</v>
      </c>
      <c r="H162" s="14">
        <v>22</v>
      </c>
      <c r="I162" s="15">
        <v>755</v>
      </c>
      <c r="J162" s="15">
        <v>950</v>
      </c>
      <c r="K162" s="15">
        <v>40</v>
      </c>
      <c r="L162" s="15"/>
      <c r="M162" s="15">
        <v>40</v>
      </c>
      <c r="N162" s="15">
        <v>312.5</v>
      </c>
      <c r="O162" s="15"/>
      <c r="P162" s="15" t="s">
        <v>425</v>
      </c>
      <c r="Q162" s="14" t="s">
        <v>426</v>
      </c>
      <c r="R162" t="s">
        <v>406</v>
      </c>
    </row>
    <row r="163" spans="1:18" x14ac:dyDescent="0.3">
      <c r="A163" s="14" t="s">
        <v>403</v>
      </c>
      <c r="B163" s="21">
        <v>46262</v>
      </c>
      <c r="C163" s="21">
        <v>46302</v>
      </c>
      <c r="D163" s="14" t="s">
        <v>129</v>
      </c>
      <c r="E163" s="14" t="s">
        <v>130</v>
      </c>
      <c r="F163" s="14" t="s">
        <v>87</v>
      </c>
      <c r="G163" s="14" t="s">
        <v>255</v>
      </c>
      <c r="H163" s="14">
        <v>22</v>
      </c>
      <c r="I163" s="15">
        <v>455</v>
      </c>
      <c r="J163" s="15">
        <v>950</v>
      </c>
      <c r="K163" s="15">
        <v>20</v>
      </c>
      <c r="L163" s="15"/>
      <c r="M163" s="15">
        <v>20</v>
      </c>
      <c r="N163" s="15">
        <v>94.16</v>
      </c>
      <c r="O163" s="15"/>
      <c r="P163" s="15" t="s">
        <v>427</v>
      </c>
      <c r="Q163" s="14" t="s">
        <v>428</v>
      </c>
      <c r="R163" t="s">
        <v>406</v>
      </c>
    </row>
    <row r="164" spans="1:18" x14ac:dyDescent="0.3">
      <c r="A164" s="14" t="s">
        <v>403</v>
      </c>
      <c r="B164" s="21">
        <v>46262</v>
      </c>
      <c r="C164" s="21">
        <v>46302</v>
      </c>
      <c r="D164" s="14" t="s">
        <v>129</v>
      </c>
      <c r="E164" s="14" t="s">
        <v>130</v>
      </c>
      <c r="F164" s="14" t="s">
        <v>87</v>
      </c>
      <c r="G164" s="14" t="s">
        <v>255</v>
      </c>
      <c r="H164" s="14">
        <v>22</v>
      </c>
      <c r="I164" s="15">
        <v>305</v>
      </c>
      <c r="J164" s="15">
        <v>950</v>
      </c>
      <c r="K164" s="15">
        <v>30</v>
      </c>
      <c r="L164" s="15"/>
      <c r="M164" s="15">
        <v>30</v>
      </c>
      <c r="N164" s="15">
        <v>94.68</v>
      </c>
      <c r="O164" s="15"/>
      <c r="P164" s="15" t="s">
        <v>429</v>
      </c>
      <c r="Q164" s="14" t="s">
        <v>430</v>
      </c>
      <c r="R164" t="s">
        <v>406</v>
      </c>
    </row>
    <row r="165" spans="1:18" x14ac:dyDescent="0.3">
      <c r="A165" s="14" t="s">
        <v>403</v>
      </c>
      <c r="B165" s="21">
        <v>46262</v>
      </c>
      <c r="C165" s="21">
        <v>46302</v>
      </c>
      <c r="D165" s="14" t="s">
        <v>129</v>
      </c>
      <c r="E165" s="14" t="s">
        <v>130</v>
      </c>
      <c r="F165" s="14" t="s">
        <v>87</v>
      </c>
      <c r="G165" s="14" t="s">
        <v>255</v>
      </c>
      <c r="H165" s="14">
        <v>22</v>
      </c>
      <c r="I165" s="15">
        <v>405</v>
      </c>
      <c r="J165" s="15">
        <v>900</v>
      </c>
      <c r="K165" s="15">
        <v>20</v>
      </c>
      <c r="L165" s="15"/>
      <c r="M165" s="15">
        <v>20</v>
      </c>
      <c r="N165" s="15">
        <v>79.400000000000006</v>
      </c>
      <c r="O165" s="15"/>
      <c r="P165" s="15" t="s">
        <v>431</v>
      </c>
      <c r="Q165" s="14" t="s">
        <v>432</v>
      </c>
      <c r="R165" t="s">
        <v>406</v>
      </c>
    </row>
    <row r="166" spans="1:18" x14ac:dyDescent="0.3">
      <c r="A166" s="14" t="s">
        <v>403</v>
      </c>
      <c r="B166" s="21">
        <v>46262</v>
      </c>
      <c r="C166" s="21">
        <v>46302</v>
      </c>
      <c r="D166" s="14" t="s">
        <v>129</v>
      </c>
      <c r="E166" s="14" t="s">
        <v>130</v>
      </c>
      <c r="F166" s="14" t="s">
        <v>87</v>
      </c>
      <c r="G166" s="14" t="s">
        <v>268</v>
      </c>
      <c r="H166" s="14">
        <v>22</v>
      </c>
      <c r="I166" s="15">
        <v>855</v>
      </c>
      <c r="J166" s="15">
        <v>1820</v>
      </c>
      <c r="K166" s="15">
        <v>10</v>
      </c>
      <c r="L166" s="15"/>
      <c r="M166" s="15">
        <v>10</v>
      </c>
      <c r="N166" s="15">
        <v>169.49</v>
      </c>
      <c r="O166" s="15"/>
      <c r="P166" s="15" t="s">
        <v>433</v>
      </c>
      <c r="Q166" s="14" t="s">
        <v>434</v>
      </c>
      <c r="R166" t="s">
        <v>406</v>
      </c>
    </row>
    <row r="167" spans="1:18" x14ac:dyDescent="0.3">
      <c r="A167" s="14" t="s">
        <v>403</v>
      </c>
      <c r="B167" s="21">
        <v>46262</v>
      </c>
      <c r="C167" s="21">
        <v>46302</v>
      </c>
      <c r="D167" s="14" t="s">
        <v>129</v>
      </c>
      <c r="E167" s="14" t="s">
        <v>130</v>
      </c>
      <c r="F167" s="14" t="s">
        <v>87</v>
      </c>
      <c r="G167" s="14" t="s">
        <v>268</v>
      </c>
      <c r="H167" s="14">
        <v>22</v>
      </c>
      <c r="I167" s="15">
        <v>705</v>
      </c>
      <c r="J167" s="15">
        <v>1820</v>
      </c>
      <c r="K167" s="15">
        <v>10</v>
      </c>
      <c r="L167" s="15"/>
      <c r="M167" s="15">
        <v>10</v>
      </c>
      <c r="N167" s="15">
        <v>139.76</v>
      </c>
      <c r="O167" s="15"/>
      <c r="P167" s="15" t="s">
        <v>435</v>
      </c>
      <c r="Q167" s="14" t="s">
        <v>436</v>
      </c>
      <c r="R167" t="s">
        <v>406</v>
      </c>
    </row>
    <row r="168" spans="1:18" x14ac:dyDescent="0.3">
      <c r="A168" s="14" t="s">
        <v>403</v>
      </c>
      <c r="B168" s="21">
        <v>46262</v>
      </c>
      <c r="C168" s="21">
        <v>46302</v>
      </c>
      <c r="D168" s="14" t="s">
        <v>129</v>
      </c>
      <c r="E168" s="14" t="s">
        <v>130</v>
      </c>
      <c r="F168" s="14" t="s">
        <v>87</v>
      </c>
      <c r="G168" s="14" t="s">
        <v>268</v>
      </c>
      <c r="H168" s="14">
        <v>22</v>
      </c>
      <c r="I168" s="15">
        <v>405</v>
      </c>
      <c r="J168" s="15">
        <v>950</v>
      </c>
      <c r="K168" s="15">
        <v>20</v>
      </c>
      <c r="L168" s="15"/>
      <c r="M168" s="15">
        <v>20</v>
      </c>
      <c r="N168" s="15">
        <v>83.82</v>
      </c>
      <c r="O168" s="15"/>
      <c r="P168" s="15" t="s">
        <v>437</v>
      </c>
      <c r="Q168" s="14" t="s">
        <v>438</v>
      </c>
      <c r="R168" t="s">
        <v>406</v>
      </c>
    </row>
    <row r="169" spans="1:18" x14ac:dyDescent="0.3">
      <c r="A169" s="14" t="s">
        <v>439</v>
      </c>
      <c r="B169" s="21">
        <v>46262</v>
      </c>
      <c r="C169" s="21">
        <v>46302</v>
      </c>
      <c r="D169" s="14" t="s">
        <v>129</v>
      </c>
      <c r="E169" s="14" t="s">
        <v>130</v>
      </c>
      <c r="F169" s="14" t="s">
        <v>87</v>
      </c>
      <c r="G169" s="14" t="s">
        <v>241</v>
      </c>
      <c r="H169" s="14">
        <v>22</v>
      </c>
      <c r="I169" s="15">
        <v>1719</v>
      </c>
      <c r="J169" s="15">
        <v>1820</v>
      </c>
      <c r="K169" s="15">
        <v>15</v>
      </c>
      <c r="L169" s="15"/>
      <c r="M169" s="15">
        <v>15</v>
      </c>
      <c r="N169" s="15">
        <v>511.16</v>
      </c>
      <c r="O169" s="15"/>
      <c r="P169" s="15" t="s">
        <v>440</v>
      </c>
      <c r="Q169" s="14" t="s">
        <v>441</v>
      </c>
      <c r="R169" t="s">
        <v>442</v>
      </c>
    </row>
    <row r="170" spans="1:18" x14ac:dyDescent="0.3">
      <c r="A170" s="14" t="s">
        <v>439</v>
      </c>
      <c r="B170" s="21">
        <v>46262</v>
      </c>
      <c r="C170" s="21">
        <v>46302</v>
      </c>
      <c r="D170" s="14" t="s">
        <v>129</v>
      </c>
      <c r="E170" s="14" t="s">
        <v>130</v>
      </c>
      <c r="F170" s="14" t="s">
        <v>87</v>
      </c>
      <c r="G170" s="14" t="s">
        <v>241</v>
      </c>
      <c r="H170" s="14">
        <v>22</v>
      </c>
      <c r="I170" s="15">
        <v>763</v>
      </c>
      <c r="J170" s="15">
        <v>1820</v>
      </c>
      <c r="K170" s="15">
        <v>30</v>
      </c>
      <c r="L170" s="15"/>
      <c r="M170" s="15">
        <v>30</v>
      </c>
      <c r="N170" s="15">
        <v>453.77</v>
      </c>
      <c r="O170" s="15"/>
      <c r="P170" s="15" t="s">
        <v>443</v>
      </c>
      <c r="Q170" s="14" t="s">
        <v>444</v>
      </c>
      <c r="R170" t="s">
        <v>442</v>
      </c>
    </row>
    <row r="171" spans="1:18" x14ac:dyDescent="0.3">
      <c r="A171" s="14" t="s">
        <v>439</v>
      </c>
      <c r="B171" s="21">
        <v>46262</v>
      </c>
      <c r="C171" s="21">
        <v>46302</v>
      </c>
      <c r="D171" s="14" t="s">
        <v>129</v>
      </c>
      <c r="E171" s="14" t="s">
        <v>130</v>
      </c>
      <c r="F171" s="14" t="s">
        <v>87</v>
      </c>
      <c r="G171" s="14" t="s">
        <v>241</v>
      </c>
      <c r="H171" s="14">
        <v>22</v>
      </c>
      <c r="I171" s="15">
        <v>755</v>
      </c>
      <c r="J171" s="15">
        <v>950</v>
      </c>
      <c r="K171" s="15">
        <v>60</v>
      </c>
      <c r="L171" s="15"/>
      <c r="M171" s="15">
        <v>60</v>
      </c>
      <c r="N171" s="15">
        <v>468.74</v>
      </c>
      <c r="O171" s="15"/>
      <c r="P171" s="15" t="s">
        <v>445</v>
      </c>
      <c r="Q171" s="14" t="s">
        <v>446</v>
      </c>
      <c r="R171" t="s">
        <v>442</v>
      </c>
    </row>
    <row r="172" spans="1:18" x14ac:dyDescent="0.3">
      <c r="A172" s="14" t="s">
        <v>439</v>
      </c>
      <c r="B172" s="21">
        <v>46262</v>
      </c>
      <c r="C172" s="21">
        <v>46302</v>
      </c>
      <c r="D172" s="14" t="s">
        <v>129</v>
      </c>
      <c r="E172" s="14" t="s">
        <v>130</v>
      </c>
      <c r="F172" s="14" t="s">
        <v>87</v>
      </c>
      <c r="G172" s="14" t="s">
        <v>241</v>
      </c>
      <c r="H172" s="14">
        <v>22</v>
      </c>
      <c r="I172" s="15">
        <v>455</v>
      </c>
      <c r="J172" s="15">
        <v>950</v>
      </c>
      <c r="K172" s="15">
        <v>40</v>
      </c>
      <c r="L172" s="15"/>
      <c r="M172" s="15">
        <v>40</v>
      </c>
      <c r="N172" s="15">
        <v>188.33</v>
      </c>
      <c r="O172" s="15"/>
      <c r="P172" s="15" t="s">
        <v>447</v>
      </c>
      <c r="Q172" s="14" t="s">
        <v>448</v>
      </c>
      <c r="R172" t="s">
        <v>442</v>
      </c>
    </row>
    <row r="173" spans="1:18" x14ac:dyDescent="0.3">
      <c r="A173" s="14" t="s">
        <v>439</v>
      </c>
      <c r="B173" s="21">
        <v>46262</v>
      </c>
      <c r="C173" s="21">
        <v>46302</v>
      </c>
      <c r="D173" s="14" t="s">
        <v>129</v>
      </c>
      <c r="E173" s="14" t="s">
        <v>130</v>
      </c>
      <c r="F173" s="14" t="s">
        <v>87</v>
      </c>
      <c r="G173" s="14" t="s">
        <v>241</v>
      </c>
      <c r="H173" s="14">
        <v>22</v>
      </c>
      <c r="I173" s="15">
        <v>305</v>
      </c>
      <c r="J173" s="15">
        <v>950</v>
      </c>
      <c r="K173" s="15">
        <v>40</v>
      </c>
      <c r="L173" s="15"/>
      <c r="M173" s="15">
        <v>40</v>
      </c>
      <c r="N173" s="15">
        <v>126.24</v>
      </c>
      <c r="O173" s="15"/>
      <c r="P173" s="15" t="s">
        <v>449</v>
      </c>
      <c r="Q173" s="14" t="s">
        <v>450</v>
      </c>
      <c r="R173" t="s">
        <v>442</v>
      </c>
    </row>
    <row r="174" spans="1:18" x14ac:dyDescent="0.3">
      <c r="A174" s="14" t="s">
        <v>439</v>
      </c>
      <c r="B174" s="21">
        <v>46262</v>
      </c>
      <c r="C174" s="21">
        <v>46302</v>
      </c>
      <c r="D174" s="14" t="s">
        <v>129</v>
      </c>
      <c r="E174" s="14" t="s">
        <v>130</v>
      </c>
      <c r="F174" s="14" t="s">
        <v>87</v>
      </c>
      <c r="G174" s="14" t="s">
        <v>241</v>
      </c>
      <c r="H174" s="14">
        <v>22</v>
      </c>
      <c r="I174" s="15">
        <v>405</v>
      </c>
      <c r="J174" s="15">
        <v>900</v>
      </c>
      <c r="K174" s="15">
        <v>30</v>
      </c>
      <c r="L174" s="15"/>
      <c r="M174" s="15">
        <v>30</v>
      </c>
      <c r="N174" s="15">
        <v>119.11</v>
      </c>
      <c r="O174" s="15"/>
      <c r="P174" s="15" t="s">
        <v>451</v>
      </c>
      <c r="Q174" s="14" t="s">
        <v>452</v>
      </c>
      <c r="R174" t="s">
        <v>442</v>
      </c>
    </row>
    <row r="175" spans="1:18" x14ac:dyDescent="0.3">
      <c r="A175" s="14" t="s">
        <v>439</v>
      </c>
      <c r="B175" s="21">
        <v>46262</v>
      </c>
      <c r="C175" s="21">
        <v>46302</v>
      </c>
      <c r="D175" s="14" t="s">
        <v>129</v>
      </c>
      <c r="E175" s="14" t="s">
        <v>130</v>
      </c>
      <c r="F175" s="14" t="s">
        <v>87</v>
      </c>
      <c r="G175" s="14" t="s">
        <v>255</v>
      </c>
      <c r="H175" s="14">
        <v>22</v>
      </c>
      <c r="I175" s="15">
        <v>1719</v>
      </c>
      <c r="J175" s="15">
        <v>1820</v>
      </c>
      <c r="K175" s="15">
        <v>15</v>
      </c>
      <c r="L175" s="15"/>
      <c r="M175" s="15">
        <v>15</v>
      </c>
      <c r="N175" s="15">
        <v>511.16</v>
      </c>
      <c r="O175" s="15"/>
      <c r="P175" s="15" t="s">
        <v>453</v>
      </c>
      <c r="Q175" s="14" t="s">
        <v>454</v>
      </c>
      <c r="R175" t="s">
        <v>442</v>
      </c>
    </row>
    <row r="176" spans="1:18" x14ac:dyDescent="0.3">
      <c r="A176" s="14" t="s">
        <v>439</v>
      </c>
      <c r="B176" s="21">
        <v>46262</v>
      </c>
      <c r="C176" s="21">
        <v>46302</v>
      </c>
      <c r="D176" s="14" t="s">
        <v>129</v>
      </c>
      <c r="E176" s="14" t="s">
        <v>130</v>
      </c>
      <c r="F176" s="14" t="s">
        <v>87</v>
      </c>
      <c r="G176" s="14" t="s">
        <v>255</v>
      </c>
      <c r="H176" s="14">
        <v>22</v>
      </c>
      <c r="I176" s="15">
        <v>763</v>
      </c>
      <c r="J176" s="15">
        <v>1820</v>
      </c>
      <c r="K176" s="15">
        <v>30</v>
      </c>
      <c r="L176" s="15"/>
      <c r="M176" s="15">
        <v>30</v>
      </c>
      <c r="N176" s="15">
        <v>453.77</v>
      </c>
      <c r="O176" s="15"/>
      <c r="P176" s="15" t="s">
        <v>455</v>
      </c>
      <c r="Q176" s="14" t="s">
        <v>456</v>
      </c>
      <c r="R176" t="s">
        <v>442</v>
      </c>
    </row>
    <row r="177" spans="1:18" x14ac:dyDescent="0.3">
      <c r="A177" s="14" t="s">
        <v>439</v>
      </c>
      <c r="B177" s="21">
        <v>46262</v>
      </c>
      <c r="C177" s="21">
        <v>46302</v>
      </c>
      <c r="D177" s="14" t="s">
        <v>129</v>
      </c>
      <c r="E177" s="14" t="s">
        <v>130</v>
      </c>
      <c r="F177" s="14" t="s">
        <v>87</v>
      </c>
      <c r="G177" s="14" t="s">
        <v>255</v>
      </c>
      <c r="H177" s="14">
        <v>22</v>
      </c>
      <c r="I177" s="15">
        <v>755</v>
      </c>
      <c r="J177" s="15">
        <v>950</v>
      </c>
      <c r="K177" s="15">
        <v>60</v>
      </c>
      <c r="L177" s="15"/>
      <c r="M177" s="15">
        <v>60</v>
      </c>
      <c r="N177" s="15">
        <v>468.74</v>
      </c>
      <c r="O177" s="15"/>
      <c r="P177" s="15" t="s">
        <v>457</v>
      </c>
      <c r="Q177" s="14" t="s">
        <v>458</v>
      </c>
      <c r="R177" t="s">
        <v>442</v>
      </c>
    </row>
    <row r="178" spans="1:18" x14ac:dyDescent="0.3">
      <c r="A178" s="14" t="s">
        <v>439</v>
      </c>
      <c r="B178" s="21">
        <v>46262</v>
      </c>
      <c r="C178" s="21">
        <v>46302</v>
      </c>
      <c r="D178" s="14" t="s">
        <v>129</v>
      </c>
      <c r="E178" s="14" t="s">
        <v>130</v>
      </c>
      <c r="F178" s="14" t="s">
        <v>87</v>
      </c>
      <c r="G178" s="14" t="s">
        <v>255</v>
      </c>
      <c r="H178" s="14">
        <v>22</v>
      </c>
      <c r="I178" s="15">
        <v>455</v>
      </c>
      <c r="J178" s="15">
        <v>950</v>
      </c>
      <c r="K178" s="15">
        <v>40</v>
      </c>
      <c r="L178" s="15"/>
      <c r="M178" s="15">
        <v>40</v>
      </c>
      <c r="N178" s="15">
        <v>188.33</v>
      </c>
      <c r="O178" s="15"/>
      <c r="P178" s="15" t="s">
        <v>459</v>
      </c>
      <c r="Q178" s="14" t="s">
        <v>460</v>
      </c>
      <c r="R178" t="s">
        <v>442</v>
      </c>
    </row>
    <row r="179" spans="1:18" x14ac:dyDescent="0.3">
      <c r="A179" s="14" t="s">
        <v>439</v>
      </c>
      <c r="B179" s="21">
        <v>46262</v>
      </c>
      <c r="C179" s="21">
        <v>46302</v>
      </c>
      <c r="D179" s="14" t="s">
        <v>129</v>
      </c>
      <c r="E179" s="14" t="s">
        <v>130</v>
      </c>
      <c r="F179" s="14" t="s">
        <v>87</v>
      </c>
      <c r="G179" s="14" t="s">
        <v>255</v>
      </c>
      <c r="H179" s="14">
        <v>22</v>
      </c>
      <c r="I179" s="15">
        <v>305</v>
      </c>
      <c r="J179" s="15">
        <v>950</v>
      </c>
      <c r="K179" s="15">
        <v>40</v>
      </c>
      <c r="L179" s="15"/>
      <c r="M179" s="15">
        <v>40</v>
      </c>
      <c r="N179" s="15">
        <v>126.24</v>
      </c>
      <c r="O179" s="15"/>
      <c r="P179" s="15" t="s">
        <v>461</v>
      </c>
      <c r="Q179" s="14" t="s">
        <v>462</v>
      </c>
      <c r="R179" t="s">
        <v>442</v>
      </c>
    </row>
    <row r="180" spans="1:18" x14ac:dyDescent="0.3">
      <c r="A180" s="14" t="s">
        <v>439</v>
      </c>
      <c r="B180" s="21">
        <v>46262</v>
      </c>
      <c r="C180" s="21">
        <v>46302</v>
      </c>
      <c r="D180" s="14" t="s">
        <v>129</v>
      </c>
      <c r="E180" s="14" t="s">
        <v>130</v>
      </c>
      <c r="F180" s="14" t="s">
        <v>87</v>
      </c>
      <c r="G180" s="14" t="s">
        <v>255</v>
      </c>
      <c r="H180" s="14">
        <v>22</v>
      </c>
      <c r="I180" s="15">
        <v>405</v>
      </c>
      <c r="J180" s="15">
        <v>900</v>
      </c>
      <c r="K180" s="15">
        <v>30</v>
      </c>
      <c r="L180" s="15"/>
      <c r="M180" s="15">
        <v>30</v>
      </c>
      <c r="N180" s="15">
        <v>119.11</v>
      </c>
      <c r="O180" s="15"/>
      <c r="P180" s="15" t="s">
        <v>463</v>
      </c>
      <c r="Q180" s="14" t="s">
        <v>464</v>
      </c>
      <c r="R180" t="s">
        <v>442</v>
      </c>
    </row>
    <row r="181" spans="1:18" x14ac:dyDescent="0.3">
      <c r="A181" s="14" t="s">
        <v>439</v>
      </c>
      <c r="B181" s="21">
        <v>46262</v>
      </c>
      <c r="C181" s="21">
        <v>46302</v>
      </c>
      <c r="D181" s="14" t="s">
        <v>129</v>
      </c>
      <c r="E181" s="14" t="s">
        <v>130</v>
      </c>
      <c r="F181" s="14" t="s">
        <v>87</v>
      </c>
      <c r="G181" s="14" t="s">
        <v>268</v>
      </c>
      <c r="H181" s="14">
        <v>22</v>
      </c>
      <c r="I181" s="15">
        <v>705</v>
      </c>
      <c r="J181" s="15">
        <v>1820</v>
      </c>
      <c r="K181" s="15">
        <v>20</v>
      </c>
      <c r="L181" s="15"/>
      <c r="M181" s="15">
        <v>20</v>
      </c>
      <c r="N181" s="15">
        <v>279.52</v>
      </c>
      <c r="O181" s="15"/>
      <c r="P181" s="15" t="s">
        <v>465</v>
      </c>
      <c r="Q181" s="14" t="s">
        <v>466</v>
      </c>
      <c r="R181" t="s">
        <v>442</v>
      </c>
    </row>
    <row r="182" spans="1:18" x14ac:dyDescent="0.3">
      <c r="A182" s="14" t="s">
        <v>439</v>
      </c>
      <c r="B182" s="21">
        <v>46262</v>
      </c>
      <c r="C182" s="21">
        <v>46302</v>
      </c>
      <c r="D182" s="14" t="s">
        <v>129</v>
      </c>
      <c r="E182" s="14" t="s">
        <v>130</v>
      </c>
      <c r="F182" s="14" t="s">
        <v>87</v>
      </c>
      <c r="G182" s="14" t="s">
        <v>268</v>
      </c>
      <c r="H182" s="14">
        <v>22</v>
      </c>
      <c r="I182" s="15">
        <v>405</v>
      </c>
      <c r="J182" s="15">
        <v>950</v>
      </c>
      <c r="K182" s="15">
        <v>30</v>
      </c>
      <c r="L182" s="15"/>
      <c r="M182" s="15">
        <v>30</v>
      </c>
      <c r="N182" s="15">
        <v>125.72</v>
      </c>
      <c r="O182" s="15"/>
      <c r="P182" s="15" t="s">
        <v>467</v>
      </c>
      <c r="Q182" s="14" t="s">
        <v>468</v>
      </c>
      <c r="R182" t="s">
        <v>442</v>
      </c>
    </row>
    <row r="183" spans="1:18" x14ac:dyDescent="0.3">
      <c r="A183" s="14" t="s">
        <v>469</v>
      </c>
      <c r="B183" s="21">
        <v>46262</v>
      </c>
      <c r="C183" s="21">
        <v>46302</v>
      </c>
      <c r="D183" s="14" t="s">
        <v>129</v>
      </c>
      <c r="E183" s="14" t="s">
        <v>130</v>
      </c>
      <c r="F183" s="14" t="s">
        <v>87</v>
      </c>
      <c r="G183" s="14" t="s">
        <v>241</v>
      </c>
      <c r="H183" s="14">
        <v>22</v>
      </c>
      <c r="I183" s="15">
        <v>1719</v>
      </c>
      <c r="J183" s="15">
        <v>1820</v>
      </c>
      <c r="K183" s="15">
        <v>10</v>
      </c>
      <c r="L183" s="15"/>
      <c r="M183" s="15">
        <v>10</v>
      </c>
      <c r="N183" s="15">
        <v>340.77</v>
      </c>
      <c r="O183" s="15"/>
      <c r="P183" s="15" t="s">
        <v>470</v>
      </c>
      <c r="Q183" s="14" t="s">
        <v>471</v>
      </c>
      <c r="R183" t="s">
        <v>472</v>
      </c>
    </row>
    <row r="184" spans="1:18" x14ac:dyDescent="0.3">
      <c r="A184" s="14" t="s">
        <v>469</v>
      </c>
      <c r="B184" s="21">
        <v>46262</v>
      </c>
      <c r="C184" s="21">
        <v>46302</v>
      </c>
      <c r="D184" s="14" t="s">
        <v>129</v>
      </c>
      <c r="E184" s="14" t="s">
        <v>130</v>
      </c>
      <c r="F184" s="14" t="s">
        <v>87</v>
      </c>
      <c r="G184" s="14" t="s">
        <v>241</v>
      </c>
      <c r="H184" s="14">
        <v>22</v>
      </c>
      <c r="I184" s="15">
        <v>763</v>
      </c>
      <c r="J184" s="15">
        <v>1820</v>
      </c>
      <c r="K184" s="15">
        <v>20</v>
      </c>
      <c r="L184" s="15"/>
      <c r="M184" s="15">
        <v>20</v>
      </c>
      <c r="N184" s="15">
        <v>302.51</v>
      </c>
      <c r="O184" s="15"/>
      <c r="P184" s="15" t="s">
        <v>473</v>
      </c>
      <c r="Q184" s="14" t="s">
        <v>474</v>
      </c>
      <c r="R184" t="s">
        <v>472</v>
      </c>
    </row>
    <row r="185" spans="1:18" x14ac:dyDescent="0.3">
      <c r="A185" s="14" t="s">
        <v>469</v>
      </c>
      <c r="B185" s="21">
        <v>46262</v>
      </c>
      <c r="C185" s="21">
        <v>46302</v>
      </c>
      <c r="D185" s="14" t="s">
        <v>129</v>
      </c>
      <c r="E185" s="14" t="s">
        <v>130</v>
      </c>
      <c r="F185" s="14" t="s">
        <v>87</v>
      </c>
      <c r="G185" s="14" t="s">
        <v>241</v>
      </c>
      <c r="H185" s="14">
        <v>22</v>
      </c>
      <c r="I185" s="15">
        <v>405</v>
      </c>
      <c r="J185" s="15">
        <v>1310</v>
      </c>
      <c r="K185" s="15">
        <v>10</v>
      </c>
      <c r="L185" s="15"/>
      <c r="M185" s="15">
        <v>10</v>
      </c>
      <c r="N185" s="15">
        <v>57.79</v>
      </c>
      <c r="O185" s="15"/>
      <c r="P185" s="15" t="s">
        <v>475</v>
      </c>
      <c r="Q185" s="14" t="s">
        <v>476</v>
      </c>
      <c r="R185" t="s">
        <v>472</v>
      </c>
    </row>
    <row r="186" spans="1:18" x14ac:dyDescent="0.3">
      <c r="A186" s="14" t="s">
        <v>469</v>
      </c>
      <c r="B186" s="21">
        <v>46262</v>
      </c>
      <c r="C186" s="21">
        <v>46302</v>
      </c>
      <c r="D186" s="14" t="s">
        <v>129</v>
      </c>
      <c r="E186" s="14" t="s">
        <v>130</v>
      </c>
      <c r="F186" s="14" t="s">
        <v>87</v>
      </c>
      <c r="G186" s="14" t="s">
        <v>241</v>
      </c>
      <c r="H186" s="14">
        <v>22</v>
      </c>
      <c r="I186" s="15">
        <v>755</v>
      </c>
      <c r="J186" s="15">
        <v>950</v>
      </c>
      <c r="K186" s="15">
        <v>40</v>
      </c>
      <c r="L186" s="15"/>
      <c r="M186" s="15">
        <v>40</v>
      </c>
      <c r="N186" s="15">
        <v>312.5</v>
      </c>
      <c r="O186" s="15"/>
      <c r="P186" s="15" t="s">
        <v>477</v>
      </c>
      <c r="Q186" s="14" t="s">
        <v>478</v>
      </c>
      <c r="R186" t="s">
        <v>472</v>
      </c>
    </row>
    <row r="187" spans="1:18" x14ac:dyDescent="0.3">
      <c r="A187" s="14" t="s">
        <v>469</v>
      </c>
      <c r="B187" s="21">
        <v>46262</v>
      </c>
      <c r="C187" s="21">
        <v>46302</v>
      </c>
      <c r="D187" s="14" t="s">
        <v>129</v>
      </c>
      <c r="E187" s="14" t="s">
        <v>130</v>
      </c>
      <c r="F187" s="14" t="s">
        <v>87</v>
      </c>
      <c r="G187" s="14" t="s">
        <v>241</v>
      </c>
      <c r="H187" s="14">
        <v>22</v>
      </c>
      <c r="I187" s="15">
        <v>455</v>
      </c>
      <c r="J187" s="15">
        <v>950</v>
      </c>
      <c r="K187" s="15">
        <v>20</v>
      </c>
      <c r="L187" s="15"/>
      <c r="M187" s="15">
        <v>20</v>
      </c>
      <c r="N187" s="15">
        <v>94.16</v>
      </c>
      <c r="O187" s="15"/>
      <c r="P187" s="15" t="s">
        <v>479</v>
      </c>
      <c r="Q187" s="14" t="s">
        <v>480</v>
      </c>
      <c r="R187" t="s">
        <v>472</v>
      </c>
    </row>
    <row r="188" spans="1:18" x14ac:dyDescent="0.3">
      <c r="A188" s="14" t="s">
        <v>469</v>
      </c>
      <c r="B188" s="21">
        <v>46262</v>
      </c>
      <c r="C188" s="21">
        <v>46302</v>
      </c>
      <c r="D188" s="14" t="s">
        <v>129</v>
      </c>
      <c r="E188" s="14" t="s">
        <v>130</v>
      </c>
      <c r="F188" s="14" t="s">
        <v>87</v>
      </c>
      <c r="G188" s="14" t="s">
        <v>241</v>
      </c>
      <c r="H188" s="14">
        <v>22</v>
      </c>
      <c r="I188" s="15">
        <v>305</v>
      </c>
      <c r="J188" s="15">
        <v>950</v>
      </c>
      <c r="K188" s="15">
        <v>30</v>
      </c>
      <c r="L188" s="15"/>
      <c r="M188" s="15">
        <v>30</v>
      </c>
      <c r="N188" s="15">
        <v>94.68</v>
      </c>
      <c r="O188" s="15"/>
      <c r="P188" s="15" t="s">
        <v>481</v>
      </c>
      <c r="Q188" s="14" t="s">
        <v>482</v>
      </c>
      <c r="R188" t="s">
        <v>472</v>
      </c>
    </row>
    <row r="189" spans="1:18" x14ac:dyDescent="0.3">
      <c r="A189" s="14" t="s">
        <v>469</v>
      </c>
      <c r="B189" s="21">
        <v>46262</v>
      </c>
      <c r="C189" s="21">
        <v>46302</v>
      </c>
      <c r="D189" s="14" t="s">
        <v>129</v>
      </c>
      <c r="E189" s="14" t="s">
        <v>130</v>
      </c>
      <c r="F189" s="14" t="s">
        <v>87</v>
      </c>
      <c r="G189" s="14" t="s">
        <v>241</v>
      </c>
      <c r="H189" s="14">
        <v>22</v>
      </c>
      <c r="I189" s="15">
        <v>405</v>
      </c>
      <c r="J189" s="15">
        <v>900</v>
      </c>
      <c r="K189" s="15">
        <v>20</v>
      </c>
      <c r="L189" s="15"/>
      <c r="M189" s="15">
        <v>20</v>
      </c>
      <c r="N189" s="15">
        <v>79.400000000000006</v>
      </c>
      <c r="O189" s="15"/>
      <c r="P189" s="15" t="s">
        <v>483</v>
      </c>
      <c r="Q189" s="14" t="s">
        <v>484</v>
      </c>
      <c r="R189" t="s">
        <v>472</v>
      </c>
    </row>
    <row r="190" spans="1:18" x14ac:dyDescent="0.3">
      <c r="A190" s="14" t="s">
        <v>469</v>
      </c>
      <c r="B190" s="21">
        <v>46262</v>
      </c>
      <c r="C190" s="21">
        <v>46302</v>
      </c>
      <c r="D190" s="14" t="s">
        <v>129</v>
      </c>
      <c r="E190" s="14" t="s">
        <v>130</v>
      </c>
      <c r="F190" s="14" t="s">
        <v>87</v>
      </c>
      <c r="G190" s="14" t="s">
        <v>255</v>
      </c>
      <c r="H190" s="14">
        <v>22</v>
      </c>
      <c r="I190" s="15">
        <v>1719</v>
      </c>
      <c r="J190" s="15">
        <v>1820</v>
      </c>
      <c r="K190" s="15">
        <v>10</v>
      </c>
      <c r="L190" s="15"/>
      <c r="M190" s="15">
        <v>10</v>
      </c>
      <c r="N190" s="15">
        <v>340.77</v>
      </c>
      <c r="O190" s="15"/>
      <c r="P190" s="15" t="s">
        <v>485</v>
      </c>
      <c r="Q190" s="14" t="s">
        <v>486</v>
      </c>
      <c r="R190" t="s">
        <v>472</v>
      </c>
    </row>
    <row r="191" spans="1:18" x14ac:dyDescent="0.3">
      <c r="A191" s="14" t="s">
        <v>469</v>
      </c>
      <c r="B191" s="21">
        <v>46262</v>
      </c>
      <c r="C191" s="21">
        <v>46302</v>
      </c>
      <c r="D191" s="14" t="s">
        <v>129</v>
      </c>
      <c r="E191" s="14" t="s">
        <v>130</v>
      </c>
      <c r="F191" s="14" t="s">
        <v>87</v>
      </c>
      <c r="G191" s="14" t="s">
        <v>255</v>
      </c>
      <c r="H191" s="14">
        <v>22</v>
      </c>
      <c r="I191" s="15">
        <v>763</v>
      </c>
      <c r="J191" s="15">
        <v>1820</v>
      </c>
      <c r="K191" s="15">
        <v>20</v>
      </c>
      <c r="L191" s="15"/>
      <c r="M191" s="15">
        <v>20</v>
      </c>
      <c r="N191" s="15">
        <v>302.51</v>
      </c>
      <c r="O191" s="15"/>
      <c r="P191" s="15" t="s">
        <v>487</v>
      </c>
      <c r="Q191" s="14" t="s">
        <v>488</v>
      </c>
      <c r="R191" t="s">
        <v>472</v>
      </c>
    </row>
    <row r="192" spans="1:18" x14ac:dyDescent="0.3">
      <c r="A192" s="14" t="s">
        <v>469</v>
      </c>
      <c r="B192" s="21">
        <v>46262</v>
      </c>
      <c r="C192" s="21">
        <v>46302</v>
      </c>
      <c r="D192" s="14" t="s">
        <v>129</v>
      </c>
      <c r="E192" s="14" t="s">
        <v>130</v>
      </c>
      <c r="F192" s="14" t="s">
        <v>87</v>
      </c>
      <c r="G192" s="14" t="s">
        <v>255</v>
      </c>
      <c r="H192" s="14">
        <v>22</v>
      </c>
      <c r="I192" s="15">
        <v>405</v>
      </c>
      <c r="J192" s="15">
        <v>1310</v>
      </c>
      <c r="K192" s="15">
        <v>10</v>
      </c>
      <c r="L192" s="15"/>
      <c r="M192" s="15">
        <v>10</v>
      </c>
      <c r="N192" s="15">
        <v>57.79</v>
      </c>
      <c r="O192" s="15"/>
      <c r="P192" s="15" t="s">
        <v>489</v>
      </c>
      <c r="Q192" s="14" t="s">
        <v>490</v>
      </c>
      <c r="R192" t="s">
        <v>472</v>
      </c>
    </row>
    <row r="193" spans="1:18" x14ac:dyDescent="0.3">
      <c r="A193" s="14" t="s">
        <v>469</v>
      </c>
      <c r="B193" s="21">
        <v>46262</v>
      </c>
      <c r="C193" s="21">
        <v>46302</v>
      </c>
      <c r="D193" s="14" t="s">
        <v>129</v>
      </c>
      <c r="E193" s="14" t="s">
        <v>130</v>
      </c>
      <c r="F193" s="14" t="s">
        <v>87</v>
      </c>
      <c r="G193" s="14" t="s">
        <v>255</v>
      </c>
      <c r="H193" s="14">
        <v>22</v>
      </c>
      <c r="I193" s="15">
        <v>755</v>
      </c>
      <c r="J193" s="15">
        <v>950</v>
      </c>
      <c r="K193" s="15">
        <v>40</v>
      </c>
      <c r="L193" s="15"/>
      <c r="M193" s="15">
        <v>40</v>
      </c>
      <c r="N193" s="15">
        <v>312.5</v>
      </c>
      <c r="O193" s="15"/>
      <c r="P193" s="15" t="s">
        <v>491</v>
      </c>
      <c r="Q193" s="14" t="s">
        <v>492</v>
      </c>
      <c r="R193" t="s">
        <v>472</v>
      </c>
    </row>
    <row r="194" spans="1:18" x14ac:dyDescent="0.3">
      <c r="A194" s="14" t="s">
        <v>469</v>
      </c>
      <c r="B194" s="21">
        <v>46262</v>
      </c>
      <c r="C194" s="21">
        <v>46302</v>
      </c>
      <c r="D194" s="14" t="s">
        <v>129</v>
      </c>
      <c r="E194" s="14" t="s">
        <v>130</v>
      </c>
      <c r="F194" s="14" t="s">
        <v>87</v>
      </c>
      <c r="G194" s="14" t="s">
        <v>255</v>
      </c>
      <c r="H194" s="14">
        <v>22</v>
      </c>
      <c r="I194" s="15">
        <v>455</v>
      </c>
      <c r="J194" s="15">
        <v>950</v>
      </c>
      <c r="K194" s="15">
        <v>20</v>
      </c>
      <c r="L194" s="15"/>
      <c r="M194" s="15">
        <v>20</v>
      </c>
      <c r="N194" s="15">
        <v>94.16</v>
      </c>
      <c r="O194" s="15"/>
      <c r="P194" s="15" t="s">
        <v>493</v>
      </c>
      <c r="Q194" s="14" t="s">
        <v>494</v>
      </c>
      <c r="R194" t="s">
        <v>472</v>
      </c>
    </row>
    <row r="195" spans="1:18" x14ac:dyDescent="0.3">
      <c r="A195" s="14" t="s">
        <v>469</v>
      </c>
      <c r="B195" s="21">
        <v>46262</v>
      </c>
      <c r="C195" s="21">
        <v>46302</v>
      </c>
      <c r="D195" s="14" t="s">
        <v>129</v>
      </c>
      <c r="E195" s="14" t="s">
        <v>130</v>
      </c>
      <c r="F195" s="14" t="s">
        <v>87</v>
      </c>
      <c r="G195" s="14" t="s">
        <v>255</v>
      </c>
      <c r="H195" s="14">
        <v>22</v>
      </c>
      <c r="I195" s="15">
        <v>305</v>
      </c>
      <c r="J195" s="15">
        <v>950</v>
      </c>
      <c r="K195" s="15">
        <v>30</v>
      </c>
      <c r="L195" s="15"/>
      <c r="M195" s="15">
        <v>30</v>
      </c>
      <c r="N195" s="15">
        <v>94.68</v>
      </c>
      <c r="O195" s="15"/>
      <c r="P195" s="15" t="s">
        <v>495</v>
      </c>
      <c r="Q195" s="14" t="s">
        <v>496</v>
      </c>
      <c r="R195" t="s">
        <v>472</v>
      </c>
    </row>
    <row r="196" spans="1:18" x14ac:dyDescent="0.3">
      <c r="A196" s="14" t="s">
        <v>469</v>
      </c>
      <c r="B196" s="21">
        <v>46262</v>
      </c>
      <c r="C196" s="21">
        <v>46302</v>
      </c>
      <c r="D196" s="14" t="s">
        <v>129</v>
      </c>
      <c r="E196" s="14" t="s">
        <v>130</v>
      </c>
      <c r="F196" s="14" t="s">
        <v>87</v>
      </c>
      <c r="G196" s="14" t="s">
        <v>255</v>
      </c>
      <c r="H196" s="14">
        <v>22</v>
      </c>
      <c r="I196" s="15">
        <v>405</v>
      </c>
      <c r="J196" s="15">
        <v>900</v>
      </c>
      <c r="K196" s="15">
        <v>20</v>
      </c>
      <c r="L196" s="15"/>
      <c r="M196" s="15">
        <v>20</v>
      </c>
      <c r="N196" s="15">
        <v>79.400000000000006</v>
      </c>
      <c r="O196" s="15"/>
      <c r="P196" s="15" t="s">
        <v>497</v>
      </c>
      <c r="Q196" s="14" t="s">
        <v>498</v>
      </c>
      <c r="R196" t="s">
        <v>472</v>
      </c>
    </row>
    <row r="197" spans="1:18" x14ac:dyDescent="0.3">
      <c r="A197" s="14" t="s">
        <v>469</v>
      </c>
      <c r="B197" s="21">
        <v>46262</v>
      </c>
      <c r="C197" s="21">
        <v>46302</v>
      </c>
      <c r="D197" s="14" t="s">
        <v>129</v>
      </c>
      <c r="E197" s="14" t="s">
        <v>130</v>
      </c>
      <c r="F197" s="14" t="s">
        <v>87</v>
      </c>
      <c r="G197" s="14" t="s">
        <v>268</v>
      </c>
      <c r="H197" s="14">
        <v>22</v>
      </c>
      <c r="I197" s="15">
        <v>705</v>
      </c>
      <c r="J197" s="15">
        <v>1820</v>
      </c>
      <c r="K197" s="15">
        <v>10</v>
      </c>
      <c r="L197" s="15"/>
      <c r="M197" s="15">
        <v>10</v>
      </c>
      <c r="N197" s="15">
        <v>139.76</v>
      </c>
      <c r="O197" s="15"/>
      <c r="P197" s="15" t="s">
        <v>499</v>
      </c>
      <c r="Q197" s="14" t="s">
        <v>500</v>
      </c>
      <c r="R197" t="s">
        <v>472</v>
      </c>
    </row>
    <row r="198" spans="1:18" x14ac:dyDescent="0.3">
      <c r="A198" s="14" t="s">
        <v>469</v>
      </c>
      <c r="B198" s="21">
        <v>46262</v>
      </c>
      <c r="C198" s="21">
        <v>46302</v>
      </c>
      <c r="D198" s="14" t="s">
        <v>129</v>
      </c>
      <c r="E198" s="14" t="s">
        <v>130</v>
      </c>
      <c r="F198" s="14" t="s">
        <v>87</v>
      </c>
      <c r="G198" s="14" t="s">
        <v>268</v>
      </c>
      <c r="H198" s="14">
        <v>22</v>
      </c>
      <c r="I198" s="15">
        <v>405</v>
      </c>
      <c r="J198" s="15">
        <v>950</v>
      </c>
      <c r="K198" s="15">
        <v>20</v>
      </c>
      <c r="L198" s="15"/>
      <c r="M198" s="15">
        <v>20</v>
      </c>
      <c r="N198" s="15">
        <v>83.82</v>
      </c>
      <c r="O198" s="15"/>
      <c r="P198" s="15" t="s">
        <v>501</v>
      </c>
      <c r="Q198" s="14" t="s">
        <v>502</v>
      </c>
      <c r="R198" t="s">
        <v>472</v>
      </c>
    </row>
    <row r="199" spans="1:18" x14ac:dyDescent="0.3">
      <c r="A199" s="14" t="s">
        <v>503</v>
      </c>
      <c r="B199" s="21">
        <v>46262</v>
      </c>
      <c r="C199" s="21">
        <v>46302</v>
      </c>
      <c r="D199" s="14" t="s">
        <v>129</v>
      </c>
      <c r="E199" s="14" t="s">
        <v>130</v>
      </c>
      <c r="F199" s="14" t="s">
        <v>87</v>
      </c>
      <c r="G199" s="14" t="s">
        <v>241</v>
      </c>
      <c r="H199" s="14">
        <v>22</v>
      </c>
      <c r="I199" s="15">
        <v>1719</v>
      </c>
      <c r="J199" s="15">
        <v>1820</v>
      </c>
      <c r="K199" s="15">
        <v>15</v>
      </c>
      <c r="L199" s="15"/>
      <c r="M199" s="15">
        <v>15</v>
      </c>
      <c r="N199" s="15">
        <v>511.16</v>
      </c>
      <c r="O199" s="15"/>
      <c r="P199" s="15" t="s">
        <v>504</v>
      </c>
      <c r="Q199" s="14" t="s">
        <v>505</v>
      </c>
      <c r="R199" t="s">
        <v>506</v>
      </c>
    </row>
    <row r="200" spans="1:18" x14ac:dyDescent="0.3">
      <c r="A200" s="14" t="s">
        <v>503</v>
      </c>
      <c r="B200" s="21">
        <v>46262</v>
      </c>
      <c r="C200" s="21">
        <v>46302</v>
      </c>
      <c r="D200" s="14" t="s">
        <v>129</v>
      </c>
      <c r="E200" s="14" t="s">
        <v>130</v>
      </c>
      <c r="F200" s="14" t="s">
        <v>87</v>
      </c>
      <c r="G200" s="14" t="s">
        <v>241</v>
      </c>
      <c r="H200" s="14">
        <v>22</v>
      </c>
      <c r="I200" s="15">
        <v>763</v>
      </c>
      <c r="J200" s="15">
        <v>1820</v>
      </c>
      <c r="K200" s="15">
        <v>30</v>
      </c>
      <c r="L200" s="15"/>
      <c r="M200" s="15">
        <v>30</v>
      </c>
      <c r="N200" s="15">
        <v>453.77</v>
      </c>
      <c r="O200" s="15"/>
      <c r="P200" s="15" t="s">
        <v>507</v>
      </c>
      <c r="Q200" s="14" t="s">
        <v>508</v>
      </c>
      <c r="R200" t="s">
        <v>506</v>
      </c>
    </row>
    <row r="201" spans="1:18" x14ac:dyDescent="0.3">
      <c r="A201" s="14" t="s">
        <v>503</v>
      </c>
      <c r="B201" s="21">
        <v>46262</v>
      </c>
      <c r="C201" s="21">
        <v>46302</v>
      </c>
      <c r="D201" s="14" t="s">
        <v>129</v>
      </c>
      <c r="E201" s="14" t="s">
        <v>130</v>
      </c>
      <c r="F201" s="14" t="s">
        <v>87</v>
      </c>
      <c r="G201" s="14" t="s">
        <v>241</v>
      </c>
      <c r="H201" s="14">
        <v>22</v>
      </c>
      <c r="I201" s="15">
        <v>755</v>
      </c>
      <c r="J201" s="15">
        <v>950</v>
      </c>
      <c r="K201" s="15">
        <v>60</v>
      </c>
      <c r="L201" s="15"/>
      <c r="M201" s="15">
        <v>60</v>
      </c>
      <c r="N201" s="15">
        <v>468.74</v>
      </c>
      <c r="O201" s="15"/>
      <c r="P201" s="15" t="s">
        <v>509</v>
      </c>
      <c r="Q201" s="14" t="s">
        <v>510</v>
      </c>
      <c r="R201" t="s">
        <v>506</v>
      </c>
    </row>
    <row r="202" spans="1:18" x14ac:dyDescent="0.3">
      <c r="A202" s="14" t="s">
        <v>503</v>
      </c>
      <c r="B202" s="21">
        <v>46262</v>
      </c>
      <c r="C202" s="21">
        <v>46302</v>
      </c>
      <c r="D202" s="14" t="s">
        <v>129</v>
      </c>
      <c r="E202" s="14" t="s">
        <v>130</v>
      </c>
      <c r="F202" s="14" t="s">
        <v>87</v>
      </c>
      <c r="G202" s="14" t="s">
        <v>241</v>
      </c>
      <c r="H202" s="14">
        <v>22</v>
      </c>
      <c r="I202" s="15">
        <v>455</v>
      </c>
      <c r="J202" s="15">
        <v>950</v>
      </c>
      <c r="K202" s="15">
        <v>40</v>
      </c>
      <c r="L202" s="15"/>
      <c r="M202" s="15">
        <v>40</v>
      </c>
      <c r="N202" s="15">
        <v>188.33</v>
      </c>
      <c r="O202" s="15"/>
      <c r="P202" s="15" t="s">
        <v>511</v>
      </c>
      <c r="Q202" s="14" t="s">
        <v>512</v>
      </c>
      <c r="R202" t="s">
        <v>506</v>
      </c>
    </row>
    <row r="203" spans="1:18" x14ac:dyDescent="0.3">
      <c r="A203" s="14" t="s">
        <v>503</v>
      </c>
      <c r="B203" s="21">
        <v>46262</v>
      </c>
      <c r="C203" s="21">
        <v>46302</v>
      </c>
      <c r="D203" s="14" t="s">
        <v>129</v>
      </c>
      <c r="E203" s="14" t="s">
        <v>130</v>
      </c>
      <c r="F203" s="14" t="s">
        <v>87</v>
      </c>
      <c r="G203" s="14" t="s">
        <v>241</v>
      </c>
      <c r="H203" s="14">
        <v>22</v>
      </c>
      <c r="I203" s="15">
        <v>305</v>
      </c>
      <c r="J203" s="15">
        <v>950</v>
      </c>
      <c r="K203" s="15">
        <v>40</v>
      </c>
      <c r="L203" s="15"/>
      <c r="M203" s="15">
        <v>40</v>
      </c>
      <c r="N203" s="15">
        <v>126.24</v>
      </c>
      <c r="O203" s="15"/>
      <c r="P203" s="15" t="s">
        <v>513</v>
      </c>
      <c r="Q203" s="14" t="s">
        <v>514</v>
      </c>
      <c r="R203" t="s">
        <v>506</v>
      </c>
    </row>
    <row r="204" spans="1:18" x14ac:dyDescent="0.3">
      <c r="A204" s="14" t="s">
        <v>503</v>
      </c>
      <c r="B204" s="21">
        <v>46262</v>
      </c>
      <c r="C204" s="21">
        <v>46302</v>
      </c>
      <c r="D204" s="14" t="s">
        <v>129</v>
      </c>
      <c r="E204" s="14" t="s">
        <v>130</v>
      </c>
      <c r="F204" s="14" t="s">
        <v>87</v>
      </c>
      <c r="G204" s="14" t="s">
        <v>241</v>
      </c>
      <c r="H204" s="14">
        <v>22</v>
      </c>
      <c r="I204" s="15">
        <v>405</v>
      </c>
      <c r="J204" s="15">
        <v>900</v>
      </c>
      <c r="K204" s="15">
        <v>30</v>
      </c>
      <c r="L204" s="15"/>
      <c r="M204" s="15">
        <v>30</v>
      </c>
      <c r="N204" s="15">
        <v>119.11</v>
      </c>
      <c r="O204" s="15"/>
      <c r="P204" s="15" t="s">
        <v>515</v>
      </c>
      <c r="Q204" s="14" t="s">
        <v>516</v>
      </c>
      <c r="R204" t="s">
        <v>506</v>
      </c>
    </row>
    <row r="205" spans="1:18" x14ac:dyDescent="0.3">
      <c r="A205" s="14" t="s">
        <v>503</v>
      </c>
      <c r="B205" s="21">
        <v>46262</v>
      </c>
      <c r="C205" s="21">
        <v>46302</v>
      </c>
      <c r="D205" s="14" t="s">
        <v>129</v>
      </c>
      <c r="E205" s="14" t="s">
        <v>130</v>
      </c>
      <c r="F205" s="14" t="s">
        <v>87</v>
      </c>
      <c r="G205" s="14" t="s">
        <v>255</v>
      </c>
      <c r="H205" s="14">
        <v>22</v>
      </c>
      <c r="I205" s="15">
        <v>1719</v>
      </c>
      <c r="J205" s="15">
        <v>1820</v>
      </c>
      <c r="K205" s="15">
        <v>15</v>
      </c>
      <c r="L205" s="15"/>
      <c r="M205" s="15">
        <v>15</v>
      </c>
      <c r="N205" s="15">
        <v>511.16</v>
      </c>
      <c r="O205" s="15"/>
      <c r="P205" s="15" t="s">
        <v>517</v>
      </c>
      <c r="Q205" s="14" t="s">
        <v>518</v>
      </c>
      <c r="R205" t="s">
        <v>506</v>
      </c>
    </row>
    <row r="206" spans="1:18" x14ac:dyDescent="0.3">
      <c r="A206" s="14" t="s">
        <v>503</v>
      </c>
      <c r="B206" s="21">
        <v>46262</v>
      </c>
      <c r="C206" s="21">
        <v>46302</v>
      </c>
      <c r="D206" s="14" t="s">
        <v>129</v>
      </c>
      <c r="E206" s="14" t="s">
        <v>130</v>
      </c>
      <c r="F206" s="14" t="s">
        <v>87</v>
      </c>
      <c r="G206" s="14" t="s">
        <v>255</v>
      </c>
      <c r="H206" s="14">
        <v>22</v>
      </c>
      <c r="I206" s="15">
        <v>763</v>
      </c>
      <c r="J206" s="15">
        <v>1820</v>
      </c>
      <c r="K206" s="15">
        <v>30</v>
      </c>
      <c r="L206" s="15"/>
      <c r="M206" s="15">
        <v>30</v>
      </c>
      <c r="N206" s="15">
        <v>453.77</v>
      </c>
      <c r="O206" s="15"/>
      <c r="P206" s="15" t="s">
        <v>519</v>
      </c>
      <c r="Q206" s="14" t="s">
        <v>520</v>
      </c>
      <c r="R206" t="s">
        <v>506</v>
      </c>
    </row>
    <row r="207" spans="1:18" x14ac:dyDescent="0.3">
      <c r="A207" s="14" t="s">
        <v>503</v>
      </c>
      <c r="B207" s="21">
        <v>46262</v>
      </c>
      <c r="C207" s="21">
        <v>46302</v>
      </c>
      <c r="D207" s="14" t="s">
        <v>129</v>
      </c>
      <c r="E207" s="14" t="s">
        <v>130</v>
      </c>
      <c r="F207" s="14" t="s">
        <v>87</v>
      </c>
      <c r="G207" s="14" t="s">
        <v>255</v>
      </c>
      <c r="H207" s="14">
        <v>22</v>
      </c>
      <c r="I207" s="15">
        <v>755</v>
      </c>
      <c r="J207" s="15">
        <v>950</v>
      </c>
      <c r="K207" s="15">
        <v>60</v>
      </c>
      <c r="L207" s="15"/>
      <c r="M207" s="15">
        <v>60</v>
      </c>
      <c r="N207" s="15">
        <v>468.74</v>
      </c>
      <c r="O207" s="15"/>
      <c r="P207" s="15" t="s">
        <v>521</v>
      </c>
      <c r="Q207" s="14" t="s">
        <v>522</v>
      </c>
      <c r="R207" t="s">
        <v>506</v>
      </c>
    </row>
    <row r="208" spans="1:18" x14ac:dyDescent="0.3">
      <c r="A208" s="14" t="s">
        <v>503</v>
      </c>
      <c r="B208" s="21">
        <v>46262</v>
      </c>
      <c r="C208" s="21">
        <v>46302</v>
      </c>
      <c r="D208" s="14" t="s">
        <v>129</v>
      </c>
      <c r="E208" s="14" t="s">
        <v>130</v>
      </c>
      <c r="F208" s="14" t="s">
        <v>87</v>
      </c>
      <c r="G208" s="14" t="s">
        <v>255</v>
      </c>
      <c r="H208" s="14">
        <v>22</v>
      </c>
      <c r="I208" s="15">
        <v>455</v>
      </c>
      <c r="J208" s="15">
        <v>950</v>
      </c>
      <c r="K208" s="15">
        <v>40</v>
      </c>
      <c r="L208" s="15"/>
      <c r="M208" s="15">
        <v>40</v>
      </c>
      <c r="N208" s="15">
        <v>188.33</v>
      </c>
      <c r="O208" s="15"/>
      <c r="P208" s="15" t="s">
        <v>523</v>
      </c>
      <c r="Q208" s="14" t="s">
        <v>524</v>
      </c>
      <c r="R208" t="s">
        <v>506</v>
      </c>
    </row>
    <row r="209" spans="1:18" x14ac:dyDescent="0.3">
      <c r="A209" s="14" t="s">
        <v>503</v>
      </c>
      <c r="B209" s="21">
        <v>46262</v>
      </c>
      <c r="C209" s="21">
        <v>46302</v>
      </c>
      <c r="D209" s="14" t="s">
        <v>129</v>
      </c>
      <c r="E209" s="14" t="s">
        <v>130</v>
      </c>
      <c r="F209" s="14" t="s">
        <v>87</v>
      </c>
      <c r="G209" s="14" t="s">
        <v>255</v>
      </c>
      <c r="H209" s="14">
        <v>22</v>
      </c>
      <c r="I209" s="15">
        <v>305</v>
      </c>
      <c r="J209" s="15">
        <v>950</v>
      </c>
      <c r="K209" s="15">
        <v>40</v>
      </c>
      <c r="L209" s="15"/>
      <c r="M209" s="15">
        <v>40</v>
      </c>
      <c r="N209" s="15">
        <v>126.24</v>
      </c>
      <c r="O209" s="15"/>
      <c r="P209" s="15" t="s">
        <v>525</v>
      </c>
      <c r="Q209" s="14" t="s">
        <v>526</v>
      </c>
      <c r="R209" t="s">
        <v>506</v>
      </c>
    </row>
    <row r="210" spans="1:18" x14ac:dyDescent="0.3">
      <c r="A210" s="14" t="s">
        <v>503</v>
      </c>
      <c r="B210" s="21">
        <v>46262</v>
      </c>
      <c r="C210" s="21">
        <v>46302</v>
      </c>
      <c r="D210" s="14" t="s">
        <v>129</v>
      </c>
      <c r="E210" s="14" t="s">
        <v>130</v>
      </c>
      <c r="F210" s="14" t="s">
        <v>87</v>
      </c>
      <c r="G210" s="14" t="s">
        <v>255</v>
      </c>
      <c r="H210" s="14">
        <v>22</v>
      </c>
      <c r="I210" s="15">
        <v>405</v>
      </c>
      <c r="J210" s="15">
        <v>900</v>
      </c>
      <c r="K210" s="15">
        <v>30</v>
      </c>
      <c r="L210" s="15"/>
      <c r="M210" s="15">
        <v>30</v>
      </c>
      <c r="N210" s="15">
        <v>119.11</v>
      </c>
      <c r="O210" s="15"/>
      <c r="P210" s="15" t="s">
        <v>527</v>
      </c>
      <c r="Q210" s="14" t="s">
        <v>528</v>
      </c>
      <c r="R210" t="s">
        <v>506</v>
      </c>
    </row>
    <row r="211" spans="1:18" x14ac:dyDescent="0.3">
      <c r="A211" s="14" t="s">
        <v>503</v>
      </c>
      <c r="B211" s="21">
        <v>46262</v>
      </c>
      <c r="C211" s="21">
        <v>46302</v>
      </c>
      <c r="D211" s="14" t="s">
        <v>129</v>
      </c>
      <c r="E211" s="14" t="s">
        <v>130</v>
      </c>
      <c r="F211" s="14" t="s">
        <v>87</v>
      </c>
      <c r="G211" s="14" t="s">
        <v>268</v>
      </c>
      <c r="H211" s="14">
        <v>22</v>
      </c>
      <c r="I211" s="15">
        <v>705</v>
      </c>
      <c r="J211" s="15">
        <v>1820</v>
      </c>
      <c r="K211" s="15">
        <v>20</v>
      </c>
      <c r="L211" s="15"/>
      <c r="M211" s="15">
        <v>20</v>
      </c>
      <c r="N211" s="15">
        <v>279.52</v>
      </c>
      <c r="O211" s="15"/>
      <c r="P211" s="15" t="s">
        <v>529</v>
      </c>
      <c r="Q211" s="14" t="s">
        <v>530</v>
      </c>
      <c r="R211" t="s">
        <v>506</v>
      </c>
    </row>
    <row r="212" spans="1:18" x14ac:dyDescent="0.3">
      <c r="A212" s="14" t="s">
        <v>503</v>
      </c>
      <c r="B212" s="21">
        <v>46262</v>
      </c>
      <c r="C212" s="21">
        <v>46302</v>
      </c>
      <c r="D212" s="14" t="s">
        <v>129</v>
      </c>
      <c r="E212" s="14" t="s">
        <v>130</v>
      </c>
      <c r="F212" s="14" t="s">
        <v>87</v>
      </c>
      <c r="G212" s="14" t="s">
        <v>268</v>
      </c>
      <c r="H212" s="14">
        <v>22</v>
      </c>
      <c r="I212" s="15">
        <v>405</v>
      </c>
      <c r="J212" s="15">
        <v>950</v>
      </c>
      <c r="K212" s="15">
        <v>30</v>
      </c>
      <c r="L212" s="15"/>
      <c r="M212" s="15">
        <v>30</v>
      </c>
      <c r="N212" s="15">
        <v>125.72</v>
      </c>
      <c r="O212" s="15"/>
      <c r="P212" s="15" t="s">
        <v>531</v>
      </c>
      <c r="Q212" s="14" t="s">
        <v>532</v>
      </c>
      <c r="R212" t="s">
        <v>506</v>
      </c>
    </row>
    <row r="213" spans="1:18" x14ac:dyDescent="0.3">
      <c r="A213" s="14"/>
      <c r="B213" s="21"/>
      <c r="C213" s="21"/>
      <c r="D213" s="14"/>
      <c r="E213" s="14"/>
      <c r="F213" s="14"/>
      <c r="G213" s="14"/>
      <c r="H213" s="14"/>
      <c r="I213" s="15"/>
      <c r="J213" s="15"/>
      <c r="K213" s="15"/>
      <c r="L213" s="15"/>
      <c r="M213" s="15"/>
      <c r="N213" s="15"/>
      <c r="O213" s="15"/>
      <c r="P213" s="15"/>
      <c r="Q213" s="14"/>
    </row>
    <row r="214" spans="1:18" x14ac:dyDescent="0.3">
      <c r="A214" s="14"/>
      <c r="B214" s="21"/>
      <c r="C214" s="21"/>
      <c r="D214" s="14"/>
      <c r="E214" s="14"/>
      <c r="F214" s="14"/>
      <c r="G214" s="14"/>
      <c r="H214" s="14"/>
      <c r="I214" s="15"/>
      <c r="J214" s="15"/>
      <c r="K214" s="15"/>
      <c r="L214" s="15"/>
      <c r="M214" s="15"/>
      <c r="N214" s="15"/>
      <c r="O214" s="15"/>
      <c r="P214" s="15"/>
      <c r="Q214" s="14"/>
    </row>
    <row r="215" spans="1:18" x14ac:dyDescent="0.3">
      <c r="A215" s="14"/>
      <c r="B215" s="21"/>
      <c r="C215" s="21"/>
      <c r="D215" s="14"/>
      <c r="E215" s="14"/>
      <c r="F215" s="14"/>
      <c r="G215" s="14"/>
      <c r="H215" s="14"/>
      <c r="I215" s="15"/>
      <c r="J215" s="15"/>
      <c r="K215" s="15"/>
      <c r="L215" s="15"/>
      <c r="M215" s="15"/>
      <c r="N215" s="15"/>
      <c r="O215" s="15"/>
      <c r="P215" s="15"/>
      <c r="Q215" s="14"/>
    </row>
    <row r="216" spans="1:18" x14ac:dyDescent="0.3">
      <c r="A216" s="14"/>
      <c r="B216" s="21"/>
      <c r="C216" s="21"/>
      <c r="D216" s="14"/>
      <c r="E216" s="14"/>
      <c r="F216" s="14"/>
      <c r="G216" s="14"/>
      <c r="H216" s="14"/>
      <c r="I216" s="15"/>
      <c r="J216" s="15"/>
      <c r="K216" s="15"/>
      <c r="L216" s="15"/>
      <c r="M216" s="15"/>
      <c r="N216" s="15"/>
      <c r="O216" s="15"/>
      <c r="P216" s="15"/>
      <c r="Q216" s="14"/>
    </row>
    <row r="217" spans="1:18" x14ac:dyDescent="0.3">
      <c r="A217" s="14"/>
      <c r="B217" s="21"/>
      <c r="C217" s="21"/>
      <c r="D217" s="14"/>
      <c r="E217" s="14"/>
      <c r="F217" s="14"/>
      <c r="G217" s="14"/>
      <c r="H217" s="14"/>
      <c r="I217" s="15"/>
      <c r="J217" s="15"/>
      <c r="K217" s="15"/>
      <c r="L217" s="15"/>
      <c r="M217" s="15"/>
      <c r="N217" s="15"/>
      <c r="O217" s="15"/>
      <c r="P217" s="15"/>
      <c r="Q217" s="14"/>
    </row>
    <row r="218" spans="1:18" x14ac:dyDescent="0.3">
      <c r="A218" s="14"/>
      <c r="B218" s="21"/>
      <c r="C218" s="21"/>
      <c r="D218" s="14"/>
      <c r="E218" s="14"/>
      <c r="F218" s="14"/>
      <c r="G218" s="14"/>
      <c r="H218" s="14"/>
      <c r="I218" s="15"/>
      <c r="J218" s="15"/>
      <c r="K218" s="15"/>
      <c r="L218" s="15"/>
      <c r="M218" s="15"/>
      <c r="N218" s="15"/>
      <c r="O218" s="15"/>
      <c r="P218" s="15"/>
      <c r="Q218" s="14"/>
    </row>
    <row r="219" spans="1:18" x14ac:dyDescent="0.3">
      <c r="A219" s="14"/>
      <c r="B219" s="21"/>
      <c r="C219" s="21"/>
      <c r="D219" s="14"/>
      <c r="E219" s="14"/>
      <c r="F219" s="14"/>
      <c r="G219" s="14"/>
      <c r="H219" s="14"/>
      <c r="I219" s="15"/>
      <c r="J219" s="15"/>
      <c r="K219" s="15"/>
      <c r="L219" s="15"/>
      <c r="M219" s="15"/>
      <c r="N219" s="15"/>
      <c r="O219" s="15"/>
      <c r="P219" s="15"/>
      <c r="Q219" s="14"/>
    </row>
    <row r="220" spans="1:18" x14ac:dyDescent="0.3">
      <c r="A220" s="14"/>
      <c r="B220" s="21"/>
      <c r="C220" s="21"/>
      <c r="D220" s="14"/>
      <c r="E220" s="14"/>
      <c r="F220" s="14"/>
      <c r="G220" s="14"/>
      <c r="H220" s="14"/>
      <c r="I220" s="15"/>
      <c r="J220" s="15"/>
      <c r="K220" s="15"/>
      <c r="L220" s="15"/>
      <c r="M220" s="15"/>
      <c r="N220" s="15"/>
      <c r="O220" s="15"/>
      <c r="P220" s="15"/>
      <c r="Q220" s="14"/>
    </row>
    <row r="221" spans="1:18" x14ac:dyDescent="0.3">
      <c r="A221" s="14"/>
      <c r="B221" s="21"/>
      <c r="C221" s="21"/>
      <c r="D221" s="14"/>
      <c r="E221" s="14"/>
      <c r="F221" s="14"/>
      <c r="G221" s="14"/>
      <c r="H221" s="14"/>
      <c r="I221" s="15"/>
      <c r="J221" s="15"/>
      <c r="K221" s="15"/>
      <c r="L221" s="15"/>
      <c r="M221" s="15"/>
      <c r="N221" s="15"/>
      <c r="O221" s="15"/>
      <c r="P221" s="15"/>
      <c r="Q221" s="14"/>
    </row>
    <row r="222" spans="1:18" x14ac:dyDescent="0.3">
      <c r="A222" s="14"/>
      <c r="B222" s="21"/>
      <c r="C222" s="21"/>
      <c r="D222" s="14"/>
      <c r="E222" s="14"/>
      <c r="F222" s="14"/>
      <c r="G222" s="14"/>
      <c r="H222" s="14"/>
      <c r="I222" s="15"/>
      <c r="J222" s="15"/>
      <c r="K222" s="15"/>
      <c r="L222" s="15"/>
      <c r="M222" s="15"/>
      <c r="N222" s="15"/>
      <c r="O222" s="15"/>
      <c r="P222" s="15"/>
      <c r="Q222" s="14"/>
    </row>
    <row r="223" spans="1:18" x14ac:dyDescent="0.3">
      <c r="A223" s="14"/>
      <c r="B223" s="21"/>
      <c r="C223" s="21"/>
      <c r="D223" s="14"/>
      <c r="E223" s="14"/>
      <c r="F223" s="14"/>
      <c r="G223" s="14"/>
      <c r="H223" s="14"/>
      <c r="I223" s="15"/>
      <c r="J223" s="15"/>
      <c r="K223" s="15"/>
      <c r="L223" s="15"/>
      <c r="M223" s="15"/>
      <c r="N223" s="15"/>
      <c r="O223" s="15"/>
      <c r="P223" s="15"/>
      <c r="Q223" s="14"/>
    </row>
    <row r="224" spans="1:18" x14ac:dyDescent="0.3">
      <c r="A224" s="14"/>
      <c r="B224" s="21"/>
      <c r="C224" s="21"/>
      <c r="D224" s="14"/>
      <c r="E224" s="14"/>
      <c r="F224" s="14"/>
      <c r="G224" s="14"/>
      <c r="H224" s="14"/>
      <c r="I224" s="15"/>
      <c r="J224" s="15"/>
      <c r="K224" s="15"/>
      <c r="L224" s="15"/>
      <c r="M224" s="15"/>
      <c r="N224" s="15"/>
      <c r="O224" s="15"/>
      <c r="P224" s="15"/>
      <c r="Q224" s="14"/>
    </row>
    <row r="225" spans="1:17" x14ac:dyDescent="0.3">
      <c r="A225" s="14"/>
      <c r="B225" s="21"/>
      <c r="C225" s="21"/>
      <c r="D225" s="14"/>
      <c r="E225" s="14"/>
      <c r="F225" s="14"/>
      <c r="G225" s="14"/>
      <c r="H225" s="14"/>
      <c r="I225" s="15"/>
      <c r="J225" s="15"/>
      <c r="K225" s="15"/>
      <c r="L225" s="15"/>
      <c r="M225" s="15"/>
      <c r="N225" s="15"/>
      <c r="O225" s="15"/>
      <c r="P225" s="15"/>
      <c r="Q225" s="14"/>
    </row>
    <row r="226" spans="1:17" x14ac:dyDescent="0.3">
      <c r="A226" s="14"/>
      <c r="B226" s="21"/>
      <c r="C226" s="21"/>
      <c r="D226" s="14"/>
      <c r="E226" s="14"/>
      <c r="F226" s="14"/>
      <c r="G226" s="14"/>
      <c r="H226" s="14"/>
      <c r="I226" s="15"/>
      <c r="J226" s="15"/>
      <c r="K226" s="15"/>
      <c r="L226" s="15"/>
      <c r="M226" s="15"/>
      <c r="N226" s="15"/>
      <c r="O226" s="15"/>
      <c r="P226" s="15"/>
      <c r="Q226" s="14"/>
    </row>
    <row r="227" spans="1:17" x14ac:dyDescent="0.3">
      <c r="A227" s="14"/>
      <c r="B227" s="21"/>
      <c r="C227" s="21"/>
      <c r="D227" s="14"/>
      <c r="E227" s="14"/>
      <c r="F227" s="14"/>
      <c r="G227" s="14"/>
      <c r="H227" s="14"/>
      <c r="I227" s="15"/>
      <c r="J227" s="15"/>
      <c r="K227" s="15"/>
      <c r="L227" s="15"/>
      <c r="M227" s="15"/>
      <c r="N227" s="15"/>
      <c r="O227" s="15"/>
      <c r="P227" s="15"/>
      <c r="Q227" s="14"/>
    </row>
    <row r="228" spans="1:17" x14ac:dyDescent="0.3">
      <c r="A228" s="14"/>
      <c r="B228" s="21"/>
      <c r="C228" s="21"/>
      <c r="D228" s="14"/>
      <c r="E228" s="14"/>
      <c r="F228" s="14"/>
      <c r="G228" s="14"/>
      <c r="H228" s="14"/>
      <c r="I228" s="15"/>
      <c r="J228" s="15"/>
      <c r="K228" s="15"/>
      <c r="L228" s="15"/>
      <c r="M228" s="15"/>
      <c r="N228" s="15"/>
      <c r="O228" s="15"/>
      <c r="P228" s="15"/>
      <c r="Q228" s="14"/>
    </row>
    <row r="229" spans="1:17" x14ac:dyDescent="0.3">
      <c r="A229" s="14"/>
      <c r="B229" s="21"/>
      <c r="C229" s="21"/>
      <c r="D229" s="14"/>
      <c r="E229" s="14"/>
      <c r="F229" s="14"/>
      <c r="G229" s="14"/>
      <c r="H229" s="14"/>
      <c r="I229" s="15"/>
      <c r="J229" s="15"/>
      <c r="K229" s="15"/>
      <c r="L229" s="15"/>
      <c r="M229" s="15"/>
      <c r="N229" s="15"/>
      <c r="O229" s="15"/>
      <c r="P229" s="15"/>
      <c r="Q229" s="14"/>
    </row>
    <row r="230" spans="1:17" x14ac:dyDescent="0.3">
      <c r="A230" s="14"/>
      <c r="B230" s="21"/>
      <c r="C230" s="21"/>
      <c r="D230" s="14"/>
      <c r="E230" s="14"/>
      <c r="F230" s="14"/>
      <c r="G230" s="14"/>
      <c r="H230" s="14"/>
      <c r="I230" s="15"/>
      <c r="J230" s="15"/>
      <c r="K230" s="15"/>
      <c r="L230" s="15"/>
      <c r="M230" s="15"/>
      <c r="N230" s="15"/>
      <c r="O230" s="15"/>
      <c r="P230" s="15"/>
      <c r="Q230" s="14"/>
    </row>
    <row r="231" spans="1:17" x14ac:dyDescent="0.3">
      <c r="A231" s="14"/>
      <c r="B231" s="21"/>
      <c r="C231" s="21"/>
      <c r="D231" s="14"/>
      <c r="E231" s="14"/>
      <c r="F231" s="14"/>
      <c r="G231" s="14"/>
      <c r="H231" s="14"/>
      <c r="I231" s="15"/>
      <c r="J231" s="15"/>
      <c r="K231" s="15"/>
      <c r="L231" s="15"/>
      <c r="M231" s="15"/>
      <c r="N231" s="15"/>
      <c r="O231" s="15"/>
      <c r="P231" s="15"/>
      <c r="Q231" s="14"/>
    </row>
    <row r="232" spans="1:17" x14ac:dyDescent="0.3">
      <c r="A232" s="14"/>
      <c r="B232" s="21"/>
      <c r="C232" s="21"/>
      <c r="D232" s="14"/>
      <c r="E232" s="14"/>
      <c r="F232" s="14"/>
      <c r="G232" s="14"/>
      <c r="H232" s="14"/>
      <c r="I232" s="15"/>
      <c r="J232" s="15"/>
      <c r="K232" s="15"/>
      <c r="L232" s="15"/>
      <c r="M232" s="15"/>
      <c r="N232" s="15"/>
      <c r="O232" s="15"/>
      <c r="P232" s="15"/>
      <c r="Q232" s="14"/>
    </row>
    <row r="233" spans="1:17" x14ac:dyDescent="0.3">
      <c r="A233" s="14"/>
      <c r="B233" s="21"/>
      <c r="C233" s="21"/>
      <c r="D233" s="14"/>
      <c r="E233" s="14"/>
      <c r="F233" s="14"/>
      <c r="G233" s="14"/>
      <c r="H233" s="14"/>
      <c r="I233" s="15"/>
      <c r="J233" s="15"/>
      <c r="K233" s="15"/>
      <c r="L233" s="15"/>
      <c r="M233" s="15"/>
      <c r="N233" s="15"/>
      <c r="O233" s="15"/>
      <c r="P233" s="15"/>
      <c r="Q233" s="14"/>
    </row>
    <row r="234" spans="1:17" x14ac:dyDescent="0.3">
      <c r="A234" s="14"/>
      <c r="B234" s="21"/>
      <c r="C234" s="21"/>
      <c r="D234" s="14"/>
      <c r="E234" s="14"/>
      <c r="F234" s="14"/>
      <c r="G234" s="14"/>
      <c r="H234" s="14"/>
      <c r="I234" s="15"/>
      <c r="J234" s="15"/>
      <c r="K234" s="15"/>
      <c r="L234" s="15"/>
      <c r="M234" s="15"/>
      <c r="N234" s="15"/>
      <c r="O234" s="15"/>
      <c r="P234" s="15"/>
      <c r="Q234" s="14"/>
    </row>
    <row r="235" spans="1:17" x14ac:dyDescent="0.3">
      <c r="A235" s="14"/>
      <c r="B235" s="21"/>
      <c r="C235" s="21"/>
      <c r="D235" s="14"/>
      <c r="E235" s="14"/>
      <c r="F235" s="14"/>
      <c r="G235" s="14"/>
      <c r="H235" s="14"/>
      <c r="I235" s="15"/>
      <c r="J235" s="15"/>
      <c r="K235" s="15"/>
      <c r="L235" s="15"/>
      <c r="M235" s="15"/>
      <c r="N235" s="15"/>
      <c r="O235" s="15"/>
      <c r="P235" s="15"/>
      <c r="Q235" s="14"/>
    </row>
    <row r="236" spans="1:17" x14ac:dyDescent="0.3">
      <c r="A236" s="14"/>
      <c r="B236" s="21"/>
      <c r="C236" s="21"/>
      <c r="D236" s="14"/>
      <c r="E236" s="14"/>
      <c r="F236" s="14"/>
      <c r="G236" s="14"/>
      <c r="H236" s="14"/>
      <c r="I236" s="15"/>
      <c r="J236" s="15"/>
      <c r="K236" s="15"/>
      <c r="L236" s="15"/>
      <c r="M236" s="15"/>
      <c r="N236" s="15"/>
      <c r="O236" s="15"/>
      <c r="P236" s="15"/>
      <c r="Q236" s="14"/>
    </row>
    <row r="237" spans="1:17" x14ac:dyDescent="0.3">
      <c r="A237" s="14"/>
      <c r="B237" s="21"/>
      <c r="C237" s="21"/>
      <c r="D237" s="14"/>
      <c r="E237" s="14"/>
      <c r="F237" s="14"/>
      <c r="G237" s="14"/>
      <c r="H237" s="14"/>
      <c r="I237" s="15"/>
      <c r="J237" s="15"/>
      <c r="K237" s="15"/>
      <c r="L237" s="15"/>
      <c r="M237" s="15"/>
      <c r="N237" s="15"/>
      <c r="O237" s="15"/>
      <c r="P237" s="15"/>
      <c r="Q237" s="14"/>
    </row>
    <row r="238" spans="1:17" x14ac:dyDescent="0.3">
      <c r="A238" s="14"/>
      <c r="B238" s="21"/>
      <c r="C238" s="21"/>
      <c r="D238" s="14"/>
      <c r="E238" s="14"/>
      <c r="F238" s="14"/>
      <c r="G238" s="14"/>
      <c r="H238" s="14"/>
      <c r="I238" s="15"/>
      <c r="J238" s="15"/>
      <c r="K238" s="15"/>
      <c r="L238" s="15"/>
      <c r="M238" s="15"/>
      <c r="N238" s="15"/>
      <c r="O238" s="15"/>
      <c r="P238" s="15"/>
      <c r="Q238" s="14"/>
    </row>
    <row r="239" spans="1:17" x14ac:dyDescent="0.3">
      <c r="A239" s="14"/>
      <c r="B239" s="21"/>
      <c r="C239" s="21"/>
      <c r="D239" s="14"/>
      <c r="E239" s="14"/>
      <c r="F239" s="14"/>
      <c r="G239" s="14"/>
      <c r="H239" s="14"/>
      <c r="I239" s="15"/>
      <c r="J239" s="15"/>
      <c r="K239" s="15"/>
      <c r="L239" s="15"/>
      <c r="M239" s="15"/>
      <c r="N239" s="15"/>
      <c r="O239" s="15"/>
      <c r="P239" s="15"/>
      <c r="Q239" s="14"/>
    </row>
    <row r="240" spans="1:17" x14ac:dyDescent="0.3">
      <c r="A240" s="14"/>
      <c r="B240" s="21"/>
      <c r="C240" s="21"/>
      <c r="D240" s="14"/>
      <c r="E240" s="14"/>
      <c r="F240" s="14"/>
      <c r="G240" s="14"/>
      <c r="H240" s="14"/>
      <c r="I240" s="15"/>
      <c r="J240" s="15"/>
      <c r="K240" s="15"/>
      <c r="L240" s="15"/>
      <c r="M240" s="15"/>
      <c r="N240" s="15"/>
      <c r="O240" s="15"/>
      <c r="P240" s="15"/>
      <c r="Q240" s="14"/>
    </row>
    <row r="241" spans="1:17" x14ac:dyDescent="0.3">
      <c r="A241" s="14"/>
      <c r="B241" s="21"/>
      <c r="C241" s="21"/>
      <c r="D241" s="14"/>
      <c r="E241" s="14"/>
      <c r="F241" s="14"/>
      <c r="G241" s="14"/>
      <c r="H241" s="14"/>
      <c r="I241" s="15"/>
      <c r="J241" s="15"/>
      <c r="K241" s="15"/>
      <c r="L241" s="15"/>
      <c r="M241" s="15"/>
      <c r="N241" s="15"/>
      <c r="O241" s="15"/>
      <c r="P241" s="15"/>
      <c r="Q241" s="14"/>
    </row>
    <row r="242" spans="1:17" x14ac:dyDescent="0.3">
      <c r="A242" s="14"/>
      <c r="B242" s="21"/>
      <c r="C242" s="21"/>
      <c r="D242" s="14"/>
      <c r="E242" s="14"/>
      <c r="F242" s="14"/>
      <c r="G242" s="14"/>
      <c r="H242" s="14"/>
      <c r="I242" s="15"/>
      <c r="J242" s="15"/>
      <c r="K242" s="15"/>
      <c r="L242" s="15"/>
      <c r="M242" s="15"/>
      <c r="N242" s="15"/>
      <c r="O242" s="15"/>
      <c r="P242" s="15"/>
      <c r="Q242" s="14"/>
    </row>
    <row r="243" spans="1:17" x14ac:dyDescent="0.3">
      <c r="A243" s="14"/>
      <c r="B243" s="21"/>
      <c r="C243" s="21"/>
      <c r="D243" s="14"/>
      <c r="E243" s="14"/>
      <c r="F243" s="14"/>
      <c r="G243" s="14"/>
      <c r="H243" s="14"/>
      <c r="I243" s="15"/>
      <c r="J243" s="15"/>
      <c r="K243" s="15"/>
      <c r="L243" s="15"/>
      <c r="M243" s="15"/>
      <c r="N243" s="15"/>
      <c r="O243" s="15"/>
      <c r="P243" s="15"/>
      <c r="Q243" s="14"/>
    </row>
    <row r="244" spans="1:17" x14ac:dyDescent="0.3">
      <c r="A244" s="14"/>
      <c r="B244" s="21"/>
      <c r="C244" s="21"/>
      <c r="D244" s="14"/>
      <c r="E244" s="14"/>
      <c r="F244" s="14"/>
      <c r="G244" s="14"/>
      <c r="H244" s="14"/>
      <c r="I244" s="15"/>
      <c r="J244" s="15"/>
      <c r="K244" s="15"/>
      <c r="L244" s="15"/>
      <c r="M244" s="15"/>
      <c r="N244" s="15"/>
      <c r="O244" s="15"/>
      <c r="P244" s="15"/>
      <c r="Q244" s="14"/>
    </row>
    <row r="245" spans="1:17" x14ac:dyDescent="0.3">
      <c r="A245" s="14"/>
      <c r="B245" s="21"/>
      <c r="C245" s="21"/>
      <c r="D245" s="14"/>
      <c r="E245" s="14"/>
      <c r="F245" s="14"/>
      <c r="G245" s="14"/>
      <c r="H245" s="14"/>
      <c r="I245" s="15"/>
      <c r="J245" s="15"/>
      <c r="K245" s="15"/>
      <c r="L245" s="15"/>
      <c r="M245" s="15"/>
      <c r="N245" s="15"/>
      <c r="O245" s="15"/>
      <c r="P245" s="15"/>
      <c r="Q245" s="14"/>
    </row>
    <row r="246" spans="1:17" x14ac:dyDescent="0.3">
      <c r="A246" s="14"/>
      <c r="B246" s="21"/>
      <c r="C246" s="21"/>
      <c r="D246" s="14"/>
      <c r="E246" s="14"/>
      <c r="F246" s="14"/>
      <c r="G246" s="14"/>
      <c r="H246" s="14"/>
      <c r="I246" s="15"/>
      <c r="J246" s="15"/>
      <c r="K246" s="15"/>
      <c r="L246" s="15"/>
      <c r="M246" s="15"/>
      <c r="N246" s="15"/>
      <c r="O246" s="15"/>
      <c r="P246" s="15"/>
      <c r="Q246" s="14"/>
    </row>
    <row r="247" spans="1:17" x14ac:dyDescent="0.3">
      <c r="A247" s="14"/>
      <c r="B247" s="21"/>
      <c r="C247" s="21"/>
      <c r="D247" s="14"/>
      <c r="E247" s="14"/>
      <c r="F247" s="14"/>
      <c r="G247" s="14"/>
      <c r="H247" s="14"/>
      <c r="I247" s="15"/>
      <c r="J247" s="15"/>
      <c r="K247" s="15"/>
      <c r="L247" s="15"/>
      <c r="M247" s="15"/>
      <c r="N247" s="15"/>
      <c r="O247" s="15"/>
      <c r="P247" s="15"/>
      <c r="Q247" s="14"/>
    </row>
    <row r="248" spans="1:17" x14ac:dyDescent="0.3">
      <c r="A248" s="14"/>
      <c r="B248" s="21"/>
      <c r="C248" s="21"/>
      <c r="D248" s="14"/>
      <c r="E248" s="14"/>
      <c r="F248" s="14"/>
      <c r="G248" s="14"/>
      <c r="H248" s="14"/>
      <c r="I248" s="15"/>
      <c r="J248" s="15"/>
      <c r="K248" s="15"/>
      <c r="L248" s="15"/>
      <c r="M248" s="15"/>
      <c r="N248" s="15"/>
      <c r="O248" s="15"/>
      <c r="P248" s="15"/>
      <c r="Q248" s="14"/>
    </row>
    <row r="249" spans="1:17" x14ac:dyDescent="0.3">
      <c r="A249" s="14"/>
      <c r="B249" s="21"/>
      <c r="C249" s="21"/>
      <c r="D249" s="14"/>
      <c r="E249" s="14"/>
      <c r="F249" s="14"/>
      <c r="G249" s="14"/>
      <c r="H249" s="14"/>
      <c r="I249" s="15"/>
      <c r="J249" s="15"/>
      <c r="K249" s="15"/>
      <c r="L249" s="15"/>
      <c r="M249" s="15"/>
      <c r="N249" s="15"/>
      <c r="O249" s="15"/>
      <c r="P249" s="15"/>
      <c r="Q249" s="14"/>
    </row>
    <row r="250" spans="1:17" x14ac:dyDescent="0.3">
      <c r="A250" s="14"/>
      <c r="B250" s="21"/>
      <c r="C250" s="21"/>
      <c r="D250" s="14"/>
      <c r="E250" s="14"/>
      <c r="F250" s="14"/>
      <c r="G250" s="14"/>
      <c r="H250" s="14"/>
      <c r="I250" s="15"/>
      <c r="J250" s="15"/>
      <c r="K250" s="15"/>
      <c r="L250" s="15"/>
      <c r="M250" s="15"/>
      <c r="N250" s="15"/>
      <c r="O250" s="15"/>
      <c r="P250" s="15"/>
      <c r="Q250" s="14"/>
    </row>
    <row r="251" spans="1:17" x14ac:dyDescent="0.3">
      <c r="A251" s="14"/>
      <c r="B251" s="21"/>
      <c r="C251" s="21"/>
      <c r="D251" s="14"/>
      <c r="E251" s="14"/>
      <c r="F251" s="14"/>
      <c r="G251" s="14"/>
      <c r="H251" s="14"/>
      <c r="I251" s="15"/>
      <c r="J251" s="15"/>
      <c r="K251" s="15"/>
      <c r="L251" s="15"/>
      <c r="M251" s="15"/>
      <c r="N251" s="15"/>
      <c r="O251" s="15"/>
      <c r="P251" s="15"/>
      <c r="Q251" s="14"/>
    </row>
    <row r="252" spans="1:17" x14ac:dyDescent="0.3">
      <c r="A252" s="14"/>
      <c r="B252" s="21"/>
      <c r="C252" s="21"/>
      <c r="D252" s="14"/>
      <c r="E252" s="14"/>
      <c r="F252" s="14"/>
      <c r="G252" s="14"/>
      <c r="H252" s="14"/>
      <c r="I252" s="15"/>
      <c r="J252" s="15"/>
      <c r="K252" s="15"/>
      <c r="L252" s="15"/>
      <c r="M252" s="15"/>
      <c r="N252" s="15"/>
      <c r="O252" s="15"/>
      <c r="P252" s="15"/>
      <c r="Q252" s="14"/>
    </row>
    <row r="253" spans="1:17" x14ac:dyDescent="0.3">
      <c r="A253" s="14"/>
      <c r="B253" s="21"/>
      <c r="C253" s="21"/>
      <c r="D253" s="14"/>
      <c r="E253" s="14"/>
      <c r="F253" s="14"/>
      <c r="G253" s="14"/>
      <c r="H253" s="14"/>
      <c r="I253" s="15"/>
      <c r="J253" s="15"/>
      <c r="K253" s="15"/>
      <c r="L253" s="15"/>
      <c r="M253" s="15"/>
      <c r="N253" s="15"/>
      <c r="O253" s="15"/>
      <c r="P253" s="15"/>
      <c r="Q253" s="14"/>
    </row>
    <row r="254" spans="1:17" x14ac:dyDescent="0.3">
      <c r="A254" s="14"/>
      <c r="B254" s="21"/>
      <c r="C254" s="21"/>
      <c r="D254" s="14"/>
      <c r="E254" s="14"/>
      <c r="F254" s="14"/>
      <c r="G254" s="14"/>
      <c r="H254" s="14"/>
      <c r="I254" s="15"/>
      <c r="J254" s="15"/>
      <c r="K254" s="15"/>
      <c r="L254" s="15"/>
      <c r="M254" s="15"/>
      <c r="N254" s="15"/>
      <c r="O254" s="15"/>
      <c r="P254" s="15"/>
      <c r="Q254" s="14"/>
    </row>
    <row r="255" spans="1:17" x14ac:dyDescent="0.3">
      <c r="A255" s="14"/>
      <c r="B255" s="21"/>
      <c r="C255" s="21"/>
      <c r="D255" s="14"/>
      <c r="E255" s="14"/>
      <c r="F255" s="14"/>
      <c r="G255" s="14"/>
      <c r="H255" s="14"/>
      <c r="I255" s="15"/>
      <c r="J255" s="15"/>
      <c r="K255" s="15"/>
      <c r="L255" s="15"/>
      <c r="M255" s="15"/>
      <c r="N255" s="15"/>
      <c r="O255" s="15"/>
      <c r="P255" s="15"/>
      <c r="Q255" s="14"/>
    </row>
    <row r="256" spans="1:17" x14ac:dyDescent="0.3">
      <c r="A256" s="14"/>
      <c r="B256" s="21"/>
      <c r="C256" s="21"/>
      <c r="D256" s="14"/>
      <c r="E256" s="14"/>
      <c r="F256" s="14"/>
      <c r="G256" s="14"/>
      <c r="H256" s="14"/>
      <c r="I256" s="15"/>
      <c r="J256" s="15"/>
      <c r="K256" s="15"/>
      <c r="L256" s="15"/>
      <c r="M256" s="15"/>
      <c r="N256" s="15"/>
      <c r="O256" s="15"/>
      <c r="P256" s="15"/>
      <c r="Q256" s="14"/>
    </row>
    <row r="257" spans="1:17" x14ac:dyDescent="0.3">
      <c r="A257" s="14"/>
      <c r="B257" s="21"/>
      <c r="C257" s="21"/>
      <c r="D257" s="14"/>
      <c r="E257" s="14"/>
      <c r="F257" s="14"/>
      <c r="G257" s="14"/>
      <c r="H257" s="14"/>
      <c r="I257" s="15"/>
      <c r="J257" s="15"/>
      <c r="K257" s="15"/>
      <c r="L257" s="15"/>
      <c r="M257" s="15"/>
      <c r="N257" s="15"/>
      <c r="O257" s="15"/>
      <c r="P257" s="15"/>
      <c r="Q257" s="14"/>
    </row>
    <row r="258" spans="1:17" x14ac:dyDescent="0.3">
      <c r="A258" s="14"/>
      <c r="B258" s="21"/>
      <c r="C258" s="21"/>
      <c r="D258" s="14"/>
      <c r="E258" s="14"/>
      <c r="F258" s="14"/>
      <c r="G258" s="14"/>
      <c r="H258" s="14"/>
      <c r="I258" s="15"/>
      <c r="J258" s="15"/>
      <c r="K258" s="15"/>
      <c r="L258" s="15"/>
      <c r="M258" s="15"/>
      <c r="N258" s="15"/>
      <c r="O258" s="15"/>
      <c r="P258" s="15"/>
      <c r="Q258" s="14"/>
    </row>
    <row r="259" spans="1:17" x14ac:dyDescent="0.3">
      <c r="A259" s="14"/>
      <c r="B259" s="21"/>
      <c r="C259" s="21"/>
      <c r="D259" s="14"/>
      <c r="E259" s="14"/>
      <c r="F259" s="14"/>
      <c r="G259" s="14"/>
      <c r="H259" s="14"/>
      <c r="I259" s="15"/>
      <c r="J259" s="15"/>
      <c r="K259" s="15"/>
      <c r="L259" s="15"/>
      <c r="M259" s="15"/>
      <c r="N259" s="15"/>
      <c r="O259" s="15"/>
      <c r="P259" s="15"/>
      <c r="Q259" s="14"/>
    </row>
    <row r="260" spans="1:17" x14ac:dyDescent="0.3">
      <c r="A260" s="14"/>
      <c r="B260" s="21"/>
      <c r="C260" s="21"/>
      <c r="D260" s="14"/>
      <c r="E260" s="14"/>
      <c r="F260" s="14"/>
      <c r="G260" s="14"/>
      <c r="H260" s="14"/>
      <c r="I260" s="15"/>
      <c r="J260" s="15"/>
      <c r="K260" s="15"/>
      <c r="L260" s="15"/>
      <c r="M260" s="15"/>
      <c r="N260" s="15"/>
      <c r="O260" s="15"/>
      <c r="P260" s="15"/>
      <c r="Q260" s="14"/>
    </row>
    <row r="261" spans="1:17" x14ac:dyDescent="0.3">
      <c r="A261" s="14"/>
      <c r="B261" s="21"/>
      <c r="C261" s="21"/>
      <c r="D261" s="14"/>
      <c r="E261" s="14"/>
      <c r="F261" s="14"/>
      <c r="G261" s="14"/>
      <c r="H261" s="14"/>
      <c r="I261" s="15"/>
      <c r="J261" s="15"/>
      <c r="K261" s="15"/>
      <c r="L261" s="15"/>
      <c r="M261" s="15"/>
      <c r="N261" s="15"/>
      <c r="O261" s="15"/>
      <c r="P261" s="15"/>
      <c r="Q261" s="14"/>
    </row>
    <row r="262" spans="1:17" x14ac:dyDescent="0.3">
      <c r="A262" s="14"/>
      <c r="B262" s="21"/>
      <c r="C262" s="21"/>
      <c r="D262" s="14"/>
      <c r="E262" s="14"/>
      <c r="F262" s="14"/>
      <c r="G262" s="14"/>
      <c r="H262" s="14"/>
      <c r="I262" s="15"/>
      <c r="J262" s="15"/>
      <c r="K262" s="15"/>
      <c r="L262" s="15"/>
      <c r="M262" s="15"/>
      <c r="N262" s="15"/>
      <c r="O262" s="15"/>
      <c r="P262" s="15"/>
      <c r="Q262" s="14"/>
    </row>
    <row r="263" spans="1:17" x14ac:dyDescent="0.3">
      <c r="A263" s="14"/>
      <c r="B263" s="21"/>
      <c r="C263" s="21"/>
      <c r="D263" s="14"/>
      <c r="E263" s="14"/>
      <c r="F263" s="14"/>
      <c r="G263" s="14"/>
      <c r="H263" s="14"/>
      <c r="I263" s="15"/>
      <c r="J263" s="15"/>
      <c r="K263" s="15"/>
      <c r="L263" s="15"/>
      <c r="M263" s="15"/>
      <c r="N263" s="15"/>
      <c r="O263" s="15"/>
      <c r="P263" s="15"/>
      <c r="Q263" s="14"/>
    </row>
    <row r="264" spans="1:17" x14ac:dyDescent="0.3">
      <c r="A264" s="14"/>
      <c r="B264" s="21"/>
      <c r="C264" s="21"/>
      <c r="D264" s="14"/>
      <c r="E264" s="14"/>
      <c r="F264" s="14"/>
      <c r="G264" s="14"/>
      <c r="H264" s="14"/>
      <c r="I264" s="15"/>
      <c r="J264" s="15"/>
      <c r="K264" s="15"/>
      <c r="L264" s="15"/>
      <c r="M264" s="15"/>
      <c r="N264" s="15"/>
      <c r="O264" s="15"/>
      <c r="P264" s="15"/>
      <c r="Q264" s="14"/>
    </row>
    <row r="265" spans="1:17" x14ac:dyDescent="0.3">
      <c r="A265" s="14"/>
      <c r="B265" s="21"/>
      <c r="C265" s="21"/>
      <c r="D265" s="14"/>
      <c r="E265" s="14"/>
      <c r="F265" s="14"/>
      <c r="G265" s="14"/>
      <c r="H265" s="14"/>
      <c r="I265" s="15"/>
      <c r="J265" s="15"/>
      <c r="K265" s="15"/>
      <c r="L265" s="15"/>
      <c r="M265" s="15"/>
      <c r="N265" s="15"/>
      <c r="O265" s="15"/>
      <c r="P265" s="15"/>
      <c r="Q265" s="14"/>
    </row>
    <row r="266" spans="1:17" x14ac:dyDescent="0.3">
      <c r="A266" s="14"/>
      <c r="B266" s="21"/>
      <c r="C266" s="21"/>
      <c r="D266" s="14"/>
      <c r="E266" s="14"/>
      <c r="F266" s="14"/>
      <c r="G266" s="14"/>
      <c r="H266" s="14"/>
      <c r="I266" s="15"/>
      <c r="J266" s="15"/>
      <c r="K266" s="15"/>
      <c r="L266" s="15"/>
      <c r="M266" s="15"/>
      <c r="N266" s="15"/>
      <c r="O266" s="15"/>
      <c r="P266" s="15"/>
      <c r="Q266" s="14"/>
    </row>
    <row r="267" spans="1:17" x14ac:dyDescent="0.3">
      <c r="A267" s="14"/>
      <c r="B267" s="21"/>
      <c r="C267" s="21"/>
      <c r="D267" s="14"/>
      <c r="E267" s="14"/>
      <c r="F267" s="14"/>
      <c r="G267" s="14"/>
      <c r="H267" s="14"/>
      <c r="I267" s="15"/>
      <c r="J267" s="15"/>
      <c r="K267" s="15"/>
      <c r="L267" s="15"/>
      <c r="M267" s="15"/>
      <c r="N267" s="15"/>
      <c r="O267" s="15"/>
      <c r="P267" s="15"/>
      <c r="Q267" s="14"/>
    </row>
    <row r="268" spans="1:17" x14ac:dyDescent="0.3">
      <c r="A268" s="14"/>
      <c r="B268" s="21"/>
      <c r="C268" s="21"/>
      <c r="D268" s="14"/>
      <c r="E268" s="14"/>
      <c r="F268" s="14"/>
      <c r="G268" s="14"/>
      <c r="H268" s="14"/>
      <c r="I268" s="15"/>
      <c r="J268" s="15"/>
      <c r="K268" s="15"/>
      <c r="L268" s="15"/>
      <c r="M268" s="15"/>
      <c r="N268" s="15"/>
      <c r="O268" s="15"/>
      <c r="P268" s="15"/>
      <c r="Q268" s="14"/>
    </row>
    <row r="269" spans="1:17" x14ac:dyDescent="0.3">
      <c r="A269" s="14"/>
      <c r="B269" s="21"/>
      <c r="C269" s="21"/>
      <c r="D269" s="14"/>
      <c r="E269" s="14"/>
      <c r="F269" s="14"/>
      <c r="G269" s="14"/>
      <c r="H269" s="14"/>
      <c r="I269" s="15"/>
      <c r="J269" s="15"/>
      <c r="K269" s="15"/>
      <c r="L269" s="15"/>
      <c r="M269" s="15"/>
      <c r="N269" s="15"/>
      <c r="O269" s="15"/>
      <c r="P269" s="15"/>
      <c r="Q269" s="14"/>
    </row>
    <row r="270" spans="1:17" x14ac:dyDescent="0.3">
      <c r="A270" s="14"/>
      <c r="B270" s="21"/>
      <c r="C270" s="21"/>
      <c r="D270" s="14"/>
      <c r="E270" s="14"/>
      <c r="F270" s="14"/>
      <c r="G270" s="14"/>
      <c r="H270" s="14"/>
      <c r="I270" s="15"/>
      <c r="J270" s="15"/>
      <c r="K270" s="15"/>
      <c r="L270" s="15"/>
      <c r="M270" s="15"/>
      <c r="N270" s="15"/>
      <c r="O270" s="15"/>
      <c r="P270" s="15"/>
      <c r="Q270" s="14"/>
    </row>
    <row r="271" spans="1:17" x14ac:dyDescent="0.3">
      <c r="A271" s="14"/>
      <c r="B271" s="21"/>
      <c r="C271" s="21"/>
      <c r="D271" s="14"/>
      <c r="E271" s="14"/>
      <c r="F271" s="14"/>
      <c r="G271" s="14"/>
      <c r="H271" s="14"/>
      <c r="I271" s="15"/>
      <c r="J271" s="15"/>
      <c r="K271" s="15"/>
      <c r="L271" s="15"/>
      <c r="M271" s="15"/>
      <c r="N271" s="15"/>
      <c r="O271" s="15"/>
      <c r="P271" s="15"/>
      <c r="Q271" s="14"/>
    </row>
    <row r="272" spans="1:17" x14ac:dyDescent="0.3">
      <c r="A272" s="14"/>
      <c r="B272" s="21"/>
      <c r="C272" s="21"/>
      <c r="D272" s="14"/>
      <c r="E272" s="14"/>
      <c r="F272" s="14"/>
      <c r="G272" s="14"/>
      <c r="H272" s="14"/>
      <c r="I272" s="15"/>
      <c r="J272" s="15"/>
      <c r="K272" s="15"/>
      <c r="L272" s="15"/>
      <c r="M272" s="15"/>
      <c r="N272" s="15"/>
      <c r="O272" s="15"/>
      <c r="P272" s="15"/>
      <c r="Q272" s="14"/>
    </row>
    <row r="273" spans="1:17" x14ac:dyDescent="0.3">
      <c r="A273" s="14"/>
      <c r="B273" s="21"/>
      <c r="C273" s="21"/>
      <c r="D273" s="14"/>
      <c r="E273" s="14"/>
      <c r="F273" s="14"/>
      <c r="G273" s="14"/>
      <c r="H273" s="14"/>
      <c r="I273" s="15"/>
      <c r="J273" s="15"/>
      <c r="K273" s="15"/>
      <c r="L273" s="15"/>
      <c r="M273" s="15"/>
      <c r="N273" s="15"/>
      <c r="O273" s="15"/>
      <c r="P273" s="15"/>
      <c r="Q273" s="14"/>
    </row>
    <row r="274" spans="1:17" x14ac:dyDescent="0.3">
      <c r="A274" s="14"/>
      <c r="B274" s="21"/>
      <c r="C274" s="21"/>
      <c r="D274" s="14"/>
      <c r="E274" s="14"/>
      <c r="F274" s="14"/>
      <c r="G274" s="14"/>
      <c r="H274" s="14"/>
      <c r="I274" s="15"/>
      <c r="J274" s="15"/>
      <c r="K274" s="15"/>
      <c r="L274" s="15"/>
      <c r="M274" s="15"/>
      <c r="N274" s="15"/>
      <c r="O274" s="15"/>
      <c r="P274" s="15"/>
      <c r="Q274" s="14"/>
    </row>
    <row r="275" spans="1:17" x14ac:dyDescent="0.3">
      <c r="A275" s="14"/>
      <c r="B275" s="21"/>
      <c r="C275" s="21"/>
      <c r="D275" s="14"/>
      <c r="E275" s="14"/>
      <c r="F275" s="14"/>
      <c r="G275" s="14"/>
      <c r="H275" s="14"/>
      <c r="I275" s="15"/>
      <c r="J275" s="15"/>
      <c r="K275" s="15"/>
      <c r="L275" s="15"/>
      <c r="M275" s="15"/>
      <c r="N275" s="15"/>
      <c r="O275" s="15"/>
      <c r="P275" s="15"/>
      <c r="Q275" s="14"/>
    </row>
    <row r="276" spans="1:17" x14ac:dyDescent="0.3">
      <c r="A276" s="14"/>
      <c r="B276" s="21"/>
      <c r="C276" s="21"/>
      <c r="D276" s="14"/>
      <c r="E276" s="14"/>
      <c r="F276" s="14"/>
      <c r="G276" s="14"/>
      <c r="H276" s="14"/>
      <c r="I276" s="15"/>
      <c r="J276" s="15"/>
      <c r="K276" s="15"/>
      <c r="L276" s="15"/>
      <c r="M276" s="15"/>
      <c r="N276" s="15"/>
      <c r="O276" s="15"/>
      <c r="P276" s="15"/>
      <c r="Q276" s="14"/>
    </row>
    <row r="277" spans="1:17" x14ac:dyDescent="0.3">
      <c r="A277" s="14"/>
      <c r="B277" s="21"/>
      <c r="C277" s="21"/>
      <c r="D277" s="14"/>
      <c r="E277" s="14"/>
      <c r="F277" s="14"/>
      <c r="G277" s="14"/>
      <c r="H277" s="14"/>
      <c r="I277" s="15"/>
      <c r="J277" s="15"/>
      <c r="K277" s="15"/>
      <c r="L277" s="15"/>
      <c r="M277" s="15"/>
      <c r="N277" s="15"/>
      <c r="O277" s="15"/>
      <c r="P277" s="15"/>
      <c r="Q277" s="14"/>
    </row>
    <row r="278" spans="1:17" x14ac:dyDescent="0.3">
      <c r="A278" s="14"/>
      <c r="B278" s="21"/>
      <c r="C278" s="21"/>
      <c r="D278" s="14"/>
      <c r="E278" s="14"/>
      <c r="F278" s="14"/>
      <c r="G278" s="14"/>
      <c r="H278" s="14"/>
      <c r="I278" s="15"/>
      <c r="J278" s="15"/>
      <c r="K278" s="15"/>
      <c r="L278" s="15"/>
      <c r="M278" s="15"/>
      <c r="N278" s="15"/>
      <c r="O278" s="15"/>
      <c r="P278" s="15"/>
      <c r="Q278" s="14"/>
    </row>
    <row r="279" spans="1:17" x14ac:dyDescent="0.3">
      <c r="A279" s="14"/>
      <c r="B279" s="21"/>
      <c r="C279" s="21"/>
      <c r="D279" s="14"/>
      <c r="E279" s="14"/>
      <c r="F279" s="14"/>
      <c r="G279" s="14"/>
      <c r="H279" s="14"/>
      <c r="I279" s="15"/>
      <c r="J279" s="15"/>
      <c r="K279" s="15"/>
      <c r="L279" s="15"/>
      <c r="M279" s="15"/>
      <c r="N279" s="15"/>
      <c r="O279" s="15"/>
      <c r="P279" s="15"/>
      <c r="Q279" s="14"/>
    </row>
    <row r="280" spans="1:17" x14ac:dyDescent="0.3">
      <c r="A280" s="14"/>
      <c r="B280" s="21"/>
      <c r="C280" s="21"/>
      <c r="D280" s="14"/>
      <c r="E280" s="14"/>
      <c r="F280" s="14"/>
      <c r="G280" s="14"/>
      <c r="H280" s="14"/>
      <c r="I280" s="15"/>
      <c r="J280" s="15"/>
      <c r="K280" s="15"/>
      <c r="L280" s="15"/>
      <c r="M280" s="15"/>
      <c r="N280" s="15"/>
      <c r="O280" s="15"/>
      <c r="P280" s="15"/>
      <c r="Q280" s="14"/>
    </row>
    <row r="281" spans="1:17" x14ac:dyDescent="0.3">
      <c r="A281" s="14"/>
      <c r="B281" s="21"/>
      <c r="C281" s="21"/>
      <c r="D281" s="14"/>
      <c r="E281" s="14"/>
      <c r="F281" s="14"/>
      <c r="G281" s="14"/>
      <c r="H281" s="14"/>
      <c r="I281" s="15"/>
      <c r="J281" s="15"/>
      <c r="K281" s="15"/>
      <c r="L281" s="15"/>
      <c r="M281" s="15"/>
      <c r="N281" s="15"/>
      <c r="O281" s="15"/>
      <c r="P281" s="15"/>
      <c r="Q281" s="14"/>
    </row>
    <row r="282" spans="1:17" x14ac:dyDescent="0.3">
      <c r="A282" s="14"/>
      <c r="B282" s="21"/>
      <c r="C282" s="21"/>
      <c r="D282" s="14"/>
      <c r="E282" s="14"/>
      <c r="F282" s="14"/>
      <c r="G282" s="14"/>
      <c r="H282" s="14"/>
      <c r="I282" s="15"/>
      <c r="J282" s="15"/>
      <c r="K282" s="15"/>
      <c r="L282" s="15"/>
      <c r="M282" s="15"/>
      <c r="N282" s="15"/>
      <c r="O282" s="15"/>
      <c r="P282" s="15"/>
      <c r="Q282" s="14"/>
    </row>
    <row r="283" spans="1:17" x14ac:dyDescent="0.3">
      <c r="A283" s="14"/>
      <c r="B283" s="21"/>
      <c r="C283" s="21"/>
      <c r="D283" s="14"/>
      <c r="E283" s="14"/>
      <c r="F283" s="14"/>
      <c r="G283" s="14"/>
      <c r="H283" s="14"/>
      <c r="I283" s="15"/>
      <c r="J283" s="15"/>
      <c r="K283" s="15"/>
      <c r="L283" s="15"/>
      <c r="M283" s="15"/>
      <c r="N283" s="15"/>
      <c r="O283" s="15"/>
      <c r="P283" s="15"/>
      <c r="Q283" s="14"/>
    </row>
    <row r="284" spans="1:17" x14ac:dyDescent="0.3">
      <c r="A284" s="14"/>
      <c r="B284" s="21"/>
      <c r="C284" s="21"/>
      <c r="D284" s="14"/>
      <c r="E284" s="14"/>
      <c r="F284" s="14"/>
      <c r="G284" s="14"/>
      <c r="H284" s="14"/>
      <c r="I284" s="15"/>
      <c r="J284" s="15"/>
      <c r="K284" s="15"/>
      <c r="L284" s="15"/>
      <c r="M284" s="15"/>
      <c r="N284" s="15"/>
      <c r="O284" s="15"/>
      <c r="P284" s="15"/>
      <c r="Q284" s="14"/>
    </row>
    <row r="285" spans="1:17" x14ac:dyDescent="0.3">
      <c r="A285" s="14"/>
      <c r="B285" s="21"/>
      <c r="C285" s="21"/>
      <c r="D285" s="14"/>
      <c r="E285" s="14"/>
      <c r="F285" s="14"/>
      <c r="G285" s="14"/>
      <c r="H285" s="14"/>
      <c r="I285" s="15"/>
      <c r="J285" s="15"/>
      <c r="K285" s="15"/>
      <c r="L285" s="15"/>
      <c r="M285" s="15"/>
      <c r="N285" s="15"/>
      <c r="O285" s="15"/>
      <c r="P285" s="15"/>
      <c r="Q285" s="14"/>
    </row>
    <row r="286" spans="1:17" x14ac:dyDescent="0.3">
      <c r="A286" s="14"/>
      <c r="B286" s="21"/>
      <c r="C286" s="21"/>
      <c r="D286" s="14"/>
      <c r="E286" s="14"/>
      <c r="F286" s="14"/>
      <c r="G286" s="14"/>
      <c r="H286" s="14"/>
      <c r="I286" s="15"/>
      <c r="J286" s="15"/>
      <c r="K286" s="15"/>
      <c r="L286" s="15"/>
      <c r="M286" s="15"/>
      <c r="N286" s="15"/>
      <c r="O286" s="15"/>
      <c r="P286" s="15"/>
      <c r="Q286" s="14"/>
    </row>
    <row r="287" spans="1:17" x14ac:dyDescent="0.3">
      <c r="A287" s="14"/>
      <c r="B287" s="21"/>
      <c r="C287" s="21"/>
      <c r="D287" s="14"/>
      <c r="E287" s="14"/>
      <c r="F287" s="14"/>
      <c r="G287" s="14"/>
      <c r="H287" s="14"/>
      <c r="I287" s="15"/>
      <c r="J287" s="15"/>
      <c r="K287" s="15"/>
      <c r="L287" s="15"/>
      <c r="M287" s="15"/>
      <c r="N287" s="15"/>
      <c r="O287" s="15"/>
      <c r="P287" s="15"/>
      <c r="Q287" s="14"/>
    </row>
    <row r="288" spans="1:17" x14ac:dyDescent="0.3">
      <c r="A288" s="14"/>
      <c r="B288" s="21"/>
      <c r="C288" s="21"/>
      <c r="D288" s="14"/>
      <c r="E288" s="14"/>
      <c r="F288" s="14"/>
      <c r="G288" s="14"/>
      <c r="H288" s="14"/>
      <c r="I288" s="15"/>
      <c r="J288" s="15"/>
      <c r="K288" s="15"/>
      <c r="L288" s="15"/>
      <c r="M288" s="15"/>
      <c r="N288" s="15"/>
      <c r="O288" s="15"/>
      <c r="P288" s="15"/>
      <c r="Q288" s="14"/>
    </row>
    <row r="289" spans="1:17" x14ac:dyDescent="0.3">
      <c r="A289" s="14"/>
      <c r="B289" s="21"/>
      <c r="C289" s="21"/>
      <c r="D289" s="14"/>
      <c r="E289" s="14"/>
      <c r="F289" s="14"/>
      <c r="G289" s="14"/>
      <c r="H289" s="14"/>
      <c r="I289" s="15"/>
      <c r="J289" s="15"/>
      <c r="K289" s="15"/>
      <c r="L289" s="15"/>
      <c r="M289" s="15"/>
      <c r="N289" s="15"/>
      <c r="O289" s="15"/>
      <c r="P289" s="15"/>
      <c r="Q289" s="14"/>
    </row>
    <row r="290" spans="1:17" x14ac:dyDescent="0.3">
      <c r="A290" s="14"/>
      <c r="B290" s="21"/>
      <c r="C290" s="21"/>
      <c r="D290" s="14"/>
      <c r="E290" s="14"/>
      <c r="F290" s="14"/>
      <c r="G290" s="14"/>
      <c r="H290" s="14"/>
      <c r="I290" s="15"/>
      <c r="J290" s="15"/>
      <c r="K290" s="15"/>
      <c r="L290" s="15"/>
      <c r="M290" s="15"/>
      <c r="N290" s="15"/>
      <c r="O290" s="15"/>
      <c r="P290" s="15"/>
      <c r="Q290" s="14"/>
    </row>
    <row r="291" spans="1:17" x14ac:dyDescent="0.3">
      <c r="A291" s="14"/>
      <c r="B291" s="21"/>
      <c r="C291" s="21"/>
      <c r="D291" s="14"/>
      <c r="E291" s="14"/>
      <c r="F291" s="14"/>
      <c r="G291" s="14"/>
      <c r="H291" s="14"/>
      <c r="I291" s="15"/>
      <c r="J291" s="15"/>
      <c r="K291" s="15"/>
      <c r="L291" s="15"/>
      <c r="M291" s="15"/>
      <c r="N291" s="15"/>
      <c r="O291" s="15"/>
      <c r="P291" s="15"/>
      <c r="Q291" s="14"/>
    </row>
    <row r="292" spans="1:17" x14ac:dyDescent="0.3">
      <c r="A292" s="14"/>
      <c r="B292" s="21"/>
      <c r="C292" s="21"/>
      <c r="D292" s="14"/>
      <c r="E292" s="14"/>
      <c r="F292" s="14"/>
      <c r="G292" s="14"/>
      <c r="H292" s="14"/>
      <c r="I292" s="15"/>
      <c r="J292" s="15"/>
      <c r="K292" s="15"/>
      <c r="L292" s="15"/>
      <c r="M292" s="15"/>
      <c r="N292" s="15"/>
      <c r="O292" s="15"/>
      <c r="P292" s="15"/>
      <c r="Q292" s="14"/>
    </row>
    <row r="293" spans="1:17" x14ac:dyDescent="0.3">
      <c r="A293" s="14"/>
      <c r="B293" s="21"/>
      <c r="C293" s="21"/>
      <c r="D293" s="14"/>
      <c r="E293" s="14"/>
      <c r="F293" s="14"/>
      <c r="G293" s="14"/>
      <c r="H293" s="14"/>
      <c r="I293" s="15"/>
      <c r="J293" s="15"/>
      <c r="K293" s="15"/>
      <c r="L293" s="15"/>
      <c r="M293" s="15"/>
      <c r="N293" s="15"/>
      <c r="O293" s="15"/>
      <c r="P293" s="15"/>
      <c r="Q293" s="14"/>
    </row>
    <row r="294" spans="1:17" x14ac:dyDescent="0.3">
      <c r="A294" s="14"/>
      <c r="B294" s="21"/>
      <c r="C294" s="21"/>
      <c r="D294" s="14"/>
      <c r="E294" s="14"/>
      <c r="F294" s="14"/>
      <c r="G294" s="14"/>
      <c r="H294" s="14"/>
      <c r="I294" s="15"/>
      <c r="J294" s="15"/>
      <c r="K294" s="15"/>
      <c r="L294" s="15"/>
      <c r="M294" s="15"/>
      <c r="N294" s="15"/>
      <c r="O294" s="15"/>
      <c r="P294" s="15"/>
      <c r="Q294" s="14"/>
    </row>
    <row r="295" spans="1:17" x14ac:dyDescent="0.3">
      <c r="A295" s="14"/>
      <c r="B295" s="21"/>
      <c r="C295" s="21"/>
      <c r="D295" s="14"/>
      <c r="E295" s="14"/>
      <c r="F295" s="14"/>
      <c r="G295" s="14"/>
      <c r="H295" s="14"/>
      <c r="I295" s="15"/>
      <c r="J295" s="15"/>
      <c r="K295" s="15"/>
      <c r="L295" s="15"/>
      <c r="M295" s="15"/>
      <c r="N295" s="15"/>
      <c r="O295" s="15"/>
      <c r="P295" s="15"/>
      <c r="Q295" s="14"/>
    </row>
    <row r="296" spans="1:17" x14ac:dyDescent="0.3">
      <c r="A296" s="14"/>
      <c r="B296" s="21"/>
      <c r="C296" s="21"/>
      <c r="D296" s="14"/>
      <c r="E296" s="14"/>
      <c r="F296" s="14"/>
      <c r="G296" s="14"/>
      <c r="H296" s="14"/>
      <c r="I296" s="15"/>
      <c r="J296" s="15"/>
      <c r="K296" s="15"/>
      <c r="L296" s="15"/>
      <c r="M296" s="15"/>
      <c r="N296" s="15"/>
      <c r="O296" s="15"/>
      <c r="P296" s="15"/>
      <c r="Q296" s="14"/>
    </row>
    <row r="297" spans="1:17" x14ac:dyDescent="0.3">
      <c r="A297" s="14"/>
      <c r="B297" s="21"/>
      <c r="C297" s="21"/>
      <c r="D297" s="14"/>
      <c r="E297" s="14"/>
      <c r="F297" s="14"/>
      <c r="G297" s="14"/>
      <c r="H297" s="14"/>
      <c r="I297" s="15"/>
      <c r="J297" s="15"/>
      <c r="K297" s="15"/>
      <c r="L297" s="15"/>
      <c r="M297" s="15"/>
      <c r="N297" s="15"/>
      <c r="O297" s="15"/>
      <c r="P297" s="15"/>
      <c r="Q297" s="14"/>
    </row>
    <row r="298" spans="1:17" x14ac:dyDescent="0.3">
      <c r="A298" s="14"/>
      <c r="B298" s="21"/>
      <c r="C298" s="21"/>
      <c r="D298" s="14"/>
      <c r="E298" s="14"/>
      <c r="F298" s="14"/>
      <c r="G298" s="14"/>
      <c r="H298" s="14"/>
      <c r="I298" s="15"/>
      <c r="J298" s="15"/>
      <c r="K298" s="15"/>
      <c r="L298" s="15"/>
      <c r="M298" s="15"/>
      <c r="N298" s="15"/>
      <c r="O298" s="15"/>
      <c r="P298" s="15"/>
      <c r="Q298" s="14"/>
    </row>
    <row r="299" spans="1:17" x14ac:dyDescent="0.3">
      <c r="A299" s="14"/>
      <c r="B299" s="21"/>
      <c r="C299" s="21"/>
      <c r="D299" s="14"/>
      <c r="E299" s="14"/>
      <c r="F299" s="14"/>
      <c r="G299" s="14"/>
      <c r="H299" s="14"/>
      <c r="I299" s="15"/>
      <c r="J299" s="15"/>
      <c r="K299" s="15"/>
      <c r="L299" s="15"/>
      <c r="M299" s="15"/>
      <c r="N299" s="15"/>
      <c r="O299" s="15"/>
      <c r="P299" s="15"/>
      <c r="Q299" s="14"/>
    </row>
    <row r="300" spans="1:17" x14ac:dyDescent="0.3">
      <c r="A300" s="14"/>
      <c r="B300" s="21"/>
      <c r="C300" s="21"/>
      <c r="D300" s="14"/>
      <c r="E300" s="14"/>
      <c r="F300" s="14"/>
      <c r="G300" s="14"/>
      <c r="H300" s="14"/>
      <c r="I300" s="15"/>
      <c r="J300" s="15"/>
      <c r="K300" s="15"/>
      <c r="L300" s="15"/>
      <c r="M300" s="15"/>
      <c r="N300" s="15"/>
      <c r="O300" s="15"/>
      <c r="P300" s="15"/>
      <c r="Q300" s="14"/>
    </row>
    <row r="301" spans="1:17" x14ac:dyDescent="0.3">
      <c r="A301" s="14"/>
      <c r="B301" s="21"/>
      <c r="C301" s="21"/>
      <c r="D301" s="14"/>
      <c r="E301" s="14"/>
      <c r="F301" s="14"/>
      <c r="G301" s="14"/>
      <c r="H301" s="14"/>
      <c r="I301" s="15"/>
      <c r="J301" s="15"/>
      <c r="K301" s="15"/>
      <c r="L301" s="15"/>
      <c r="M301" s="15"/>
      <c r="N301" s="15"/>
      <c r="O301" s="15"/>
      <c r="P301" s="15"/>
      <c r="Q301" s="14"/>
    </row>
    <row r="302" spans="1:17" x14ac:dyDescent="0.3">
      <c r="A302" s="14"/>
      <c r="B302" s="21"/>
      <c r="C302" s="21"/>
      <c r="D302" s="14"/>
      <c r="E302" s="14"/>
      <c r="F302" s="14"/>
      <c r="G302" s="14"/>
      <c r="H302" s="14"/>
      <c r="I302" s="15"/>
      <c r="J302" s="15"/>
      <c r="K302" s="15"/>
      <c r="L302" s="15"/>
      <c r="M302" s="15"/>
      <c r="N302" s="15"/>
      <c r="O302" s="15"/>
      <c r="P302" s="15"/>
      <c r="Q302" s="14"/>
    </row>
    <row r="303" spans="1:17" x14ac:dyDescent="0.3">
      <c r="A303" s="14"/>
      <c r="B303" s="21"/>
      <c r="C303" s="21"/>
      <c r="D303" s="14"/>
      <c r="E303" s="14"/>
      <c r="F303" s="14"/>
      <c r="G303" s="14"/>
      <c r="H303" s="14"/>
      <c r="I303" s="15"/>
      <c r="J303" s="15"/>
      <c r="K303" s="15"/>
      <c r="L303" s="15"/>
      <c r="M303" s="15"/>
      <c r="N303" s="15"/>
      <c r="O303" s="15"/>
      <c r="P303" s="15"/>
      <c r="Q303" s="14"/>
    </row>
    <row r="304" spans="1:17" x14ac:dyDescent="0.3">
      <c r="A304" s="14"/>
      <c r="B304" s="21"/>
      <c r="C304" s="21"/>
      <c r="D304" s="14"/>
      <c r="E304" s="14"/>
      <c r="F304" s="14"/>
      <c r="G304" s="14"/>
      <c r="H304" s="14"/>
      <c r="I304" s="15"/>
      <c r="J304" s="15"/>
      <c r="K304" s="15"/>
      <c r="L304" s="15"/>
      <c r="M304" s="15"/>
      <c r="N304" s="15"/>
      <c r="O304" s="15"/>
      <c r="P304" s="15"/>
      <c r="Q304" s="14"/>
    </row>
    <row r="305" spans="1:17" x14ac:dyDescent="0.3">
      <c r="A305" s="14"/>
      <c r="B305" s="21"/>
      <c r="C305" s="21"/>
      <c r="D305" s="14"/>
      <c r="E305" s="14"/>
      <c r="F305" s="14"/>
      <c r="G305" s="14"/>
      <c r="H305" s="14"/>
      <c r="I305" s="15"/>
      <c r="J305" s="15"/>
      <c r="K305" s="15"/>
      <c r="L305" s="15"/>
      <c r="M305" s="15"/>
      <c r="N305" s="15"/>
      <c r="O305" s="15"/>
      <c r="P305" s="15"/>
      <c r="Q305" s="14"/>
    </row>
    <row r="306" spans="1:17" x14ac:dyDescent="0.3">
      <c r="A306" s="14"/>
      <c r="B306" s="21"/>
      <c r="C306" s="21"/>
      <c r="D306" s="14"/>
      <c r="E306" s="14"/>
      <c r="F306" s="14"/>
      <c r="G306" s="14"/>
      <c r="H306" s="14"/>
      <c r="I306" s="15"/>
      <c r="J306" s="15"/>
      <c r="K306" s="15"/>
      <c r="L306" s="15"/>
      <c r="M306" s="15"/>
      <c r="N306" s="15"/>
      <c r="O306" s="15"/>
      <c r="P306" s="15"/>
      <c r="Q306" s="14"/>
    </row>
    <row r="307" spans="1:17" x14ac:dyDescent="0.3">
      <c r="A307" s="14"/>
      <c r="B307" s="21"/>
      <c r="C307" s="21"/>
      <c r="D307" s="14"/>
      <c r="E307" s="14"/>
      <c r="F307" s="14"/>
      <c r="G307" s="14"/>
      <c r="H307" s="14"/>
      <c r="I307" s="15"/>
      <c r="J307" s="15"/>
      <c r="K307" s="15"/>
      <c r="L307" s="15"/>
      <c r="M307" s="15"/>
      <c r="N307" s="15"/>
      <c r="O307" s="15"/>
      <c r="P307" s="15"/>
      <c r="Q307" s="14"/>
    </row>
    <row r="308" spans="1:17" x14ac:dyDescent="0.3">
      <c r="A308" s="14"/>
      <c r="B308" s="21"/>
      <c r="C308" s="21"/>
      <c r="D308" s="14"/>
      <c r="E308" s="14"/>
      <c r="F308" s="14"/>
      <c r="G308" s="14"/>
      <c r="H308" s="14"/>
      <c r="I308" s="15"/>
      <c r="J308" s="15"/>
      <c r="K308" s="15"/>
      <c r="L308" s="15"/>
      <c r="M308" s="15"/>
      <c r="N308" s="15"/>
      <c r="O308" s="15"/>
      <c r="P308" s="15"/>
      <c r="Q308" s="14"/>
    </row>
    <row r="309" spans="1:17" x14ac:dyDescent="0.3">
      <c r="A309" s="14"/>
      <c r="B309" s="21"/>
      <c r="C309" s="21"/>
      <c r="D309" s="14"/>
      <c r="E309" s="14"/>
      <c r="F309" s="14"/>
      <c r="G309" s="14"/>
      <c r="H309" s="14"/>
      <c r="I309" s="15"/>
      <c r="J309" s="15"/>
      <c r="K309" s="15"/>
      <c r="L309" s="15"/>
      <c r="M309" s="15"/>
      <c r="N309" s="15"/>
      <c r="O309" s="15"/>
      <c r="P309" s="15"/>
      <c r="Q309" s="14"/>
    </row>
    <row r="310" spans="1:17" x14ac:dyDescent="0.3">
      <c r="A310" s="14"/>
      <c r="B310" s="21"/>
      <c r="C310" s="21"/>
      <c r="D310" s="14"/>
      <c r="E310" s="14"/>
      <c r="F310" s="14"/>
      <c r="G310" s="14"/>
      <c r="H310" s="14"/>
      <c r="I310" s="15"/>
      <c r="J310" s="15"/>
      <c r="K310" s="15"/>
      <c r="L310" s="15"/>
      <c r="M310" s="15"/>
      <c r="N310" s="15"/>
      <c r="O310" s="15"/>
      <c r="P310" s="15"/>
      <c r="Q310" s="14"/>
    </row>
    <row r="311" spans="1:17" x14ac:dyDescent="0.3">
      <c r="A311" s="14"/>
      <c r="B311" s="21"/>
      <c r="C311" s="21"/>
      <c r="D311" s="14"/>
      <c r="E311" s="14"/>
      <c r="F311" s="14"/>
      <c r="G311" s="14"/>
      <c r="H311" s="14"/>
      <c r="I311" s="15"/>
      <c r="J311" s="15"/>
      <c r="K311" s="15"/>
      <c r="L311" s="15"/>
      <c r="M311" s="15"/>
      <c r="N311" s="15"/>
      <c r="O311" s="15"/>
      <c r="P311" s="15"/>
      <c r="Q311" s="14"/>
    </row>
    <row r="312" spans="1:17" x14ac:dyDescent="0.3">
      <c r="A312" s="14"/>
      <c r="B312" s="21"/>
      <c r="C312" s="21"/>
      <c r="D312" s="14"/>
      <c r="E312" s="14"/>
      <c r="F312" s="14"/>
      <c r="G312" s="14"/>
      <c r="H312" s="14"/>
      <c r="I312" s="15"/>
      <c r="J312" s="15"/>
      <c r="K312" s="15"/>
      <c r="L312" s="15"/>
      <c r="M312" s="15"/>
      <c r="N312" s="15"/>
      <c r="O312" s="15"/>
      <c r="P312" s="15"/>
      <c r="Q312" s="14"/>
    </row>
    <row r="313" spans="1:17" x14ac:dyDescent="0.3">
      <c r="A313" s="14"/>
      <c r="B313" s="21"/>
      <c r="C313" s="21"/>
      <c r="D313" s="14"/>
      <c r="E313" s="14"/>
      <c r="F313" s="14"/>
      <c r="G313" s="14"/>
      <c r="H313" s="14"/>
      <c r="I313" s="15"/>
      <c r="J313" s="15"/>
      <c r="K313" s="15"/>
      <c r="L313" s="15"/>
      <c r="M313" s="15"/>
      <c r="N313" s="15"/>
      <c r="O313" s="15"/>
      <c r="P313" s="15"/>
      <c r="Q313" s="14"/>
    </row>
    <row r="314" spans="1:17" x14ac:dyDescent="0.3">
      <c r="A314" s="14"/>
      <c r="B314" s="21"/>
      <c r="C314" s="21"/>
      <c r="D314" s="14"/>
      <c r="E314" s="14"/>
      <c r="F314" s="14"/>
      <c r="G314" s="14"/>
      <c r="H314" s="14"/>
      <c r="I314" s="15"/>
      <c r="J314" s="15"/>
      <c r="K314" s="15"/>
      <c r="L314" s="15"/>
      <c r="M314" s="15"/>
      <c r="N314" s="15"/>
      <c r="O314" s="15"/>
      <c r="P314" s="15"/>
      <c r="Q314" s="14"/>
    </row>
    <row r="315" spans="1:17" x14ac:dyDescent="0.3">
      <c r="A315" s="14"/>
      <c r="B315" s="21"/>
      <c r="C315" s="21"/>
      <c r="D315" s="14"/>
      <c r="E315" s="14"/>
      <c r="F315" s="14"/>
      <c r="G315" s="14"/>
      <c r="H315" s="14"/>
      <c r="I315" s="15"/>
      <c r="J315" s="15"/>
      <c r="K315" s="15"/>
      <c r="L315" s="15"/>
      <c r="M315" s="15"/>
      <c r="N315" s="15"/>
      <c r="O315" s="15"/>
      <c r="P315" s="15"/>
      <c r="Q315" s="14"/>
    </row>
    <row r="316" spans="1:17" x14ac:dyDescent="0.3">
      <c r="A316" s="14"/>
      <c r="B316" s="21"/>
      <c r="C316" s="21"/>
      <c r="D316" s="14"/>
      <c r="E316" s="14"/>
      <c r="F316" s="14"/>
      <c r="G316" s="14"/>
      <c r="H316" s="14"/>
      <c r="I316" s="15"/>
      <c r="J316" s="15"/>
      <c r="K316" s="15"/>
      <c r="L316" s="15"/>
      <c r="M316" s="15"/>
      <c r="N316" s="15"/>
      <c r="O316" s="15"/>
      <c r="P316" s="15"/>
      <c r="Q316" s="14"/>
    </row>
    <row r="317" spans="1:17" x14ac:dyDescent="0.3">
      <c r="A317" s="14"/>
      <c r="B317" s="21"/>
      <c r="C317" s="21"/>
      <c r="D317" s="14"/>
      <c r="E317" s="14"/>
      <c r="F317" s="14"/>
      <c r="G317" s="14"/>
      <c r="H317" s="14"/>
      <c r="I317" s="15"/>
      <c r="J317" s="15"/>
      <c r="K317" s="15"/>
      <c r="L317" s="15"/>
      <c r="M317" s="15"/>
      <c r="N317" s="15"/>
      <c r="O317" s="15"/>
      <c r="P317" s="15"/>
      <c r="Q317" s="14"/>
    </row>
    <row r="318" spans="1:17" x14ac:dyDescent="0.3">
      <c r="A318" s="14"/>
      <c r="B318" s="21"/>
      <c r="C318" s="21"/>
      <c r="D318" s="14"/>
      <c r="E318" s="14"/>
      <c r="F318" s="14"/>
      <c r="G318" s="14"/>
      <c r="H318" s="14"/>
      <c r="I318" s="15"/>
      <c r="J318" s="15"/>
      <c r="K318" s="15"/>
      <c r="L318" s="15"/>
      <c r="M318" s="15"/>
      <c r="N318" s="15"/>
      <c r="O318" s="15"/>
      <c r="P318" s="15"/>
      <c r="Q318" s="14"/>
    </row>
    <row r="319" spans="1:17" x14ac:dyDescent="0.3">
      <c r="A319" s="14"/>
      <c r="B319" s="21"/>
      <c r="C319" s="21"/>
      <c r="D319" s="14"/>
      <c r="E319" s="14"/>
      <c r="F319" s="14"/>
      <c r="G319" s="14"/>
      <c r="H319" s="14"/>
      <c r="I319" s="15"/>
      <c r="J319" s="15"/>
      <c r="K319" s="15"/>
      <c r="L319" s="15"/>
      <c r="M319" s="15"/>
      <c r="N319" s="15"/>
      <c r="O319" s="15"/>
      <c r="P319" s="15"/>
      <c r="Q319" s="14"/>
    </row>
    <row r="320" spans="1:17" x14ac:dyDescent="0.3">
      <c r="A320" s="14"/>
      <c r="B320" s="21"/>
      <c r="C320" s="21"/>
      <c r="D320" s="14"/>
      <c r="E320" s="14"/>
      <c r="F320" s="14"/>
      <c r="G320" s="14"/>
      <c r="H320" s="14"/>
      <c r="I320" s="15"/>
      <c r="J320" s="15"/>
      <c r="K320" s="15"/>
      <c r="L320" s="15"/>
      <c r="M320" s="15"/>
      <c r="N320" s="15"/>
      <c r="O320" s="15"/>
      <c r="P320" s="15"/>
      <c r="Q320" s="14"/>
    </row>
    <row r="321" spans="1:17" x14ac:dyDescent="0.3">
      <c r="A321" s="14"/>
      <c r="B321" s="21"/>
      <c r="C321" s="21"/>
      <c r="D321" s="14"/>
      <c r="E321" s="14"/>
      <c r="F321" s="14"/>
      <c r="G321" s="14"/>
      <c r="H321" s="14"/>
      <c r="I321" s="15"/>
      <c r="J321" s="15"/>
      <c r="K321" s="15"/>
      <c r="L321" s="15"/>
      <c r="M321" s="15"/>
      <c r="N321" s="15"/>
      <c r="O321" s="15"/>
      <c r="P321" s="15"/>
      <c r="Q321" s="14"/>
    </row>
    <row r="322" spans="1:17" x14ac:dyDescent="0.3">
      <c r="A322" s="14"/>
      <c r="B322" s="21"/>
      <c r="C322" s="21"/>
      <c r="D322" s="14"/>
      <c r="E322" s="14"/>
      <c r="F322" s="14"/>
      <c r="G322" s="14"/>
      <c r="H322" s="14"/>
      <c r="I322" s="15"/>
      <c r="J322" s="15"/>
      <c r="K322" s="15"/>
      <c r="L322" s="15"/>
      <c r="M322" s="15"/>
      <c r="N322" s="15"/>
      <c r="O322" s="15"/>
      <c r="P322" s="15"/>
      <c r="Q322" s="14"/>
    </row>
    <row r="323" spans="1:17" x14ac:dyDescent="0.3">
      <c r="A323" s="14"/>
      <c r="B323" s="21"/>
      <c r="C323" s="21"/>
      <c r="D323" s="14"/>
      <c r="E323" s="14"/>
      <c r="F323" s="14"/>
      <c r="G323" s="14"/>
      <c r="H323" s="14"/>
      <c r="I323" s="15"/>
      <c r="J323" s="15"/>
      <c r="K323" s="15"/>
      <c r="L323" s="15"/>
      <c r="M323" s="15"/>
      <c r="N323" s="15"/>
      <c r="O323" s="15"/>
      <c r="P323" s="15"/>
      <c r="Q323" s="14"/>
    </row>
    <row r="324" spans="1:17" x14ac:dyDescent="0.3">
      <c r="A324" s="14"/>
      <c r="B324" s="21"/>
      <c r="C324" s="21"/>
      <c r="D324" s="14"/>
      <c r="E324" s="14"/>
      <c r="F324" s="14"/>
      <c r="G324" s="14"/>
      <c r="H324" s="14"/>
      <c r="I324" s="15"/>
      <c r="J324" s="15"/>
      <c r="K324" s="15"/>
      <c r="L324" s="15"/>
      <c r="M324" s="15"/>
      <c r="N324" s="15"/>
      <c r="O324" s="15"/>
      <c r="P324" s="15"/>
      <c r="Q324" s="14"/>
    </row>
    <row r="325" spans="1:17" x14ac:dyDescent="0.3">
      <c r="A325" s="14"/>
      <c r="B325" s="21"/>
      <c r="C325" s="21"/>
      <c r="D325" s="14"/>
      <c r="E325" s="14"/>
      <c r="F325" s="14"/>
      <c r="G325" s="14"/>
      <c r="H325" s="14"/>
      <c r="I325" s="15"/>
      <c r="J325" s="15"/>
      <c r="K325" s="15"/>
      <c r="L325" s="15"/>
      <c r="M325" s="15"/>
      <c r="N325" s="15"/>
      <c r="O325" s="15"/>
      <c r="P325" s="15"/>
      <c r="Q325" s="14"/>
    </row>
    <row r="326" spans="1:17" x14ac:dyDescent="0.3">
      <c r="A326" s="14"/>
      <c r="B326" s="21"/>
      <c r="C326" s="21"/>
      <c r="D326" s="14"/>
      <c r="E326" s="14"/>
      <c r="F326" s="14"/>
      <c r="G326" s="14"/>
      <c r="H326" s="14"/>
      <c r="I326" s="15"/>
      <c r="J326" s="15"/>
      <c r="K326" s="15"/>
      <c r="L326" s="15"/>
      <c r="M326" s="15"/>
      <c r="N326" s="15"/>
      <c r="O326" s="15"/>
      <c r="P326" s="15"/>
      <c r="Q326" s="14"/>
    </row>
    <row r="327" spans="1:17" x14ac:dyDescent="0.3">
      <c r="A327" s="14"/>
      <c r="B327" s="21"/>
      <c r="C327" s="21"/>
      <c r="D327" s="14"/>
      <c r="E327" s="14"/>
      <c r="F327" s="14"/>
      <c r="G327" s="14"/>
      <c r="H327" s="14"/>
      <c r="I327" s="15"/>
      <c r="J327" s="15"/>
      <c r="K327" s="15"/>
      <c r="L327" s="15"/>
      <c r="M327" s="15"/>
      <c r="N327" s="15"/>
      <c r="O327" s="15"/>
      <c r="P327" s="15"/>
      <c r="Q327" s="14"/>
    </row>
    <row r="328" spans="1:17" x14ac:dyDescent="0.3">
      <c r="A328" s="14"/>
      <c r="B328" s="21"/>
      <c r="C328" s="21"/>
      <c r="D328" s="14"/>
      <c r="E328" s="14"/>
      <c r="F328" s="14"/>
      <c r="G328" s="14"/>
      <c r="H328" s="14"/>
      <c r="I328" s="15"/>
      <c r="J328" s="15"/>
      <c r="K328" s="15"/>
      <c r="L328" s="15"/>
      <c r="M328" s="15"/>
      <c r="N328" s="15"/>
      <c r="O328" s="15"/>
      <c r="P328" s="15"/>
      <c r="Q328" s="14"/>
    </row>
    <row r="329" spans="1:17" x14ac:dyDescent="0.3">
      <c r="A329" s="14"/>
      <c r="B329" s="21"/>
      <c r="C329" s="21"/>
      <c r="D329" s="14"/>
      <c r="E329" s="14"/>
      <c r="F329" s="14"/>
      <c r="G329" s="14"/>
      <c r="H329" s="14"/>
      <c r="I329" s="15"/>
      <c r="J329" s="15"/>
      <c r="K329" s="15"/>
      <c r="L329" s="15"/>
      <c r="M329" s="15"/>
      <c r="N329" s="15"/>
      <c r="O329" s="15"/>
      <c r="P329" s="15"/>
      <c r="Q329" s="14"/>
    </row>
    <row r="330" spans="1:17" x14ac:dyDescent="0.3">
      <c r="A330" s="14"/>
      <c r="B330" s="21"/>
      <c r="C330" s="21"/>
      <c r="D330" s="14"/>
      <c r="E330" s="14"/>
      <c r="F330" s="14"/>
      <c r="G330" s="14"/>
      <c r="H330" s="14"/>
      <c r="I330" s="15"/>
      <c r="J330" s="15"/>
      <c r="K330" s="15"/>
      <c r="L330" s="15"/>
      <c r="M330" s="15"/>
      <c r="N330" s="15"/>
      <c r="O330" s="15"/>
      <c r="P330" s="15"/>
      <c r="Q330" s="14"/>
    </row>
    <row r="331" spans="1:17" x14ac:dyDescent="0.3">
      <c r="A331" s="14"/>
      <c r="B331" s="21"/>
      <c r="C331" s="21"/>
      <c r="D331" s="14"/>
      <c r="E331" s="14"/>
      <c r="F331" s="14"/>
      <c r="G331" s="14"/>
      <c r="H331" s="14"/>
      <c r="I331" s="15"/>
      <c r="J331" s="15"/>
      <c r="K331" s="15"/>
      <c r="L331" s="15"/>
      <c r="M331" s="15"/>
      <c r="N331" s="15"/>
      <c r="O331" s="15"/>
      <c r="P331" s="15"/>
      <c r="Q331" s="14"/>
    </row>
    <row r="332" spans="1:17" x14ac:dyDescent="0.3">
      <c r="A332" s="14"/>
      <c r="B332" s="21"/>
      <c r="C332" s="21"/>
      <c r="D332" s="14"/>
      <c r="E332" s="14"/>
      <c r="F332" s="14"/>
      <c r="G332" s="14"/>
      <c r="H332" s="14"/>
      <c r="I332" s="15"/>
      <c r="J332" s="15"/>
      <c r="K332" s="15"/>
      <c r="L332" s="15"/>
      <c r="M332" s="15"/>
      <c r="N332" s="15"/>
      <c r="O332" s="15"/>
      <c r="P332" s="15"/>
      <c r="Q332" s="14"/>
    </row>
    <row r="333" spans="1:17" x14ac:dyDescent="0.3">
      <c r="A333" s="14"/>
      <c r="B333" s="21"/>
      <c r="C333" s="21"/>
      <c r="D333" s="14"/>
      <c r="E333" s="14"/>
      <c r="F333" s="14"/>
      <c r="G333" s="14"/>
      <c r="H333" s="14"/>
      <c r="I333" s="15"/>
      <c r="J333" s="15"/>
      <c r="K333" s="15"/>
      <c r="L333" s="15"/>
      <c r="M333" s="15"/>
      <c r="N333" s="15"/>
      <c r="O333" s="15"/>
      <c r="P333" s="15"/>
      <c r="Q333" s="14"/>
    </row>
    <row r="334" spans="1:17" x14ac:dyDescent="0.3">
      <c r="A334" s="14"/>
      <c r="B334" s="21"/>
      <c r="C334" s="21"/>
      <c r="D334" s="14"/>
      <c r="E334" s="14"/>
      <c r="F334" s="14"/>
      <c r="G334" s="14"/>
      <c r="H334" s="14"/>
      <c r="I334" s="15"/>
      <c r="J334" s="15"/>
      <c r="K334" s="15"/>
      <c r="L334" s="15"/>
      <c r="M334" s="15"/>
      <c r="N334" s="15"/>
      <c r="O334" s="15"/>
      <c r="P334" s="15"/>
      <c r="Q334" s="14"/>
    </row>
    <row r="335" spans="1:17" x14ac:dyDescent="0.3">
      <c r="A335" s="14"/>
      <c r="B335" s="21"/>
      <c r="C335" s="21"/>
      <c r="D335" s="14"/>
      <c r="E335" s="14"/>
      <c r="F335" s="14"/>
      <c r="G335" s="14"/>
      <c r="H335" s="14"/>
      <c r="I335" s="15"/>
      <c r="J335" s="15"/>
      <c r="K335" s="15"/>
      <c r="L335" s="15"/>
      <c r="M335" s="15"/>
      <c r="N335" s="15"/>
      <c r="O335" s="15"/>
      <c r="P335" s="15"/>
      <c r="Q335" s="14"/>
    </row>
    <row r="336" spans="1:17" x14ac:dyDescent="0.3">
      <c r="A336" s="14"/>
      <c r="B336" s="21"/>
      <c r="C336" s="21"/>
      <c r="D336" s="14"/>
      <c r="E336" s="14"/>
      <c r="F336" s="14"/>
      <c r="G336" s="14"/>
      <c r="H336" s="14"/>
      <c r="I336" s="15"/>
      <c r="J336" s="15"/>
      <c r="K336" s="15"/>
      <c r="L336" s="15"/>
      <c r="M336" s="15"/>
      <c r="N336" s="15"/>
      <c r="O336" s="15"/>
      <c r="P336" s="15"/>
      <c r="Q336" s="14"/>
    </row>
    <row r="337" spans="1:17" x14ac:dyDescent="0.3">
      <c r="A337" s="14"/>
      <c r="B337" s="21"/>
      <c r="C337" s="21"/>
      <c r="D337" s="14"/>
      <c r="E337" s="14"/>
      <c r="F337" s="14"/>
      <c r="G337" s="14"/>
      <c r="H337" s="14"/>
      <c r="I337" s="15"/>
      <c r="J337" s="15"/>
      <c r="K337" s="15"/>
      <c r="L337" s="15"/>
      <c r="M337" s="15"/>
      <c r="N337" s="15"/>
      <c r="O337" s="15"/>
      <c r="P337" s="15"/>
      <c r="Q337" s="14"/>
    </row>
    <row r="338" spans="1:17" x14ac:dyDescent="0.3">
      <c r="A338" s="14"/>
      <c r="B338" s="21"/>
      <c r="C338" s="21"/>
      <c r="D338" s="14"/>
      <c r="E338" s="14"/>
      <c r="F338" s="14"/>
      <c r="G338" s="14"/>
      <c r="H338" s="14"/>
      <c r="I338" s="15"/>
      <c r="J338" s="15"/>
      <c r="K338" s="15"/>
      <c r="L338" s="15"/>
      <c r="M338" s="15"/>
      <c r="N338" s="15"/>
      <c r="O338" s="15"/>
      <c r="P338" s="15"/>
      <c r="Q338" s="14"/>
    </row>
    <row r="339" spans="1:17" x14ac:dyDescent="0.3">
      <c r="A339" s="14"/>
      <c r="B339" s="21"/>
      <c r="C339" s="21"/>
      <c r="D339" s="14"/>
      <c r="E339" s="14"/>
      <c r="F339" s="14"/>
      <c r="G339" s="14"/>
      <c r="H339" s="14"/>
      <c r="I339" s="15"/>
      <c r="J339" s="15"/>
      <c r="K339" s="15"/>
      <c r="L339" s="15"/>
      <c r="M339" s="15"/>
      <c r="N339" s="15"/>
      <c r="O339" s="15"/>
      <c r="P339" s="15"/>
      <c r="Q339" s="14"/>
    </row>
    <row r="340" spans="1:17" x14ac:dyDescent="0.3">
      <c r="A340" s="14"/>
      <c r="B340" s="21"/>
      <c r="C340" s="21"/>
      <c r="D340" s="14"/>
      <c r="E340" s="14"/>
      <c r="F340" s="14"/>
      <c r="G340" s="14"/>
      <c r="H340" s="14"/>
      <c r="I340" s="15"/>
      <c r="J340" s="15"/>
      <c r="K340" s="15"/>
      <c r="L340" s="15"/>
      <c r="M340" s="15"/>
      <c r="N340" s="15"/>
      <c r="O340" s="15"/>
      <c r="P340" s="15"/>
      <c r="Q340" s="14"/>
    </row>
    <row r="341" spans="1:17" x14ac:dyDescent="0.3">
      <c r="A341" s="14"/>
      <c r="B341" s="21"/>
      <c r="C341" s="21"/>
      <c r="D341" s="14"/>
      <c r="E341" s="14"/>
      <c r="F341" s="14"/>
      <c r="G341" s="14"/>
      <c r="H341" s="14"/>
      <c r="I341" s="15"/>
      <c r="J341" s="15"/>
      <c r="K341" s="15"/>
      <c r="L341" s="15"/>
      <c r="M341" s="15"/>
      <c r="N341" s="15"/>
      <c r="O341" s="15"/>
      <c r="P341" s="15"/>
      <c r="Q341" s="14"/>
    </row>
    <row r="342" spans="1:17" x14ac:dyDescent="0.3">
      <c r="A342" s="14"/>
      <c r="B342" s="21"/>
      <c r="C342" s="21"/>
      <c r="D342" s="14"/>
      <c r="E342" s="14"/>
      <c r="F342" s="14"/>
      <c r="G342" s="14"/>
      <c r="H342" s="14"/>
      <c r="I342" s="15"/>
      <c r="J342" s="15"/>
      <c r="K342" s="15"/>
      <c r="L342" s="15"/>
      <c r="M342" s="15"/>
      <c r="N342" s="15"/>
      <c r="O342" s="15"/>
      <c r="P342" s="15"/>
      <c r="Q342" s="14"/>
    </row>
    <row r="343" spans="1:17" x14ac:dyDescent="0.3">
      <c r="A343" s="14"/>
      <c r="B343" s="21"/>
      <c r="C343" s="21"/>
      <c r="D343" s="14"/>
      <c r="E343" s="14"/>
      <c r="F343" s="14"/>
      <c r="G343" s="14"/>
      <c r="H343" s="14"/>
      <c r="I343" s="15"/>
      <c r="J343" s="15"/>
      <c r="K343" s="15"/>
      <c r="L343" s="15"/>
      <c r="M343" s="15"/>
      <c r="N343" s="15"/>
      <c r="O343" s="15"/>
      <c r="P343" s="15"/>
      <c r="Q343" s="14"/>
    </row>
    <row r="344" spans="1:17" x14ac:dyDescent="0.3">
      <c r="A344" s="14"/>
      <c r="B344" s="21"/>
      <c r="C344" s="21"/>
      <c r="D344" s="14"/>
      <c r="E344" s="14"/>
      <c r="F344" s="14"/>
      <c r="G344" s="14"/>
      <c r="H344" s="14"/>
      <c r="I344" s="15"/>
      <c r="J344" s="15"/>
      <c r="K344" s="15"/>
      <c r="L344" s="15"/>
      <c r="M344" s="15"/>
      <c r="N344" s="15"/>
      <c r="O344" s="15"/>
      <c r="P344" s="15"/>
      <c r="Q344" s="14"/>
    </row>
    <row r="345" spans="1:17" x14ac:dyDescent="0.3">
      <c r="A345" s="14"/>
      <c r="B345" s="21"/>
      <c r="C345" s="21"/>
      <c r="D345" s="14"/>
      <c r="E345" s="14"/>
      <c r="F345" s="14"/>
      <c r="G345" s="14"/>
      <c r="H345" s="14"/>
      <c r="I345" s="15"/>
      <c r="J345" s="15"/>
      <c r="K345" s="15"/>
      <c r="L345" s="15"/>
      <c r="M345" s="15"/>
      <c r="N345" s="15"/>
      <c r="O345" s="15"/>
      <c r="P345" s="15"/>
      <c r="Q345" s="14"/>
    </row>
    <row r="346" spans="1:17" x14ac:dyDescent="0.3">
      <c r="A346" s="14"/>
      <c r="B346" s="21"/>
      <c r="C346" s="21"/>
      <c r="D346" s="14"/>
      <c r="E346" s="14"/>
      <c r="F346" s="14"/>
      <c r="G346" s="14"/>
      <c r="H346" s="14"/>
      <c r="I346" s="15"/>
      <c r="J346" s="15"/>
      <c r="K346" s="15"/>
      <c r="L346" s="15"/>
      <c r="M346" s="15"/>
      <c r="N346" s="15"/>
      <c r="O346" s="15"/>
      <c r="P346" s="15"/>
      <c r="Q346" s="14"/>
    </row>
    <row r="347" spans="1:17" x14ac:dyDescent="0.3">
      <c r="A347" s="14"/>
      <c r="B347" s="21"/>
      <c r="C347" s="21"/>
      <c r="D347" s="14"/>
      <c r="E347" s="14"/>
      <c r="F347" s="14"/>
      <c r="G347" s="14"/>
      <c r="H347" s="14"/>
      <c r="I347" s="15"/>
      <c r="J347" s="15"/>
      <c r="K347" s="15"/>
      <c r="L347" s="15"/>
      <c r="M347" s="15"/>
      <c r="N347" s="15"/>
      <c r="O347" s="15"/>
      <c r="P347" s="15"/>
      <c r="Q347" s="14"/>
    </row>
    <row r="348" spans="1:17" x14ac:dyDescent="0.3">
      <c r="A348" s="14"/>
      <c r="B348" s="21"/>
      <c r="C348" s="21"/>
      <c r="D348" s="14"/>
      <c r="E348" s="14"/>
      <c r="F348" s="14"/>
      <c r="G348" s="14"/>
      <c r="H348" s="14"/>
      <c r="I348" s="15"/>
      <c r="J348" s="15"/>
      <c r="K348" s="15"/>
      <c r="L348" s="15"/>
      <c r="M348" s="15"/>
      <c r="N348" s="15"/>
      <c r="O348" s="15"/>
      <c r="P348" s="15"/>
      <c r="Q348" s="14"/>
    </row>
    <row r="349" spans="1:17" x14ac:dyDescent="0.3">
      <c r="A349" s="14"/>
      <c r="B349" s="21"/>
      <c r="C349" s="21"/>
      <c r="D349" s="14"/>
      <c r="E349" s="14"/>
      <c r="F349" s="14"/>
      <c r="G349" s="14"/>
      <c r="H349" s="14"/>
      <c r="I349" s="15"/>
      <c r="J349" s="15"/>
      <c r="K349" s="15"/>
      <c r="L349" s="15"/>
      <c r="M349" s="15"/>
      <c r="N349" s="15"/>
      <c r="O349" s="15"/>
      <c r="P349" s="15"/>
      <c r="Q349" s="14"/>
    </row>
    <row r="350" spans="1:17" x14ac:dyDescent="0.3">
      <c r="A350" s="14"/>
      <c r="B350" s="21"/>
      <c r="C350" s="21"/>
      <c r="D350" s="14"/>
      <c r="E350" s="14"/>
      <c r="F350" s="14"/>
      <c r="G350" s="14"/>
      <c r="H350" s="14"/>
      <c r="I350" s="15"/>
      <c r="J350" s="15"/>
      <c r="K350" s="15"/>
      <c r="L350" s="15"/>
      <c r="M350" s="15"/>
      <c r="N350" s="15"/>
      <c r="O350" s="15"/>
      <c r="P350" s="15"/>
      <c r="Q350" s="14"/>
    </row>
    <row r="351" spans="1:17" x14ac:dyDescent="0.3">
      <c r="A351" s="14"/>
      <c r="B351" s="21"/>
      <c r="C351" s="21"/>
      <c r="D351" s="14"/>
      <c r="E351" s="14"/>
      <c r="F351" s="14"/>
      <c r="G351" s="14"/>
      <c r="H351" s="14"/>
      <c r="I351" s="15"/>
      <c r="J351" s="15"/>
      <c r="K351" s="15"/>
      <c r="L351" s="15"/>
      <c r="M351" s="15"/>
      <c r="N351" s="15"/>
      <c r="O351" s="15"/>
      <c r="P351" s="15"/>
      <c r="Q351" s="14"/>
    </row>
    <row r="352" spans="1:17" x14ac:dyDescent="0.3">
      <c r="A352" s="14"/>
      <c r="B352" s="21"/>
      <c r="C352" s="21"/>
      <c r="D352" s="14"/>
      <c r="E352" s="14"/>
      <c r="F352" s="14"/>
      <c r="G352" s="14"/>
      <c r="H352" s="14"/>
      <c r="I352" s="15"/>
      <c r="J352" s="15"/>
      <c r="K352" s="15"/>
      <c r="L352" s="15"/>
      <c r="M352" s="15"/>
      <c r="N352" s="15"/>
      <c r="O352" s="15"/>
      <c r="P352" s="15"/>
      <c r="Q352" s="14"/>
    </row>
    <row r="353" spans="1:17" x14ac:dyDescent="0.3">
      <c r="A353" s="14"/>
      <c r="B353" s="21"/>
      <c r="C353" s="21"/>
      <c r="D353" s="14"/>
      <c r="E353" s="14"/>
      <c r="F353" s="14"/>
      <c r="G353" s="14"/>
      <c r="H353" s="14"/>
      <c r="I353" s="15"/>
      <c r="J353" s="15"/>
      <c r="K353" s="15"/>
      <c r="L353" s="15"/>
      <c r="M353" s="15"/>
      <c r="N353" s="15"/>
      <c r="O353" s="15"/>
      <c r="P353" s="15"/>
      <c r="Q353" s="14"/>
    </row>
    <row r="354" spans="1:17" x14ac:dyDescent="0.3">
      <c r="A354" s="14"/>
      <c r="B354" s="21"/>
      <c r="C354" s="21"/>
      <c r="D354" s="14"/>
      <c r="E354" s="14"/>
      <c r="F354" s="14"/>
      <c r="G354" s="14"/>
      <c r="H354" s="14"/>
      <c r="I354" s="15"/>
      <c r="J354" s="15"/>
      <c r="K354" s="15"/>
      <c r="L354" s="15"/>
      <c r="M354" s="15"/>
      <c r="N354" s="15"/>
      <c r="O354" s="15"/>
      <c r="P354" s="15"/>
      <c r="Q354" s="14"/>
    </row>
    <row r="355" spans="1:17" x14ac:dyDescent="0.3">
      <c r="A355" s="14"/>
      <c r="B355" s="21"/>
      <c r="C355" s="21"/>
      <c r="D355" s="14"/>
      <c r="E355" s="14"/>
      <c r="F355" s="14"/>
      <c r="G355" s="14"/>
      <c r="H355" s="14"/>
      <c r="I355" s="15"/>
      <c r="J355" s="15"/>
      <c r="K355" s="15"/>
      <c r="L355" s="15"/>
      <c r="M355" s="15"/>
      <c r="N355" s="15"/>
      <c r="O355" s="15"/>
      <c r="P355" s="15"/>
      <c r="Q355" s="14"/>
    </row>
    <row r="356" spans="1:17" x14ac:dyDescent="0.3">
      <c r="A356" s="14"/>
      <c r="B356" s="21"/>
      <c r="C356" s="21"/>
      <c r="D356" s="14"/>
      <c r="E356" s="14"/>
      <c r="F356" s="14"/>
      <c r="G356" s="14"/>
      <c r="H356" s="14"/>
      <c r="I356" s="15"/>
      <c r="J356" s="15"/>
      <c r="K356" s="15"/>
      <c r="L356" s="15"/>
      <c r="M356" s="15"/>
      <c r="N356" s="15"/>
      <c r="O356" s="15"/>
      <c r="P356" s="15"/>
      <c r="Q356" s="14"/>
    </row>
    <row r="357" spans="1:17" x14ac:dyDescent="0.3">
      <c r="A357" s="14"/>
      <c r="B357" s="21"/>
      <c r="C357" s="21"/>
      <c r="D357" s="14"/>
      <c r="E357" s="14"/>
      <c r="F357" s="14"/>
      <c r="G357" s="14"/>
      <c r="H357" s="14"/>
      <c r="I357" s="15"/>
      <c r="J357" s="15"/>
      <c r="K357" s="15"/>
      <c r="L357" s="15"/>
      <c r="M357" s="15"/>
      <c r="N357" s="15"/>
      <c r="O357" s="15"/>
      <c r="P357" s="15"/>
      <c r="Q357" s="14"/>
    </row>
    <row r="358" spans="1:17" x14ac:dyDescent="0.3">
      <c r="A358" s="14"/>
      <c r="B358" s="21"/>
      <c r="C358" s="21"/>
      <c r="D358" s="14"/>
      <c r="E358" s="14"/>
      <c r="F358" s="14"/>
      <c r="G358" s="14"/>
      <c r="H358" s="14"/>
      <c r="I358" s="15"/>
      <c r="J358" s="15"/>
      <c r="K358" s="15"/>
      <c r="L358" s="15"/>
      <c r="M358" s="15"/>
      <c r="N358" s="15"/>
      <c r="O358" s="15"/>
      <c r="P358" s="15"/>
      <c r="Q358" s="14"/>
    </row>
    <row r="359" spans="1:17" x14ac:dyDescent="0.3">
      <c r="A359" s="14"/>
      <c r="B359" s="21"/>
      <c r="C359" s="21"/>
      <c r="D359" s="14"/>
      <c r="E359" s="14"/>
      <c r="F359" s="14"/>
      <c r="G359" s="14"/>
      <c r="H359" s="14"/>
      <c r="I359" s="15"/>
      <c r="J359" s="15"/>
      <c r="K359" s="15"/>
      <c r="L359" s="15"/>
      <c r="M359" s="15"/>
      <c r="N359" s="15"/>
      <c r="O359" s="15"/>
      <c r="P359" s="15"/>
      <c r="Q359" s="14"/>
    </row>
    <row r="360" spans="1:17" x14ac:dyDescent="0.3">
      <c r="A360" s="14"/>
      <c r="B360" s="21"/>
      <c r="C360" s="21"/>
      <c r="D360" s="14"/>
      <c r="E360" s="14"/>
      <c r="F360" s="14"/>
      <c r="G360" s="14"/>
      <c r="H360" s="14"/>
      <c r="I360" s="15"/>
      <c r="J360" s="15"/>
      <c r="K360" s="15"/>
      <c r="L360" s="15"/>
      <c r="M360" s="15"/>
      <c r="N360" s="15"/>
      <c r="O360" s="15"/>
      <c r="P360" s="15"/>
      <c r="Q360" s="14"/>
    </row>
    <row r="361" spans="1:17" x14ac:dyDescent="0.3">
      <c r="A361" s="14"/>
      <c r="B361" s="21"/>
      <c r="C361" s="21"/>
      <c r="D361" s="14"/>
      <c r="E361" s="14"/>
      <c r="F361" s="14"/>
      <c r="G361" s="14"/>
      <c r="H361" s="14"/>
      <c r="I361" s="15"/>
      <c r="J361" s="15"/>
      <c r="K361" s="15"/>
      <c r="L361" s="15"/>
      <c r="M361" s="15"/>
      <c r="N361" s="15"/>
      <c r="O361" s="15"/>
      <c r="P361" s="15"/>
      <c r="Q361" s="14"/>
    </row>
    <row r="362" spans="1:17" x14ac:dyDescent="0.3">
      <c r="A362" s="14"/>
      <c r="B362" s="21"/>
      <c r="C362" s="21"/>
      <c r="D362" s="14"/>
      <c r="E362" s="14"/>
      <c r="F362" s="14"/>
      <c r="G362" s="14"/>
      <c r="H362" s="14"/>
      <c r="I362" s="15"/>
      <c r="J362" s="15"/>
      <c r="K362" s="15"/>
      <c r="L362" s="15"/>
      <c r="M362" s="15"/>
      <c r="N362" s="15"/>
      <c r="O362" s="15"/>
      <c r="P362" s="15"/>
      <c r="Q362" s="14"/>
    </row>
    <row r="363" spans="1:17" x14ac:dyDescent="0.3">
      <c r="A363" s="14"/>
      <c r="B363" s="21"/>
      <c r="C363" s="21"/>
      <c r="D363" s="14"/>
      <c r="E363" s="14"/>
      <c r="F363" s="14"/>
      <c r="G363" s="14"/>
      <c r="H363" s="14"/>
      <c r="I363" s="15"/>
      <c r="J363" s="15"/>
      <c r="K363" s="15"/>
      <c r="L363" s="15"/>
      <c r="M363" s="15"/>
      <c r="N363" s="15"/>
      <c r="O363" s="15"/>
      <c r="P363" s="15"/>
      <c r="Q363" s="14"/>
    </row>
    <row r="364" spans="1:17" x14ac:dyDescent="0.3">
      <c r="A364" s="14"/>
      <c r="B364" s="21"/>
      <c r="C364" s="21"/>
      <c r="D364" s="14"/>
      <c r="E364" s="14"/>
      <c r="F364" s="14"/>
      <c r="G364" s="14"/>
      <c r="H364" s="14"/>
      <c r="I364" s="15"/>
      <c r="J364" s="15"/>
      <c r="K364" s="15"/>
      <c r="L364" s="15"/>
      <c r="M364" s="15"/>
      <c r="N364" s="15"/>
      <c r="O364" s="15"/>
      <c r="P364" s="15"/>
      <c r="Q364" s="14"/>
    </row>
    <row r="365" spans="1:17" x14ac:dyDescent="0.3">
      <c r="A365" s="14"/>
      <c r="B365" s="21"/>
      <c r="C365" s="21"/>
      <c r="D365" s="14"/>
      <c r="E365" s="14"/>
      <c r="F365" s="14"/>
      <c r="G365" s="14"/>
      <c r="H365" s="14"/>
      <c r="I365" s="15"/>
      <c r="J365" s="15"/>
      <c r="K365" s="15"/>
      <c r="L365" s="15"/>
      <c r="M365" s="15"/>
      <c r="N365" s="15"/>
      <c r="O365" s="15"/>
      <c r="P365" s="15"/>
      <c r="Q365" s="14"/>
    </row>
    <row r="366" spans="1:17" x14ac:dyDescent="0.3">
      <c r="A366" s="14"/>
      <c r="B366" s="21"/>
      <c r="C366" s="21"/>
      <c r="D366" s="14"/>
      <c r="E366" s="14"/>
      <c r="F366" s="14"/>
      <c r="G366" s="14"/>
      <c r="H366" s="14"/>
      <c r="I366" s="15"/>
      <c r="J366" s="15"/>
      <c r="K366" s="15"/>
      <c r="L366" s="15"/>
      <c r="M366" s="15"/>
      <c r="N366" s="15"/>
      <c r="O366" s="15"/>
      <c r="P366" s="15"/>
      <c r="Q366" s="14"/>
    </row>
    <row r="367" spans="1:17" x14ac:dyDescent="0.3">
      <c r="A367" s="14"/>
      <c r="B367" s="21"/>
      <c r="C367" s="21"/>
      <c r="D367" s="14"/>
      <c r="E367" s="14"/>
      <c r="F367" s="14"/>
      <c r="G367" s="14"/>
      <c r="H367" s="14"/>
      <c r="I367" s="15"/>
      <c r="J367" s="15"/>
      <c r="K367" s="15"/>
      <c r="L367" s="15"/>
      <c r="M367" s="15"/>
      <c r="N367" s="15"/>
      <c r="O367" s="15"/>
      <c r="P367" s="15"/>
      <c r="Q367" s="14"/>
    </row>
    <row r="368" spans="1:17" x14ac:dyDescent="0.3">
      <c r="A368" s="14"/>
      <c r="B368" s="21"/>
      <c r="C368" s="21"/>
      <c r="D368" s="14"/>
      <c r="E368" s="14"/>
      <c r="F368" s="14"/>
      <c r="G368" s="14"/>
      <c r="H368" s="14"/>
      <c r="I368" s="15"/>
      <c r="J368" s="15"/>
      <c r="K368" s="15"/>
      <c r="L368" s="15"/>
      <c r="M368" s="15"/>
      <c r="N368" s="15"/>
      <c r="O368" s="15"/>
      <c r="P368" s="15"/>
      <c r="Q368" s="14"/>
    </row>
    <row r="369" spans="1:17" x14ac:dyDescent="0.3">
      <c r="A369" s="14"/>
      <c r="B369" s="21"/>
      <c r="C369" s="21"/>
      <c r="D369" s="14"/>
      <c r="E369" s="14"/>
      <c r="F369" s="14"/>
      <c r="G369" s="14"/>
      <c r="H369" s="14"/>
      <c r="I369" s="15"/>
      <c r="J369" s="15"/>
      <c r="K369" s="15"/>
      <c r="L369" s="15"/>
      <c r="M369" s="15"/>
      <c r="N369" s="15"/>
      <c r="O369" s="15"/>
      <c r="P369" s="15"/>
      <c r="Q369" s="14"/>
    </row>
    <row r="370" spans="1:17" x14ac:dyDescent="0.3">
      <c r="A370" s="14"/>
      <c r="B370" s="21"/>
      <c r="C370" s="21"/>
      <c r="D370" s="14"/>
      <c r="E370" s="14"/>
      <c r="F370" s="14"/>
      <c r="G370" s="14"/>
      <c r="H370" s="14"/>
      <c r="I370" s="15"/>
      <c r="J370" s="15"/>
      <c r="K370" s="15"/>
      <c r="L370" s="15"/>
      <c r="M370" s="15"/>
      <c r="N370" s="15"/>
      <c r="O370" s="15"/>
      <c r="P370" s="15"/>
      <c r="Q370" s="14"/>
    </row>
    <row r="371" spans="1:17" x14ac:dyDescent="0.3">
      <c r="A371" s="14"/>
      <c r="B371" s="21"/>
      <c r="C371" s="21"/>
      <c r="D371" s="14"/>
      <c r="E371" s="14"/>
      <c r="F371" s="14"/>
      <c r="G371" s="14"/>
      <c r="H371" s="14"/>
      <c r="I371" s="15"/>
      <c r="J371" s="15"/>
      <c r="K371" s="15"/>
      <c r="L371" s="15"/>
      <c r="M371" s="15"/>
      <c r="N371" s="15"/>
      <c r="O371" s="15"/>
      <c r="P371" s="15"/>
      <c r="Q371" s="14"/>
    </row>
    <row r="372" spans="1:17" x14ac:dyDescent="0.3">
      <c r="A372" s="14"/>
      <c r="B372" s="21"/>
      <c r="C372" s="21"/>
      <c r="D372" s="14"/>
      <c r="E372" s="14"/>
      <c r="F372" s="14"/>
      <c r="G372" s="14"/>
      <c r="H372" s="14"/>
      <c r="I372" s="15"/>
      <c r="J372" s="15"/>
      <c r="K372" s="15"/>
      <c r="L372" s="15"/>
      <c r="M372" s="15"/>
      <c r="N372" s="15"/>
      <c r="O372" s="15"/>
      <c r="P372" s="15"/>
      <c r="Q372" s="14"/>
    </row>
    <row r="373" spans="1:17" x14ac:dyDescent="0.3">
      <c r="A373" s="14"/>
      <c r="B373" s="21"/>
      <c r="C373" s="21"/>
      <c r="D373" s="14"/>
      <c r="E373" s="14"/>
      <c r="F373" s="14"/>
      <c r="G373" s="14"/>
      <c r="H373" s="14"/>
      <c r="I373" s="15"/>
      <c r="J373" s="15"/>
      <c r="K373" s="15"/>
      <c r="L373" s="15"/>
      <c r="M373" s="15"/>
      <c r="N373" s="15"/>
      <c r="O373" s="15"/>
      <c r="P373" s="15"/>
      <c r="Q373" s="14"/>
    </row>
    <row r="374" spans="1:17" x14ac:dyDescent="0.3">
      <c r="A374" s="14"/>
      <c r="B374" s="21"/>
      <c r="C374" s="21"/>
      <c r="D374" s="14"/>
      <c r="E374" s="14"/>
      <c r="F374" s="14"/>
      <c r="G374" s="14"/>
      <c r="H374" s="14"/>
      <c r="I374" s="15"/>
      <c r="J374" s="15"/>
      <c r="K374" s="15"/>
      <c r="L374" s="15"/>
      <c r="M374" s="15"/>
      <c r="N374" s="15"/>
      <c r="O374" s="15"/>
      <c r="P374" s="15"/>
      <c r="Q374" s="14"/>
    </row>
    <row r="375" spans="1:17" x14ac:dyDescent="0.3">
      <c r="A375" s="14"/>
      <c r="B375" s="21"/>
      <c r="C375" s="21"/>
      <c r="D375" s="14"/>
      <c r="E375" s="14"/>
      <c r="F375" s="14"/>
      <c r="G375" s="14"/>
      <c r="H375" s="14"/>
      <c r="I375" s="15"/>
      <c r="J375" s="15"/>
      <c r="K375" s="15"/>
      <c r="L375" s="15"/>
      <c r="M375" s="15"/>
      <c r="N375" s="15"/>
      <c r="O375" s="15"/>
      <c r="P375" s="15"/>
      <c r="Q375" s="14"/>
    </row>
    <row r="376" spans="1:17" x14ac:dyDescent="0.3">
      <c r="A376" s="14"/>
      <c r="B376" s="21"/>
      <c r="C376" s="21"/>
      <c r="D376" s="14"/>
      <c r="E376" s="14"/>
      <c r="F376" s="14"/>
      <c r="G376" s="14"/>
      <c r="H376" s="14"/>
      <c r="I376" s="15"/>
      <c r="J376" s="15"/>
      <c r="K376" s="15"/>
      <c r="L376" s="15"/>
      <c r="M376" s="15"/>
      <c r="N376" s="15"/>
      <c r="O376" s="15"/>
      <c r="P376" s="15"/>
      <c r="Q376" s="14"/>
    </row>
    <row r="377" spans="1:17" x14ac:dyDescent="0.3">
      <c r="A377" s="14"/>
      <c r="B377" s="21"/>
      <c r="C377" s="21"/>
      <c r="D377" s="14"/>
      <c r="E377" s="14"/>
      <c r="F377" s="14"/>
      <c r="G377" s="14"/>
      <c r="H377" s="14"/>
      <c r="I377" s="15"/>
      <c r="J377" s="15"/>
      <c r="K377" s="15"/>
      <c r="L377" s="15"/>
      <c r="M377" s="15"/>
      <c r="N377" s="15"/>
      <c r="O377" s="15"/>
      <c r="P377" s="15"/>
      <c r="Q377" s="14"/>
    </row>
    <row r="378" spans="1:17" x14ac:dyDescent="0.3">
      <c r="A378" s="14"/>
      <c r="B378" s="21"/>
      <c r="C378" s="21"/>
      <c r="D378" s="14"/>
      <c r="E378" s="14"/>
      <c r="F378" s="14"/>
      <c r="G378" s="14"/>
      <c r="H378" s="14"/>
      <c r="I378" s="15"/>
      <c r="J378" s="15"/>
      <c r="K378" s="15"/>
      <c r="L378" s="15"/>
      <c r="M378" s="15"/>
      <c r="N378" s="15"/>
      <c r="O378" s="15"/>
      <c r="P378" s="15"/>
      <c r="Q378" s="14"/>
    </row>
    <row r="379" spans="1:17" x14ac:dyDescent="0.3">
      <c r="A379" s="14"/>
      <c r="B379" s="21"/>
      <c r="C379" s="21"/>
      <c r="D379" s="14"/>
      <c r="E379" s="14"/>
      <c r="F379" s="14"/>
      <c r="G379" s="14"/>
      <c r="H379" s="14"/>
      <c r="I379" s="15"/>
      <c r="J379" s="15"/>
      <c r="K379" s="15"/>
      <c r="L379" s="15"/>
      <c r="M379" s="15"/>
      <c r="N379" s="15"/>
      <c r="O379" s="15"/>
      <c r="P379" s="15"/>
      <c r="Q379" s="14"/>
    </row>
    <row r="380" spans="1:17" x14ac:dyDescent="0.3">
      <c r="A380" s="14"/>
      <c r="B380" s="21"/>
      <c r="C380" s="21"/>
      <c r="D380" s="14"/>
      <c r="E380" s="14"/>
      <c r="F380" s="14"/>
      <c r="G380" s="14"/>
      <c r="H380" s="14"/>
      <c r="I380" s="15"/>
      <c r="J380" s="15"/>
      <c r="K380" s="15"/>
      <c r="L380" s="15"/>
      <c r="M380" s="15"/>
      <c r="N380" s="15"/>
      <c r="O380" s="15"/>
      <c r="P380" s="15"/>
      <c r="Q380" s="14"/>
    </row>
    <row r="381" spans="1:17" x14ac:dyDescent="0.3">
      <c r="A381" s="14"/>
      <c r="B381" s="21"/>
      <c r="C381" s="21"/>
      <c r="D381" s="14"/>
      <c r="E381" s="14"/>
      <c r="F381" s="14"/>
      <c r="G381" s="14"/>
      <c r="H381" s="14"/>
      <c r="I381" s="15"/>
      <c r="J381" s="15"/>
      <c r="K381" s="15"/>
      <c r="L381" s="15"/>
      <c r="M381" s="15"/>
      <c r="N381" s="15"/>
      <c r="O381" s="15"/>
      <c r="P381" s="15"/>
      <c r="Q381" s="14"/>
    </row>
    <row r="382" spans="1:17" x14ac:dyDescent="0.3">
      <c r="A382" s="14"/>
      <c r="B382" s="21"/>
      <c r="C382" s="21"/>
      <c r="D382" s="14"/>
      <c r="E382" s="14"/>
      <c r="F382" s="14"/>
      <c r="G382" s="14"/>
      <c r="H382" s="14"/>
      <c r="I382" s="15"/>
      <c r="J382" s="15"/>
      <c r="K382" s="15"/>
      <c r="L382" s="15"/>
      <c r="M382" s="15"/>
      <c r="N382" s="15"/>
      <c r="O382" s="15"/>
      <c r="P382" s="15"/>
      <c r="Q382" s="14"/>
    </row>
    <row r="383" spans="1:17" x14ac:dyDescent="0.3">
      <c r="A383" s="14"/>
      <c r="B383" s="21"/>
      <c r="C383" s="21"/>
      <c r="D383" s="14"/>
      <c r="E383" s="14"/>
      <c r="F383" s="14"/>
      <c r="G383" s="14"/>
      <c r="H383" s="14"/>
      <c r="I383" s="15"/>
      <c r="J383" s="15"/>
      <c r="K383" s="15"/>
      <c r="L383" s="15"/>
      <c r="M383" s="15"/>
      <c r="N383" s="15"/>
      <c r="O383" s="15"/>
      <c r="P383" s="15"/>
      <c r="Q383" s="14"/>
    </row>
    <row r="384" spans="1:17" x14ac:dyDescent="0.3">
      <c r="A384" s="14"/>
      <c r="B384" s="21"/>
      <c r="C384" s="21"/>
      <c r="D384" s="14"/>
      <c r="E384" s="14"/>
      <c r="F384" s="14"/>
      <c r="G384" s="14"/>
      <c r="H384" s="14"/>
      <c r="I384" s="15"/>
      <c r="J384" s="15"/>
      <c r="K384" s="15"/>
      <c r="L384" s="15"/>
      <c r="M384" s="15"/>
      <c r="N384" s="15"/>
      <c r="O384" s="15"/>
      <c r="P384" s="15"/>
      <c r="Q384" s="14"/>
    </row>
    <row r="385" spans="1:17" x14ac:dyDescent="0.3">
      <c r="A385" s="14"/>
      <c r="B385" s="21"/>
      <c r="C385" s="21"/>
      <c r="D385" s="14"/>
      <c r="E385" s="14"/>
      <c r="F385" s="14"/>
      <c r="G385" s="14"/>
      <c r="H385" s="14"/>
      <c r="I385" s="15"/>
      <c r="J385" s="15"/>
      <c r="K385" s="15"/>
      <c r="L385" s="15"/>
      <c r="M385" s="15"/>
      <c r="N385" s="15"/>
      <c r="O385" s="15"/>
      <c r="P385" s="15"/>
      <c r="Q385" s="14"/>
    </row>
    <row r="386" spans="1:17" x14ac:dyDescent="0.3">
      <c r="A386" s="14"/>
      <c r="B386" s="21"/>
      <c r="C386" s="21"/>
      <c r="D386" s="14"/>
      <c r="E386" s="14"/>
      <c r="F386" s="14"/>
      <c r="G386" s="14"/>
      <c r="H386" s="14"/>
      <c r="I386" s="15"/>
      <c r="J386" s="15"/>
      <c r="K386" s="15"/>
      <c r="L386" s="15"/>
      <c r="M386" s="15"/>
      <c r="N386" s="15"/>
      <c r="O386" s="15"/>
      <c r="P386" s="15"/>
      <c r="Q386" s="14"/>
    </row>
    <row r="387" spans="1:17" x14ac:dyDescent="0.3">
      <c r="A387" s="14"/>
      <c r="B387" s="21"/>
      <c r="C387" s="21"/>
      <c r="D387" s="14"/>
      <c r="E387" s="14"/>
      <c r="F387" s="14"/>
      <c r="G387" s="14"/>
      <c r="H387" s="14"/>
      <c r="I387" s="15"/>
      <c r="J387" s="15"/>
      <c r="K387" s="15"/>
      <c r="L387" s="15"/>
      <c r="M387" s="15"/>
      <c r="N387" s="15"/>
      <c r="O387" s="15"/>
      <c r="P387" s="15"/>
      <c r="Q387" s="14"/>
    </row>
    <row r="388" spans="1:17" x14ac:dyDescent="0.3">
      <c r="A388" s="14"/>
      <c r="B388" s="21"/>
      <c r="C388" s="21"/>
      <c r="D388" s="14"/>
      <c r="E388" s="14"/>
      <c r="F388" s="14"/>
      <c r="G388" s="14"/>
      <c r="H388" s="14"/>
      <c r="I388" s="15"/>
      <c r="J388" s="15"/>
      <c r="K388" s="15"/>
      <c r="L388" s="15"/>
      <c r="M388" s="15"/>
      <c r="N388" s="15"/>
      <c r="O388" s="15"/>
      <c r="P388" s="15"/>
      <c r="Q388" s="14"/>
    </row>
    <row r="389" spans="1:17" x14ac:dyDescent="0.3">
      <c r="A389" s="14"/>
      <c r="B389" s="21"/>
      <c r="C389" s="21"/>
      <c r="D389" s="14"/>
      <c r="E389" s="14"/>
      <c r="F389" s="14"/>
      <c r="G389" s="14"/>
      <c r="H389" s="14"/>
      <c r="I389" s="15"/>
      <c r="J389" s="15"/>
      <c r="K389" s="15"/>
      <c r="L389" s="15"/>
      <c r="M389" s="15"/>
      <c r="N389" s="15"/>
      <c r="O389" s="15"/>
      <c r="P389" s="15"/>
      <c r="Q389" s="14"/>
    </row>
    <row r="390" spans="1:17" x14ac:dyDescent="0.3">
      <c r="A390" s="14"/>
      <c r="B390" s="21"/>
      <c r="C390" s="21"/>
      <c r="D390" s="14"/>
      <c r="E390" s="14"/>
      <c r="F390" s="14"/>
      <c r="G390" s="14"/>
      <c r="H390" s="14"/>
      <c r="I390" s="15"/>
      <c r="J390" s="15"/>
      <c r="K390" s="15"/>
      <c r="L390" s="15"/>
      <c r="M390" s="15"/>
      <c r="N390" s="15"/>
      <c r="O390" s="15"/>
      <c r="P390" s="15"/>
      <c r="Q390" s="14"/>
    </row>
    <row r="391" spans="1:17" x14ac:dyDescent="0.3">
      <c r="A391" s="14"/>
      <c r="B391" s="21"/>
      <c r="C391" s="21"/>
      <c r="D391" s="14"/>
      <c r="E391" s="14"/>
      <c r="F391" s="14"/>
      <c r="G391" s="14"/>
      <c r="H391" s="14"/>
      <c r="I391" s="15"/>
      <c r="J391" s="15"/>
      <c r="K391" s="15"/>
      <c r="L391" s="15"/>
      <c r="M391" s="15"/>
      <c r="N391" s="15"/>
      <c r="O391" s="15"/>
      <c r="P391" s="15"/>
      <c r="Q391" s="14"/>
    </row>
    <row r="392" spans="1:17" x14ac:dyDescent="0.3">
      <c r="A392" s="14"/>
      <c r="B392" s="21"/>
      <c r="C392" s="21"/>
      <c r="D392" s="14"/>
      <c r="E392" s="14"/>
      <c r="F392" s="14"/>
      <c r="G392" s="14"/>
      <c r="H392" s="14"/>
      <c r="I392" s="15"/>
      <c r="J392" s="15"/>
      <c r="K392" s="15"/>
      <c r="L392" s="15"/>
      <c r="M392" s="15"/>
      <c r="N392" s="15"/>
      <c r="O392" s="15"/>
      <c r="P392" s="15"/>
      <c r="Q392" s="14"/>
    </row>
    <row r="393" spans="1:17" x14ac:dyDescent="0.3">
      <c r="A393" s="14"/>
      <c r="B393" s="21"/>
      <c r="C393" s="21"/>
      <c r="D393" s="14"/>
      <c r="E393" s="14"/>
      <c r="F393" s="14"/>
      <c r="G393" s="14"/>
      <c r="H393" s="14"/>
      <c r="I393" s="15"/>
      <c r="J393" s="15"/>
      <c r="K393" s="15"/>
      <c r="L393" s="15"/>
      <c r="M393" s="15"/>
      <c r="N393" s="15"/>
      <c r="O393" s="15"/>
      <c r="P393" s="15"/>
      <c r="Q393" s="14"/>
    </row>
    <row r="394" spans="1:17" x14ac:dyDescent="0.3">
      <c r="A394" s="14"/>
      <c r="B394" s="21"/>
      <c r="C394" s="21"/>
      <c r="D394" s="14"/>
      <c r="E394" s="14"/>
      <c r="F394" s="14"/>
      <c r="G394" s="14"/>
      <c r="H394" s="14"/>
      <c r="I394" s="15"/>
      <c r="J394" s="15"/>
      <c r="K394" s="15"/>
      <c r="L394" s="15"/>
      <c r="M394" s="15"/>
      <c r="N394" s="15"/>
      <c r="O394" s="15"/>
      <c r="P394" s="15"/>
      <c r="Q394" s="14"/>
    </row>
    <row r="395" spans="1:17" x14ac:dyDescent="0.3">
      <c r="A395" s="14"/>
      <c r="B395" s="21"/>
      <c r="C395" s="21"/>
      <c r="D395" s="14"/>
      <c r="E395" s="14"/>
      <c r="F395" s="14"/>
      <c r="G395" s="14"/>
      <c r="H395" s="14"/>
      <c r="I395" s="15"/>
      <c r="J395" s="15"/>
      <c r="K395" s="15"/>
      <c r="L395" s="15"/>
      <c r="M395" s="15"/>
      <c r="N395" s="15"/>
      <c r="O395" s="15"/>
      <c r="P395" s="15"/>
      <c r="Q395" s="14"/>
    </row>
    <row r="396" spans="1:17" x14ac:dyDescent="0.3">
      <c r="A396" s="14"/>
      <c r="B396" s="21"/>
      <c r="C396" s="21"/>
      <c r="D396" s="14"/>
      <c r="E396" s="14"/>
      <c r="F396" s="14"/>
      <c r="G396" s="14"/>
      <c r="H396" s="14"/>
      <c r="I396" s="15"/>
      <c r="J396" s="15"/>
      <c r="K396" s="15"/>
      <c r="L396" s="15"/>
      <c r="M396" s="15"/>
      <c r="N396" s="15"/>
      <c r="O396" s="15"/>
      <c r="P396" s="15"/>
      <c r="Q396" s="14"/>
    </row>
    <row r="397" spans="1:17" x14ac:dyDescent="0.3">
      <c r="A397" s="14"/>
      <c r="B397" s="21"/>
      <c r="C397" s="21"/>
      <c r="D397" s="14"/>
      <c r="E397" s="14"/>
      <c r="F397" s="14"/>
      <c r="G397" s="14"/>
      <c r="H397" s="14"/>
      <c r="I397" s="15"/>
      <c r="J397" s="15"/>
      <c r="K397" s="15"/>
      <c r="L397" s="15"/>
      <c r="M397" s="15"/>
      <c r="N397" s="15"/>
      <c r="O397" s="15"/>
      <c r="P397" s="15"/>
      <c r="Q397" s="14"/>
    </row>
    <row r="398" spans="1:17" x14ac:dyDescent="0.3">
      <c r="A398" s="14"/>
      <c r="B398" s="21"/>
      <c r="C398" s="21"/>
      <c r="D398" s="14"/>
      <c r="E398" s="14"/>
      <c r="F398" s="14"/>
      <c r="G398" s="14"/>
      <c r="H398" s="14"/>
      <c r="I398" s="15"/>
      <c r="J398" s="15"/>
      <c r="K398" s="15"/>
      <c r="L398" s="15"/>
      <c r="M398" s="15"/>
      <c r="N398" s="15"/>
      <c r="O398" s="15"/>
      <c r="P398" s="15"/>
      <c r="Q398" s="14"/>
    </row>
    <row r="399" spans="1:17" x14ac:dyDescent="0.3">
      <c r="A399" s="14"/>
      <c r="B399" s="21"/>
      <c r="C399" s="21"/>
      <c r="D399" s="14"/>
      <c r="E399" s="14"/>
      <c r="F399" s="14"/>
      <c r="G399" s="14"/>
      <c r="H399" s="14"/>
      <c r="I399" s="15"/>
      <c r="J399" s="15"/>
      <c r="K399" s="15"/>
      <c r="L399" s="15"/>
      <c r="M399" s="15"/>
      <c r="N399" s="15"/>
      <c r="O399" s="15"/>
      <c r="P399" s="15"/>
      <c r="Q399" s="14"/>
    </row>
    <row r="400" spans="1:17" x14ac:dyDescent="0.3">
      <c r="A400" s="14"/>
      <c r="B400" s="21"/>
      <c r="C400" s="21"/>
      <c r="D400" s="14"/>
      <c r="E400" s="14"/>
      <c r="F400" s="14"/>
      <c r="G400" s="14"/>
      <c r="H400" s="14"/>
      <c r="I400" s="15"/>
      <c r="J400" s="15"/>
      <c r="K400" s="15"/>
      <c r="L400" s="15"/>
      <c r="M400" s="15"/>
      <c r="N400" s="15"/>
      <c r="O400" s="15"/>
      <c r="P400" s="15"/>
      <c r="Q400" s="14"/>
    </row>
    <row r="401" spans="1:17" x14ac:dyDescent="0.3">
      <c r="A401" s="14"/>
      <c r="B401" s="21"/>
      <c r="C401" s="21"/>
      <c r="D401" s="14"/>
      <c r="E401" s="14"/>
      <c r="F401" s="14"/>
      <c r="G401" s="14"/>
      <c r="H401" s="14"/>
      <c r="I401" s="15"/>
      <c r="J401" s="15"/>
      <c r="K401" s="15"/>
      <c r="L401" s="15"/>
      <c r="M401" s="15"/>
      <c r="N401" s="15"/>
      <c r="O401" s="15"/>
      <c r="P401" s="15"/>
      <c r="Q401" s="14"/>
    </row>
    <row r="402" spans="1:17" x14ac:dyDescent="0.3">
      <c r="A402" s="14"/>
      <c r="B402" s="21"/>
      <c r="C402" s="21"/>
      <c r="D402" s="14"/>
      <c r="E402" s="14"/>
      <c r="F402" s="14"/>
      <c r="G402" s="14"/>
      <c r="H402" s="14"/>
      <c r="I402" s="15"/>
      <c r="J402" s="15"/>
      <c r="K402" s="15"/>
      <c r="L402" s="15"/>
      <c r="M402" s="15"/>
      <c r="N402" s="15"/>
      <c r="O402" s="15"/>
      <c r="P402" s="15"/>
      <c r="Q402" s="14"/>
    </row>
    <row r="403" spans="1:17" x14ac:dyDescent="0.3">
      <c r="A403" s="14"/>
      <c r="B403" s="21"/>
      <c r="C403" s="21"/>
      <c r="D403" s="14"/>
      <c r="E403" s="14"/>
      <c r="F403" s="14"/>
      <c r="G403" s="14"/>
      <c r="H403" s="14"/>
      <c r="I403" s="15"/>
      <c r="J403" s="15"/>
      <c r="K403" s="15"/>
      <c r="L403" s="15"/>
      <c r="M403" s="15"/>
      <c r="N403" s="15"/>
      <c r="O403" s="15"/>
      <c r="P403" s="15"/>
      <c r="Q403" s="14"/>
    </row>
    <row r="404" spans="1:17" x14ac:dyDescent="0.3">
      <c r="A404" s="14"/>
      <c r="B404" s="21"/>
      <c r="C404" s="21"/>
      <c r="D404" s="14"/>
      <c r="E404" s="14"/>
      <c r="F404" s="14"/>
      <c r="G404" s="14"/>
      <c r="H404" s="14"/>
      <c r="I404" s="15"/>
      <c r="J404" s="15"/>
      <c r="K404" s="15"/>
      <c r="L404" s="15"/>
      <c r="M404" s="15"/>
      <c r="N404" s="15"/>
      <c r="O404" s="15"/>
      <c r="P404" s="15"/>
      <c r="Q404" s="14"/>
    </row>
    <row r="405" spans="1:17" x14ac:dyDescent="0.3">
      <c r="A405" s="14"/>
      <c r="B405" s="21"/>
      <c r="C405" s="21"/>
      <c r="D405" s="14"/>
      <c r="E405" s="14"/>
      <c r="F405" s="14"/>
      <c r="G405" s="14"/>
      <c r="H405" s="14"/>
      <c r="I405" s="15"/>
      <c r="J405" s="15"/>
      <c r="K405" s="15"/>
      <c r="L405" s="15"/>
      <c r="M405" s="15"/>
      <c r="N405" s="15"/>
      <c r="O405" s="15"/>
      <c r="P405" s="15"/>
      <c r="Q405" s="14"/>
    </row>
    <row r="406" spans="1:17" x14ac:dyDescent="0.3">
      <c r="A406" s="14"/>
      <c r="B406" s="21"/>
      <c r="C406" s="21"/>
      <c r="D406" s="14"/>
      <c r="E406" s="14"/>
      <c r="F406" s="14"/>
      <c r="G406" s="14"/>
      <c r="H406" s="14"/>
      <c r="I406" s="15"/>
      <c r="J406" s="15"/>
      <c r="K406" s="15"/>
      <c r="L406" s="15"/>
      <c r="M406" s="15"/>
      <c r="N406" s="15"/>
      <c r="O406" s="15"/>
      <c r="P406" s="15"/>
      <c r="Q406" s="14"/>
    </row>
    <row r="407" spans="1:17" x14ac:dyDescent="0.3">
      <c r="A407" s="14"/>
      <c r="B407" s="21"/>
      <c r="C407" s="21"/>
      <c r="D407" s="14"/>
      <c r="E407" s="14"/>
      <c r="F407" s="14"/>
      <c r="G407" s="14"/>
      <c r="H407" s="14"/>
      <c r="I407" s="15"/>
      <c r="J407" s="15"/>
      <c r="K407" s="15"/>
      <c r="L407" s="15"/>
      <c r="M407" s="15"/>
      <c r="N407" s="15"/>
      <c r="O407" s="15"/>
      <c r="P407" s="15"/>
      <c r="Q407" s="14"/>
    </row>
    <row r="408" spans="1:17" x14ac:dyDescent="0.3">
      <c r="A408" s="14"/>
      <c r="B408" s="21"/>
      <c r="C408" s="21"/>
      <c r="D408" s="14"/>
      <c r="E408" s="14"/>
      <c r="F408" s="14"/>
      <c r="G408" s="14"/>
      <c r="H408" s="14"/>
      <c r="I408" s="15"/>
      <c r="J408" s="15"/>
      <c r="K408" s="15"/>
      <c r="L408" s="15"/>
      <c r="M408" s="15"/>
      <c r="N408" s="15"/>
      <c r="O408" s="15"/>
      <c r="P408" s="15"/>
      <c r="Q408" s="14"/>
    </row>
    <row r="409" spans="1:17" x14ac:dyDescent="0.3">
      <c r="A409" s="14"/>
      <c r="B409" s="21"/>
      <c r="C409" s="21"/>
      <c r="D409" s="14"/>
      <c r="E409" s="14"/>
      <c r="F409" s="14"/>
      <c r="G409" s="14"/>
      <c r="H409" s="14"/>
      <c r="I409" s="15"/>
      <c r="J409" s="15"/>
      <c r="K409" s="15"/>
      <c r="L409" s="15"/>
      <c r="M409" s="15"/>
      <c r="N409" s="15"/>
      <c r="O409" s="15"/>
      <c r="P409" s="15"/>
      <c r="Q409" s="14"/>
    </row>
    <row r="410" spans="1:17" x14ac:dyDescent="0.3">
      <c r="A410" s="14"/>
      <c r="B410" s="21"/>
      <c r="C410" s="21"/>
      <c r="D410" s="14"/>
      <c r="E410" s="14"/>
      <c r="F410" s="14"/>
      <c r="G410" s="14"/>
      <c r="H410" s="14"/>
      <c r="I410" s="15"/>
      <c r="J410" s="15"/>
      <c r="K410" s="15"/>
      <c r="L410" s="15"/>
      <c r="M410" s="15"/>
      <c r="N410" s="15"/>
      <c r="O410" s="15"/>
      <c r="P410" s="15"/>
      <c r="Q410" s="14"/>
    </row>
    <row r="411" spans="1:17" x14ac:dyDescent="0.3">
      <c r="A411" s="14"/>
      <c r="B411" s="21"/>
      <c r="C411" s="21"/>
      <c r="D411" s="14"/>
      <c r="E411" s="14"/>
      <c r="F411" s="14"/>
      <c r="G411" s="14"/>
      <c r="H411" s="14"/>
      <c r="I411" s="15"/>
      <c r="J411" s="15"/>
      <c r="K411" s="15"/>
      <c r="L411" s="15"/>
      <c r="M411" s="15"/>
      <c r="N411" s="15"/>
      <c r="O411" s="15"/>
      <c r="P411" s="15"/>
      <c r="Q411" s="14"/>
    </row>
    <row r="412" spans="1:17" x14ac:dyDescent="0.3">
      <c r="A412" s="14"/>
      <c r="B412" s="21"/>
      <c r="C412" s="21"/>
      <c r="D412" s="14"/>
      <c r="E412" s="14"/>
      <c r="F412" s="14"/>
      <c r="G412" s="14"/>
      <c r="H412" s="14"/>
      <c r="I412" s="15"/>
      <c r="J412" s="15"/>
      <c r="K412" s="15"/>
      <c r="L412" s="15"/>
      <c r="M412" s="15"/>
      <c r="N412" s="15"/>
      <c r="O412" s="15"/>
      <c r="P412" s="15"/>
      <c r="Q412" s="14"/>
    </row>
    <row r="413" spans="1:17" x14ac:dyDescent="0.3">
      <c r="A413" s="14"/>
      <c r="B413" s="21"/>
      <c r="C413" s="21"/>
      <c r="D413" s="14"/>
      <c r="E413" s="14"/>
      <c r="F413" s="14"/>
      <c r="G413" s="14"/>
      <c r="H413" s="14"/>
      <c r="I413" s="15"/>
      <c r="J413" s="15"/>
      <c r="K413" s="15"/>
      <c r="L413" s="15"/>
      <c r="M413" s="15"/>
      <c r="N413" s="15"/>
      <c r="O413" s="15"/>
      <c r="P413" s="15"/>
      <c r="Q413" s="14"/>
    </row>
    <row r="414" spans="1:17" x14ac:dyDescent="0.3">
      <c r="A414" s="14"/>
      <c r="B414" s="21"/>
      <c r="C414" s="21"/>
      <c r="D414" s="14"/>
      <c r="E414" s="14"/>
      <c r="F414" s="14"/>
      <c r="G414" s="14"/>
      <c r="H414" s="14"/>
      <c r="I414" s="15"/>
      <c r="J414" s="15"/>
      <c r="K414" s="15"/>
      <c r="L414" s="15"/>
      <c r="M414" s="15"/>
      <c r="N414" s="15"/>
      <c r="O414" s="15"/>
      <c r="P414" s="15"/>
      <c r="Q414" s="14"/>
    </row>
    <row r="415" spans="1:17" x14ac:dyDescent="0.3">
      <c r="A415" s="14"/>
      <c r="B415" s="21"/>
      <c r="C415" s="21"/>
      <c r="D415" s="14"/>
      <c r="E415" s="14"/>
      <c r="F415" s="14"/>
      <c r="G415" s="14"/>
      <c r="H415" s="14"/>
      <c r="I415" s="15"/>
      <c r="J415" s="15"/>
      <c r="K415" s="15"/>
      <c r="L415" s="15"/>
      <c r="M415" s="15"/>
      <c r="N415" s="15"/>
      <c r="O415" s="15"/>
      <c r="P415" s="15"/>
      <c r="Q415" s="14"/>
    </row>
    <row r="416" spans="1:17" x14ac:dyDescent="0.3">
      <c r="A416" s="14"/>
      <c r="B416" s="21"/>
      <c r="C416" s="21"/>
      <c r="D416" s="14"/>
      <c r="E416" s="14"/>
      <c r="F416" s="14"/>
      <c r="G416" s="14"/>
      <c r="H416" s="14"/>
      <c r="I416" s="15"/>
      <c r="J416" s="15"/>
      <c r="K416" s="15"/>
      <c r="L416" s="15"/>
      <c r="M416" s="15"/>
      <c r="N416" s="15"/>
      <c r="O416" s="15"/>
      <c r="P416" s="15"/>
      <c r="Q416" s="14"/>
    </row>
    <row r="417" spans="1:17" x14ac:dyDescent="0.3">
      <c r="A417" s="14"/>
      <c r="B417" s="21"/>
      <c r="C417" s="21"/>
      <c r="D417" s="14"/>
      <c r="E417" s="14"/>
      <c r="F417" s="14"/>
      <c r="G417" s="14"/>
      <c r="H417" s="14"/>
      <c r="I417" s="15"/>
      <c r="J417" s="15"/>
      <c r="K417" s="15"/>
      <c r="L417" s="15"/>
      <c r="M417" s="15"/>
      <c r="N417" s="15"/>
      <c r="O417" s="15"/>
      <c r="P417" s="15"/>
      <c r="Q417" s="14"/>
    </row>
    <row r="418" spans="1:17" x14ac:dyDescent="0.3">
      <c r="A418" s="14"/>
      <c r="B418" s="21"/>
      <c r="C418" s="21"/>
      <c r="D418" s="14"/>
      <c r="E418" s="14"/>
      <c r="F418" s="14"/>
      <c r="G418" s="14"/>
      <c r="H418" s="14"/>
      <c r="I418" s="15"/>
      <c r="J418" s="15"/>
      <c r="K418" s="15"/>
      <c r="L418" s="15"/>
      <c r="M418" s="15"/>
      <c r="N418" s="15"/>
      <c r="O418" s="15"/>
      <c r="P418" s="15"/>
      <c r="Q418" s="14"/>
    </row>
    <row r="419" spans="1:17" x14ac:dyDescent="0.3">
      <c r="A419" s="14"/>
      <c r="B419" s="21"/>
      <c r="C419" s="21"/>
      <c r="D419" s="14"/>
      <c r="E419" s="14"/>
      <c r="F419" s="14"/>
      <c r="G419" s="14"/>
      <c r="H419" s="14"/>
      <c r="I419" s="15"/>
      <c r="J419" s="15"/>
      <c r="K419" s="15"/>
      <c r="L419" s="15"/>
      <c r="M419" s="15"/>
      <c r="N419" s="15"/>
      <c r="O419" s="15"/>
      <c r="P419" s="15"/>
      <c r="Q419" s="14"/>
    </row>
    <row r="420" spans="1:17" x14ac:dyDescent="0.3">
      <c r="A420" s="14"/>
      <c r="B420" s="21"/>
      <c r="C420" s="21"/>
      <c r="D420" s="14"/>
      <c r="E420" s="14"/>
      <c r="F420" s="14"/>
      <c r="G420" s="14"/>
      <c r="H420" s="14"/>
      <c r="I420" s="15"/>
      <c r="J420" s="15"/>
      <c r="K420" s="15"/>
      <c r="L420" s="15"/>
      <c r="M420" s="15"/>
      <c r="N420" s="15"/>
      <c r="O420" s="15"/>
      <c r="P420" s="15"/>
      <c r="Q420" s="14"/>
    </row>
    <row r="421" spans="1:17" x14ac:dyDescent="0.3">
      <c r="A421" s="14"/>
      <c r="B421" s="21"/>
      <c r="C421" s="21"/>
      <c r="D421" s="14"/>
      <c r="E421" s="14"/>
      <c r="F421" s="14"/>
      <c r="G421" s="14"/>
      <c r="H421" s="14"/>
      <c r="I421" s="15"/>
      <c r="J421" s="15"/>
      <c r="K421" s="15"/>
      <c r="L421" s="15"/>
      <c r="M421" s="15"/>
      <c r="N421" s="15"/>
      <c r="O421" s="15"/>
      <c r="P421" s="15"/>
      <c r="Q421" s="14"/>
    </row>
    <row r="422" spans="1:17" x14ac:dyDescent="0.3">
      <c r="A422" s="14"/>
      <c r="B422" s="21"/>
      <c r="C422" s="21"/>
      <c r="D422" s="14"/>
      <c r="E422" s="14"/>
      <c r="F422" s="14"/>
      <c r="G422" s="14"/>
      <c r="H422" s="14"/>
      <c r="I422" s="15"/>
      <c r="J422" s="15"/>
      <c r="K422" s="15"/>
      <c r="L422" s="15"/>
      <c r="M422" s="15"/>
      <c r="N422" s="15"/>
      <c r="O422" s="15"/>
      <c r="P422" s="15"/>
      <c r="Q422" s="14"/>
    </row>
    <row r="423" spans="1:17" x14ac:dyDescent="0.3">
      <c r="A423" s="14"/>
      <c r="B423" s="21"/>
      <c r="C423" s="21"/>
      <c r="D423" s="14"/>
      <c r="E423" s="14"/>
      <c r="F423" s="14"/>
      <c r="G423" s="14"/>
      <c r="H423" s="14"/>
      <c r="I423" s="15"/>
      <c r="J423" s="15"/>
      <c r="K423" s="15"/>
      <c r="L423" s="15"/>
      <c r="M423" s="15"/>
      <c r="N423" s="15"/>
      <c r="O423" s="15"/>
      <c r="P423" s="15"/>
      <c r="Q423" s="14"/>
    </row>
    <row r="424" spans="1:17" x14ac:dyDescent="0.3">
      <c r="A424" s="14"/>
      <c r="B424" s="21"/>
      <c r="C424" s="21"/>
      <c r="D424" s="14"/>
      <c r="E424" s="14"/>
      <c r="F424" s="14"/>
      <c r="G424" s="14"/>
      <c r="H424" s="14"/>
      <c r="I424" s="15"/>
      <c r="J424" s="15"/>
      <c r="K424" s="15"/>
      <c r="L424" s="15"/>
      <c r="M424" s="15"/>
      <c r="N424" s="15"/>
      <c r="O424" s="15"/>
      <c r="P424" s="15"/>
      <c r="Q424" s="14"/>
    </row>
    <row r="425" spans="1:17" x14ac:dyDescent="0.3">
      <c r="A425" s="14"/>
      <c r="B425" s="21"/>
      <c r="C425" s="21"/>
      <c r="D425" s="14"/>
      <c r="E425" s="14"/>
      <c r="F425" s="14"/>
      <c r="G425" s="14"/>
      <c r="H425" s="14"/>
      <c r="I425" s="15"/>
      <c r="J425" s="15"/>
      <c r="K425" s="15"/>
      <c r="L425" s="15"/>
      <c r="M425" s="15"/>
      <c r="N425" s="15"/>
      <c r="O425" s="15"/>
      <c r="P425" s="15"/>
      <c r="Q425" s="14"/>
    </row>
    <row r="426" spans="1:17" x14ac:dyDescent="0.3">
      <c r="A426" s="14"/>
      <c r="B426" s="21"/>
      <c r="C426" s="21"/>
      <c r="D426" s="14"/>
      <c r="E426" s="14"/>
      <c r="F426" s="14"/>
      <c r="G426" s="14"/>
      <c r="H426" s="14"/>
      <c r="I426" s="15"/>
      <c r="J426" s="15"/>
      <c r="K426" s="15"/>
      <c r="L426" s="15"/>
      <c r="M426" s="15"/>
      <c r="N426" s="15"/>
      <c r="O426" s="15"/>
      <c r="P426" s="15"/>
      <c r="Q426" s="14"/>
    </row>
    <row r="427" spans="1:17" x14ac:dyDescent="0.3">
      <c r="A427" s="14"/>
      <c r="B427" s="21"/>
      <c r="C427" s="21"/>
      <c r="D427" s="14"/>
      <c r="E427" s="14"/>
      <c r="F427" s="14"/>
      <c r="G427" s="14"/>
      <c r="H427" s="14"/>
      <c r="I427" s="15"/>
      <c r="J427" s="15"/>
      <c r="K427" s="15"/>
      <c r="L427" s="15"/>
      <c r="M427" s="15"/>
      <c r="N427" s="15"/>
      <c r="O427" s="15"/>
      <c r="P427" s="15"/>
      <c r="Q427" s="14"/>
    </row>
    <row r="428" spans="1:17" x14ac:dyDescent="0.3">
      <c r="A428" s="14"/>
      <c r="B428" s="21"/>
      <c r="C428" s="21"/>
      <c r="D428" s="14"/>
      <c r="E428" s="14"/>
      <c r="F428" s="14"/>
      <c r="G428" s="14"/>
      <c r="H428" s="14"/>
      <c r="I428" s="15"/>
      <c r="J428" s="15"/>
      <c r="K428" s="15"/>
      <c r="L428" s="15"/>
      <c r="M428" s="15"/>
      <c r="N428" s="15"/>
      <c r="O428" s="15"/>
      <c r="P428" s="15"/>
      <c r="Q428" s="14"/>
    </row>
    <row r="429" spans="1:17" x14ac:dyDescent="0.3">
      <c r="A429" s="14"/>
      <c r="B429" s="21"/>
      <c r="C429" s="21"/>
      <c r="D429" s="14"/>
      <c r="E429" s="14"/>
      <c r="F429" s="14"/>
      <c r="G429" s="14"/>
      <c r="H429" s="14"/>
      <c r="I429" s="15"/>
      <c r="J429" s="15"/>
      <c r="K429" s="15"/>
      <c r="L429" s="15"/>
      <c r="M429" s="15"/>
      <c r="N429" s="15"/>
      <c r="O429" s="15"/>
      <c r="P429" s="15"/>
      <c r="Q429" s="14"/>
    </row>
    <row r="430" spans="1:17" x14ac:dyDescent="0.3">
      <c r="A430" s="14"/>
      <c r="B430" s="21"/>
      <c r="C430" s="21"/>
      <c r="D430" s="14"/>
      <c r="E430" s="14"/>
      <c r="F430" s="14"/>
      <c r="G430" s="14"/>
      <c r="H430" s="14"/>
      <c r="I430" s="15"/>
      <c r="J430" s="15"/>
      <c r="K430" s="15"/>
      <c r="L430" s="15"/>
      <c r="M430" s="15"/>
      <c r="N430" s="15"/>
      <c r="O430" s="15"/>
      <c r="P430" s="15"/>
      <c r="Q430" s="14"/>
    </row>
    <row r="431" spans="1:17" x14ac:dyDescent="0.3">
      <c r="A431" s="14"/>
      <c r="B431" s="21"/>
      <c r="C431" s="21"/>
      <c r="D431" s="14"/>
      <c r="E431" s="14"/>
      <c r="F431" s="14"/>
      <c r="G431" s="14"/>
      <c r="H431" s="14"/>
      <c r="I431" s="15"/>
      <c r="J431" s="15"/>
      <c r="K431" s="15"/>
      <c r="L431" s="15"/>
      <c r="M431" s="15"/>
      <c r="N431" s="15"/>
      <c r="O431" s="15"/>
      <c r="P431" s="15"/>
      <c r="Q431" s="14"/>
    </row>
    <row r="432" spans="1:17" x14ac:dyDescent="0.3">
      <c r="A432" s="14"/>
      <c r="B432" s="21"/>
      <c r="C432" s="21"/>
      <c r="D432" s="14"/>
      <c r="E432" s="14"/>
      <c r="F432" s="14"/>
      <c r="G432" s="14"/>
      <c r="H432" s="14"/>
      <c r="I432" s="15"/>
      <c r="J432" s="15"/>
      <c r="K432" s="15"/>
      <c r="L432" s="15"/>
      <c r="M432" s="15"/>
      <c r="N432" s="15"/>
      <c r="O432" s="15"/>
      <c r="P432" s="15"/>
      <c r="Q432" s="14"/>
    </row>
    <row r="433" spans="1:17" x14ac:dyDescent="0.3">
      <c r="A433" s="14"/>
      <c r="B433" s="21"/>
      <c r="C433" s="21"/>
      <c r="D433" s="14"/>
      <c r="E433" s="14"/>
      <c r="F433" s="14"/>
      <c r="G433" s="14"/>
      <c r="H433" s="14"/>
      <c r="I433" s="15"/>
      <c r="J433" s="15"/>
      <c r="K433" s="15"/>
      <c r="L433" s="15"/>
      <c r="M433" s="15"/>
      <c r="N433" s="15"/>
      <c r="O433" s="15"/>
      <c r="P433" s="15"/>
      <c r="Q433" s="14"/>
    </row>
    <row r="434" spans="1:17" x14ac:dyDescent="0.3">
      <c r="A434" s="14"/>
      <c r="B434" s="21"/>
      <c r="C434" s="21"/>
      <c r="D434" s="14"/>
      <c r="E434" s="14"/>
      <c r="F434" s="14"/>
      <c r="G434" s="14"/>
      <c r="H434" s="14"/>
      <c r="I434" s="15"/>
      <c r="J434" s="15"/>
      <c r="K434" s="15"/>
      <c r="L434" s="15"/>
      <c r="M434" s="15"/>
      <c r="N434" s="15"/>
      <c r="O434" s="15"/>
      <c r="P434" s="15"/>
      <c r="Q434" s="14"/>
    </row>
    <row r="435" spans="1:17" x14ac:dyDescent="0.3">
      <c r="A435" s="14"/>
      <c r="B435" s="21"/>
      <c r="C435" s="21"/>
      <c r="D435" s="14"/>
      <c r="E435" s="14"/>
      <c r="F435" s="14"/>
      <c r="G435" s="14"/>
      <c r="H435" s="14"/>
      <c r="I435" s="15"/>
      <c r="J435" s="15"/>
      <c r="K435" s="15"/>
      <c r="L435" s="15"/>
      <c r="M435" s="15"/>
      <c r="N435" s="15"/>
      <c r="O435" s="15"/>
      <c r="P435" s="15"/>
      <c r="Q435" s="14"/>
    </row>
    <row r="436" spans="1:17" x14ac:dyDescent="0.3">
      <c r="A436" s="14"/>
      <c r="B436" s="21"/>
      <c r="C436" s="21"/>
      <c r="D436" s="14"/>
      <c r="E436" s="14"/>
      <c r="F436" s="14"/>
      <c r="G436" s="14"/>
      <c r="H436" s="14"/>
      <c r="I436" s="15"/>
      <c r="J436" s="15"/>
      <c r="K436" s="15"/>
      <c r="L436" s="15"/>
      <c r="M436" s="15"/>
      <c r="N436" s="15"/>
      <c r="O436" s="15"/>
      <c r="P436" s="15"/>
      <c r="Q436" s="14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바이투</vt:lpstr>
      <vt:lpstr>필드설명</vt:lpstr>
      <vt:lpstr>원본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dong8</dc:creator>
  <cp:lastModifiedBy>Tae Yoon Kim</cp:lastModifiedBy>
  <dcterms:created xsi:type="dcterms:W3CDTF">2023-02-15T08:09:05Z</dcterms:created>
  <dcterms:modified xsi:type="dcterms:W3CDTF">2026-09-07T01:46:49Z</dcterms:modified>
</cp:coreProperties>
</file>